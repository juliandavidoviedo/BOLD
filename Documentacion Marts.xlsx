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ación Entidades" sheetId="1" r:id="rId5"/>
    <sheet state="visible" name="Indice Contenidos Marts" sheetId="2" r:id="rId6"/>
    <sheet state="visible" name="Entradas - Soporte Requerimient" sheetId="3" r:id="rId7"/>
    <sheet state="visible" name="Mapa de Llaves" sheetId="4" r:id="rId8"/>
    <sheet state="visible" name="Entradas - Soporte Slack" sheetId="5" r:id="rId9"/>
  </sheets>
  <definedNames>
    <definedName name="A1G8">'Documentación Entidades'!$A$1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tc={b2efe3b1-2cca-43f4-8503-947c8bcefd1c}</author>
    <author>tc={c998fb46-1ea9-4ec3-b3f1-0c62d5e15fb9}</author>
    <author>tc={fea7d7a2-4b9f-4c0d-95c1-ce99a5e017d1}</author>
  </authors>
  <commentList>
    <comment authorId="0" xr:uid="{b2efe3b1-2cca-43f4-8503-947c8bcefd1c}" ref="D4">
      <text>
        <t xml:space="preserve">[Threaded comment]
 Your version of Excel allows you to read this threaded comment; however, any edits to it will get removed if the file is opened in a newer version of Excel. Learn more: https://go.microsoft.com/fwlink/?linkid=870924
Comment:
	@nicolas.santos@bold.co Nico dele un ojito al draft de formulario que deje, el link es este rojo de la izquierda
Asignada a nicolas.santos@bold.co
</t>
      </text>
    </comment>
    <comment authorId="1" xr:uid="{c998fb46-1ea9-4ec3-b3f1-0c62d5e15fb9}" ref="G15">
      <text>
        <t xml:space="preserve">[Threaded comment]
 Your version of Excel allows you to read this threaded comment; however, any edits to it will get removed if the file is opened in a newer version of Excel. Learn more: https://go.microsoft.com/fwlink/?linkid=870924
Comment:
	@nicolas.santos@boldcf.co m esta documentación no me está cargando
Reply:
	de hecho ninguna
Reply:
	@antonio.plata@bold.co Anto se demora un minuto cargando
</t>
      </text>
    </comment>
    <comment authorId="2" xr:uid="{fea7d7a2-4b9f-4c0d-95c1-ce99a5e017d1}" ref="A1">
      <text>
        <t xml:space="preserve">[Threaded comment]
 Your version of Excel allows you to read this threaded comment; however, any edits to it will get removed if the file is opened in a newer version of Excel. Learn more: https://go.microsoft.com/fwlink/?linkid=870924
Comment:
	Se prioriza primero todo a nivel no master
</t>
      </text>
    </comment>
  </commentList>
</comments>
</file>

<file path=xl/sharedStrings.xml><?xml version="1.0" encoding="utf-8"?>
<sst xmlns="http://schemas.openxmlformats.org/spreadsheetml/2006/main" count="385" uniqueCount="216">
  <si>
    <t>Tabla</t>
  </si>
  <si>
    <t>Llave</t>
  </si>
  <si>
    <t>Marca temporal</t>
  </si>
  <si>
    <t>No.</t>
  </si>
  <si>
    <t>client id</t>
  </si>
  <si>
    <t>master_merchant_id</t>
  </si>
  <si>
    <t>merchant id</t>
  </si>
  <si>
    <t>deposit id</t>
  </si>
  <si>
    <t>cdt id</t>
  </si>
  <si>
    <t>pocket id</t>
  </si>
  <si>
    <t>card id</t>
  </si>
  <si>
    <t>loan id</t>
  </si>
  <si>
    <t>transaction id</t>
  </si>
  <si>
    <t>Dirección de correo electrónico</t>
  </si>
  <si>
    <t>Dominio</t>
  </si>
  <si>
    <t>¿Tienes una pregunta de Negocio que quisieras aprender a responder o has presentado algún hallazgo de calidad sobre los datos?</t>
  </si>
  <si>
    <t>date</t>
  </si>
  <si>
    <t>Canal de Soporte: #temp support-marts-sales</t>
  </si>
  <si>
    <t xml:space="preserve">¿Sobre que dominio / Mart haces el soporte? </t>
  </si>
  <si>
    <t>payments</t>
  </si>
  <si>
    <t>Tema</t>
  </si>
  <si>
    <t>¿Cuál es la pregunta de Negocio que quieres aprender a responder o cual el hallazgo sobre la calidad del dato que has encontrado?</t>
  </si>
  <si>
    <t>X</t>
  </si>
  <si>
    <t>Frente a la prioridad: ¿Cómo defines el nivel de urgencia del soporte que levantas frente?</t>
  </si>
  <si>
    <t>Query</t>
  </si>
  <si>
    <t>Este es un canal privado, si no hace parte del canal comunicarse vía slack con Héctor Francisco Medina Rey</t>
  </si>
  <si>
    <t>Revisión</t>
  </si>
  <si>
    <t>Link del Video - Metabase</t>
  </si>
  <si>
    <t>Z</t>
  </si>
  <si>
    <t>merchant</t>
  </si>
  <si>
    <t>Segundo</t>
  </si>
  <si>
    <t>master merchant</t>
  </si>
  <si>
    <t>andres.vega@bold.co</t>
  </si>
  <si>
    <t>Portafolio del Client</t>
  </si>
  <si>
    <t>Hallazgo de calidad del dato</t>
  </si>
  <si>
    <t>/</t>
  </si>
  <si>
    <t>depositos</t>
  </si>
  <si>
    <t>hace falta incluir una columna solicitada por sales y que no mapeamos, se llama date 1tx, ya se incluyó en el documento OKR Data: Solicitud de infromacion y Gaps - Sales C1 2026 -V1 del mart de Depositos</t>
  </si>
  <si>
    <t>No puedo avanzar, estoy bloqueado para continuar con mi actividad</t>
  </si>
  <si>
    <t>Y</t>
  </si>
  <si>
    <t>cdt</t>
  </si>
  <si>
    <t>Merchant</t>
  </si>
  <si>
    <t>Falto el Campo</t>
  </si>
  <si>
    <t>bolsillos</t>
  </si>
  <si>
    <t>Ya se está trabajando para agregar el compo faltante</t>
  </si>
  <si>
    <t>Exposición de la tabla de Merchant - Mart Merchant Enrich
* Datos de contacto
* Datos de adquisición - Sales Source, Sales Agent Email, Fecha de VInculación
* Dato de los hitos - 1TX, 1TX por Producto, 1TX por Modelo</t>
  </si>
  <si>
    <t>N/A</t>
  </si>
  <si>
    <t>luz.guzman@bold.co</t>
  </si>
  <si>
    <t>tarjeta debito</t>
  </si>
  <si>
    <t>Nombre Tabla</t>
  </si>
  <si>
    <t xml:space="preserve"> Pagos.mp4</t>
  </si>
  <si>
    <t>crédito</t>
  </si>
  <si>
    <t>Nombre Esquema</t>
  </si>
  <si>
    <t>El plan bundle de algunos comercios no coincide con el que registra en backoffice o en la daily by transaction 
Revisamos en el mart de la merchant enrich y el plan name full sale como otros bancos, mientras que en la daily by transaction el plan name es Bold d+1 (según backoffice este es el plan actual)
Para complementar este hallazgo: antes de la entrega del mart nosotros ya teníamos anclada la info del plan de la tabla bold gold pricing core.fact historical pricing cs pero encontramos esa misma novedad, que en esa tabla clientes que tienen plan cuenta Bold sea d+0 o d+1 están saliendo como otros bancos, a diferencia de lo que refleja la la daily by tranaction y la  Fact Historical Pricing (sabemos que esta es obsoleta, pero aquí el plan si sale bien) 
Nosotros tenemos ya un caso escalado por este tema, pero no nos han dado respuesta, dejo aquí el link https://serviciosfintech.slack.com/archives/C063PL80B0C/p1771881540417249
y dejo también aquí los merchant para los que identificamos la novedad
BNJXO7530Z
VUNMRWVJJU
6E7R9Z4MJO
QZSQVWRZA2</t>
  </si>
  <si>
    <t>tarjeta crédito</t>
  </si>
  <si>
    <t>ETA - Entrega</t>
  </si>
  <si>
    <t>Revisar con base en la transaction</t>
  </si>
  <si>
    <t>Client</t>
  </si>
  <si>
    <t>Descripción</t>
  </si>
  <si>
    <t>melissa.correa@bold.co</t>
  </si>
  <si>
    <t>Link Documentación (Se demora unos 45 segundos en cargar las documentaciones)</t>
  </si>
  <si>
    <t>Llave natual y principal</t>
  </si>
  <si>
    <t>Tengo un par de casos donde la información esta incompleta:
No registra:
- cliente id
- document number merchant
- document type merchant
- merchant name
- legal email
- cellphone number
- category  name
- address
- city
- client type
Ejemplos merchant id:
EVYRWEBME1
CICB7TQL4O
VRD20QWDD1
VLKN0VIBUB
FZJSPPKCUG
RRJZNP3YDW
GBN5JVG365</t>
  </si>
  <si>
    <t>Llaves complementarias</t>
  </si>
  <si>
    <t>with general merchant id as (
select
        merchant id
        , client id
        , id document document number
        , id document document type
        , name
        , contact info email
        , contact info phone number number
        , economic activity category id
        , address street
        , address city code
        , person type
from bold gold payments.dim payments merchant
where merchant id in (
        'EVYRWEBME1','CICB7TQL4O','VRD20QWDD1',
        'VLKN0VIBUB','FZJSPPKCUG','RRJZNP3YDW',
        'GBN5JVG365')
)
select 
        *
from general merchant id</t>
  </si>
  <si>
    <t>https://serviciosfintech.slack.com/archives/C0470H4HV6Z/p1773096512370659</t>
  </si>
  <si>
    <t>Llave por granuralidad temporal</t>
  </si>
  <si>
    <t>mart tpv daily by transaction</t>
  </si>
  <si>
    <t>Llave descriptivas</t>
  </si>
  <si>
    <t>bold gold finance</t>
  </si>
  <si>
    <t>Entregado</t>
  </si>
  <si>
    <t>Esta tabla muestra la información transaccional de Bold a nivel de transacción por merchant. La tabla contiene atributos descriptivos de las transacciones tanto a nivel general de la transacción, como su canal de procesamiento, su metodo de pago, o su origen (nacional o internacional), así como por atributos precalculados como la edad medida en M bajo la cual desarrolla dicha transacción con base en los prinicipales hitos transaccionales del merchant id. Esta tabla, sin filtro, consolida la información transaccional que tambien es usada de forma directa en los reportes generales como el Monthly Business Review y el Weekly Business Review, por tanto, es la fuente de verdad para la extracción de datos transaccionales con respecto a la vertical de payments de cada a negocio.</t>
  </si>
  <si>
    <t>0:10</t>
  </si>
  <si>
    <r>
      <rPr>
        <rFont val="Montserrat"/>
        <color rgb="FF1155CC"/>
        <u/>
      </rPr>
      <t xml:space="preserve">https://dev-portal.bold.co/lakehouse/index.html#!/model/model.lakehouse athena.mart tpv daily by transaction </t>
    </r>
    <r>
      <rPr>
        <rFont val="Montserrat"/>
        <color rgb="FF434343"/>
        <u/>
      </rPr>
      <t xml:space="preserve">
hora finalizacion:  6AM</t>
    </r>
  </si>
  <si>
    <t>Payments</t>
  </si>
  <si>
    <t xml:space="preserve">Falta la columna del nombre y apellido del representante legal </t>
  </si>
  <si>
    <t>Exposición de la tabla de pagos - Mart TPV Daily by Transaction
* Atributos propios de la transacción (TPV, MDR, Processing Cost, Net Revenues, Canal transaccional, Modelo, etc)
* Atributos precalculados de la edad en M de las transacción (M de primera transaccion, M vinculación)</t>
  </si>
  <si>
    <t>Puedo seguir avanzando con mi trabajo y este elemento aun no con configura un bloqueo</t>
  </si>
  <si>
    <t>No estaba en el request inicial de la merchant, sino de la client</t>
  </si>
  <si>
    <t>2:12</t>
  </si>
  <si>
    <t>Pregunta de negocio que quiero aprender a responder</t>
  </si>
  <si>
    <t>Caso de Uso - tabla de Merchant : A nivel merchant, como identifcamos el canal de adquisición y sus atributos de vinculación y activación (status y fechas hito)</t>
  </si>
  <si>
    <t xml:space="preserve">Las columnas referentes a TPV (tpv total m0, tpv total m1, tpv total m2, tpv total last month, tpv historic, tpv last quarter) no se si son el TPV respecto a 1tx o vinculación? 
</t>
  </si>
  <si>
    <t>No es urgente. No representa un bloqueo en la actividad de mi día a día</t>
  </si>
  <si>
    <t>Revisar documentación</t>
  </si>
  <si>
    <t>https://dev.bold.co/lakehouse/index.html#!/model/model.lakehouse athena.mart tpv daily by transaction</t>
  </si>
  <si>
    <t>5:02</t>
  </si>
  <si>
    <t>Caso de Uso - tabla de Merchant : ¿Cómo podemos saber la cantidad de comercios por canal y cohorte (1TX y VInculación)?</t>
  </si>
  <si>
    <t>-- Por cohorte de vinculación
select 
        sales source
        , date trunc('month', kyc verification status date) as cohorte vinculacion
        , count(distinct(merchant id)) as comercios vinculados
from bold gold growth.mart merchant enrich
group by 1, 2
-- Por cohorte de 1ra transacción
select 
        sales source
        , date trunc('month',  1st transaction approved date) as cohorte vinculacion
        , count(distinct(merchant id)) as comercios vinculados
from bold gold growth.mart merchant enrich
group by 1, 2</t>
  </si>
  <si>
    <t>mart merchant enrich</t>
  </si>
  <si>
    <t>bold gold growth</t>
  </si>
  <si>
    <t>6:54</t>
  </si>
  <si>
    <t>Tengo este merchant donde la información del correo electrónico esta diferente vs esta tabla:
ELMW32OU3J
Correo de la tabla: floriteriaisa@gmail.com
Correo BO: flores16isa@gmail.com</t>
  </si>
  <si>
    <t xml:space="preserve">En esta tabla se muestra la información a nivel dimensional del merchant id desde su capa descriptiva con atributos autodeclarados y atributos de campos precalculados, así mismo relaciona el merchant id con el master merchant id. Esta tabla permite identificar identifcar los principales hitos del merchant id a nivel transaccional (primera y ultimas transacciones), así como información relativa a su estatus y demás caracteristica recopiladas en el momento del onboarding. </t>
  </si>
  <si>
    <r>
      <rPr>
        <rFont val="Montserrat"/>
        <color rgb="FF1155CC"/>
        <u/>
      </rPr>
      <t xml:space="preserve">https://dev-portal.bold.co/lakehouse/index.html#!/model/model.lakehouse athena.mart merchant enrich
</t>
    </r>
    <r>
      <rPr>
        <rFont val="Montserrat"/>
      </rPr>
      <t>hora finalizacion:  6AM</t>
    </r>
  </si>
  <si>
    <t>Caso de Uso - tabla de pagos : ¿Cuál es el TPV, Net Revenues y transacciones procesado por un comercio en una fecha determinada? -&gt; Merchant id | Mes | TPV | Transacciones | Net Revenues
* Consulta con todos los merchants
* Filtro por un merchant especifico</t>
  </si>
  <si>
    <t>Es el último correo reportado por el merchant, no es el correo del onboarding si no el correo que registra como mail de contacto</t>
  </si>
  <si>
    <t>select 
        merchant id
        , date trunc('month', creation datetime) as mes
        , sum(tpv) as tpv
        , count(distinct(transaction id)) as transacciones
        , sum(net revenues) as net revenues
from bold gold finance.mart tpv daily by transaction
where 
        date trunc('day',creation datetime) between (date '2025-01-01') and (date '2025-12-31')
        -- and merchant id in ('')
group by 1, 2</t>
  </si>
  <si>
    <t>8:26</t>
  </si>
  <si>
    <t>Hay comercios para los cuales el campo plan name no está discriminando si es D+0, D+, otros bancos o legacy, sino que salen como "QR BOLD" 
Ejemplos:
VNWFA59HYZ
X1ESYN8GN3
W7604BT9RU
VDJQZWIJ1J
RX8LVRMP2O
3H5LE3U27U
O40JKTNTLD</t>
  </si>
  <si>
    <t xml:space="preserve"> mart client product portafolio</t>
  </si>
  <si>
    <t xml:space="preserve">Caso de Uso - tabla de pagos : ¿Cuál es el TPV, Net Revenues y transacciones procesado por un comercio en una fecha determinada con base en su M de vinculación / 1TX? -&gt; Merchant id | Mes | M Vinculación / 1TX | TPV | Transacciones | Net Revenues
* Consulta con todos los merchants
* Por un M especifico
* Filtro por un merchant especifico
</t>
  </si>
  <si>
    <t>bold gold customer 360</t>
  </si>
  <si>
    <t xml:space="preserve">-- Vinculación
select 
        merchant id
        , date trunc('month', creation datetime) as mes
        , m since kyc merchant
        , sum(tpv) as tpv
        , count(distinct(transaction id)) as transacciones
        , sum(net revenues) as net revenues
from bold gold finance.mart tpv daily by transaction
where 
        date trunc('day',creation datetime) between (date '2025-01-01') and (date '2025-12-31')
        and m since kyc merchant = 0
        -- and merchant id in ('')
group by 1, 2, 3
-- 1ra TX
select 
        merchant id
        , date trunc('month', creation datetime) as mes
        , m since 1st merchant
        , sum(tpv) as tpv
        , count(distinct(transaction id)) as transacciones
        , sum(net revenues) as net revenues
from bold gold finance.mart tpv daily by transaction
where 
        date trunc('day',creation datetime) between (date '2025-01-01') and (date '2025-12-31')
        and m since 1st merchant = 0
        -- and merchant id in ('')
group by 1, 2, 3
</t>
  </si>
  <si>
    <t>Este mart presenta la relación del client con los productos y subproductos de Bold de nivel de la vertical de Payment y Banking desarrollando el detalle por los merchants y las cuentas de depositos que pueden estár asociadas a cada claient id, así como tambien, derassollando esta relación a los subproductos correspondientes, según sea el caso. Está como tal se presenta como una tabla de referencia para conocer cual ha sido la profundiad que el client ha logrado alcanzar en el portafolio de Bold, mas no se recomienda su uso en cruce de información transaccional en la medida qeu su estructura es altamente propensa a generar duplicidad en las agregaciones con otras tablas</t>
  </si>
  <si>
    <t>10:38</t>
  </si>
  <si>
    <t>https://dev-portal.bold.co/lakehouse/index.html#!/model/model.lakehouse athena.mart client product portafolio</t>
  </si>
  <si>
    <t>Payments y Merchant</t>
  </si>
  <si>
    <r>
      <rPr>
        <rFont val="Montserrat"/>
        <color theme="1"/>
      </rPr>
      <t xml:space="preserve">Caso de Uso - tabla de pagos y tabla de </t>
    </r>
    <r>
      <rPr>
        <rFont val="Montserrat"/>
        <b/>
        <color theme="1"/>
      </rPr>
      <t>merchant</t>
    </r>
    <r>
      <rPr>
        <rFont val="Montserrat"/>
        <color theme="1"/>
      </rPr>
      <t xml:space="preserve"> : ¿Cómo se puede construir la matriz inversionista de </t>
    </r>
    <r>
      <rPr>
        <rFont val="Montserrat"/>
        <b/>
        <color theme="1"/>
      </rPr>
      <t>merchant id</t>
    </r>
    <r>
      <rPr>
        <rFont val="Montserrat"/>
        <color theme="1"/>
      </rPr>
      <t>? 
Cohorte de 1TX o Vinculación | Mes transaccional | M (1TX o Vinculación) [Opcional] | Metrica de analisis [TPV|Net Revenues|Transacciones|Comercios Activos]</t>
    </r>
  </si>
  <si>
    <t>mart deposit daily snapshot</t>
  </si>
  <si>
    <t>Se presentaron diferencias en las cohortes cerradas de 2026 entre los reportes de matriz financiera y growth digital daily, cuyos valores no eran los mismos de los reportes Monthly Business Review y WEEKLY BUSINESS REVIEW
Adicional la matriz financiera mostró valores diferentes entre los días lunes 09 al miércoles 11 de marzo para esas mismas cohortes; durante estos días al consultar los valores de TPV disminuyeron drásticamente 
Ejemplo:
Para el canal de Hubs 
M0 febrero disminuyó 1.460 millones del lunes a miércoles</t>
  </si>
  <si>
    <t>-- VInculacion
select 
        date trunc('month', creation datetime) as mes
        , date trunc('month', kyc verification status date) as cohorte
        , m since kyc merchant
        , count(distinct(t.merchant id)) as comercios activos
        , sum(tpv) as tpv
        , count(distinct(transaction id)) as transacciones
        , sum(net revenues) as net revenues
from bold gold finance.mart tpv daily by transaction t
inner join bold gold growth.mart merchant enrich m
        on t.merchant id = m.merchant id
group by 1, 2, 3
-- 1TX
select 
        date trunc('month', creation datetime) as mes
        , date trunc('month',  1st transaction approved date) as cohorte
        , m since 1st merchant
        , count(distinct(t.merchant id)) as comercios activos
        , sum(tpv) as tpv
        , count(distinct(transaction id)) as transacciones
        , sum(net revenues) as net revenues
from bold gold finance.mart tpv daily by transaction t
inner join bold gold growth.mart merchant enrich m
        on t.merchant id = m.merchant id
group by 1, 2, 3</t>
  </si>
  <si>
    <t>bold gold deposit</t>
  </si>
  <si>
    <t xml:space="preserve">Esto se debe a que matriz esta en proceso de migración - el día 12 se realizo la migración correspondientes a merchant y master merchant, motivo por el cual ya las metricas cierran </t>
  </si>
  <si>
    <t>13:04</t>
  </si>
  <si>
    <t>Esta tabla presenta información del producto de depositos (cuenta bold) a lo largo de todo su tiempo de vida bajo una agrupación diaria desde el momento de la creacion del producto hasta su cierre, por tanto su granuralidad se presenta nivel deposit key - día. Presenta la información de los balances dia a día, así como un resumen del total diario de los cashin/cashout procesados cada día que afectan el balance del producto de depósitos. La tabla tambien relaciona como referencia dentro de sus columnas los momento en los que se desarrolla la primera transaccion de los principales canales transaccionales de la cuenta deposito, así como algunos atributos que pueden ir cambiando en el tiempo con base en la configuración del usuario como lo es el tipo de cuenta (bajo monto u ordinaria), si es o no una cuenta pro y si cuenta o no con la exepción del GMF (4x1000)</t>
  </si>
  <si>
    <r>
      <rPr>
        <rFont val="Montserrat"/>
        <color rgb="FF1155CC"/>
        <u/>
      </rPr>
      <t xml:space="preserve">https://dev-portal.bold.co/lakehouse/index.html#!/model/model.lakehouse athena.mart deposit daily snapshot
</t>
    </r>
    <r>
      <rPr>
        <rFont val="Montserrat"/>
      </rPr>
      <t>hora finalizacion:  6AM</t>
    </r>
  </si>
  <si>
    <t>Depositos</t>
  </si>
  <si>
    <t>Tengo una duda respecto a la información de la columna payment type hice un query para entender que tpv se va por cada payment type y hay $456millones y sale vacío eso es normal:
select payment type,
sum(tpv) as tpv
from bold gold finance.mart tpv daily by transaction
group by 1</t>
  </si>
  <si>
    <t>Exposición de la tabla de Depositos - Mart Deposit Daily SnapShot
* Balance
* Cash Ins / Cash Out
* Atributos del producto</t>
  </si>
  <si>
    <t>mart cdt daily snapshot</t>
  </si>
  <si>
    <t>bold gold cdt</t>
  </si>
  <si>
    <t>Lo revisamos, hace parte de la caliddad del dato. Cómo parte de tranquilidad, la ultima fecha en la cual se registro este tema fue el 26 de abril del 2023.</t>
  </si>
  <si>
    <t>Marts banking V2.mp4</t>
  </si>
  <si>
    <t>Esta tabla presenta información del producto de cdt a lo largo de todo su tiempo de vida bajo una agrupación diaria desde el momento de la creacion del producto hasta su cierre, por tanto su granuralidad se presenta nivel cdt key - día. Presenta la información de los balances dia a día, así como un resumen del total diario de los intereses capitalizados a lo largo del tiempo de vida del CDT. La tabla tambien relaciona como referencia dentro de sus columnas llas condiciones diarias bajo las cuales se liquidan los intereses así como los principales movimientos transaccionales que se desarrollan a nivel de día</t>
  </si>
  <si>
    <r>
      <rPr>
        <rFont val="Montserrat"/>
        <color rgb="FF1155CC"/>
        <u/>
      </rPr>
      <t xml:space="preserve">https://dev-portal.bold.co/lakehouse/index.html#!/model/model.lakehouse athena.mart cdt daily snapshot
</t>
    </r>
    <r>
      <rPr>
        <rFont val="Montserrat"/>
        <color rgb="FF434343"/>
        <u/>
      </rPr>
      <t>hora finalizacion:  6AM</t>
    </r>
  </si>
  <si>
    <t>mart pockets daily snapshot</t>
  </si>
  <si>
    <t>0:12</t>
  </si>
  <si>
    <t>Esta tabla presenta información del producto de bolsillos a lo largo de todo su tiempo de vida bajo una agrupación diaria desde el momento de la creacion del producto hasta su cierre, por tanto su granuralidad se presenta nivel pocket key - día. Presenta la información de los balances dia a día, así como un resumen del total diario de los cashin/cashout procesados cada día que afectan el balance del producto de bolsillos. La tabla tambien relaciona como referencia dentro de sus columnas llas condiciones diarias bajo las cuales se liquidan los intereses así como los principales movimientos transaccionales que se desarrollan a nivel de día</t>
  </si>
  <si>
    <t>¿Cómo podemos ver el balance de la cuenta de depósitos de un client, así como los movimientos ejecutados ese día?</t>
  </si>
  <si>
    <r>
      <rPr>
        <rFont val="Montserrat"/>
        <color rgb="FF1155CC"/>
        <u/>
      </rPr>
      <t xml:space="preserve">https://dev-portal.bold.co/lakehouse/index.html#!/model/model.lakehouse athena.mart pockets daily snapshot
</t>
    </r>
    <r>
      <rPr>
        <rFont val="Montserrat"/>
      </rPr>
      <t>hora finalizacion:  6AM</t>
    </r>
  </si>
  <si>
    <t>10:13</t>
  </si>
  <si>
    <t>mart debit card daily snapshot</t>
  </si>
  <si>
    <t>bold gold issuing</t>
  </si>
  <si>
    <t>¿Cómo podemos ver el balance al finalizar el mes, así como la totalidad de los movimientos cash in / cash out?
* ¿Cómo podríamos hacerlo para el fin de una semana?</t>
  </si>
  <si>
    <t>Mes:
select
  date trunc('day', mdds."date") as date,
  sum(mdds."balance") as balance,
  sum(mdds."cash in amount") as cash in amount,
  sum(mdds."cash out amount")  as cash out amount,
  sum(mdds."cash in tx count")  as cash in tx count,
  sum(mdds."cash out tx count")  as cash out tx count
from "bold gold deposit"."mart deposit daily snapshot" as mdds
where mdds."date" between date '2026-02-01' and date '2026-02-28'
  and mdds."flag end month" = true
group by 1
Semana:
select
  date trunc('day', mdds."date") as date,
  sum(mdds."balance") as balance,
  sum(mdds."cash in amount") as cash in amount,
  sum(mdds."cash out amount")  as cash out amount,
  sum(mdds."cash in tx count")  as cash in tx count,
  sum(mdds."cash out tx count")  as cash out tx count
from "bold gold deposit"."mart deposit daily snapshot" as mdds
where mdds."date" between date '2026-02-01' and date '2026-02-28'
  and mdds."flag end week" = true
group by 1
order by 1 asc</t>
  </si>
  <si>
    <t>Esta tabla presenta información del producto de tarjeta de débito a lo largo de todo su tiempo de vida bajo una agrupación díaria desde el momento de la creacion del producto hasta su cierre, por tanto su granuralidad se presenta nivel card key - día. Presenta la información de los movimientos de cuenta ejecutados por medio del canal de tarjeta débito dia a día, esta tabla presenta un detalle a nivel diario donde se realiza un resumen a nivel columnar de los principales canales transaccionales que que son naturales al producto de tarjeta débito.</t>
  </si>
  <si>
    <t>Pocket</t>
  </si>
  <si>
    <t>Exposición de la tabla de Pocket - Mart Pocket Daily SnapShot
* Balance
* Cash Ins / Cash Out
* Rendimientos
* Atributos del producto</t>
  </si>
  <si>
    <t>https://dev-portal.bold.co/lakehouse/index.html#!/model/model.lakehouse athena.mart debit card daily snapshot</t>
  </si>
  <si>
    <t>3:50</t>
  </si>
  <si>
    <t xml:space="preserve">¿Cómo podemos ver el balance y los moviemientos cash in / cash out de los bolsillos de un client id en una fecha determianda? </t>
  </si>
  <si>
    <t>mart loan daily snapshot</t>
  </si>
  <si>
    <t>16:20</t>
  </si>
  <si>
    <t>bold gold loan cf</t>
  </si>
  <si>
    <t>Esta tabla presenta información del producto de crédito a lo largo de todo su tiempo de vida bajo una agrupación diaria desde el momento de la creacion del producto hasta su cierre, por tanto su granuralidad se presenta nivel loan key - día. Presenta la información de la linea de crédito dia a día, así como un resumen del total diario de los componentes proprios que configuran el estado del producto de crédito. La tabla tambien relaciona como referencia dentro de sus columnas llas condiciones diarias bajo las cuales se liquidan los intereses así como los principales movimientos transaccionales que se desarrollan a nivel de día, así mismo, tiene en cuenta atributos propios cada prdocuto de crédito como la campaña a la que pertenece, su fecha de oferta, fecha de desembolso, la cantidad de ofertas realizadas.</t>
  </si>
  <si>
    <t>https://dev-portal.bold.co/lakehouse/index.html#!/model/model.lakehouse athena.mart loan daily snapshot</t>
  </si>
  <si>
    <t xml:space="preserve">¿Cómo podemos ver el balance y los moviemientos cash in / cash out de los bolsillos de un client id al finalizar el mes? </t>
  </si>
  <si>
    <t>mart credit card daily snapshot</t>
  </si>
  <si>
    <t>bold gold credit card</t>
  </si>
  <si>
    <t>Esta tabla presenta información del producto de tarjeta de crédito a lo largo de todo su tiempo de vida bajo una agrupación díaria desde el momento de la creacion del producto hasta su cierre, por tanto su granuralidad se presenta nivel card key - día. Presenta la información de los movimientos de cuenta ejecutados por medio del canal de tarjeta débito dia a día, así mismo, esta tabla presenta las condiciones diarias de la linea de crédito asi como las condiciones de generales de las compras desarrolladas por medio de este producto.</t>
  </si>
  <si>
    <t>https://dev-portal.bold.co/lakehouse/index.html#!/model/model.lakehouse athena.mart credit card daily snapshot</t>
  </si>
  <si>
    <t>¿Cómo podemos ver el total de los rendimeintos pagados entre unas fechas dadas para un client id?</t>
  </si>
  <si>
    <t>mart client enrich</t>
  </si>
  <si>
    <t>19:12</t>
  </si>
  <si>
    <t>CDT</t>
  </si>
  <si>
    <t xml:space="preserve">En esta tabla se muestra la información a nivel dimensional del client id desde su capa descriptiva con atributos autodeclarados y atributos de campos precalculados. Esta tabla permite identificar identifcar los principales hitos del merchant id a nivel transaccional dentro de la vertical de banking (primera transacciones en los productos), así como información relativa a su estatus y demás caracteristica recopiladas en el momento del onboarding. </t>
  </si>
  <si>
    <t>Exposición de la tabla de Pocket - Mart CDT Daily SnapShot
* Balance
* Cash Ins / Cash Out
* Rendimientos
* Atributos del producto</t>
  </si>
  <si>
    <t>https://dev-portal.bold.co/lakehouse/index.html#!/model/model.lakehouse athena.mart client enrich</t>
  </si>
  <si>
    <t>Dim – Terminales</t>
  </si>
  <si>
    <t>6:59</t>
  </si>
  <si>
    <t>mart_temrinal_enrich</t>
  </si>
  <si>
    <t>bold_gold_terminals</t>
  </si>
  <si>
    <t>¿Cómo podemos el monto, la fecha de apertura y cierre de un CDT?</t>
  </si>
  <si>
    <t xml:space="preserve">Esta tabla presenta una vista general de las terminales registradas en Bold - por Bold en su inventario. Se presenta como una visual para consolidar sus datos principales tales como: fecha de compra (si aplica), primera fecha de vinculación, primera fecha de transacción, comercio que la vincula por primera vez, comercio que la vincula por última vez, fecha de la última vinculación, entre otros campos. Así como información de TPV precalculada para los meses de activación (1TX de la terminal) 0 a 2.
</t>
  </si>
  <si>
    <t>https://dev-portal.bold.co/lakehouse/index.html#!/model/model.lakehouse_athena.mart_terminal_enrich</t>
  </si>
  <si>
    <t>20:34</t>
  </si>
  <si>
    <t>¿Cómo podemos observar el monto por el cual se creo el CDT y los rendimientos que el producto pagará al momento de su finalización?</t>
  </si>
  <si>
    <t>21:42</t>
  </si>
  <si>
    <t>¿Cómo podemos observar el monto de los rendimeintos capitalizados en un CDT en una fecha determinada?</t>
  </si>
  <si>
    <t>26:02</t>
  </si>
  <si>
    <t>Tarjeta Debito</t>
  </si>
  <si>
    <t>Exposición de la tabla - Mart Debit Card Daily SnapShot
* Fechas de estados
* Agrupación transacciones
* Flags</t>
  </si>
  <si>
    <t xml:space="preserve"> Marts TD &amp; TDC V2.mp4</t>
  </si>
  <si>
    <t>Para alguna tarjeta que no haya procesado. Al día de ayer cual era su status</t>
  </si>
  <si>
    <t>Para una tarjeta dada, revisemos el total de TPV y TX de la terjeta: total, nacional, virtual y con TX superires a 10k</t>
  </si>
  <si>
    <t>select
  mdcds."card key",
  sum(mdcds."total daily transactions") as "total trxs",
  sum(mdcds."total daily amount") as "total monto",
  sum(mdcds."total daily transactions national") as "national trxs",
  sum(mdcds."total daily amount national") as "national monto",
  sum(mdcds."total daily transactions virtual") as "virtual trxs",
  sum(mdcds."total daily amount virtual") as "virtual monto"
from "bold gold issuing"."mart debit card daily snapshot" as mdcds
where mdcds."card key" = '000958fdaefe0dd06f5d7c4e4a5f28d1'
  and mdcds."total daily amount" &gt;= 10000
  and mdcds."total daily amount national" &gt;= 10000
  and mdcds."total daily amount virtual" &gt;= 10000
group by 1</t>
  </si>
  <si>
    <t>Revisar los casos de comercios que han bloqueado la tarjeta. Revisar caso especifico (¿Qué pasa con las tarjetas bloqueadas?)</t>
  </si>
  <si>
    <t>Tarjeta Crédito</t>
  </si>
  <si>
    <t>Exposición de la tabla - Mart Credit Card Daily SnapShot
* Atributos principales de la tabla
* Agrupación transacciones
* Flags</t>
  </si>
  <si>
    <t>¿Cúando el merchant id usó por primera vez la tarjeta?</t>
  </si>
  <si>
    <t>¿Cuál es el balance de las tarjeta al corte de ayer?</t>
  </si>
  <si>
    <t>select
  mccds."credit card id",
  mccds."total balance to date"
from "bold gold credit card"."mart credit card daily snapshot" as mccds
where mccds."date" = date trunc('day', date add('day', -1, current date))</t>
  </si>
  <si>
    <t>¿Cuanto suma el tpv y transacciones procesado por las tarjetas mes a mes?</t>
  </si>
  <si>
    <t>select
  date trunc('month', mccds."date") as "mes",
  sum(mccds."total daily amount") as "TPV",
  sum(mccds."total daily transactions") as "TRXS"
from "bold gold credit card"."mart credit card daily snapshot" as mccds
group by 1
order by 1 desc</t>
  </si>
  <si>
    <t>¿Qué tipo de observaciones debemos tener en cuenta a la hora manipular esta tabla? - Debido al naturaleza de la tarjeta fisica y virtual</t>
  </si>
  <si>
    <t>Crédito</t>
  </si>
  <si>
    <t>Exposición de la tabla - Mart Loan Daily SnapShot
* Atributos principales de la tabla
* Agrupación transacciones</t>
  </si>
  <si>
    <t>Mart Loan.mp4</t>
  </si>
  <si>
    <t>0:00</t>
  </si>
  <si>
    <t>Revisar el último status de un crédito (caso de un crédito ofrecido, desembosado y con % utilización)</t>
  </si>
  <si>
    <t>select
*
from "bold_gold_loan_cf"."mart_loan_daily_snapshot" as mlds
where mlds."loan_key" = '38406bbdd4e5970574d650a5dd3f93e5'
  and mlds."date" = date_trunc('day', date_add('day', -1, now()))</t>
  </si>
  <si>
    <t>3:28</t>
  </si>
  <si>
    <t>¿Cómo podemos saber cuantos crédito han sido desembolados mes a mes?
* Conteo de Merchants y Conteo de Clients</t>
  </si>
  <si>
    <t>select
  date_trunc('month', mlds."disbursement_request_date") as "disbursement_request_date",
  count(distinct mlds."client_id") as "clients",
  count(distinct mlds."merchant_id") as "merchants"
from "bold_gold_loan_cf"."mart_loan_daily_snapshot" as mlds
group by 1
order by 1 desc</t>
  </si>
  <si>
    <t>5:09</t>
  </si>
  <si>
    <t>¿Cómo podemos estimar la cartera desembolsada cada mes?</t>
  </si>
  <si>
    <t>select
  date_trunc('month', mlds."date") as "mes",
  sum(mlds."disbursement_amount") as "desembolsos"
from "bold_gold_loan_cf"."mart_loan_daily_snapshot" as mlds
where mlds."date" = cast(mlds."disbursement_request_date" as date)
group by 1
order by 1 desc</t>
  </si>
  <si>
    <t>6:16</t>
  </si>
  <si>
    <t>Product Portafolio</t>
  </si>
  <si>
    <t>Exposición de la tabla - mart client product portafolio
* Estructura de la tabla
* Buenas practicas en el uso de la tabla
* Riesgos!! en el uso de la tabla</t>
  </si>
  <si>
    <t>Mart client portafolio.mp4</t>
  </si>
  <si>
    <t>Exposición de la tabla - Mart Client Enrich
* Atributos del client
* Campos precalculados del Client
* Observaciones particulares de la tabla</t>
  </si>
  <si>
    <t>Mart client enrich.mp4</t>
  </si>
  <si>
    <t>Cómo tener un vista general del Client _ID -&gt; Caso especifico</t>
  </si>
  <si>
    <t>SELECT
*
FROM
  "bold_gold_customer_360"."mart_client_enrich"
WHERE
  "bold_gold_customer_360"."mart_client_enrich"."client_id" = 'QUOAF601SR'</t>
  </si>
  <si>
    <t>2:47</t>
  </si>
  <si>
    <t>Aleternativa para la generación de una matriz inversionista a nivel client
* 1TX client para Payments
* Vinculación de Payments
* Vinculación General</t>
  </si>
  <si>
    <t>select
  date_trunc('month', mce."kyc_verification_status_date_general") as "cohort",
  date_diff(
    'month', 
    date_trunc('month', mce."kyc_verification_status_date_general"), 
    date_trunc('month', mtdbt."creation_datetime")
  ) as "M",
  sum(mtdbt."tpv") as "TPV"
from "bold_gold_finance"."mart_tpv_daily_by_transaction" as mtdbt
left join "bold_gold_customer_360"."mart_client_enrich" as mce
  on mtdbt."client_id" = mce."client_id"
group by 1, 2
order by 1 asc, 2 asc
-- Para vinculación de payments y 1st trx solo se reemplaza la fecha que se vaya a tomar como cohorte</t>
  </si>
  <si>
    <t>4:38</t>
  </si>
  <si>
    <t>Terminals</t>
  </si>
  <si>
    <t>Exposición de la tabla - Mart Terminal Enrich
* Atributos del terminal
* Campos precalculados del terminal
* Observaciones particulares de la tabla</t>
  </si>
  <si>
    <t>Mart terminals</t>
  </si>
  <si>
    <t>¿Cuantas terminales han sido vendidas mes a mes, con base en los datos del ecommerce y de Epic?
* ¿Cómo puedo discriminar por modelo de terminal?
* ¿Cómo puedo discriminar por canal de venta?</t>
  </si>
  <si>
    <t>¿Cuales terminales han pasado por proceso de traslado o realocación? –&gt; Han cambiado de ejecutivo</t>
  </si>
  <si>
    <t>¿Cuanto tiempo paso desde la compra de la terminal y la fecha en la que desarrolla la 1ra transacción? 
* Pude aplicar a su terminal match – momento en el que la seríal es vinculada por primera vez por un comercio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</si>
</sst>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 mmm yyyy h:mm:ss"/>
  </numFmts>
  <fonts count="26">
    <font>
      <sz val="10.0"/>
      <color rgb="FF000000"/>
      <name val="Arial"/>
      <scheme val="minor"/>
    </font>
    <font>
      <b/>
      <color theme="1"/>
      <name val="Arial"/>
      <scheme val="minor"/>
    </font>
    <font>
      <b/>
      <color rgb="FFF3F3F3"/>
      <name val="Montserrat"/>
    </font>
    <font/>
    <font>
      <color theme="1"/>
      <name val="Montserrat"/>
    </font>
    <font>
      <sz val="7.0"/>
      <color rgb="FFF3F3F3"/>
      <name val="Montserrat"/>
    </font>
    <font>
      <color theme="1"/>
      <name val="Arial"/>
      <scheme val="minor"/>
    </font>
    <font>
      <b/>
      <color theme="1"/>
      <name val="Montserrat"/>
    </font>
    <font>
      <b/>
      <sz val="13.0"/>
      <color rgb="FFEE424E"/>
      <name val="Montserrat"/>
    </font>
    <font>
      <color rgb="FFF3F3F3"/>
      <name val="Montserrat"/>
    </font>
    <font>
      <b/>
      <sz val="13.0"/>
      <color rgb="FF121E6C"/>
      <name val="Montserrat"/>
    </font>
    <font>
      <color rgb="FF121E6C"/>
      <name val="Montserrat"/>
    </font>
    <font>
      <u/>
      <color rgb="FF121E6C"/>
      <name val="Montserrat"/>
    </font>
    <font>
      <color rgb="FF5B3F86"/>
      <name val="Montserrat"/>
    </font>
    <font>
      <color theme="1"/>
      <name val="Courier New"/>
    </font>
    <font>
      <b/>
      <sz val="13.0"/>
      <color theme="1"/>
      <name val="Montserrat"/>
    </font>
    <font>
      <b/>
      <u/>
      <color theme="1"/>
      <name val="Montserrat"/>
    </font>
    <font>
      <u/>
      <color rgb="FF0000FF"/>
    </font>
    <font>
      <u/>
      <color rgb="FF434343"/>
      <name val="Montserrat"/>
    </font>
    <font>
      <u/>
      <color rgb="FF0000FF"/>
    </font>
    <font>
      <u/>
      <color rgb="FF0000FF"/>
      <name val="Montserrat"/>
    </font>
    <font>
      <b/>
      <u/>
      <sz val="13.0"/>
      <color theme="1"/>
      <name val="Montserrat"/>
    </font>
    <font>
      <u/>
      <color rgb="FF0000FF"/>
      <name val="Montserrat"/>
    </font>
    <font>
      <b/>
      <u/>
      <color theme="1"/>
      <name val="Montserrat"/>
    </font>
    <font>
      <sz val="8.0"/>
      <color theme="1"/>
      <name val="Arial"/>
      <scheme val="minor"/>
    </font>
    <font>
      <b/>
      <u/>
      <sz val="13.0"/>
      <color theme="1"/>
      <name val="Montserrat"/>
    </font>
  </fonts>
  <fills count="10">
    <fill>
      <patternFill patternType="none"/>
    </fill>
    <fill>
      <patternFill patternType="lightGray"/>
    </fill>
    <fill>
      <patternFill patternType="solid">
        <fgColor rgb="FFEE424E"/>
        <bgColor rgb="FFEE424E"/>
      </patternFill>
    </fill>
    <fill>
      <patternFill patternType="solid">
        <fgColor rgb="FF5B3F86"/>
        <bgColor rgb="FF5B3F86"/>
      </patternFill>
    </fill>
    <fill>
      <patternFill patternType="solid">
        <fgColor rgb="FFFF0000"/>
        <bgColor rgb="FFFF0000"/>
      </patternFill>
    </fill>
    <fill>
      <patternFill patternType="solid">
        <fgColor rgb="FFB4A7D6"/>
        <bgColor rgb="FFB4A7D6"/>
      </patternFill>
    </fill>
    <fill>
      <patternFill patternType="solid">
        <fgColor rgb="FFC9DAF8"/>
        <bgColor rgb="FFC9DAF8"/>
      </patternFill>
    </fill>
    <fill>
      <patternFill patternType="solid">
        <fgColor rgb="FFB6D7A8"/>
        <bgColor rgb="FFB6D7A8"/>
      </patternFill>
    </fill>
    <fill>
      <patternFill patternType="solid">
        <fgColor rgb="FFF4CCCC"/>
        <bgColor rgb="FFF4CCCC"/>
      </patternFill>
    </fill>
    <fill>
      <patternFill patternType="solid">
        <fgColor rgb="FFF1F9FF"/>
        <bgColor rgb="FFF1F9FF"/>
      </patternFill>
    </fill>
  </fills>
  <borders count="13">
    <border/>
    <border>
      <left style="hair">
        <color rgb="FF000000"/>
      </left>
      <right style="hair">
        <color rgb="FF000000"/>
      </righ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vertical="center"/>
    </xf>
    <xf borderId="2" fillId="2" fontId="2" numFmtId="0" xfId="0" applyAlignment="1" applyBorder="1" applyFill="1" applyFont="1">
      <alignment horizontal="center" readingOrder="0"/>
    </xf>
    <xf borderId="3" fillId="0" fontId="3" numFmtId="0" xfId="0" applyBorder="1" applyFont="1"/>
    <xf borderId="4" fillId="0" fontId="3" numFmtId="0" xfId="0" applyBorder="1" applyFont="1"/>
    <xf borderId="5" fillId="0" fontId="3" numFmtId="0" xfId="0" applyBorder="1" applyFont="1"/>
    <xf borderId="0" fillId="0" fontId="4" numFmtId="0" xfId="0" applyFont="1"/>
    <xf borderId="6" fillId="3" fontId="5" numFmtId="0" xfId="0" applyAlignment="1" applyBorder="1" applyFill="1" applyFont="1">
      <alignment horizontal="center" readingOrder="0" vertical="center"/>
    </xf>
    <xf borderId="0" fillId="0" fontId="4" numFmtId="0" xfId="0" applyAlignment="1" applyFont="1">
      <alignment readingOrder="0"/>
    </xf>
    <xf borderId="0" fillId="0" fontId="6"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6" fillId="3" fontId="5" numFmtId="0" xfId="0" applyAlignment="1" applyBorder="1" applyFill="1" applyFont="1">
      <alignment readingOrder="0" vertical="center"/>
    </xf>
    <xf borderId="0" fillId="0" fontId="8" numFmtId="0" xfId="0" applyAlignment="1" applyFont="1">
      <alignment readingOrder="0"/>
    </xf>
    <xf borderId="0" fillId="0" fontId="7" numFmtId="49" xfId="0" applyAlignment="1" applyFont="1" applyNumberFormat="1">
      <alignment horizontal="left" readingOrder="0" shrinkToFit="0" vertical="center" wrapText="0"/>
    </xf>
    <xf borderId="6" fillId="3" fontId="9" numFmtId="0" xfId="0" applyAlignment="1" applyBorder="1" applyFill="1" applyFont="1">
      <alignment readingOrder="0"/>
    </xf>
    <xf borderId="0" fillId="0" fontId="10" numFmtId="0" xfId="0" applyAlignment="1" applyFont="1">
      <alignment readingOrder="0"/>
    </xf>
    <xf borderId="0" fillId="0" fontId="11" numFmtId="0" xfId="0" applyAlignment="1" applyFont="1">
      <alignment readingOrder="0"/>
    </xf>
    <xf borderId="6" fillId="0" fontId="4" numFmtId="0" xfId="0" applyAlignment="1" applyBorder="1" applyFont="1">
      <alignment horizontal="center" readingOrder="0"/>
    </xf>
    <xf borderId="0" fillId="0" fontId="11" numFmtId="0" xfId="0" applyFont="1"/>
    <xf borderId="6" fillId="0" fontId="4" numFmtId="0" xfId="0" applyAlignment="1" applyBorder="1" applyFont="1">
      <alignment horizontal="center"/>
    </xf>
    <xf borderId="0" fillId="0" fontId="6" numFmtId="164"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12" numFmtId="0" xfId="0" applyAlignment="1" applyFont="1">
      <alignment readingOrder="0"/>
    </xf>
    <xf borderId="0" fillId="0" fontId="7" numFmtId="0" xfId="0" applyAlignment="1" applyFont="1">
      <alignment readingOrder="0" shrinkToFit="0" vertical="center" wrapText="0"/>
    </xf>
    <xf borderId="0" fillId="4" fontId="6" numFmtId="0" xfId="0" applyAlignment="1" applyFill="1" applyFont="1">
      <alignment readingOrder="0" vertical="center"/>
    </xf>
    <xf borderId="0" fillId="0" fontId="4" numFmtId="0" xfId="0" applyAlignment="1" applyFont="1">
      <alignment readingOrder="0" shrinkToFit="0" vertical="center" wrapText="1"/>
    </xf>
    <xf borderId="0" fillId="0" fontId="6" numFmtId="0" xfId="0" applyAlignment="1" applyFont="1">
      <alignment readingOrder="0"/>
    </xf>
    <xf borderId="0" fillId="0" fontId="6" numFmtId="164" xfId="0" applyAlignment="1" applyFont="1" applyNumberForma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readingOrder="0" vertical="center"/>
    </xf>
    <xf borderId="0" fillId="0" fontId="7" numFmtId="0" xfId="0" applyAlignment="1" applyFont="1">
      <alignment horizontal="left" readingOrder="0" shrinkToFit="0" vertical="center" wrapText="0"/>
    </xf>
    <xf borderId="7" fillId="0" fontId="13" numFmtId="0" xfId="0" applyAlignment="1" applyBorder="1" applyFont="1">
      <alignment readingOrder="0" shrinkToFit="0" wrapText="1"/>
    </xf>
    <xf borderId="8" fillId="5" fontId="13" numFmtId="0" xfId="0" applyBorder="1" applyFill="1" applyFont="1"/>
    <xf borderId="9" fillId="0" fontId="13" numFmtId="0" xfId="0" applyAlignment="1" applyBorder="1" applyFont="1">
      <alignment readingOrder="0" shrinkToFit="0" wrapText="1"/>
    </xf>
    <xf borderId="0" fillId="0" fontId="14" numFmtId="0" xfId="0" applyAlignment="1" applyFont="1">
      <alignment readingOrder="0" vertical="center"/>
    </xf>
    <xf borderId="10" fillId="6" fontId="13" numFmtId="0" xfId="0" applyBorder="1" applyFill="1" applyFont="1"/>
    <xf borderId="0" fillId="0" fontId="15" numFmtId="0" xfId="0" applyAlignment="1" applyFont="1">
      <alignment horizontal="center" readingOrder="0" shrinkToFit="0" vertical="center" wrapText="0"/>
    </xf>
    <xf borderId="10" fillId="7" fontId="13" numFmtId="0" xfId="0" applyBorder="1" applyFill="1" applyFont="1"/>
    <xf borderId="0" fillId="0" fontId="4" numFmtId="0" xfId="0" applyAlignment="1" applyFont="1">
      <alignment readingOrder="0" shrinkToFit="0" vertical="center" wrapText="0"/>
    </xf>
    <xf borderId="11" fillId="0" fontId="13" numFmtId="0" xfId="0" applyAlignment="1" applyBorder="1" applyFont="1">
      <alignment readingOrder="0" shrinkToFit="0" wrapText="1"/>
    </xf>
    <xf borderId="12" fillId="8" fontId="13" numFmtId="0" xfId="0" applyBorder="1" applyFill="1" applyFont="1"/>
    <xf borderId="0" fillId="0" fontId="4" numFmtId="0" xfId="0" applyAlignment="1" applyFont="1">
      <alignment horizontal="center" readingOrder="0" shrinkToFit="0" vertical="center" wrapText="0"/>
    </xf>
    <xf borderId="0" fillId="0" fontId="16" numFmtId="0" xfId="0" applyAlignment="1" applyFont="1">
      <alignment readingOrder="0" shrinkToFit="0" vertical="center" wrapText="0"/>
    </xf>
    <xf borderId="0" fillId="0" fontId="7" numFmtId="49" xfId="0" applyAlignment="1" applyFont="1" applyNumberFormat="1">
      <alignment readingOrder="0" shrinkToFit="0" vertical="center" wrapText="0"/>
    </xf>
    <xf borderId="0" fillId="0" fontId="17" numFmtId="0" xfId="0" applyAlignment="1" applyFont="1">
      <alignment readingOrder="0"/>
    </xf>
    <xf borderId="0" fillId="0" fontId="18" numFmtId="0" xfId="0" applyAlignment="1" applyFont="1">
      <alignment readingOrder="0" shrinkToFit="0" vertical="center" wrapText="0"/>
    </xf>
    <xf borderId="0" fillId="0" fontId="4" numFmtId="0" xfId="0" applyAlignment="1" applyFont="1">
      <alignment vertical="center"/>
    </xf>
    <xf borderId="0" fillId="0" fontId="19" numFmtId="0" xfId="0" applyAlignment="1" applyFont="1">
      <alignment readingOrder="0"/>
    </xf>
    <xf borderId="0" fillId="9" fontId="15" numFmtId="0" xfId="0" applyAlignment="1" applyFill="1" applyFont="1">
      <alignment horizontal="center" readingOrder="0" shrinkToFit="0" vertical="center" wrapText="0"/>
    </xf>
    <xf borderId="0" fillId="0" fontId="14" numFmtId="0" xfId="0" applyAlignment="1" applyFont="1">
      <alignment readingOrder="0" shrinkToFit="0" vertical="center" wrapText="0"/>
    </xf>
    <xf borderId="0" fillId="9" fontId="4" numFmtId="0" xfId="0" applyAlignment="1" applyFill="1" applyFont="1">
      <alignment readingOrder="0" shrinkToFit="0" vertical="center" wrapText="0"/>
    </xf>
    <xf borderId="0" fillId="9" fontId="4" numFmtId="0" xfId="0" applyAlignment="1" applyFill="1" applyFont="1">
      <alignment readingOrder="0" shrinkToFit="0" vertical="center" wrapText="1"/>
    </xf>
    <xf borderId="0" fillId="9" fontId="20" numFmtId="0" xfId="0" applyAlignment="1" applyFill="1" applyFont="1">
      <alignment readingOrder="0" shrinkToFit="0" vertical="center" wrapText="0"/>
    </xf>
    <xf borderId="0" fillId="0" fontId="4" numFmtId="0" xfId="0" applyAlignment="1" applyFont="1">
      <alignment readingOrder="0" vertical="center"/>
    </xf>
    <xf borderId="0" fillId="0" fontId="21" numFmtId="0" xfId="0" applyAlignment="1" applyFont="1">
      <alignment horizontal="center" readingOrder="0" shrinkToFit="0" vertical="center" wrapText="0"/>
    </xf>
    <xf borderId="0" fillId="0" fontId="22" numFmtId="0" xfId="0" applyAlignment="1" applyFont="1">
      <alignment readingOrder="0" shrinkToFit="0" vertical="center" wrapText="0"/>
    </xf>
    <xf borderId="0" fillId="0" fontId="7" numFmtId="0" xfId="0" applyAlignment="1" applyFont="1">
      <alignment readingOrder="0" shrinkToFit="0" vertical="center" wrapText="0"/>
    </xf>
    <xf borderId="0" fillId="0" fontId="4" numFmtId="0" xfId="0" applyAlignment="1" applyFont="1">
      <alignment readingOrder="0" shrinkToFit="0" vertical="center" wrapText="1"/>
    </xf>
    <xf borderId="0" fillId="0" fontId="23" numFmtId="0" xfId="0" applyAlignment="1" applyFont="1">
      <alignment readingOrder="0" shrinkToFit="0" vertical="center" wrapText="0"/>
    </xf>
    <xf borderId="0" fillId="0" fontId="7" numFmtId="49" xfId="0" applyAlignment="1" applyFont="1" applyNumberFormat="1">
      <alignment readingOrder="0" shrinkToFit="0" vertical="center" wrapText="0"/>
    </xf>
    <xf borderId="0" fillId="0" fontId="14" numFmtId="0" xfId="0" applyAlignment="1" applyFont="1">
      <alignment readingOrder="0" shrinkToFit="0" vertical="center" wrapText="0"/>
    </xf>
    <xf borderId="0" fillId="0" fontId="24" numFmtId="0" xfId="0" applyAlignment="1" applyFont="1">
      <alignment shrinkToFit="0" wrapText="1"/>
    </xf>
    <xf borderId="0" fillId="0" fontId="6" numFmtId="0" xfId="0" applyFont="1"/>
    <xf borderId="0" fillId="9" fontId="25" numFmtId="0" xfId="0" applyAlignment="1" applyFill="1" applyFont="1">
      <alignment horizontal="center" readingOrder="0" shrinkToFit="0" vertical="center" wrapText="0"/>
    </xf>
    <xf borderId="0" fillId="0" fontId="6" numFmtId="165" xfId="0" applyFont="1" applyNumberFormat="1"/>
  </cellXfs>
  <cellStyles count="1">
    <cellStyle xfId="0" name="Normal" builtinId="0"/>
  </cellStyles>
  <dxfs count="11">
    <dxf>
      <font/>
      <fill>
        <patternFill patternType="none"/>
      </fill>
      <border/>
    </dxf>
    <dxf>
      <font/>
      <fill>
        <patternFill patternType="solid">
          <fgColor rgb="FFEE424E"/>
          <bgColor rgb="FFEE424E"/>
        </patternFill>
      </fill>
      <border/>
    </dxf>
    <dxf>
      <font/>
      <fill>
        <patternFill patternType="solid">
          <fgColor rgb="FFFFFFFF"/>
          <bgColor rgb="FFFFFFFF"/>
        </patternFill>
      </fill>
      <border/>
    </dxf>
    <dxf>
      <font/>
      <fill>
        <patternFill patternType="solid">
          <fgColor rgb="FF121E6C"/>
          <bgColor rgb="FF121E6C"/>
        </patternFill>
      </fill>
      <border/>
    </dxf>
    <dxf>
      <font/>
      <fill>
        <patternFill patternType="solid">
          <fgColor rgb="FFF1F9FF"/>
          <bgColor rgb="FFF1F9FF"/>
        </patternFill>
      </fill>
      <border/>
    </dxf>
    <dxf>
      <font/>
      <fill>
        <patternFill patternType="solid">
          <fgColor rgb="FFF8F9FA"/>
          <bgColor rgb="FFF8F9FA"/>
        </patternFill>
      </fill>
      <border/>
    </dxf>
    <dxf>
      <border>
        <left style="thin">
          <color rgb="FF121E6C"/>
        </left>
        <right style="thin">
          <color rgb="FF121E6C"/>
        </right>
        <top style="thin">
          <color rgb="FF121E6C"/>
        </top>
        <bottom style="thin">
          <color rgb="FF121E6C"/>
        </bottom>
      </border>
    </dxf>
    <dxf>
      <font>
        <color rgb="FFC9DAF8"/>
      </font>
      <fill>
        <patternFill patternType="solid">
          <fgColor rgb="FFC9DAF8"/>
          <bgColor rgb="FFC9DAF8"/>
        </patternFill>
      </fill>
      <border/>
    </dxf>
    <dxf>
      <font>
        <color rgb="FFF4CCCC"/>
      </font>
      <fill>
        <patternFill patternType="solid">
          <fgColor rgb="FFF4CCCC"/>
          <bgColor rgb="FFF4CCCC"/>
        </patternFill>
      </fill>
      <border/>
    </dxf>
    <dxf>
      <font>
        <color rgb="FFB6D7A8"/>
      </font>
      <fill>
        <patternFill patternType="solid">
          <fgColor rgb="FFB6D7A8"/>
          <bgColor rgb="FFB6D7A8"/>
        </patternFill>
      </fill>
      <border/>
    </dxf>
    <dxf>
      <font>
        <color rgb="FFB4A7D6"/>
      </font>
      <fill>
        <patternFill patternType="solid">
          <fgColor rgb="FFB4A7D6"/>
          <bgColor rgb="FFB4A7D6"/>
        </patternFill>
      </fill>
      <border/>
    </dxf>
  </dxfs>
  <tableStyles count="3">
    <tableStyle count="4" pivot="0" name="Entradas - Soporte Requerimient-style">
      <tableStyleElement dxfId="3" type="headerRow"/>
      <tableStyleElement dxfId="2" type="firstRowStripe"/>
      <tableStyleElement dxfId="5" type="secondRowStripe"/>
      <tableStyleElement dxfId="6" size="0" type="wholeTable"/>
    </tableStyle>
    <tableStyle count="4" pivot="0" name="Indice Contenidos Marts-style">
      <tableStyleElement dxfId="1" type="headerRow"/>
      <tableStyleElement dxfId="2" type="firstRowStripe"/>
      <tableStyleElement dxfId="4" type="secondRowStripe"/>
      <tableStyleElement dxfId="6" size="0" type="wholeTable"/>
    </tableStyle>
    <tableStyle count="4" pivot="0" name="Documentación Entidades-style">
      <tableStyleElement dxfId="1" type="headerRow"/>
      <tableStyleElement dxfId="2" type="firstRowStripe"/>
      <tableStyleElement dxfId="4"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ef676bc5-07ae-4ad6-b52d-4f8d1e8fe3b0}">
    <Anchor>
      <Comment id="{b2efe3b1-2cca-43f4-8503-947c8bcefd1c}"/>
    </Anchor>
    <History>
      <Event time="2026-02-26T16:59:48.00" id="{abb523e5-00e2-4f34-adab-4b19836c0ebf}">
        <Attribution userId="placeholder@email.com" userName="Héctor Francisco Medina Rey" userProvider="google-sheets"/>
        <Anchor>
          <Comment id="{b2efe3b1-2cca-43f4-8503-947c8bcefd1c}"/>
        </Anchor>
        <Create/>
      </Event>
      <Event time="2026-02-26T16:59:48.00" id="{9b8706ac-ec82-4ac7-9db2-e9a66e06b018}">
        <Attribution userId="placeholder@email.com" userName="Héctor Francisco Medina Rey" userProvider="google-sheets"/>
        <Anchor>
          <Comment id="{b2efe3b1-2cca-43f4-8503-947c8bcefd1c}"/>
        </Anchor>
        <Assign userId="nicolas.santos@bold.co" userName="nicolas.santos@bold.co"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0</xdr:row>
      <xdr:rowOff>104775</xdr:rowOff>
    </xdr:from>
    <xdr:ext cx="3562350" cy="581025"/>
    <xdr:sp>
      <xdr:nvSpPr>
        <xdr:cNvPr id="4" name="Shape 4"/>
        <xdr:cNvSpPr txBox="1"/>
      </xdr:nvSpPr>
      <xdr:spPr>
        <a:xfrm>
          <a:off x="1096000" y="1195600"/>
          <a:ext cx="4304100" cy="684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2800">
              <a:solidFill>
                <a:srgbClr val="073763"/>
              </a:solidFill>
              <a:latin typeface="Montserrat"/>
              <a:ea typeface="Montserrat"/>
              <a:cs typeface="Montserrat"/>
              <a:sym typeface="Montserrat"/>
            </a:rPr>
            <a:t>Glosario de tablas</a:t>
          </a:r>
          <a:endParaRPr b="1" sz="2800">
            <a:solidFill>
              <a:srgbClr val="073763"/>
            </a:solidFill>
            <a:latin typeface="Montserrat"/>
            <a:ea typeface="Montserrat"/>
            <a:cs typeface="Montserrat"/>
            <a:sym typeface="Montserrat"/>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0</xdr:row>
      <xdr:rowOff>85725</xdr:rowOff>
    </xdr:from>
    <xdr:ext cx="3009900" cy="342900"/>
    <xdr:sp>
      <xdr:nvSpPr>
        <xdr:cNvPr id="3" name="Shape 3"/>
        <xdr:cNvSpPr txBox="1"/>
      </xdr:nvSpPr>
      <xdr:spPr>
        <a:xfrm>
          <a:off x="810575" y="520375"/>
          <a:ext cx="4873500" cy="5304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2800">
              <a:solidFill>
                <a:srgbClr val="073763"/>
              </a:solidFill>
              <a:latin typeface="Montserrat"/>
              <a:ea typeface="Montserrat"/>
              <a:cs typeface="Montserrat"/>
              <a:sym typeface="Montserrat"/>
            </a:rPr>
            <a:t>Mapa de tablas y llaves</a:t>
          </a:r>
          <a:endParaRPr b="1" sz="2800">
            <a:solidFill>
              <a:srgbClr val="073763"/>
            </a:solidFill>
            <a:latin typeface="Montserrat"/>
            <a:ea typeface="Montserrat"/>
            <a:cs typeface="Montserrat"/>
            <a:sym typeface="Montserrat"/>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éctor Francisco Medina Rey" id="{0c51d05d-cf90-4aa8-9ba7-a3eea0f9aa03}" providerId="google-sheets"/>
  <x18tc:person displayName="Antonio Plata" id="{f51179ca-bc18-4d7e-ae3e-2e59dd9afc16}" providerId="google-sheets"/>
  <x18tc:person displayName="nicolas.santos@boldcf.co" id="{1b8aa5cf-7cb0-464e-93f6-4a5b0f3b0c4f}" userId="nicolas.santos@boldcf.co" providerId="google-sheets"/>
  <x18tc:person displayName="Nicolás Santos Moreno" id="{228fe92d-b213-48af-8958-febaa69f0afb}" providerId="google-sheets"/>
  <x18tc:person displayName="Juan Diego Arroyave Murillo" id="{3386d0bf-d75b-437d-a3fb-449212dcf39e}" providerId="google-sheets"/>
  <x18tc:person displayName="nicolas.santos@bold.co" id="{06602146-a4f6-490d-aed9-ba4b0d8f21b2}" userId="nicolas.santos@bold.co" providerId="google-sheets"/>
  <x18tc:person displayName="antonio.plata@bold.co" id="{3f54e226-b76e-4846-b11d-d962068a06ff}" userId="antonio.plata@bold.co" providerId="google-sheets"/>
</x18tc:personList>
</file>

<file path=xl/tables/table1.xml><?xml version="1.0" encoding="utf-8"?>
<table xmlns="http://schemas.openxmlformats.org/spreadsheetml/2006/main" ref="B8:G19" displayName="Glosario_de_tablas" name="Glosario_de_tablas" id="1">
  <tableColumns count="6">
    <tableColumn name="Dominio" id="1"/>
    <tableColumn name="Nombre Tabla" id="2"/>
    <tableColumn name="Nombre Esquema" id="3"/>
    <tableColumn name="ETA - Entrega" id="4"/>
    <tableColumn name="Descripción" id="5"/>
    <tableColumn name="Link Documentación (Se demora unos 45 segundos en cargar las documentaciones)" id="6"/>
  </tableColumns>
  <tableStyleInfo name="Documentación Entidades-style" showColumnStripes="0" showFirstColumn="1" showLastColumn="1" showRowStripes="1"/>
</table>
</file>

<file path=xl/tables/table2.xml><?xml version="1.0" encoding="utf-8"?>
<table xmlns="http://schemas.openxmlformats.org/spreadsheetml/2006/main" ref="A1:F40" displayName="Casos_de_Uso" name="Casos_de_Uso" id="3">
  <tableColumns count="6">
    <tableColumn name="No." id="1"/>
    <tableColumn name="Dominio" id="2"/>
    <tableColumn name="Tema" id="3"/>
    <tableColumn name="Query" id="4"/>
    <tableColumn name="Link del Video - Metabase" id="5"/>
    <tableColumn name="Segundo" id="6"/>
  </tableColumns>
  <tableStyleInfo name="Indice Contenidos Marts-style" showColumnStripes="0" showFirstColumn="1" showLastColumn="1" showRowStripes="1"/>
</table>
</file>

<file path=xl/tables/table3.xml><?xml version="1.0" encoding="utf-8"?>
<table xmlns="http://schemas.openxmlformats.org/spreadsheetml/2006/main" ref="A1:F10" displayName="Formulario_de_Soporte_Dudas_sobre_los_Marts" name="Formulario_de_Soporte_Dudas_sobre_los_Marts" id="2">
  <tableColumns count="6">
    <tableColumn name="Marca temporal" id="1"/>
    <tableColumn name="Dirección de correo electrónico" id="2"/>
    <tableColumn name="¿Tienes una pregunta de Negocio que quisieras aprender a responder o has presentado algún hallazgo de calidad sobre los datos?" id="3"/>
    <tableColumn name="¿Sobre que dominio / Mart haces el soporte? " id="4"/>
    <tableColumn name="¿Cuál es la pregunta de Negocio que quieres aprender a responder o cual el hallazgo sobre la calidad del dato que has encontrado?" id="5"/>
    <tableColumn name="Frente a la prioridad: ¿Cómo defines el nivel de urgencia del soporte que levantas frente?" id="6"/>
  </tableColumns>
  <tableStyleInfo name="Entradas - Soporte Requerimi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5" dT="2026-03-23T15:40:41.00" personId="{f51179ca-bc18-4d7e-ae3e-2e59dd9afc16}" id="{c998fb46-1ea9-4ec3-b3f1-0c62d5e15fb9}" done="0">
    <x18tc:text xml:space="preserve">@nicolas.santos@boldcf.co m esta documentación no me está cargando</x18tc:text>
    <x18tc:mentions>
      <x18tc:mention mentionpersonId="{1b8aa5cf-7cb0-464e-93f6-4a5b0f3b0c4f}" mentionId="{bee15567-8158-482a-bc4a-61a2ed01e5b9}" startIndex="0" length="25"/>
    </x18tc:mentions>
  </x18tc:threadedComment>
  <x18tc:threadedComment ref="G15" dT="2026-03-23T15:40:47.00" personId="{f51179ca-bc18-4d7e-ae3e-2e59dd9afc16}" id="{a11e397b-3875-4eb0-8aa8-81c8960ab896}" parentId="{c998fb46-1ea9-4ec3-b3f1-0c62d5e15fb9}">
    <x18tc:text xml:space="preserve">de hecho ninguna</x18tc:text>
  </x18tc:threadedComment>
  <x18tc:threadedComment ref="G15" dT="2026-03-23T15:53:11.00" personId="{228fe92d-b213-48af-8958-febaa69f0afb}" id="{4c6dc784-f484-42be-876c-f0163d644a65}" parentId="{c998fb46-1ea9-4ec3-b3f1-0c62d5e15fb9}">
    <x18tc:text xml:space="preserve">@antonio.plata@bold.co Anto se demora un minuto cargando</x18tc:text>
    <x18tc:mentions>
      <x18tc:mention mentionpersonId="{3f54e226-b76e-4846-b11d-d962068a06ff}" mentionId="{e9a9ea79-8f68-401c-9bf5-961aa628a519}" startIndex="0" length="22"/>
    </x18tc:mentions>
  </x18tc:threadedComment>
  <x18tc:threadedComment ref="A1" dT="2026-02-25T19:40:42.00" personId="{3386d0bf-d75b-437d-a3fb-449212dcf39e}" id="{fea7d7a2-4b9f-4c0d-95c1-ce99a5e017d1}" done="0">
    <x18tc:text xml:space="preserve">Se prioriza primero todo a nivel no master</x18tc:text>
  </x18tc:threadedComment>
  <x18tc:threadedComment ref="D4" dT="2026-02-26T16:59:48.00" personId="{0c51d05d-cf90-4aa8-9ba7-a3eea0f9aa03}" id="{b2efe3b1-2cca-43f4-8503-947c8bcefd1c}" done="1">
    <x18tc:text xml:space="preserve">@nicolas.santos@bold.co Nico dele un ojito al draft de formulario que deje, el link es este rojo de la izquierda
Asignada a nicolas.santos@bold.co</x18tc:text>
    <x18tc:mentions>
      <x18tc:mention mentionpersonId="{06602146-a4f6-490d-aed9-ba4b0d8f21b2}" mentionId="{695da7e6-0675-497b-93d9-c84c2606a205}" startIndex="0" length="23"/>
    </x18tc:mentions>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dev-portal.bold.co/lakehouse/index.html" TargetMode="External"/><Relationship Id="rId10" Type="http://schemas.openxmlformats.org/officeDocument/2006/relationships/hyperlink" Target="https://dev-portal.bold.co/lakehouse/index.html" TargetMode="External"/><Relationship Id="rId13" Type="http://schemas.openxmlformats.org/officeDocument/2006/relationships/hyperlink" Target="https://dev-portal.bold.co/lakehouse/index.html" TargetMode="External"/><Relationship Id="rId12" Type="http://schemas.openxmlformats.org/officeDocument/2006/relationships/hyperlink" Target="https://dev-portal.bold.co/lakehouse/index.html"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mailto:hector.medina@bold.co" TargetMode="External"/><Relationship Id="rId9" Type="http://schemas.openxmlformats.org/officeDocument/2006/relationships/hyperlink" Target="https://dev-portal.bold.co/lakehouse/index.html" TargetMode="External"/><Relationship Id="rId15" Type="http://schemas.openxmlformats.org/officeDocument/2006/relationships/hyperlink" Target="https://dev-portal.bold.co/lakehouse/index.html" TargetMode="External"/><Relationship Id="rId14" Type="http://schemas.openxmlformats.org/officeDocument/2006/relationships/hyperlink" Target="https://dev-portal.bold.co/lakehouse/index.html" TargetMode="External"/><Relationship Id="rId17" Type="http://schemas.openxmlformats.org/officeDocument/2006/relationships/vmlDrawing" Target="../drawings/vmlDrawing1.vml"/><Relationship Id="rId16" Type="http://schemas.openxmlformats.org/officeDocument/2006/relationships/drawing" Target="../drawings/drawing1.xml"/><Relationship Id="rId5" Type="http://schemas.openxmlformats.org/officeDocument/2006/relationships/hyperlink" Target="https://dev-portal.bold.co/lakehouse/index.html" TargetMode="External"/><Relationship Id="rId19" Type="http://schemas.openxmlformats.org/officeDocument/2006/relationships/table" Target="../tables/table1.xml"/><Relationship Id="rId6" Type="http://schemas.openxmlformats.org/officeDocument/2006/relationships/hyperlink" Target="https://dev-portal.bold.co/lakehouse/index.html" TargetMode="External"/><Relationship Id="rId7" Type="http://schemas.openxmlformats.org/officeDocument/2006/relationships/hyperlink" Target="https://dev-portal.bold.co/lakehouse/index.html" TargetMode="External"/><Relationship Id="rId8" Type="http://schemas.openxmlformats.org/officeDocument/2006/relationships/hyperlink" Target="https://dev-portal.bold.co/lakehouse/index.html" TargetMode="External"/></Relationships>
</file>

<file path=xl/worksheets/_rels/sheet2.xml.rels><?xml version="1.0" encoding="UTF-8" standalone="yes"?><Relationships xmlns="http://schemas.openxmlformats.org/package/2006/relationships"><Relationship Id="rId40" Type="http://schemas.openxmlformats.org/officeDocument/2006/relationships/drawing" Target="../drawings/drawing2.xml"/><Relationship Id="rId20" Type="http://schemas.openxmlformats.org/officeDocument/2006/relationships/hyperlink" Target="https://drive.google.com/file/d/1Zco1uYaGkQNs25xLBs9znoIZiXqTpOtT/view?usp=drive_link" TargetMode="External"/><Relationship Id="rId42" Type="http://schemas.openxmlformats.org/officeDocument/2006/relationships/table" Target="../tables/table2.xml"/><Relationship Id="rId22" Type="http://schemas.openxmlformats.org/officeDocument/2006/relationships/hyperlink" Target="https://drive.google.com/file/d/1Zco1uYaGkQNs25xLBs9znoIZiXqTpOtT/view?usp=drive_link" TargetMode="External"/><Relationship Id="rId21" Type="http://schemas.openxmlformats.org/officeDocument/2006/relationships/hyperlink" Target="https://drive.google.com/file/d/1Zco1uYaGkQNs25xLBs9znoIZiXqTpOtT/view?usp=drive_link" TargetMode="External"/><Relationship Id="rId24" Type="http://schemas.openxmlformats.org/officeDocument/2006/relationships/hyperlink" Target="https://drive.google.com/file/d/1Zco1uYaGkQNs25xLBs9znoIZiXqTpOtT/view?usp=drive_link" TargetMode="External"/><Relationship Id="rId23" Type="http://schemas.openxmlformats.org/officeDocument/2006/relationships/hyperlink" Target="https://drive.google.com/file/d/1Zco1uYaGkQNs25xLBs9znoIZiXqTpOtT/view?usp=drive_link" TargetMode="External"/><Relationship Id="rId1" Type="http://schemas.openxmlformats.org/officeDocument/2006/relationships/hyperlink" Target="https://drive.google.com/file/d/1wz1D7Gx26H1bouiS13ATN11tCXeO-3TF/view?usp=drive_link" TargetMode="External"/><Relationship Id="rId2" Type="http://schemas.openxmlformats.org/officeDocument/2006/relationships/hyperlink" Target="https://drive.google.com/file/d/1wz1D7Gx26H1bouiS13ATN11tCXeO-3TF/view?usp=drive_link" TargetMode="External"/><Relationship Id="rId3" Type="http://schemas.openxmlformats.org/officeDocument/2006/relationships/hyperlink" Target="https://drive.google.com/file/d/1wz1D7Gx26H1bouiS13ATN11tCXeO-3TF/view?usp=drive_link" TargetMode="External"/><Relationship Id="rId4" Type="http://schemas.openxmlformats.org/officeDocument/2006/relationships/hyperlink" Target="https://drive.google.com/file/d/1wz1D7Gx26H1bouiS13ATN11tCXeO-3TF/view?usp=drive_link" TargetMode="External"/><Relationship Id="rId9" Type="http://schemas.openxmlformats.org/officeDocument/2006/relationships/hyperlink" Target="https://drive.google.com/file/d/1HA-wupXNVd4gHCS4VMDKCGm4YVkQuZTa/view?usp=drive_link" TargetMode="External"/><Relationship Id="rId26" Type="http://schemas.openxmlformats.org/officeDocument/2006/relationships/hyperlink" Target="https://drive.google.com/file/d/1Zco1uYaGkQNs25xLBs9znoIZiXqTpOtT/view?usp=drive_link" TargetMode="External"/><Relationship Id="rId25" Type="http://schemas.openxmlformats.org/officeDocument/2006/relationships/hyperlink" Target="https://drive.google.com/file/d/1Zco1uYaGkQNs25xLBs9znoIZiXqTpOtT/view?usp=drive_link" TargetMode="External"/><Relationship Id="rId28" Type="http://schemas.openxmlformats.org/officeDocument/2006/relationships/hyperlink" Target="https://drive.google.com/file/d/1znzJ1xwtNzwrjLd2enMgVGb5s1iQCL2u/view?usp=drive_link" TargetMode="External"/><Relationship Id="rId27" Type="http://schemas.openxmlformats.org/officeDocument/2006/relationships/hyperlink" Target="https://drive.google.com/file/d/1Zco1uYaGkQNs25xLBs9znoIZiXqTpOtT/view?usp=drive_link" TargetMode="External"/><Relationship Id="rId5" Type="http://schemas.openxmlformats.org/officeDocument/2006/relationships/hyperlink" Target="https://drive.google.com/file/d/1wz1D7Gx26H1bouiS13ATN11tCXeO-3TF/view?usp=drive_link" TargetMode="External"/><Relationship Id="rId6" Type="http://schemas.openxmlformats.org/officeDocument/2006/relationships/hyperlink" Target="https://drive.google.com/file/d/1wz1D7Gx26H1bouiS13ATN11tCXeO-3TF/view?usp=drive_link" TargetMode="External"/><Relationship Id="rId29" Type="http://schemas.openxmlformats.org/officeDocument/2006/relationships/hyperlink" Target="https://drive.google.com/file/d/1znzJ1xwtNzwrjLd2enMgVGb5s1iQCL2u/view?usp=drive_link" TargetMode="External"/><Relationship Id="rId7" Type="http://schemas.openxmlformats.org/officeDocument/2006/relationships/hyperlink" Target="https://drive.google.com/file/d/1wz1D7Gx26H1bouiS13ATN11tCXeO-3TF/view?usp=drive_link" TargetMode="External"/><Relationship Id="rId8" Type="http://schemas.openxmlformats.org/officeDocument/2006/relationships/hyperlink" Target="https://drive.google.com/file/d/1HA-wupXNVd4gHCS4VMDKCGm4YVkQuZTa/view?usp=drive_link" TargetMode="External"/><Relationship Id="rId31" Type="http://schemas.openxmlformats.org/officeDocument/2006/relationships/hyperlink" Target="https://drive.google.com/file/d/1znzJ1xwtNzwrjLd2enMgVGb5s1iQCL2u/view?usp=drive_link" TargetMode="External"/><Relationship Id="rId30" Type="http://schemas.openxmlformats.org/officeDocument/2006/relationships/hyperlink" Target="https://drive.google.com/file/d/1znzJ1xwtNzwrjLd2enMgVGb5s1iQCL2u/view?usp=drive_link" TargetMode="External"/><Relationship Id="rId11" Type="http://schemas.openxmlformats.org/officeDocument/2006/relationships/hyperlink" Target="https://drive.google.com/file/d/1HA-wupXNVd4gHCS4VMDKCGm4YVkQuZTa/view?usp=drive_link" TargetMode="External"/><Relationship Id="rId33" Type="http://schemas.openxmlformats.org/officeDocument/2006/relationships/hyperlink" Target="https://drive.google.com/file/d/16JvPNuoolqEY5ALBvF2KR5CUnVvKd1YU/view?usp=drive_link" TargetMode="External"/><Relationship Id="rId10" Type="http://schemas.openxmlformats.org/officeDocument/2006/relationships/hyperlink" Target="https://drive.google.com/file/d/1HA-wupXNVd4gHCS4VMDKCGm4YVkQuZTa/view?usp=drive_link" TargetMode="External"/><Relationship Id="rId32" Type="http://schemas.openxmlformats.org/officeDocument/2006/relationships/hyperlink" Target="https://drive.google.com/file/d/11BoaJKcMqcAjJEZPaNl-RF5I9ctGAVQL/view?usp=drive_link" TargetMode="External"/><Relationship Id="rId13" Type="http://schemas.openxmlformats.org/officeDocument/2006/relationships/hyperlink" Target="https://drive.google.com/file/d/1HA-wupXNVd4gHCS4VMDKCGm4YVkQuZTa/view?usp=drive_link" TargetMode="External"/><Relationship Id="rId35" Type="http://schemas.openxmlformats.org/officeDocument/2006/relationships/hyperlink" Target="https://drive.google.com/file/d/16JvPNuoolqEY5ALBvF2KR5CUnVvKd1YU/view?usp=drive_link" TargetMode="External"/><Relationship Id="rId12" Type="http://schemas.openxmlformats.org/officeDocument/2006/relationships/hyperlink" Target="https://drive.google.com/file/d/1HA-wupXNVd4gHCS4VMDKCGm4YVkQuZTa/view?usp=drive_link" TargetMode="External"/><Relationship Id="rId34" Type="http://schemas.openxmlformats.org/officeDocument/2006/relationships/hyperlink" Target="https://drive.google.com/file/d/16JvPNuoolqEY5ALBvF2KR5CUnVvKd1YU/view?usp=drive_link" TargetMode="External"/><Relationship Id="rId15" Type="http://schemas.openxmlformats.org/officeDocument/2006/relationships/hyperlink" Target="https://drive.google.com/file/d/1HA-wupXNVd4gHCS4VMDKCGm4YVkQuZTa/view?usp=drive_link" TargetMode="External"/><Relationship Id="rId37" Type="http://schemas.openxmlformats.org/officeDocument/2006/relationships/hyperlink" Target="https://docs.google.com/presentation/d/1mLaFVQar8gTAE2RBu1jdDqm35G0sDdbAJQSL7jD7zjA/edit?slide=id.g3955f29696c_1_0" TargetMode="External"/><Relationship Id="rId14" Type="http://schemas.openxmlformats.org/officeDocument/2006/relationships/hyperlink" Target="https://drive.google.com/file/d/1HA-wupXNVd4gHCS4VMDKCGm4YVkQuZTa/view?usp=drive_link" TargetMode="External"/><Relationship Id="rId36" Type="http://schemas.openxmlformats.org/officeDocument/2006/relationships/hyperlink" Target="https://docs.google.com/presentation/d/1mLaFVQar8gTAE2RBu1jdDqm35G0sDdbAJQSL7jD7zjA/edit?slide=id.g3955f29696c_1_0" TargetMode="External"/><Relationship Id="rId17" Type="http://schemas.openxmlformats.org/officeDocument/2006/relationships/hyperlink" Target="https://drive.google.com/file/d/1HA-wupXNVd4gHCS4VMDKCGm4YVkQuZTa/view?usp=drive_link" TargetMode="External"/><Relationship Id="rId39" Type="http://schemas.openxmlformats.org/officeDocument/2006/relationships/hyperlink" Target="https://docs.google.com/presentation/d/1mLaFVQar8gTAE2RBu1jdDqm35G0sDdbAJQSL7jD7zjA/edit?slide=id.g3955f29696c_1_0" TargetMode="External"/><Relationship Id="rId16" Type="http://schemas.openxmlformats.org/officeDocument/2006/relationships/hyperlink" Target="https://drive.google.com/file/d/1HA-wupXNVd4gHCS4VMDKCGm4YVkQuZTa/view?usp=drive_link" TargetMode="External"/><Relationship Id="rId38" Type="http://schemas.openxmlformats.org/officeDocument/2006/relationships/hyperlink" Target="https://docs.google.com/presentation/d/1mLaFVQar8gTAE2RBu1jdDqm35G0sDdbAJQSL7jD7zjA/edit?slide=id.g3955f29696c_1_0" TargetMode="External"/><Relationship Id="rId19" Type="http://schemas.openxmlformats.org/officeDocument/2006/relationships/hyperlink" Target="https://drive.google.com/file/d/1Zco1uYaGkQNs25xLBs9znoIZiXqTpOtT/view?usp=drive_link" TargetMode="External"/><Relationship Id="rId18" Type="http://schemas.openxmlformats.org/officeDocument/2006/relationships/hyperlink" Target="https://drive.google.com/file/d/1HA-wupXNVd4gHCS4VMDKCGm4YVkQuZTa/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erviciosfintech.slack.com/archives/C0470H4HV6Z/p1773096512370659" TargetMode="External"/><Relationship Id="rId2" Type="http://schemas.openxmlformats.org/officeDocument/2006/relationships/hyperlink" Target="https://dev.bold.co/lakehouse/index.html" TargetMode="External"/><Relationship Id="rId3" Type="http://schemas.openxmlformats.org/officeDocument/2006/relationships/drawing" Target="../drawings/drawing3.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8.0" topLeftCell="A9" activePane="bottomLeft" state="frozen"/>
      <selection activeCell="B10" sqref="B10" pane="bottomLeft"/>
    </sheetView>
  </sheetViews>
  <sheetFormatPr customHeight="1" defaultColWidth="12.63" defaultRowHeight="15.75"/>
  <cols>
    <col customWidth="1" min="1" max="1" width="3.75"/>
    <col customWidth="1" min="2" max="2" width="31.0"/>
    <col customWidth="1" min="3" max="3" width="30.63"/>
    <col customWidth="1" min="4" max="4" width="29.25"/>
    <col customWidth="1" min="5" max="5" width="21.75"/>
    <col customWidth="1" min="6" max="6" width="123.88"/>
    <col customWidth="1" min="7" max="7" width="103.63"/>
    <col customWidth="1" min="8" max="8" width="6.38"/>
  </cols>
  <sheetData>
    <row r="1">
      <c r="A1" s="7"/>
      <c r="B1" s="7"/>
      <c r="C1" s="7"/>
      <c r="D1" s="7"/>
      <c r="E1" s="7"/>
      <c r="F1" s="7"/>
      <c r="G1" s="7"/>
      <c r="H1" s="7"/>
    </row>
    <row r="2" ht="25.5" customHeight="1">
      <c r="A2" s="9"/>
      <c r="B2" s="9"/>
      <c r="C2" s="9"/>
      <c r="D2" s="9"/>
      <c r="E2" s="7"/>
      <c r="F2" s="9"/>
      <c r="G2" s="9"/>
      <c r="H2" s="7"/>
    </row>
    <row r="3">
      <c r="A3" s="9"/>
      <c r="B3" s="9"/>
      <c r="C3" s="9"/>
      <c r="D3" s="9"/>
      <c r="E3" s="7"/>
      <c r="F3" s="9"/>
      <c r="G3" s="9"/>
      <c r="H3" s="7"/>
    </row>
    <row r="4">
      <c r="A4" s="13"/>
      <c r="B4" s="16" t="s">
        <v>17</v>
      </c>
      <c r="C4" s="17"/>
      <c r="D4" s="17"/>
      <c r="E4" s="19"/>
      <c r="F4" s="17"/>
      <c r="G4" s="9"/>
      <c r="H4" s="7"/>
    </row>
    <row r="5">
      <c r="A5" s="9"/>
      <c r="B5" s="23" t="s">
        <v>25</v>
      </c>
      <c r="G5" s="9"/>
      <c r="H5" s="7"/>
    </row>
    <row r="6">
      <c r="A6" s="9"/>
      <c r="B6" s="9"/>
      <c r="C6" s="9"/>
      <c r="D6" s="9"/>
      <c r="E6" s="7"/>
      <c r="F6" s="9"/>
      <c r="G6" s="9"/>
      <c r="H6" s="7"/>
    </row>
    <row r="7">
      <c r="A7" s="9"/>
      <c r="B7" s="9"/>
      <c r="C7" s="9"/>
      <c r="D7" s="9"/>
      <c r="E7" s="7"/>
      <c r="F7" s="9"/>
      <c r="G7" s="9"/>
      <c r="H7" s="7"/>
    </row>
    <row r="8" ht="22.5" customHeight="1">
      <c r="A8" s="9"/>
      <c r="B8" s="11" t="s">
        <v>14</v>
      </c>
      <c r="C8" s="11" t="s">
        <v>49</v>
      </c>
      <c r="D8" s="11" t="s">
        <v>52</v>
      </c>
      <c r="E8" s="31" t="s">
        <v>55</v>
      </c>
      <c r="F8" s="11" t="s">
        <v>58</v>
      </c>
      <c r="G8" s="11" t="s">
        <v>60</v>
      </c>
      <c r="H8" s="7"/>
    </row>
    <row r="9" ht="117.0" customHeight="1">
      <c r="A9" s="9"/>
      <c r="B9" s="37" t="s">
        <v>19</v>
      </c>
      <c r="C9" s="39" t="s">
        <v>67</v>
      </c>
      <c r="D9" s="39" t="s">
        <v>69</v>
      </c>
      <c r="E9" s="42" t="s">
        <v>70</v>
      </c>
      <c r="F9" s="26" t="s">
        <v>71</v>
      </c>
      <c r="G9" s="46" t="s">
        <v>73</v>
      </c>
      <c r="H9" s="47"/>
    </row>
    <row r="10" ht="117.0" customHeight="1">
      <c r="A10" s="9"/>
      <c r="B10" s="49" t="s">
        <v>29</v>
      </c>
      <c r="C10" s="51" t="s">
        <v>89</v>
      </c>
      <c r="D10" s="51" t="s">
        <v>90</v>
      </c>
      <c r="E10" s="42" t="s">
        <v>70</v>
      </c>
      <c r="F10" s="52" t="s">
        <v>93</v>
      </c>
      <c r="G10" s="53" t="s">
        <v>94</v>
      </c>
      <c r="H10" s="54"/>
    </row>
    <row r="11" ht="117.0" customHeight="1">
      <c r="A11" s="9"/>
      <c r="B11" s="55" t="s">
        <v>33</v>
      </c>
      <c r="C11" s="39" t="s">
        <v>100</v>
      </c>
      <c r="D11" s="39" t="s">
        <v>102</v>
      </c>
      <c r="E11" s="42" t="s">
        <v>70</v>
      </c>
      <c r="F11" s="26" t="s">
        <v>104</v>
      </c>
      <c r="G11" s="56" t="s">
        <v>106</v>
      </c>
      <c r="H11" s="47"/>
    </row>
    <row r="12" ht="117.0" customHeight="1">
      <c r="A12" s="9"/>
      <c r="B12" s="49" t="s">
        <v>36</v>
      </c>
      <c r="C12" s="51" t="s">
        <v>109</v>
      </c>
      <c r="D12" s="51" t="s">
        <v>112</v>
      </c>
      <c r="E12" s="42" t="s">
        <v>70</v>
      </c>
      <c r="F12" s="52" t="s">
        <v>115</v>
      </c>
      <c r="G12" s="56" t="s">
        <v>116</v>
      </c>
      <c r="H12" s="47"/>
    </row>
    <row r="13" ht="117.0" customHeight="1">
      <c r="A13" s="9"/>
      <c r="B13" s="37" t="s">
        <v>40</v>
      </c>
      <c r="C13" s="39" t="s">
        <v>120</v>
      </c>
      <c r="D13" s="39" t="s">
        <v>121</v>
      </c>
      <c r="E13" s="42" t="s">
        <v>70</v>
      </c>
      <c r="F13" s="26" t="s">
        <v>124</v>
      </c>
      <c r="G13" s="46" t="s">
        <v>125</v>
      </c>
      <c r="H13" s="54"/>
    </row>
    <row r="14" ht="117.0" customHeight="1">
      <c r="A14" s="9"/>
      <c r="B14" s="49" t="s">
        <v>43</v>
      </c>
      <c r="C14" s="51" t="s">
        <v>126</v>
      </c>
      <c r="D14" s="51" t="s">
        <v>112</v>
      </c>
      <c r="E14" s="42" t="s">
        <v>70</v>
      </c>
      <c r="F14" s="52" t="s">
        <v>128</v>
      </c>
      <c r="G14" s="53" t="s">
        <v>130</v>
      </c>
      <c r="H14" s="47"/>
    </row>
    <row r="15" ht="117.0" customHeight="1">
      <c r="A15" s="9"/>
      <c r="B15" s="37" t="s">
        <v>48</v>
      </c>
      <c r="C15" s="39" t="s">
        <v>132</v>
      </c>
      <c r="D15" s="39" t="s">
        <v>133</v>
      </c>
      <c r="E15" s="42" t="s">
        <v>70</v>
      </c>
      <c r="F15" s="26" t="s">
        <v>136</v>
      </c>
      <c r="G15" s="56" t="s">
        <v>139</v>
      </c>
      <c r="H15" s="54"/>
    </row>
    <row r="16" ht="117.0" customHeight="1">
      <c r="A16" s="9"/>
      <c r="B16" s="64" t="s">
        <v>51</v>
      </c>
      <c r="C16" s="51" t="s">
        <v>142</v>
      </c>
      <c r="D16" s="51" t="s">
        <v>144</v>
      </c>
      <c r="E16" s="42" t="s">
        <v>70</v>
      </c>
      <c r="F16" s="52" t="s">
        <v>145</v>
      </c>
      <c r="G16" s="56" t="s">
        <v>146</v>
      </c>
      <c r="H16" s="47"/>
    </row>
    <row r="17" ht="117.0" customHeight="1">
      <c r="A17" s="9"/>
      <c r="B17" s="37" t="s">
        <v>54</v>
      </c>
      <c r="C17" s="39" t="s">
        <v>148</v>
      </c>
      <c r="D17" s="39" t="s">
        <v>149</v>
      </c>
      <c r="E17" s="42" t="s">
        <v>70</v>
      </c>
      <c r="F17" s="26" t="s">
        <v>150</v>
      </c>
      <c r="G17" s="46" t="s">
        <v>151</v>
      </c>
      <c r="H17" s="54"/>
    </row>
    <row r="18" ht="117.0" customHeight="1">
      <c r="A18" s="9"/>
      <c r="B18" s="64" t="s">
        <v>57</v>
      </c>
      <c r="C18" s="51" t="s">
        <v>153</v>
      </c>
      <c r="D18" s="51" t="s">
        <v>102</v>
      </c>
      <c r="E18" s="42" t="s">
        <v>70</v>
      </c>
      <c r="F18" s="52" t="s">
        <v>156</v>
      </c>
      <c r="G18" s="46" t="s">
        <v>158</v>
      </c>
      <c r="H18" s="47"/>
    </row>
    <row r="19" ht="117.0" customHeight="1">
      <c r="A19" s="9"/>
      <c r="B19" s="37" t="s">
        <v>159</v>
      </c>
      <c r="C19" s="39" t="s">
        <v>161</v>
      </c>
      <c r="D19" s="39" t="s">
        <v>162</v>
      </c>
      <c r="E19" s="42" t="s">
        <v>70</v>
      </c>
      <c r="F19" s="26" t="s">
        <v>164</v>
      </c>
      <c r="G19" s="56" t="s">
        <v>165</v>
      </c>
      <c r="H19" s="7"/>
    </row>
  </sheetData>
  <mergeCells count="1">
    <mergeCell ref="B5:F5"/>
  </mergeCells>
  <hyperlinks>
    <hyperlink r:id="rId4" ref="B5"/>
    <hyperlink r:id="rId5" location="!/model/model.lakehouse_athena.mart_tpv_daily_by_transaction" ref="G9"/>
    <hyperlink r:id="rId6" location="!/model/model.lakehouse_athena.mart_merchant_enrich" ref="G10"/>
    <hyperlink r:id="rId7" location="!/model/model.lakehouse_athena.mart_client_product_portafolio" ref="G11"/>
    <hyperlink r:id="rId8" location="!/model/model.lakehouse_athena.mart_deposit_daily_snapshot" ref="G12"/>
    <hyperlink r:id="rId9" location="!/model/model.lakehouse_athena.mart_cdt_daily_snapshot" ref="G13"/>
    <hyperlink r:id="rId10" location="!/model/model.lakehouse_athena.mart_pockets_daily_snapshot" ref="G14"/>
    <hyperlink r:id="rId11" location="!/model/model.lakehouse_athena.mart_debit_card_daily_snapshot" ref="G15"/>
    <hyperlink r:id="rId12" location="!/model/model.lakehouse_athena.mart_loan_daily_snapshot" ref="G16"/>
    <hyperlink r:id="rId13" location="!/model/model.lakehouse_athena.mart_credit_card_daily_snapshot" ref="G17"/>
    <hyperlink r:id="rId14" location="!/model/model.lakehouse_athena.mart_client_enrich" ref="G18"/>
    <hyperlink r:id="rId15" location="!/model/model.lakehouse_athena.mart_terminal_enrich" ref="G19"/>
  </hyperlinks>
  <printOptions gridLines="1" horizontalCentered="1"/>
  <pageMargins bottom="0.75" footer="0.0" header="0.0" left="0.7" right="0.7" top="0.75"/>
  <pageSetup fitToHeight="0" paperSize="9" cellComments="atEnd" orientation="landscape" pageOrder="overThenDown"/>
  <drawing r:id="rId16"/>
  <legacyDrawing r:id="rId17"/>
  <tableParts count="1">
    <tablePart r:id="rId1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0.5"/>
    <col customWidth="1" min="3" max="3" width="113.75"/>
    <col customWidth="1" min="4" max="4" width="45.88"/>
    <col customWidth="1" min="5" max="6" width="30.88"/>
  </cols>
  <sheetData>
    <row r="1" ht="22.5" customHeight="1">
      <c r="A1" s="11" t="s">
        <v>3</v>
      </c>
      <c r="B1" s="14" t="s">
        <v>14</v>
      </c>
      <c r="C1" s="11" t="s">
        <v>20</v>
      </c>
      <c r="D1" s="11" t="s">
        <v>24</v>
      </c>
      <c r="E1" s="11" t="s">
        <v>27</v>
      </c>
      <c r="F1" s="11" t="s">
        <v>30</v>
      </c>
    </row>
    <row r="2" ht="78.0" customHeight="1">
      <c r="A2" s="24">
        <v>1.0</v>
      </c>
      <c r="B2" s="26" t="s">
        <v>41</v>
      </c>
      <c r="C2" s="26" t="s">
        <v>45</v>
      </c>
      <c r="D2" s="24" t="s">
        <v>46</v>
      </c>
      <c r="E2" s="43" t="s">
        <v>50</v>
      </c>
      <c r="F2" s="44" t="s">
        <v>72</v>
      </c>
    </row>
    <row r="3" ht="78.0" customHeight="1">
      <c r="A3" s="24">
        <v>2.0</v>
      </c>
      <c r="B3" s="26" t="s">
        <v>74</v>
      </c>
      <c r="C3" s="26" t="s">
        <v>76</v>
      </c>
      <c r="D3" s="24" t="s">
        <v>46</v>
      </c>
      <c r="E3" s="43" t="s">
        <v>50</v>
      </c>
      <c r="F3" s="44" t="s">
        <v>79</v>
      </c>
    </row>
    <row r="4" ht="78.0" customHeight="1">
      <c r="A4" s="24">
        <v>3.0</v>
      </c>
      <c r="B4" s="26" t="s">
        <v>41</v>
      </c>
      <c r="C4" s="26" t="s">
        <v>81</v>
      </c>
      <c r="D4" s="24" t="s">
        <v>46</v>
      </c>
      <c r="E4" s="43" t="s">
        <v>50</v>
      </c>
      <c r="F4" s="44" t="s">
        <v>86</v>
      </c>
    </row>
    <row r="5" ht="78.0" customHeight="1">
      <c r="A5" s="24">
        <v>4.0</v>
      </c>
      <c r="B5" s="26" t="s">
        <v>41</v>
      </c>
      <c r="C5" s="26" t="s">
        <v>87</v>
      </c>
      <c r="D5" s="50" t="s">
        <v>88</v>
      </c>
      <c r="E5" s="43" t="s">
        <v>50</v>
      </c>
      <c r="F5" s="44" t="s">
        <v>91</v>
      </c>
    </row>
    <row r="6" ht="78.0" customHeight="1">
      <c r="A6" s="24">
        <v>5.0</v>
      </c>
      <c r="B6" s="26" t="s">
        <v>41</v>
      </c>
      <c r="C6" s="26" t="s">
        <v>95</v>
      </c>
      <c r="D6" s="50" t="s">
        <v>97</v>
      </c>
      <c r="E6" s="43" t="s">
        <v>50</v>
      </c>
      <c r="F6" s="44" t="s">
        <v>98</v>
      </c>
    </row>
    <row r="7" ht="78.0" customHeight="1">
      <c r="A7" s="24">
        <v>6.0</v>
      </c>
      <c r="B7" s="26" t="s">
        <v>74</v>
      </c>
      <c r="C7" s="26" t="s">
        <v>101</v>
      </c>
      <c r="D7" s="50" t="s">
        <v>103</v>
      </c>
      <c r="E7" s="43" t="s">
        <v>50</v>
      </c>
      <c r="F7" s="44" t="s">
        <v>105</v>
      </c>
    </row>
    <row r="8" ht="78.0" customHeight="1">
      <c r="A8" s="24">
        <v>7.0</v>
      </c>
      <c r="B8" s="26" t="s">
        <v>107</v>
      </c>
      <c r="C8" s="26" t="s">
        <v>108</v>
      </c>
      <c r="D8" s="50" t="s">
        <v>111</v>
      </c>
      <c r="E8" s="43" t="s">
        <v>50</v>
      </c>
      <c r="F8" s="44" t="s">
        <v>114</v>
      </c>
    </row>
    <row r="9" ht="22.5" customHeight="1">
      <c r="A9" s="57">
        <v>8.0</v>
      </c>
      <c r="B9" s="58" t="s">
        <v>117</v>
      </c>
      <c r="C9" s="58" t="s">
        <v>119</v>
      </c>
      <c r="D9" s="24" t="s">
        <v>46</v>
      </c>
      <c r="E9" s="59" t="s">
        <v>123</v>
      </c>
      <c r="F9" s="60" t="s">
        <v>127</v>
      </c>
    </row>
    <row r="10" ht="22.5" customHeight="1">
      <c r="A10" s="57">
        <v>9.0</v>
      </c>
      <c r="B10" s="58" t="s">
        <v>117</v>
      </c>
      <c r="C10" s="58" t="s">
        <v>129</v>
      </c>
      <c r="D10" s="24" t="s">
        <v>46</v>
      </c>
      <c r="E10" s="59" t="s">
        <v>123</v>
      </c>
      <c r="F10" s="60" t="s">
        <v>131</v>
      </c>
    </row>
    <row r="11" ht="45.0" customHeight="1">
      <c r="A11" s="57">
        <v>10.0</v>
      </c>
      <c r="B11" s="58" t="s">
        <v>117</v>
      </c>
      <c r="C11" s="58" t="s">
        <v>134</v>
      </c>
      <c r="D11" s="61" t="s">
        <v>135</v>
      </c>
      <c r="E11" s="59" t="s">
        <v>123</v>
      </c>
      <c r="F11" s="60" t="s">
        <v>114</v>
      </c>
    </row>
    <row r="12" ht="22.5" customHeight="1">
      <c r="A12" s="57">
        <v>11.0</v>
      </c>
      <c r="B12" s="58" t="s">
        <v>137</v>
      </c>
      <c r="C12" s="58" t="s">
        <v>138</v>
      </c>
      <c r="D12" s="24" t="s">
        <v>46</v>
      </c>
      <c r="E12" s="59" t="s">
        <v>123</v>
      </c>
      <c r="F12" s="60" t="s">
        <v>140</v>
      </c>
    </row>
    <row r="13" ht="22.5" customHeight="1">
      <c r="A13" s="57">
        <v>12.0</v>
      </c>
      <c r="B13" s="58" t="s">
        <v>137</v>
      </c>
      <c r="C13" s="58" t="s">
        <v>141</v>
      </c>
      <c r="D13" s="24" t="s">
        <v>46</v>
      </c>
      <c r="E13" s="59" t="s">
        <v>123</v>
      </c>
      <c r="F13" s="60" t="s">
        <v>143</v>
      </c>
    </row>
    <row r="14" ht="22.5" customHeight="1">
      <c r="A14" s="57">
        <v>13.0</v>
      </c>
      <c r="B14" s="58" t="s">
        <v>137</v>
      </c>
      <c r="C14" s="58" t="s">
        <v>147</v>
      </c>
      <c r="D14" s="61"/>
      <c r="E14" s="59" t="s">
        <v>123</v>
      </c>
      <c r="F14" s="60" t="s">
        <v>143</v>
      </c>
    </row>
    <row r="15" ht="22.5" customHeight="1">
      <c r="A15" s="57">
        <v>14.0</v>
      </c>
      <c r="B15" s="29" t="s">
        <v>137</v>
      </c>
      <c r="C15" s="58" t="s">
        <v>152</v>
      </c>
      <c r="D15" s="61"/>
      <c r="E15" s="59" t="s">
        <v>123</v>
      </c>
      <c r="F15" s="60" t="s">
        <v>154</v>
      </c>
    </row>
    <row r="16" ht="22.5" customHeight="1">
      <c r="A16" s="57">
        <v>15.0</v>
      </c>
      <c r="B16" s="58" t="s">
        <v>155</v>
      </c>
      <c r="C16" s="58" t="s">
        <v>157</v>
      </c>
      <c r="D16" s="24" t="s">
        <v>46</v>
      </c>
      <c r="E16" s="59" t="s">
        <v>123</v>
      </c>
      <c r="F16" s="60" t="s">
        <v>160</v>
      </c>
    </row>
    <row r="17" ht="22.5" customHeight="1">
      <c r="A17" s="57">
        <v>16.0</v>
      </c>
      <c r="B17" s="58" t="s">
        <v>155</v>
      </c>
      <c r="C17" s="58" t="s">
        <v>163</v>
      </c>
      <c r="D17" s="24" t="s">
        <v>46</v>
      </c>
      <c r="E17" s="59" t="s">
        <v>123</v>
      </c>
      <c r="F17" s="60" t="s">
        <v>166</v>
      </c>
    </row>
    <row r="18" ht="22.5" customHeight="1">
      <c r="A18" s="57">
        <v>17.0</v>
      </c>
      <c r="B18" s="58" t="s">
        <v>155</v>
      </c>
      <c r="C18" s="58" t="s">
        <v>167</v>
      </c>
      <c r="D18" s="61"/>
      <c r="E18" s="59" t="s">
        <v>123</v>
      </c>
      <c r="F18" s="60" t="s">
        <v>168</v>
      </c>
    </row>
    <row r="19" ht="22.5" customHeight="1">
      <c r="A19" s="57">
        <v>18.0</v>
      </c>
      <c r="B19" s="58" t="s">
        <v>155</v>
      </c>
      <c r="C19" s="58" t="s">
        <v>169</v>
      </c>
      <c r="D19" s="61"/>
      <c r="E19" s="59" t="s">
        <v>123</v>
      </c>
      <c r="F19" s="60" t="s">
        <v>170</v>
      </c>
    </row>
    <row r="20" ht="22.5" customHeight="1">
      <c r="A20" s="57">
        <v>19.0</v>
      </c>
      <c r="B20" s="58" t="s">
        <v>171</v>
      </c>
      <c r="C20" s="58" t="s">
        <v>172</v>
      </c>
      <c r="D20" s="24" t="s">
        <v>46</v>
      </c>
      <c r="E20" s="59" t="s">
        <v>173</v>
      </c>
      <c r="F20" s="60"/>
    </row>
    <row r="21" ht="22.5" customHeight="1">
      <c r="A21" s="57">
        <v>20.0</v>
      </c>
      <c r="B21" s="58" t="s">
        <v>171</v>
      </c>
      <c r="C21" s="58" t="s">
        <v>174</v>
      </c>
      <c r="D21" s="24" t="s">
        <v>46</v>
      </c>
      <c r="E21" s="59" t="s">
        <v>173</v>
      </c>
      <c r="F21" s="60"/>
    </row>
    <row r="22" ht="25.5" customHeight="1">
      <c r="A22" s="57">
        <v>21.0</v>
      </c>
      <c r="B22" s="58" t="s">
        <v>171</v>
      </c>
      <c r="C22" s="58" t="s">
        <v>175</v>
      </c>
      <c r="D22" s="61" t="s">
        <v>176</v>
      </c>
      <c r="E22" s="59" t="s">
        <v>173</v>
      </c>
      <c r="F22" s="60"/>
    </row>
    <row r="23" ht="22.5" customHeight="1">
      <c r="A23" s="57">
        <v>22.0</v>
      </c>
      <c r="B23" s="58" t="s">
        <v>171</v>
      </c>
      <c r="C23" s="58" t="s">
        <v>177</v>
      </c>
      <c r="D23" s="24" t="s">
        <v>46</v>
      </c>
      <c r="E23" s="59" t="s">
        <v>173</v>
      </c>
      <c r="F23" s="60"/>
    </row>
    <row r="24" ht="22.5" customHeight="1">
      <c r="A24" s="57">
        <v>23.0</v>
      </c>
      <c r="B24" s="58" t="s">
        <v>178</v>
      </c>
      <c r="C24" s="58" t="s">
        <v>179</v>
      </c>
      <c r="D24" s="24" t="s">
        <v>46</v>
      </c>
      <c r="E24" s="59" t="s">
        <v>173</v>
      </c>
      <c r="F24" s="60"/>
    </row>
    <row r="25" ht="22.5" customHeight="1">
      <c r="A25" s="57">
        <v>24.0</v>
      </c>
      <c r="B25" s="58" t="s">
        <v>178</v>
      </c>
      <c r="C25" s="58" t="s">
        <v>180</v>
      </c>
      <c r="D25" s="24" t="s">
        <v>46</v>
      </c>
      <c r="E25" s="59" t="s">
        <v>173</v>
      </c>
      <c r="F25" s="60"/>
    </row>
    <row r="26" ht="26.25" customHeight="1">
      <c r="A26" s="57">
        <v>25.0</v>
      </c>
      <c r="B26" s="58" t="s">
        <v>178</v>
      </c>
      <c r="C26" s="58" t="s">
        <v>181</v>
      </c>
      <c r="D26" s="61" t="s">
        <v>182</v>
      </c>
      <c r="E26" s="59" t="s">
        <v>173</v>
      </c>
      <c r="F26" s="60"/>
    </row>
    <row r="27" ht="25.5" customHeight="1">
      <c r="A27" s="57">
        <v>26.0</v>
      </c>
      <c r="B27" s="58" t="s">
        <v>178</v>
      </c>
      <c r="C27" s="58" t="s">
        <v>183</v>
      </c>
      <c r="D27" s="61" t="s">
        <v>184</v>
      </c>
      <c r="E27" s="59" t="s">
        <v>173</v>
      </c>
      <c r="F27" s="60"/>
    </row>
    <row r="28" ht="22.5" customHeight="1">
      <c r="A28" s="57">
        <v>27.0</v>
      </c>
      <c r="B28" s="58" t="s">
        <v>178</v>
      </c>
      <c r="C28" s="58" t="s">
        <v>185</v>
      </c>
      <c r="D28" s="24" t="s">
        <v>46</v>
      </c>
      <c r="E28" s="59" t="s">
        <v>173</v>
      </c>
      <c r="F28" s="60"/>
    </row>
    <row r="29" ht="22.5" customHeight="1">
      <c r="A29" s="57">
        <v>28.0</v>
      </c>
      <c r="B29" s="58" t="s">
        <v>186</v>
      </c>
      <c r="C29" s="58" t="s">
        <v>187</v>
      </c>
      <c r="D29" s="24" t="s">
        <v>46</v>
      </c>
      <c r="E29" s="59" t="s">
        <v>188</v>
      </c>
      <c r="F29" s="60" t="s">
        <v>189</v>
      </c>
    </row>
    <row r="30" ht="31.5" customHeight="1">
      <c r="A30" s="57">
        <v>29.0</v>
      </c>
      <c r="B30" s="58" t="s">
        <v>186</v>
      </c>
      <c r="C30" s="58" t="s">
        <v>190</v>
      </c>
      <c r="D30" s="61" t="s">
        <v>191</v>
      </c>
      <c r="E30" s="59" t="s">
        <v>188</v>
      </c>
      <c r="F30" s="60" t="s">
        <v>192</v>
      </c>
    </row>
    <row r="31" ht="27.75" customHeight="1">
      <c r="A31" s="57">
        <v>30.0</v>
      </c>
      <c r="B31" s="58" t="s">
        <v>186</v>
      </c>
      <c r="C31" s="58" t="s">
        <v>193</v>
      </c>
      <c r="D31" s="61" t="s">
        <v>194</v>
      </c>
      <c r="E31" s="59" t="s">
        <v>188</v>
      </c>
      <c r="F31" s="60" t="s">
        <v>195</v>
      </c>
    </row>
    <row r="32" ht="28.5" customHeight="1">
      <c r="A32" s="57">
        <v>31.0</v>
      </c>
      <c r="B32" s="58" t="s">
        <v>186</v>
      </c>
      <c r="C32" s="58" t="s">
        <v>196</v>
      </c>
      <c r="D32" s="61" t="s">
        <v>197</v>
      </c>
      <c r="E32" s="59" t="s">
        <v>188</v>
      </c>
      <c r="F32" s="60" t="s">
        <v>198</v>
      </c>
    </row>
    <row r="33" ht="22.5" customHeight="1">
      <c r="A33" s="57">
        <v>32.0</v>
      </c>
      <c r="B33" s="58" t="s">
        <v>199</v>
      </c>
      <c r="C33" s="58" t="s">
        <v>200</v>
      </c>
      <c r="D33" s="57" t="s">
        <v>46</v>
      </c>
      <c r="E33" s="59" t="s">
        <v>201</v>
      </c>
      <c r="F33" s="60" t="s">
        <v>189</v>
      </c>
    </row>
    <row r="34" ht="22.5" customHeight="1">
      <c r="A34" s="57">
        <v>33.0</v>
      </c>
      <c r="B34" s="58" t="s">
        <v>57</v>
      </c>
      <c r="C34" s="58" t="s">
        <v>202</v>
      </c>
      <c r="D34" s="57" t="s">
        <v>46</v>
      </c>
      <c r="E34" s="59" t="s">
        <v>203</v>
      </c>
      <c r="F34" s="60" t="s">
        <v>189</v>
      </c>
    </row>
    <row r="35" ht="29.25" customHeight="1">
      <c r="A35" s="57">
        <v>34.0</v>
      </c>
      <c r="B35" s="58" t="s">
        <v>57</v>
      </c>
      <c r="C35" s="58" t="s">
        <v>204</v>
      </c>
      <c r="D35" s="61" t="s">
        <v>205</v>
      </c>
      <c r="E35" s="59" t="s">
        <v>203</v>
      </c>
      <c r="F35" s="60" t="s">
        <v>206</v>
      </c>
    </row>
    <row r="36" ht="25.5" customHeight="1">
      <c r="A36" s="57">
        <v>35.0</v>
      </c>
      <c r="B36" s="58" t="s">
        <v>57</v>
      </c>
      <c r="C36" s="58" t="s">
        <v>207</v>
      </c>
      <c r="D36" s="61" t="s">
        <v>208</v>
      </c>
      <c r="E36" s="59" t="s">
        <v>203</v>
      </c>
      <c r="F36" s="60" t="s">
        <v>209</v>
      </c>
    </row>
    <row r="37" ht="22.5" customHeight="1">
      <c r="A37" s="57">
        <v>36.0</v>
      </c>
      <c r="B37" s="58" t="s">
        <v>210</v>
      </c>
      <c r="C37" s="58" t="s">
        <v>211</v>
      </c>
      <c r="D37" s="57" t="s">
        <v>46</v>
      </c>
      <c r="E37" s="59" t="s">
        <v>212</v>
      </c>
      <c r="F37" s="60"/>
    </row>
    <row r="38" ht="22.5" customHeight="1">
      <c r="A38" s="57">
        <v>37.0</v>
      </c>
      <c r="B38" s="58" t="s">
        <v>210</v>
      </c>
      <c r="C38" s="58" t="s">
        <v>213</v>
      </c>
      <c r="D38" s="61"/>
      <c r="E38" s="59" t="s">
        <v>212</v>
      </c>
      <c r="F38" s="60"/>
    </row>
    <row r="39" ht="22.5" customHeight="1">
      <c r="A39" s="57">
        <v>38.0</v>
      </c>
      <c r="B39" s="58" t="s">
        <v>210</v>
      </c>
      <c r="C39" s="58" t="s">
        <v>214</v>
      </c>
      <c r="D39" s="61"/>
      <c r="E39" s="59" t="s">
        <v>212</v>
      </c>
      <c r="F39" s="60"/>
    </row>
    <row r="40" ht="22.5" customHeight="1">
      <c r="A40" s="57">
        <v>39.0</v>
      </c>
      <c r="B40" s="58" t="s">
        <v>210</v>
      </c>
      <c r="C40" s="58" t="s">
        <v>215</v>
      </c>
      <c r="D40" s="61"/>
      <c r="E40" s="59" t="s">
        <v>212</v>
      </c>
      <c r="F40" s="60"/>
    </row>
  </sheetData>
  <dataValidations>
    <dataValidation allowBlank="1" showDropDown="1" sqref="F2:F40"/>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location="slide=id.g3955f29696c_1_0" ref="E37"/>
    <hyperlink r:id="rId37" location="slide=id.g3955f29696c_1_0" ref="E38"/>
    <hyperlink r:id="rId38" location="slide=id.g3955f29696c_1_0" ref="E39"/>
    <hyperlink r:id="rId39" location="slide=id.g3955f29696c_1_0" ref="E40"/>
  </hyperlinks>
  <drawing r:id="rId40"/>
  <tableParts count="1">
    <tablePart r:id="rId4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88"/>
    <col customWidth="1" min="3" max="6" width="37.63"/>
    <col customWidth="1" min="7" max="7" width="18.88"/>
    <col customWidth="1" min="8" max="8" width="51.75"/>
    <col customWidth="1" min="9" max="12" width="18.88"/>
  </cols>
  <sheetData>
    <row r="1" ht="22.5" customHeight="1">
      <c r="A1" s="10" t="s">
        <v>2</v>
      </c>
      <c r="B1" s="10" t="s">
        <v>13</v>
      </c>
      <c r="C1" s="10" t="s">
        <v>15</v>
      </c>
      <c r="D1" s="10" t="s">
        <v>18</v>
      </c>
      <c r="E1" s="10" t="s">
        <v>21</v>
      </c>
      <c r="F1" s="10" t="s">
        <v>23</v>
      </c>
      <c r="H1" s="1" t="s">
        <v>26</v>
      </c>
    </row>
    <row r="2" ht="22.5" hidden="1" customHeight="1">
      <c r="A2" s="21">
        <v>46086.72672193287</v>
      </c>
      <c r="B2" s="22" t="s">
        <v>32</v>
      </c>
      <c r="C2" s="22" t="s">
        <v>34</v>
      </c>
      <c r="D2" s="22" t="s">
        <v>36</v>
      </c>
      <c r="E2" s="22" t="s">
        <v>37</v>
      </c>
      <c r="F2" s="22" t="s">
        <v>38</v>
      </c>
      <c r="H2" s="25" t="s">
        <v>42</v>
      </c>
      <c r="I2" s="27" t="s">
        <v>44</v>
      </c>
    </row>
    <row r="3" ht="22.5" customHeight="1">
      <c r="A3" s="28">
        <v>46087.76676493055</v>
      </c>
      <c r="B3" s="29" t="s">
        <v>47</v>
      </c>
      <c r="C3" s="29" t="s">
        <v>34</v>
      </c>
      <c r="D3" s="29" t="s">
        <v>29</v>
      </c>
      <c r="E3" s="29" t="s">
        <v>53</v>
      </c>
      <c r="F3" s="29" t="s">
        <v>38</v>
      </c>
      <c r="H3" s="30" t="s">
        <v>56</v>
      </c>
    </row>
    <row r="4" ht="22.5" customHeight="1">
      <c r="A4" s="28">
        <v>46090.65566362269</v>
      </c>
      <c r="B4" s="29" t="s">
        <v>59</v>
      </c>
      <c r="C4" s="29" t="s">
        <v>34</v>
      </c>
      <c r="D4" s="29" t="s">
        <v>29</v>
      </c>
      <c r="E4" s="29" t="s">
        <v>62</v>
      </c>
      <c r="F4" s="29" t="s">
        <v>38</v>
      </c>
      <c r="H4" s="35" t="s">
        <v>64</v>
      </c>
      <c r="I4" s="45" t="s">
        <v>65</v>
      </c>
    </row>
    <row r="5" ht="22.5" customHeight="1">
      <c r="A5" s="28">
        <v>46090.71293775463</v>
      </c>
      <c r="B5" s="29" t="s">
        <v>59</v>
      </c>
      <c r="C5" s="29" t="s">
        <v>34</v>
      </c>
      <c r="D5" s="29" t="s">
        <v>29</v>
      </c>
      <c r="E5" s="29" t="s">
        <v>75</v>
      </c>
      <c r="F5" s="29" t="s">
        <v>77</v>
      </c>
      <c r="H5" s="30" t="s">
        <v>78</v>
      </c>
    </row>
    <row r="6" ht="22.5" customHeight="1">
      <c r="A6" s="28">
        <v>46090.73326252315</v>
      </c>
      <c r="B6" s="29" t="s">
        <v>59</v>
      </c>
      <c r="C6" s="29" t="s">
        <v>80</v>
      </c>
      <c r="D6" s="29" t="s">
        <v>29</v>
      </c>
      <c r="E6" s="29" t="s">
        <v>82</v>
      </c>
      <c r="F6" s="29" t="s">
        <v>83</v>
      </c>
      <c r="H6" s="30" t="s">
        <v>84</v>
      </c>
      <c r="I6" s="48" t="s">
        <v>85</v>
      </c>
    </row>
    <row r="7" ht="22.5" customHeight="1">
      <c r="A7" s="28">
        <v>46090.744877997684</v>
      </c>
      <c r="B7" s="29" t="s">
        <v>59</v>
      </c>
      <c r="C7" s="29" t="s">
        <v>80</v>
      </c>
      <c r="D7" s="29" t="s">
        <v>29</v>
      </c>
      <c r="E7" s="29" t="s">
        <v>92</v>
      </c>
      <c r="F7" s="29" t="s">
        <v>77</v>
      </c>
      <c r="H7" s="30" t="s">
        <v>96</v>
      </c>
    </row>
    <row r="8" ht="22.5" customHeight="1">
      <c r="A8" s="28">
        <v>46090.76583392361</v>
      </c>
      <c r="B8" s="29" t="s">
        <v>47</v>
      </c>
      <c r="C8" s="29" t="s">
        <v>34</v>
      </c>
      <c r="D8" s="29" t="s">
        <v>19</v>
      </c>
      <c r="E8" s="29" t="s">
        <v>99</v>
      </c>
      <c r="F8" s="29" t="s">
        <v>38</v>
      </c>
      <c r="H8" s="30" t="str">
        <f>H3</f>
        <v>Revisar con base en la transaction</v>
      </c>
    </row>
    <row r="9" ht="22.5" customHeight="1">
      <c r="A9" s="28">
        <v>46092.73115204861</v>
      </c>
      <c r="B9" s="29" t="s">
        <v>47</v>
      </c>
      <c r="C9" s="29" t="s">
        <v>34</v>
      </c>
      <c r="D9" s="29" t="s">
        <v>19</v>
      </c>
      <c r="E9" s="29" t="s">
        <v>110</v>
      </c>
      <c r="F9" s="29" t="s">
        <v>38</v>
      </c>
      <c r="H9" s="27" t="s">
        <v>113</v>
      </c>
    </row>
    <row r="10" ht="22.5" customHeight="1">
      <c r="A10" s="28">
        <v>46092.74996027778</v>
      </c>
      <c r="B10" s="29" t="s">
        <v>59</v>
      </c>
      <c r="C10" s="29" t="s">
        <v>34</v>
      </c>
      <c r="D10" s="29" t="s">
        <v>29</v>
      </c>
      <c r="E10" s="29" t="s">
        <v>118</v>
      </c>
      <c r="F10" s="29" t="s">
        <v>77</v>
      </c>
      <c r="H10" s="27" t="s">
        <v>122</v>
      </c>
    </row>
  </sheetData>
  <hyperlinks>
    <hyperlink r:id="rId1" ref="I4"/>
    <hyperlink r:id="rId2" location="!/model/model.lakehouse_athena.mart_tpv_daily_by_transaction" ref="I6"/>
  </hyperlinks>
  <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8"/>
    <col customWidth="1" min="2" max="2" width="21.38"/>
    <col customWidth="1" min="4" max="4" width="13.5"/>
  </cols>
  <sheetData>
    <row r="2">
      <c r="B2" s="1"/>
    </row>
    <row r="4">
      <c r="B4" s="2" t="s">
        <v>0</v>
      </c>
      <c r="C4" s="3" t="s">
        <v>1</v>
      </c>
      <c r="D4" s="4"/>
      <c r="E4" s="4"/>
      <c r="F4" s="4"/>
      <c r="G4" s="4"/>
      <c r="H4" s="4"/>
      <c r="I4" s="4"/>
      <c r="J4" s="4"/>
      <c r="K4" s="4"/>
      <c r="L4" s="5"/>
    </row>
    <row r="5">
      <c r="B5" s="6"/>
      <c r="C5" s="8" t="s">
        <v>4</v>
      </c>
      <c r="D5" s="8" t="s">
        <v>5</v>
      </c>
      <c r="E5" s="8" t="s">
        <v>6</v>
      </c>
      <c r="F5" s="8" t="s">
        <v>7</v>
      </c>
      <c r="G5" s="8" t="s">
        <v>8</v>
      </c>
      <c r="H5" s="8" t="s">
        <v>9</v>
      </c>
      <c r="I5" s="8" t="s">
        <v>10</v>
      </c>
      <c r="J5" s="8" t="s">
        <v>11</v>
      </c>
      <c r="K5" s="12" t="s">
        <v>12</v>
      </c>
      <c r="L5" s="8" t="s">
        <v>16</v>
      </c>
    </row>
    <row r="6">
      <c r="B6" s="15" t="s">
        <v>19</v>
      </c>
      <c r="C6" s="18" t="s">
        <v>22</v>
      </c>
      <c r="D6" s="18" t="s">
        <v>22</v>
      </c>
      <c r="E6" s="18" t="s">
        <v>22</v>
      </c>
      <c r="F6" s="20"/>
      <c r="G6" s="20"/>
      <c r="H6" s="20"/>
      <c r="I6" s="20"/>
      <c r="J6" s="20"/>
      <c r="K6" s="18" t="s">
        <v>28</v>
      </c>
      <c r="L6" s="20"/>
    </row>
    <row r="7">
      <c r="B7" s="15" t="s">
        <v>29</v>
      </c>
      <c r="C7" s="18" t="s">
        <v>22</v>
      </c>
      <c r="D7" s="20"/>
      <c r="E7" s="18" t="s">
        <v>28</v>
      </c>
      <c r="F7" s="20"/>
      <c r="G7" s="20"/>
      <c r="H7" s="20"/>
      <c r="I7" s="20"/>
      <c r="J7" s="20"/>
      <c r="K7" s="20"/>
      <c r="L7" s="20"/>
    </row>
    <row r="8">
      <c r="B8" s="15" t="s">
        <v>31</v>
      </c>
      <c r="C8" s="20"/>
      <c r="D8" s="18" t="s">
        <v>28</v>
      </c>
      <c r="E8" s="18" t="s">
        <v>22</v>
      </c>
      <c r="F8" s="20"/>
      <c r="G8" s="20"/>
      <c r="H8" s="20"/>
      <c r="I8" s="20"/>
      <c r="J8" s="20"/>
      <c r="K8" s="20"/>
      <c r="L8" s="20"/>
    </row>
    <row r="9">
      <c r="B9" s="15" t="s">
        <v>33</v>
      </c>
      <c r="C9" s="18" t="s">
        <v>35</v>
      </c>
      <c r="D9" s="18" t="s">
        <v>35</v>
      </c>
      <c r="E9" s="18" t="s">
        <v>35</v>
      </c>
      <c r="F9" s="18" t="s">
        <v>35</v>
      </c>
      <c r="G9" s="18" t="s">
        <v>35</v>
      </c>
      <c r="H9" s="18" t="s">
        <v>35</v>
      </c>
      <c r="I9" s="18" t="s">
        <v>35</v>
      </c>
      <c r="J9" s="18" t="s">
        <v>35</v>
      </c>
      <c r="K9" s="20"/>
      <c r="L9" s="20"/>
    </row>
    <row r="10">
      <c r="B10" s="15" t="s">
        <v>36</v>
      </c>
      <c r="C10" s="18" t="s">
        <v>22</v>
      </c>
      <c r="D10" s="20"/>
      <c r="E10" s="20"/>
      <c r="F10" s="18" t="s">
        <v>28</v>
      </c>
      <c r="G10" s="20"/>
      <c r="H10" s="20"/>
      <c r="I10" s="20"/>
      <c r="J10" s="20"/>
      <c r="K10" s="20"/>
      <c r="L10" s="18" t="s">
        <v>39</v>
      </c>
    </row>
    <row r="11">
      <c r="B11" s="15" t="s">
        <v>40</v>
      </c>
      <c r="C11" s="18" t="s">
        <v>22</v>
      </c>
      <c r="D11" s="20"/>
      <c r="E11" s="20"/>
      <c r="F11" s="20"/>
      <c r="G11" s="18" t="s">
        <v>28</v>
      </c>
      <c r="H11" s="20"/>
      <c r="I11" s="20"/>
      <c r="J11" s="20"/>
      <c r="K11" s="20"/>
      <c r="L11" s="18" t="s">
        <v>39</v>
      </c>
    </row>
    <row r="12">
      <c r="B12" s="15" t="s">
        <v>43</v>
      </c>
      <c r="C12" s="18" t="s">
        <v>22</v>
      </c>
      <c r="D12" s="20"/>
      <c r="E12" s="20"/>
      <c r="F12" s="20"/>
      <c r="G12" s="20"/>
      <c r="H12" s="18" t="s">
        <v>28</v>
      </c>
      <c r="I12" s="20"/>
      <c r="J12" s="20"/>
      <c r="K12" s="20"/>
      <c r="L12" s="18" t="s">
        <v>39</v>
      </c>
    </row>
    <row r="13">
      <c r="B13" s="15" t="s">
        <v>48</v>
      </c>
      <c r="C13" s="18" t="s">
        <v>22</v>
      </c>
      <c r="D13" s="20"/>
      <c r="E13" s="20"/>
      <c r="F13" s="20"/>
      <c r="G13" s="20"/>
      <c r="H13" s="20"/>
      <c r="I13" s="18" t="s">
        <v>28</v>
      </c>
      <c r="J13" s="20"/>
      <c r="K13" s="20"/>
      <c r="L13" s="18" t="s">
        <v>39</v>
      </c>
    </row>
    <row r="14">
      <c r="B14" s="15" t="s">
        <v>51</v>
      </c>
      <c r="C14" s="18" t="s">
        <v>22</v>
      </c>
      <c r="D14" s="18" t="s">
        <v>22</v>
      </c>
      <c r="E14" s="18" t="s">
        <v>22</v>
      </c>
      <c r="F14" s="20"/>
      <c r="G14" s="20"/>
      <c r="H14" s="20"/>
      <c r="I14" s="20"/>
      <c r="J14" s="18" t="s">
        <v>28</v>
      </c>
      <c r="K14" s="20"/>
      <c r="L14" s="18" t="s">
        <v>39</v>
      </c>
    </row>
    <row r="15">
      <c r="B15" s="15" t="s">
        <v>54</v>
      </c>
      <c r="C15" s="18" t="s">
        <v>22</v>
      </c>
      <c r="D15" s="18" t="s">
        <v>22</v>
      </c>
      <c r="E15" s="18" t="s">
        <v>22</v>
      </c>
      <c r="F15" s="20"/>
      <c r="G15" s="20"/>
      <c r="H15" s="20"/>
      <c r="I15" s="18" t="s">
        <v>28</v>
      </c>
      <c r="J15" s="18" t="s">
        <v>22</v>
      </c>
      <c r="K15" s="20"/>
      <c r="L15" s="18" t="s">
        <v>39</v>
      </c>
    </row>
    <row r="16">
      <c r="B16" s="15" t="s">
        <v>57</v>
      </c>
      <c r="C16" s="18" t="s">
        <v>28</v>
      </c>
      <c r="D16" s="20"/>
      <c r="E16" s="20"/>
      <c r="F16" s="20"/>
      <c r="G16" s="20"/>
      <c r="H16" s="20"/>
      <c r="I16" s="20"/>
      <c r="J16" s="20"/>
      <c r="K16" s="20"/>
      <c r="L16" s="20"/>
    </row>
    <row r="18" ht="31.5" customHeight="1">
      <c r="B18" s="32" t="s">
        <v>61</v>
      </c>
      <c r="C18" s="33"/>
    </row>
    <row r="19" ht="31.5" customHeight="1">
      <c r="B19" s="34" t="s">
        <v>63</v>
      </c>
      <c r="C19" s="36"/>
    </row>
    <row r="20" ht="31.5" customHeight="1">
      <c r="B20" s="34" t="s">
        <v>66</v>
      </c>
      <c r="C20" s="38"/>
    </row>
    <row r="21" ht="31.5" customHeight="1">
      <c r="B21" s="40" t="s">
        <v>68</v>
      </c>
      <c r="C21" s="41"/>
    </row>
  </sheetData>
  <mergeCells count="2">
    <mergeCell ref="B4:B5"/>
    <mergeCell ref="C4:L4"/>
  </mergeCells>
  <conditionalFormatting sqref="C6:L16">
    <cfRule type="containsText" dxfId="7" priority="1" operator="containsText" text="X">
      <formula>NOT(ISERROR(SEARCH(("X"),(C6))))</formula>
    </cfRule>
  </conditionalFormatting>
  <conditionalFormatting sqref="C6:L16">
    <cfRule type="containsText" dxfId="8" priority="2" operator="containsText" text="/">
      <formula>NOT(ISERROR(SEARCH(("/"),(C6))))</formula>
    </cfRule>
  </conditionalFormatting>
  <conditionalFormatting sqref="C6:L16">
    <cfRule type="cellIs" dxfId="9" priority="3" operator="equal">
      <formula>"Y"</formula>
    </cfRule>
  </conditionalFormatting>
  <conditionalFormatting sqref="C6:L16">
    <cfRule type="cellIs" dxfId="10" priority="4" operator="equal">
      <formula>"Z"</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 customWidth="1" min="2" max="3" width="23.63"/>
    <col customWidth="1" min="4" max="4" width="57.38"/>
    <col customWidth="1" min="5" max="6" width="23.63"/>
  </cols>
  <sheetData>
    <row r="1">
      <c r="A1" s="62" t="str">
        <f>IFERROR(__xludf.DUMMYFUNCTION("IMPORTRANGE(""https://docs.google.com/spreadsheets/d/1vKB7jk6-LV_POkrbOd2XTmMdnV4BnJW9k-sUUvYQA1c/edit?gid=1634043888#gid=1634043888"",""Respuestas del formulario!A:F"")"),"¿Tienes una pregunta de Negocio que quisieras responder o has presentado algún hallazgo de calidad sobre los datos?")</f>
        <v>¿Tienes una pregunta de Negocio que quisieras responder o has presentado algún hallazgo de calidad sobre los datos?</v>
      </c>
      <c r="B1" s="62" t="str">
        <f>IFERROR(__xludf.DUMMYFUNCTION("""COMPUTED_VALUE"""),"¿Sobre qué dominio / Mart haces el soporte?")</f>
        <v>¿Sobre qué dominio / Mart haces el soporte?</v>
      </c>
      <c r="C1" s="62" t="str">
        <f>IFERROR(__xludf.DUMMYFUNCTION("""COMPUTED_VALUE"""),"¿Cuál es la pregunta de Negocio a responder o cual el hallazgo sobre la calidad del dato que has encontrado?")</f>
        <v>¿Cuál es la pregunta de Negocio a responder o cual el hallazgo sobre la calidad del dato que has encontrado?</v>
      </c>
      <c r="D1" s="62" t="str">
        <f>IFERROR(__xludf.DUMMYFUNCTION("""COMPUTED_VALUE"""),"Frente a la prioridad: ¿Cómo defines el nivel de urgencia del soporte que levantas frente?")</f>
        <v>Frente a la prioridad: ¿Cómo defines el nivel de urgencia del soporte que levantas frente?</v>
      </c>
      <c r="E1" s="62" t="str">
        <f>IFERROR(__xludf.DUMMYFUNCTION("""COMPUTED_VALUE"""),"Enviado por")</f>
        <v>Enviado por</v>
      </c>
      <c r="F1" s="62" t="str">
        <f>IFERROR(__xludf.DUMMYFUNCTION("""COMPUTED_VALUE"""),"Sello de tiempo")</f>
        <v>Sello de tiempo</v>
      </c>
      <c r="G1" s="62"/>
      <c r="H1" s="62"/>
      <c r="I1" s="62"/>
      <c r="J1" s="62"/>
      <c r="K1" s="62"/>
      <c r="L1" s="62"/>
      <c r="M1" s="62"/>
      <c r="N1" s="62"/>
      <c r="O1" s="62"/>
      <c r="P1" s="62"/>
      <c r="Q1" s="62"/>
      <c r="R1" s="62"/>
      <c r="S1" s="62"/>
      <c r="T1" s="62"/>
      <c r="U1" s="62"/>
      <c r="V1" s="62"/>
      <c r="W1" s="62"/>
      <c r="X1" s="62"/>
      <c r="Y1" s="62"/>
      <c r="Z1" s="62"/>
    </row>
    <row r="2">
      <c r="A2" s="63" t="str">
        <f>IFERROR(__xludf.DUMMYFUNCTION("""COMPUTED_VALUE"""),"Hallazgo de calidad del dato")</f>
        <v>Hallazgo de calidad del dato</v>
      </c>
      <c r="B2" s="63" t="str">
        <f>IFERROR(__xludf.DUMMYFUNCTION("""COMPUTED_VALUE"""),"Payments")</f>
        <v>Payments</v>
      </c>
      <c r="C2" s="63" t="str">
        <f>IFERROR(__xludf.DUMMYFUNCTION("""COMPUTED_VALUE"""),"Test")</f>
        <v>Test</v>
      </c>
      <c r="D2" s="63" t="str">
        <f>IFERROR(__xludf.DUMMYFUNCTION("""COMPUTED_VALUE"""),"Puedo seguir avanzando, aun no con configura un bloqueo :bangbang:")</f>
        <v>Puedo seguir avanzando, aun no con configura un bloqueo :bangbang:</v>
      </c>
      <c r="E2" s="63" t="str">
        <f>IFERROR(__xludf.DUMMYFUNCTION("""COMPUTED_VALUE"""),"Héctor Francisco Medina Rey")</f>
        <v>Héctor Francisco Medina Rey</v>
      </c>
      <c r="F2" s="65">
        <f>IFERROR(__xludf.DUMMYFUNCTION("""COMPUTED_VALUE"""),46093.788564814815)</f>
        <v>46093.78856</v>
      </c>
    </row>
    <row r="3">
      <c r="A3" s="63" t="str">
        <f>IFERROR(__xludf.DUMMYFUNCTION("""COMPUTED_VALUE"""),"Hallazgo de calidad del dato")</f>
        <v>Hallazgo de calidad del dato</v>
      </c>
      <c r="B3" s="63" t="str">
        <f>IFERROR(__xludf.DUMMYFUNCTION("""COMPUTED_VALUE"""),"Payments")</f>
        <v>Payments</v>
      </c>
      <c r="C3" s="63" t="str">
        <f>IFERROR(__xludf.DUMMYFUNCTION("""COMPUTED_VALUE"""),"prueba")</f>
        <v>prueba</v>
      </c>
      <c r="D3" s="63" t="str">
        <f>IFERROR(__xludf.DUMMYFUNCTION("""COMPUTED_VALUE"""),"No puedo avanzar, estoy bloqueado para continuar :alert:")</f>
        <v>No puedo avanzar, estoy bloqueado para continuar :alert:</v>
      </c>
      <c r="E3" s="63" t="str">
        <f>IFERROR(__xludf.DUMMYFUNCTION("""COMPUTED_VALUE"""),"Nicolás Santos Moreno")</f>
        <v>Nicolás Santos Moreno</v>
      </c>
      <c r="F3" s="65">
        <f>IFERROR(__xludf.DUMMYFUNCTION("""COMPUTED_VALUE"""),46093.80671296296)</f>
        <v>46093.80671</v>
      </c>
    </row>
    <row r="4">
      <c r="A4" s="63" t="str">
        <f>IFERROR(__xludf.DUMMYFUNCTION("""COMPUTED_VALUE"""),"Pregunta de negocio que quiero aprender a responder")</f>
        <v>Pregunta de negocio que quiero aprender a responder</v>
      </c>
      <c r="B4" s="63" t="str">
        <f>IFERROR(__xludf.DUMMYFUNCTION("""COMPUTED_VALUE"""),"Deposit")</f>
        <v>Deposit</v>
      </c>
      <c r="C4" s="63" t="str">
        <f>IFERROR(__xludf.DUMMYFUNCTION("""COMPUTED_VALUE"""),"Test")</f>
        <v>Test</v>
      </c>
      <c r="D4" s="63" t="str">
        <f>IFERROR(__xludf.DUMMYFUNCTION("""COMPUTED_VALUE"""),"No puedo avanzar, estoy bloqueado para continuar :alert:")</f>
        <v>No puedo avanzar, estoy bloqueado para continuar :alert:</v>
      </c>
      <c r="E4" s="63" t="str">
        <f>IFERROR(__xludf.DUMMYFUNCTION("""COMPUTED_VALUE"""),"Luz Edith Gúzman Espitia")</f>
        <v>Luz Edith Gúzman Espitia</v>
      </c>
      <c r="F4" s="65">
        <f>IFERROR(__xludf.DUMMYFUNCTION("""COMPUTED_VALUE"""),46093.814733796295)</f>
        <v>46093.81473</v>
      </c>
    </row>
    <row r="5">
      <c r="A5" s="63" t="str">
        <f>IFERROR(__xludf.DUMMYFUNCTION("""COMPUTED_VALUE"""),"Pregunta de negocio que quiero aprender a responder")</f>
        <v>Pregunta de negocio que quiero aprender a responder</v>
      </c>
      <c r="B5" s="63" t="str">
        <f>IFERROR(__xludf.DUMMYFUNCTION("""COMPUTED_VALUE"""),"Payments")</f>
        <v>Payments</v>
      </c>
      <c r="C5" s="63" t="str">
        <f>IFERROR(__xludf.DUMMYFUNCTION("""COMPUTED_VALUE"""),"Hola equipo pregunta,
Esta tabla solo contempla las transacciones aprobadas si? Es que no veo el status de la transacción o no se si, si esta pero no se cual es la columna.")</f>
        <v>Hola equipo pregunta,
Esta tabla solo contempla las transacciones aprobadas si? Es que no veo el status de la transacción o no se si, si esta pero no se cual es la columna.</v>
      </c>
      <c r="D5" s="63" t="str">
        <f>IFERROR(__xludf.DUMMYFUNCTION("""COMPUTED_VALUE"""),"Puedo seguir avanzando, aun no con configura un bloqueo :bangbang:")</f>
        <v>Puedo seguir avanzando, aun no con configura un bloqueo :bangbang:</v>
      </c>
      <c r="E5" s="63" t="str">
        <f>IFERROR(__xludf.DUMMYFUNCTION("""COMPUTED_VALUE"""),"Melisssa Correa")</f>
        <v>Melisssa Correa</v>
      </c>
      <c r="F5" s="65">
        <f>IFERROR(__xludf.DUMMYFUNCTION("""COMPUTED_VALUE"""),46105.86269675926)</f>
        <v>46105.8627</v>
      </c>
    </row>
    <row r="6">
      <c r="A6" s="63" t="str">
        <f>IFERROR(__xludf.DUMMYFUNCTION("""COMPUTED_VALUE"""),"Pregunta de negocio que quiero aprender a responder")</f>
        <v>Pregunta de negocio que quiero aprender a responder</v>
      </c>
      <c r="B6" s="63" t="str">
        <f>IFERROR(__xludf.DUMMYFUNCTION("""COMPUTED_VALUE"""),"Payments")</f>
        <v>Payments</v>
      </c>
      <c r="C6" s="63" t="str">
        <f>IFERROR(__xludf.DUMMYFUNCTION("""COMPUTED_VALUE"""),"Buen día, quisiera saber cual es la forma de agrupar el TPV correctamente por producto. Lo venimos manejando así (parte de la consulta agrupando producto transaccional), pero veo que se duplica el QR en los datafonos, podríamos ver si tal  vez los estoy v"&amp;"iendo mal.
CASE when t.payment_type = 'PAY_BY_LINK'                                                        then 'LINK'
	 when t.payment_type = 'PAY_BY_BTN'                                                      	then 'BOTON'    
     when t.payment_method_"&amp;"_type in ('NEQUI', 'DAVIPLATA')                                   	then 'WALLETS'
	 when t.payment_method__type in ('QR_BOLD')                                              	then 'QR'   
	 when t.payment_type in ('SOFT_POS')                                "&amp;"                     	then 'DATAFONO' --'SOFTPOS'
	 when t.payment_type in ('POS') and t.model in ('QPOS','QPOS_CUTE','QPOS_MINI')             then 'DATAFONO' --'NEO'
     when t.payment_type in ('POS') and t.model in ('QPOS_PLUS')                        "&amp;"     	then 'DATAFONO' --'PLUS'
	 when t.payment_type in ('POS') and t.model in ('D20')                                   	then 'DATAFONO' --'SMART'
	 when t.payment_type in ('POS') and t.model in ('N86')                                   	then 'DATAFONO' "&amp;"--'SMART_PRO'
	 		else t.payment_type end as dispositivo_transaccional")</f>
        <v>Buen día, quisiera saber cual es la forma de agrupar el TPV correctamente por producto. Lo venimos manejando así (parte de la consulta agrupando producto transaccional), pero veo que se duplica el QR en los datafonos, podríamos ver si tal  vez los estoy viendo mal.
CASE when t.payment_type = 'PAY_BY_LINK'                                                        then 'LINK'
	 when t.payment_type = 'PAY_BY_BTN'                                                      	then 'BOTON'    
     when t.payment_method__type in ('NEQUI', 'DAVIPLATA')                                   	then 'WALLETS'
	 when t.payment_method__type in ('QR_BOLD')                                              	then 'QR'   
	 when t.payment_type in ('SOFT_POS')                                                     	then 'DATAFONO' --'SOFTPOS'
	 when t.payment_type in ('POS') and t.model in ('QPOS','QPOS_CUTE','QPOS_MINI')             then 'DATAFONO' --'NEO'
     when t.payment_type in ('POS') and t.model in ('QPOS_PLUS')                             	then 'DATAFONO' --'PLUS'
	 when t.payment_type in ('POS') and t.model in ('D20')                                   	then 'DATAFONO' --'SMART'
	 when t.payment_type in ('POS') and t.model in ('N86')                                   	then 'DATAFONO' --'SMART_PRO'
	 		else t.payment_type end as dispositivo_transaccional</v>
      </c>
      <c r="D6" s="63" t="str">
        <f>IFERROR(__xludf.DUMMYFUNCTION("""COMPUTED_VALUE"""),"No puedo avanzar, estoy bloqueado para continuar :alert:")</f>
        <v>No puedo avanzar, estoy bloqueado para continuar :alert:</v>
      </c>
      <c r="E6" s="63" t="str">
        <f>IFERROR(__xludf.DUMMYFUNCTION("""COMPUTED_VALUE"""),"Melisssa Correa")</f>
        <v>Melisssa Correa</v>
      </c>
      <c r="F6" s="65">
        <f>IFERROR(__xludf.DUMMYFUNCTION("""COMPUTED_VALUE"""),46105.95282407408)</f>
        <v>46105.95282</v>
      </c>
    </row>
    <row r="7">
      <c r="A7" s="63" t="str">
        <f>IFERROR(__xludf.DUMMYFUNCTION("""COMPUTED_VALUE"""),"Pregunta de negocio que quiero aprender a responder")</f>
        <v>Pregunta de negocio que quiero aprender a responder</v>
      </c>
      <c r="B7" s="63" t="str">
        <f>IFERROR(__xludf.DUMMYFUNCTION("""COMPUTED_VALUE"""),"Deposit")</f>
        <v>Deposit</v>
      </c>
      <c r="C7" s="63" t="str">
        <f>IFERROR(__xludf.DUMMYFUNCTION("""COMPUTED_VALUE"""),"Hola equipo, 
Tengo duda de como se esta calculando los balances de un día a otro, encontramos ciertas diferencias pero nos gustaria antes entender como se hace el calculo")</f>
        <v>Hola equipo, 
Tengo duda de como se esta calculando los balances de un día a otro, encontramos ciertas diferencias pero nos gustaria antes entender como se hace el calculo</v>
      </c>
      <c r="D7" s="63" t="str">
        <f>IFERROR(__xludf.DUMMYFUNCTION("""COMPUTED_VALUE"""),"Puedo seguir avanzando, aun no con configura un bloqueo :bangbang:")</f>
        <v>Puedo seguir avanzando, aun no con configura un bloqueo :bangbang:</v>
      </c>
      <c r="E7" s="63" t="str">
        <f>IFERROR(__xludf.DUMMYFUNCTION("""COMPUTED_VALUE"""),"Melisssa Correa")</f>
        <v>Melisssa Correa</v>
      </c>
      <c r="F7" s="65">
        <f>IFERROR(__xludf.DUMMYFUNCTION("""COMPUTED_VALUE"""),46112.00362268519)</f>
        <v>46112.00362</v>
      </c>
    </row>
    <row r="8">
      <c r="A8" s="63" t="str">
        <f>IFERROR(__xludf.DUMMYFUNCTION("""COMPUTED_VALUE"""),"Hallazgo de calidad del dato")</f>
        <v>Hallazgo de calidad del dato</v>
      </c>
      <c r="B8" s="63" t="str">
        <f>IFERROR(__xludf.DUMMYFUNCTION("""COMPUTED_VALUE"""),"Credit Card")</f>
        <v>Credit Card</v>
      </c>
      <c r="C8" s="63" t="str">
        <f>IFERROR(__xludf.DUMMYFUNCTION("""COMPUTED_VALUE"""),"Hay clientes que registran con días de mora, pero según la info de otros campos, en realidad no han hecho uso de la tarjeta, por ejemplo en el % de utilización del cupo de la tarjeta tienen 0 y el cupo aprobado y disponible tienen el mismo monto
Ejemplos"&amp;" 
client_id
KL48FE8IO8
E75FGTYDRS
TWYIWIWZP1
Adicional a lo anterior, vemos también que ningún registro trae fechas de solicitud, ni fechas de entrega de la tarjeta, aun si su estado es ISSUING_REQUESTED, ISSUING_FINALIZED o ACTIVATED")</f>
        <v>Hay clientes que registran con días de mora, pero según la info de otros campos, en realidad no han hecho uso de la tarjeta, por ejemplo en el % de utilización del cupo de la tarjeta tienen 0 y el cupo aprobado y disponible tienen el mismo monto
Ejemplos 
client_id
KL48FE8IO8
E75FGTYDRS
TWYIWIWZP1
Adicional a lo anterior, vemos también que ningún registro trae fechas de solicitud, ni fechas de entrega de la tarjeta, aun si su estado es ISSUING_REQUESTED, ISSUING_FINALIZED o ACTIVATED</v>
      </c>
      <c r="D8" s="63" t="str">
        <f>IFERROR(__xludf.DUMMYFUNCTION("""COMPUTED_VALUE"""),"No es urgente. No representa un bloqueo en la actividad :exclamation:")</f>
        <v>No es urgente. No representa un bloqueo en la actividad :exclamation:</v>
      </c>
      <c r="E8" s="63" t="str">
        <f>IFERROR(__xludf.DUMMYFUNCTION("""COMPUTED_VALUE"""),"Luz Edith Gúzman Espitia")</f>
        <v>Luz Edith Gúzman Espitia</v>
      </c>
      <c r="F8" s="65">
        <f>IFERROR(__xludf.DUMMYFUNCTION("""COMPUTED_VALUE"""),46113.537094907406)</f>
        <v>46113.53709</v>
      </c>
    </row>
    <row r="9">
      <c r="A9" s="63" t="str">
        <f>IFERROR(__xludf.DUMMYFUNCTION("""COMPUTED_VALUE"""),"Hallazgo de calidad del dato")</f>
        <v>Hallazgo de calidad del dato</v>
      </c>
      <c r="B9" s="63" t="str">
        <f>IFERROR(__xludf.DUMMYFUNCTION("""COMPUTED_VALUE"""),"Pocket")</f>
        <v>Pocket</v>
      </c>
      <c r="C9" s="63" t="str">
        <f>IFERROR(__xludf.DUMMYFUNCTION("""COMPUTED_VALUE"""),"Entiendo que un bolsillo no debería tener saldo negativo, ya que no se pueden retirar más fondos de los disponibles, sin embargo, existen valores negativos en el balance, los movimientos muestran valores de retiro mayores al balance del día anterior del b"&amp;"olsillo.
Ejemplo pocket_id = '63ce730a-ecb4-478f-b291-84b15f6331e7'
Quisiera confirmar igual si tal vez  existe algún acuerdo o funcionalidad que permita saldos negativos")</f>
        <v>Entiendo que un bolsillo no debería tener saldo negativo, ya que no se pueden retirar más fondos de los disponibles, sin embargo, existen valores negativos en el balance, los movimientos muestran valores de retiro mayores al balance del día anterior del bolsillo.
Ejemplo pocket_id = '63ce730a-ecb4-478f-b291-84b15f6331e7'
Quisiera confirmar igual si tal vez  existe algún acuerdo o funcionalidad que permita saldos negativos</v>
      </c>
      <c r="D9" s="63" t="str">
        <f>IFERROR(__xludf.DUMMYFUNCTION("""COMPUTED_VALUE"""),"Puedo seguir avanzando, aun no con configura un bloqueo :bangbang:")</f>
        <v>Puedo seguir avanzando, aun no con configura un bloqueo :bangbang:</v>
      </c>
      <c r="E9" s="63" t="str">
        <f>IFERROR(__xludf.DUMMYFUNCTION("""COMPUTED_VALUE"""),"Luz Edith Gúzman Espitia")</f>
        <v>Luz Edith Gúzman Espitia</v>
      </c>
      <c r="F9" s="65">
        <f>IFERROR(__xludf.DUMMYFUNCTION("""COMPUTED_VALUE"""),46113.6322337963)</f>
        <v>46113.63223</v>
      </c>
    </row>
    <row r="10">
      <c r="A10" s="63" t="str">
        <f>IFERROR(__xludf.DUMMYFUNCTION("""COMPUTED_VALUE"""),"Hallazgo de calidad del dato")</f>
        <v>Hallazgo de calidad del dato</v>
      </c>
      <c r="B10" s="63" t="str">
        <f>IFERROR(__xludf.DUMMYFUNCTION("""COMPUTED_VALUE"""),"Loan")</f>
        <v>Loan</v>
      </c>
      <c r="C10" s="63" t="str">
        <f>IFERROR(__xludf.DUMMYFUNCTION("""COMPUTED_VALUE"""),"Identificamos que unos pocos registros tienen un monto desembolsado mayor al monto aprobado a la fecha, esto ocurre porque para estos registros el monto aprobado a la fecha sale con valor de  1
Ejemplo:
Merchant:
CEDSP1C4WP
3KM877CQLQ
5M7L90PTVZ
Cuando"&amp;" tomamos el campo init_amount_approved también tenemos casos y es porque estos registros si tienen un monto aprobado mayor en el campo amount_approved_to_date. Quisiéramos entender a qué hace referencia el valor de 1 que aparece para los comercios relacio"&amp;"nados")</f>
        <v>Identificamos que unos pocos registros tienen un monto desembolsado mayor al monto aprobado a la fecha, esto ocurre porque para estos registros el monto aprobado a la fecha sale con valor de  1
Ejemplo:
Merchant:
CEDSP1C4WP
3KM877CQLQ
5M7L90PTVZ
Cuando tomamos el campo init_amount_approved también tenemos casos y es porque estos registros si tienen un monto aprobado mayor en el campo amount_approved_to_date. Quisiéramos entender a qué hace referencia el valor de 1 que aparece para los comercios relacionados</v>
      </c>
      <c r="D10" s="63" t="str">
        <f>IFERROR(__xludf.DUMMYFUNCTION("""COMPUTED_VALUE"""),"No es urgente. No representa un bloqueo en la actividad :exclamation:")</f>
        <v>No es urgente. No representa un bloqueo en la actividad :exclamation:</v>
      </c>
      <c r="E10" s="63" t="str">
        <f>IFERROR(__xludf.DUMMYFUNCTION("""COMPUTED_VALUE"""),"Luz Edith Gúzman Espitia")</f>
        <v>Luz Edith Gúzman Espitia</v>
      </c>
      <c r="F10" s="65">
        <f>IFERROR(__xludf.DUMMYFUNCTION("""COMPUTED_VALUE"""),46118.64045138889)</f>
        <v>46118.64045</v>
      </c>
    </row>
    <row r="11">
      <c r="A11" s="63" t="str">
        <f>IFERROR(__xludf.DUMMYFUNCTION("""COMPUTED_VALUE"""),"Hallazgo de calidad del dato")</f>
        <v>Hallazgo de calidad del dato</v>
      </c>
      <c r="B11" s="63" t="str">
        <f>IFERROR(__xludf.DUMMYFUNCTION("""COMPUTED_VALUE"""),"Merchant")</f>
        <v>Merchant</v>
      </c>
      <c r="C11" s="63" t="str">
        <f>IFERROR(__xludf.DUMMYFUNCTION("""COMPUTED_VALUE"""),"El merchant L2HUO9QR6Q no registra fecha en el campo _1st_online_api_transaction_approved_date en la mart_merchant_enrich; sin embargo al validar en la mart_tpv_daily_by_transaction se evidencia que el merchant si ha tenido transacciones por ONLINE_API_IN"&amp;"TEGRATION")</f>
        <v>El merchant L2HUO9QR6Q no registra fecha en el campo _1st_online_api_transaction_approved_date en la mart_merchant_enrich; sin embargo al validar en la mart_tpv_daily_by_transaction se evidencia que el merchant si ha tenido transacciones por ONLINE_API_INTEGRATION</v>
      </c>
      <c r="D11" s="63" t="str">
        <f>IFERROR(__xludf.DUMMYFUNCTION("""COMPUTED_VALUE"""),"Puedo seguir avanzando, aun no con configura un bloqueo :bangbang:")</f>
        <v>Puedo seguir avanzando, aun no con configura un bloqueo :bangbang:</v>
      </c>
      <c r="E11" s="63" t="str">
        <f>IFERROR(__xludf.DUMMYFUNCTION("""COMPUTED_VALUE"""),"Luz Edith Gúzman Espitia")</f>
        <v>Luz Edith Gúzman Espitia</v>
      </c>
      <c r="F11" s="65">
        <f>IFERROR(__xludf.DUMMYFUNCTION("""COMPUTED_VALUE"""),46139.55773148148)</f>
        <v>46139.55773</v>
      </c>
    </row>
    <row r="12">
      <c r="A12" s="63" t="str">
        <f>IFERROR(__xludf.DUMMYFUNCTION("""COMPUTED_VALUE"""),"Pregunta de negocio que quiero aprender a responder")</f>
        <v>Pregunta de negocio que quiero aprender a responder</v>
      </c>
      <c r="B12" s="63" t="str">
        <f>IFERROR(__xludf.DUMMYFUNCTION("""COMPUTED_VALUE"""),"Payments")</f>
        <v>Payments</v>
      </c>
      <c r="C12" s="63" t="str">
        <f>IFERROR(__xludf.DUMMYFUNCTION("""COMPUTED_VALUE"""),"Buenas tardes equipo, espero se encuentren bien,
Me pueden ayudar con esta pregunta, necesitamos mapear el plan name por merchant en su 1tx (es decir el plan con el que nace el comercio), sin embargo, se observa que en la tabla mart tpv daily by transact"&amp;"ion  hay comercios como los siguientes 29M4W1CYQ8 , PA80NXKNGV,  tienen asociado QR_BOLD como plan name y no sabemos si este movimiento clasifica como D+0, D+1 o D + OTROS BANCOS,
Nos dan una mano con esta pregunta, gracias.")</f>
        <v>Buenas tardes equipo, espero se encuentren bien,
Me pueden ayudar con esta pregunta, necesitamos mapear el plan name por merchant en su 1tx (es decir el plan con el que nace el comercio), sin embargo, se observa que en la tabla mart tpv daily by transaction  hay comercios como los siguientes 29M4W1CYQ8 , PA80NXKNGV,  tienen asociado QR_BOLD como plan name y no sabemos si este movimiento clasifica como D+0, D+1 o D + OTROS BANCOS,
Nos dan una mano con esta pregunta, gracias.</v>
      </c>
      <c r="D12" s="63" t="str">
        <f>IFERROR(__xludf.DUMMYFUNCTION("""COMPUTED_VALUE"""),"No puedo avanzar, estoy bloqueado para continuar :alert:")</f>
        <v>No puedo avanzar, estoy bloqueado para continuar :alert:</v>
      </c>
      <c r="E12" s="63" t="str">
        <f>IFERROR(__xludf.DUMMYFUNCTION("""COMPUTED_VALUE"""),"Fabian José Garcia Ordosgoitia")</f>
        <v>Fabian José Garcia Ordosgoitia</v>
      </c>
      <c r="F12" s="65">
        <f>IFERROR(__xludf.DUMMYFUNCTION("""COMPUTED_VALUE"""),46149.86738425926)</f>
        <v>46149.86738</v>
      </c>
    </row>
    <row r="13">
      <c r="A13" s="63"/>
      <c r="B13" s="63"/>
      <c r="C13" s="63"/>
      <c r="D13" s="63"/>
      <c r="E13" s="63"/>
      <c r="F13" s="63"/>
    </row>
    <row r="14">
      <c r="A14" s="63"/>
      <c r="B14" s="63"/>
      <c r="C14" s="63"/>
      <c r="D14" s="63"/>
      <c r="E14" s="63"/>
      <c r="F14" s="63"/>
    </row>
    <row r="15">
      <c r="A15" s="63"/>
      <c r="B15" s="63"/>
      <c r="C15" s="63"/>
      <c r="D15" s="63"/>
      <c r="E15" s="63"/>
      <c r="F15" s="63"/>
    </row>
    <row r="16">
      <c r="A16" s="63"/>
      <c r="B16" s="63"/>
      <c r="C16" s="63"/>
      <c r="D16" s="63"/>
      <c r="E16" s="63"/>
      <c r="F16" s="63"/>
    </row>
    <row r="17">
      <c r="A17" s="63"/>
      <c r="B17" s="63"/>
      <c r="C17" s="63"/>
      <c r="D17" s="63"/>
      <c r="E17" s="63"/>
      <c r="F17" s="63"/>
    </row>
    <row r="18">
      <c r="A18" s="63"/>
      <c r="B18" s="63"/>
      <c r="C18" s="63"/>
      <c r="D18" s="63"/>
      <c r="E18" s="63"/>
      <c r="F18" s="63"/>
    </row>
    <row r="19">
      <c r="A19" s="63"/>
      <c r="B19" s="63"/>
      <c r="C19" s="63"/>
      <c r="D19" s="63"/>
      <c r="E19" s="63"/>
      <c r="F19" s="63"/>
    </row>
    <row r="20">
      <c r="A20" s="63"/>
      <c r="B20" s="63"/>
      <c r="C20" s="63"/>
      <c r="D20" s="63"/>
      <c r="E20" s="63"/>
      <c r="F20" s="63"/>
    </row>
    <row r="21">
      <c r="A21" s="63"/>
      <c r="B21" s="63"/>
      <c r="C21" s="63"/>
      <c r="D21" s="63"/>
      <c r="E21" s="63"/>
      <c r="F21" s="63"/>
    </row>
    <row r="22">
      <c r="A22" s="63"/>
      <c r="B22" s="63"/>
      <c r="C22" s="63"/>
      <c r="D22" s="63"/>
      <c r="E22" s="63"/>
      <c r="F22" s="63"/>
    </row>
    <row r="23">
      <c r="A23" s="63"/>
      <c r="B23" s="63"/>
      <c r="C23" s="63"/>
      <c r="D23" s="63"/>
      <c r="E23" s="63"/>
      <c r="F23" s="63"/>
    </row>
    <row r="24">
      <c r="A24" s="63"/>
      <c r="B24" s="63"/>
      <c r="C24" s="63"/>
      <c r="D24" s="63"/>
      <c r="E24" s="63"/>
      <c r="F24" s="63"/>
    </row>
    <row r="25">
      <c r="A25" s="63"/>
      <c r="B25" s="63"/>
      <c r="C25" s="63"/>
      <c r="D25" s="63"/>
      <c r="E25" s="63"/>
      <c r="F25" s="63"/>
    </row>
    <row r="26">
      <c r="A26" s="63"/>
      <c r="B26" s="63"/>
      <c r="C26" s="63"/>
      <c r="D26" s="63"/>
      <c r="E26" s="63"/>
      <c r="F26" s="63"/>
    </row>
    <row r="27">
      <c r="A27" s="63"/>
      <c r="B27" s="63"/>
      <c r="C27" s="63"/>
      <c r="D27" s="63"/>
      <c r="E27" s="63"/>
      <c r="F27" s="63"/>
    </row>
    <row r="28">
      <c r="A28" s="63"/>
      <c r="B28" s="63"/>
      <c r="C28" s="63"/>
      <c r="D28" s="63"/>
      <c r="E28" s="63"/>
      <c r="F28" s="63"/>
    </row>
    <row r="29">
      <c r="A29" s="63"/>
      <c r="B29" s="63"/>
      <c r="C29" s="63"/>
      <c r="D29" s="63"/>
      <c r="E29" s="63"/>
      <c r="F29" s="63"/>
    </row>
    <row r="30">
      <c r="A30" s="63"/>
      <c r="B30" s="63"/>
      <c r="C30" s="63"/>
      <c r="D30" s="63"/>
      <c r="E30" s="63"/>
      <c r="F30" s="63"/>
    </row>
    <row r="31">
      <c r="A31" s="63"/>
      <c r="B31" s="63"/>
      <c r="C31" s="63"/>
      <c r="D31" s="63"/>
      <c r="E31" s="63"/>
      <c r="F31" s="63"/>
    </row>
    <row r="32">
      <c r="A32" s="63"/>
      <c r="B32" s="63"/>
      <c r="C32" s="63"/>
      <c r="D32" s="63"/>
      <c r="E32" s="63"/>
      <c r="F32" s="63"/>
    </row>
    <row r="33">
      <c r="A33" s="63"/>
      <c r="B33" s="63"/>
      <c r="C33" s="63"/>
      <c r="D33" s="63"/>
      <c r="E33" s="63"/>
      <c r="F33" s="63"/>
    </row>
    <row r="34">
      <c r="A34" s="63"/>
      <c r="B34" s="63"/>
      <c r="C34" s="63"/>
      <c r="D34" s="63"/>
      <c r="E34" s="63"/>
      <c r="F34" s="63"/>
    </row>
    <row r="35">
      <c r="A35" s="63"/>
      <c r="B35" s="63"/>
      <c r="C35" s="63"/>
      <c r="D35" s="63"/>
      <c r="E35" s="63"/>
      <c r="F35" s="63"/>
    </row>
    <row r="36">
      <c r="A36" s="63"/>
      <c r="B36" s="63"/>
      <c r="C36" s="63"/>
      <c r="D36" s="63"/>
      <c r="E36" s="63"/>
      <c r="F36" s="63"/>
    </row>
    <row r="37">
      <c r="A37" s="63"/>
      <c r="B37" s="63"/>
      <c r="C37" s="63"/>
      <c r="D37" s="63"/>
      <c r="E37" s="63"/>
      <c r="F37" s="63"/>
    </row>
    <row r="38">
      <c r="A38" s="63"/>
      <c r="B38" s="63"/>
      <c r="C38" s="63"/>
      <c r="D38" s="63"/>
      <c r="E38" s="63"/>
      <c r="F38" s="63"/>
    </row>
    <row r="39">
      <c r="A39" s="63"/>
      <c r="B39" s="63"/>
      <c r="C39" s="63"/>
      <c r="D39" s="63"/>
      <c r="E39" s="63"/>
      <c r="F39" s="63"/>
    </row>
    <row r="40">
      <c r="A40" s="63"/>
      <c r="B40" s="63"/>
      <c r="C40" s="63"/>
      <c r="D40" s="63"/>
      <c r="E40" s="63"/>
      <c r="F40" s="63"/>
    </row>
    <row r="41">
      <c r="A41" s="63"/>
      <c r="B41" s="63"/>
      <c r="C41" s="63"/>
      <c r="D41" s="63"/>
      <c r="E41" s="63"/>
      <c r="F41" s="63"/>
    </row>
    <row r="42">
      <c r="A42" s="63"/>
      <c r="B42" s="63"/>
      <c r="C42" s="63"/>
      <c r="D42" s="63"/>
      <c r="E42" s="63"/>
      <c r="F42" s="63"/>
    </row>
    <row r="43">
      <c r="A43" s="63"/>
      <c r="B43" s="63"/>
      <c r="C43" s="63"/>
      <c r="D43" s="63"/>
      <c r="E43" s="63"/>
      <c r="F43" s="63"/>
    </row>
    <row r="44">
      <c r="A44" s="63"/>
      <c r="B44" s="63"/>
      <c r="C44" s="63"/>
      <c r="D44" s="63"/>
      <c r="E44" s="63"/>
      <c r="F44" s="63"/>
    </row>
    <row r="45">
      <c r="A45" s="63"/>
      <c r="B45" s="63"/>
      <c r="C45" s="63"/>
      <c r="D45" s="63"/>
      <c r="E45" s="63"/>
      <c r="F45" s="63"/>
    </row>
    <row r="46">
      <c r="A46" s="63"/>
      <c r="B46" s="63"/>
      <c r="C46" s="63"/>
      <c r="D46" s="63"/>
      <c r="E46" s="63"/>
      <c r="F46" s="63"/>
    </row>
    <row r="47">
      <c r="A47" s="63"/>
      <c r="B47" s="63"/>
      <c r="C47" s="63"/>
      <c r="D47" s="63"/>
      <c r="E47" s="63"/>
      <c r="F47" s="63"/>
    </row>
    <row r="48">
      <c r="A48" s="63"/>
      <c r="B48" s="63"/>
      <c r="C48" s="63"/>
      <c r="D48" s="63"/>
      <c r="E48" s="63"/>
      <c r="F48" s="63"/>
    </row>
    <row r="49">
      <c r="A49" s="63"/>
      <c r="B49" s="63"/>
      <c r="C49" s="63"/>
      <c r="D49" s="63"/>
      <c r="E49" s="63"/>
      <c r="F49" s="63"/>
    </row>
    <row r="50">
      <c r="A50" s="63"/>
      <c r="B50" s="63"/>
      <c r="C50" s="63"/>
      <c r="D50" s="63"/>
      <c r="E50" s="63"/>
      <c r="F50" s="63"/>
    </row>
    <row r="51">
      <c r="A51" s="63"/>
      <c r="B51" s="63"/>
      <c r="C51" s="63"/>
      <c r="D51" s="63"/>
      <c r="E51" s="63"/>
      <c r="F51" s="63"/>
    </row>
    <row r="52">
      <c r="A52" s="63"/>
      <c r="B52" s="63"/>
      <c r="C52" s="63"/>
      <c r="D52" s="63"/>
      <c r="E52" s="63"/>
      <c r="F52" s="63"/>
    </row>
    <row r="53">
      <c r="A53" s="63"/>
      <c r="B53" s="63"/>
      <c r="C53" s="63"/>
      <c r="D53" s="63"/>
      <c r="E53" s="63"/>
      <c r="F53" s="63"/>
    </row>
    <row r="54">
      <c r="A54" s="63"/>
      <c r="B54" s="63"/>
      <c r="C54" s="63"/>
      <c r="D54" s="63"/>
      <c r="E54" s="63"/>
      <c r="F54" s="63"/>
    </row>
    <row r="55">
      <c r="A55" s="63"/>
      <c r="B55" s="63"/>
      <c r="C55" s="63"/>
      <c r="D55" s="63"/>
      <c r="E55" s="63"/>
      <c r="F55" s="63"/>
    </row>
    <row r="56">
      <c r="A56" s="63"/>
      <c r="B56" s="63"/>
      <c r="C56" s="63"/>
      <c r="D56" s="63"/>
      <c r="E56" s="63"/>
      <c r="F56" s="63"/>
    </row>
    <row r="57">
      <c r="A57" s="63"/>
      <c r="B57" s="63"/>
      <c r="C57" s="63"/>
      <c r="D57" s="63"/>
      <c r="E57" s="63"/>
      <c r="F57" s="63"/>
    </row>
    <row r="58">
      <c r="A58" s="63"/>
      <c r="B58" s="63"/>
      <c r="C58" s="63"/>
      <c r="D58" s="63"/>
      <c r="E58" s="63"/>
      <c r="F58" s="63"/>
    </row>
    <row r="59">
      <c r="A59" s="63"/>
      <c r="B59" s="63"/>
      <c r="C59" s="63"/>
      <c r="D59" s="63"/>
      <c r="E59" s="63"/>
      <c r="F59" s="63"/>
    </row>
    <row r="60">
      <c r="A60" s="63"/>
      <c r="B60" s="63"/>
      <c r="C60" s="63"/>
      <c r="D60" s="63"/>
      <c r="E60" s="63"/>
      <c r="F60" s="63"/>
    </row>
    <row r="61">
      <c r="A61" s="63"/>
      <c r="B61" s="63"/>
      <c r="C61" s="63"/>
      <c r="D61" s="63"/>
      <c r="E61" s="63"/>
      <c r="F61" s="63"/>
    </row>
    <row r="62">
      <c r="A62" s="63"/>
      <c r="B62" s="63"/>
      <c r="C62" s="63"/>
      <c r="D62" s="63"/>
      <c r="E62" s="63"/>
      <c r="F62" s="63"/>
    </row>
    <row r="63">
      <c r="A63" s="63"/>
      <c r="B63" s="63"/>
      <c r="C63" s="63"/>
      <c r="D63" s="63"/>
      <c r="E63" s="63"/>
      <c r="F63" s="63"/>
    </row>
    <row r="64">
      <c r="A64" s="63"/>
      <c r="B64" s="63"/>
      <c r="C64" s="63"/>
      <c r="D64" s="63"/>
      <c r="E64" s="63"/>
      <c r="F64" s="63"/>
    </row>
    <row r="65">
      <c r="A65" s="63"/>
      <c r="B65" s="63"/>
      <c r="C65" s="63"/>
      <c r="D65" s="63"/>
      <c r="E65" s="63"/>
      <c r="F65" s="63"/>
    </row>
    <row r="66">
      <c r="A66" s="63"/>
      <c r="B66" s="63"/>
      <c r="C66" s="63"/>
      <c r="D66" s="63"/>
      <c r="E66" s="63"/>
      <c r="F66" s="63"/>
    </row>
    <row r="67">
      <c r="A67" s="63"/>
      <c r="B67" s="63"/>
      <c r="C67" s="63"/>
      <c r="D67" s="63"/>
      <c r="E67" s="63"/>
      <c r="F67" s="63"/>
    </row>
    <row r="68">
      <c r="A68" s="63"/>
      <c r="B68" s="63"/>
      <c r="C68" s="63"/>
      <c r="D68" s="63"/>
      <c r="E68" s="63"/>
      <c r="F68" s="63"/>
    </row>
    <row r="69">
      <c r="A69" s="63"/>
      <c r="B69" s="63"/>
      <c r="C69" s="63"/>
      <c r="D69" s="63"/>
      <c r="E69" s="63"/>
      <c r="F69" s="63"/>
    </row>
    <row r="70">
      <c r="A70" s="63"/>
      <c r="B70" s="63"/>
      <c r="C70" s="63"/>
      <c r="D70" s="63"/>
      <c r="E70" s="63"/>
      <c r="F70" s="63"/>
    </row>
    <row r="71">
      <c r="A71" s="63"/>
      <c r="B71" s="63"/>
      <c r="C71" s="63"/>
      <c r="D71" s="63"/>
      <c r="E71" s="63"/>
      <c r="F71" s="63"/>
    </row>
    <row r="72">
      <c r="A72" s="63"/>
      <c r="B72" s="63"/>
      <c r="C72" s="63"/>
      <c r="D72" s="63"/>
      <c r="E72" s="63"/>
      <c r="F72" s="63"/>
    </row>
    <row r="73">
      <c r="A73" s="63"/>
      <c r="B73" s="63"/>
      <c r="C73" s="63"/>
      <c r="D73" s="63"/>
      <c r="E73" s="63"/>
      <c r="F73" s="63"/>
    </row>
    <row r="74">
      <c r="A74" s="63"/>
      <c r="B74" s="63"/>
      <c r="C74" s="63"/>
      <c r="D74" s="63"/>
      <c r="E74" s="63"/>
      <c r="F74" s="63"/>
    </row>
    <row r="75">
      <c r="A75" s="63"/>
      <c r="B75" s="63"/>
      <c r="C75" s="63"/>
      <c r="D75" s="63"/>
      <c r="E75" s="63"/>
      <c r="F75" s="63"/>
    </row>
    <row r="76">
      <c r="A76" s="63"/>
      <c r="B76" s="63"/>
      <c r="C76" s="63"/>
      <c r="D76" s="63"/>
      <c r="E76" s="63"/>
      <c r="F76" s="63"/>
    </row>
    <row r="77">
      <c r="A77" s="63"/>
      <c r="B77" s="63"/>
      <c r="C77" s="63"/>
      <c r="D77" s="63"/>
      <c r="E77" s="63"/>
      <c r="F77" s="63"/>
    </row>
    <row r="78">
      <c r="A78" s="63"/>
      <c r="B78" s="63"/>
      <c r="C78" s="63"/>
      <c r="D78" s="63"/>
      <c r="E78" s="63"/>
      <c r="F78" s="63"/>
    </row>
    <row r="79">
      <c r="A79" s="63"/>
      <c r="B79" s="63"/>
      <c r="C79" s="63"/>
      <c r="D79" s="63"/>
      <c r="E79" s="63"/>
      <c r="F79" s="63"/>
    </row>
    <row r="80">
      <c r="A80" s="63"/>
      <c r="B80" s="63"/>
      <c r="C80" s="63"/>
      <c r="D80" s="63"/>
      <c r="E80" s="63"/>
      <c r="F80" s="63"/>
    </row>
    <row r="81">
      <c r="A81" s="63"/>
      <c r="B81" s="63"/>
      <c r="C81" s="63"/>
      <c r="D81" s="63"/>
      <c r="E81" s="63"/>
      <c r="F81" s="63"/>
    </row>
    <row r="82">
      <c r="A82" s="63"/>
      <c r="B82" s="63"/>
      <c r="C82" s="63"/>
      <c r="D82" s="63"/>
      <c r="E82" s="63"/>
      <c r="F82" s="63"/>
    </row>
    <row r="83">
      <c r="A83" s="63"/>
      <c r="B83" s="63"/>
      <c r="C83" s="63"/>
      <c r="D83" s="63"/>
      <c r="E83" s="63"/>
      <c r="F83" s="63"/>
    </row>
    <row r="84">
      <c r="A84" s="63"/>
      <c r="B84" s="63"/>
      <c r="C84" s="63"/>
      <c r="D84" s="63"/>
      <c r="E84" s="63"/>
      <c r="F84" s="63"/>
    </row>
    <row r="85">
      <c r="A85" s="63"/>
      <c r="B85" s="63"/>
      <c r="C85" s="63"/>
      <c r="D85" s="63"/>
      <c r="E85" s="63"/>
      <c r="F85" s="63"/>
    </row>
    <row r="86">
      <c r="A86" s="63"/>
      <c r="B86" s="63"/>
      <c r="C86" s="63"/>
      <c r="D86" s="63"/>
      <c r="E86" s="63"/>
      <c r="F86" s="63"/>
    </row>
    <row r="87">
      <c r="A87" s="63"/>
      <c r="B87" s="63"/>
      <c r="C87" s="63"/>
      <c r="D87" s="63"/>
      <c r="E87" s="63"/>
      <c r="F87" s="63"/>
    </row>
    <row r="88">
      <c r="A88" s="63"/>
      <c r="B88" s="63"/>
      <c r="C88" s="63"/>
      <c r="D88" s="63"/>
      <c r="E88" s="63"/>
      <c r="F88" s="63"/>
    </row>
    <row r="89">
      <c r="A89" s="63"/>
      <c r="B89" s="63"/>
      <c r="C89" s="63"/>
      <c r="D89" s="63"/>
      <c r="E89" s="63"/>
      <c r="F89" s="63"/>
    </row>
    <row r="90">
      <c r="A90" s="63"/>
      <c r="B90" s="63"/>
      <c r="C90" s="63"/>
      <c r="D90" s="63"/>
      <c r="E90" s="63"/>
      <c r="F90" s="63"/>
    </row>
    <row r="91">
      <c r="A91" s="63"/>
      <c r="B91" s="63"/>
      <c r="C91" s="63"/>
      <c r="D91" s="63"/>
      <c r="E91" s="63"/>
      <c r="F91" s="63"/>
    </row>
    <row r="92">
      <c r="A92" s="63"/>
      <c r="B92" s="63"/>
      <c r="C92" s="63"/>
      <c r="D92" s="63"/>
      <c r="E92" s="63"/>
      <c r="F92" s="63"/>
    </row>
    <row r="93">
      <c r="A93" s="63"/>
      <c r="B93" s="63"/>
      <c r="C93" s="63"/>
      <c r="D93" s="63"/>
      <c r="E93" s="63"/>
      <c r="F93" s="63"/>
    </row>
    <row r="94">
      <c r="A94" s="63"/>
      <c r="B94" s="63"/>
      <c r="C94" s="63"/>
      <c r="D94" s="63"/>
      <c r="E94" s="63"/>
      <c r="F94" s="63"/>
    </row>
    <row r="95">
      <c r="A95" s="63"/>
      <c r="B95" s="63"/>
      <c r="C95" s="63"/>
      <c r="D95" s="63"/>
      <c r="E95" s="63"/>
      <c r="F95" s="63"/>
    </row>
    <row r="96">
      <c r="A96" s="63"/>
      <c r="B96" s="63"/>
      <c r="C96" s="63"/>
      <c r="D96" s="63"/>
      <c r="E96" s="63"/>
      <c r="F96" s="63"/>
    </row>
    <row r="97">
      <c r="A97" s="63"/>
      <c r="B97" s="63"/>
      <c r="C97" s="63"/>
      <c r="D97" s="63"/>
      <c r="E97" s="63"/>
      <c r="F97" s="63"/>
    </row>
    <row r="98">
      <c r="A98" s="63"/>
      <c r="B98" s="63"/>
      <c r="C98" s="63"/>
      <c r="D98" s="63"/>
      <c r="E98" s="63"/>
      <c r="F98" s="63"/>
    </row>
    <row r="99">
      <c r="A99" s="63"/>
      <c r="B99" s="63"/>
      <c r="C99" s="63"/>
      <c r="D99" s="63"/>
      <c r="E99" s="63"/>
      <c r="F99" s="63"/>
    </row>
    <row r="100">
      <c r="A100" s="63"/>
      <c r="B100" s="63"/>
      <c r="C100" s="63"/>
      <c r="D100" s="63"/>
      <c r="E100" s="63"/>
      <c r="F100" s="63"/>
    </row>
    <row r="101">
      <c r="A101" s="63"/>
      <c r="B101" s="63"/>
      <c r="C101" s="63"/>
      <c r="D101" s="63"/>
      <c r="E101" s="63"/>
      <c r="F101" s="63"/>
    </row>
    <row r="102">
      <c r="A102" s="63"/>
      <c r="B102" s="63"/>
      <c r="C102" s="63"/>
      <c r="D102" s="63"/>
      <c r="E102" s="63"/>
      <c r="F102" s="63"/>
    </row>
    <row r="103">
      <c r="A103" s="63"/>
      <c r="B103" s="63"/>
      <c r="C103" s="63"/>
      <c r="D103" s="63"/>
      <c r="E103" s="63"/>
      <c r="F103" s="63"/>
    </row>
    <row r="104">
      <c r="A104" s="63"/>
      <c r="B104" s="63"/>
      <c r="C104" s="63"/>
      <c r="D104" s="63"/>
      <c r="E104" s="63"/>
      <c r="F104" s="63"/>
    </row>
    <row r="105">
      <c r="A105" s="63"/>
      <c r="B105" s="63"/>
      <c r="C105" s="63"/>
      <c r="D105" s="63"/>
      <c r="E105" s="63"/>
      <c r="F105" s="63"/>
    </row>
    <row r="106">
      <c r="A106" s="63"/>
      <c r="B106" s="63"/>
      <c r="C106" s="63"/>
      <c r="D106" s="63"/>
      <c r="E106" s="63"/>
      <c r="F106" s="63"/>
    </row>
    <row r="107">
      <c r="A107" s="63"/>
      <c r="B107" s="63"/>
      <c r="C107" s="63"/>
      <c r="D107" s="63"/>
      <c r="E107" s="63"/>
      <c r="F107" s="63"/>
    </row>
    <row r="108">
      <c r="A108" s="63"/>
      <c r="B108" s="63"/>
      <c r="C108" s="63"/>
      <c r="D108" s="63"/>
      <c r="E108" s="63"/>
      <c r="F108" s="63"/>
    </row>
    <row r="109">
      <c r="A109" s="63"/>
      <c r="B109" s="63"/>
      <c r="C109" s="63"/>
      <c r="D109" s="63"/>
      <c r="E109" s="63"/>
      <c r="F109" s="63"/>
    </row>
    <row r="110">
      <c r="A110" s="63"/>
      <c r="B110" s="63"/>
      <c r="C110" s="63"/>
      <c r="D110" s="63"/>
      <c r="E110" s="63"/>
      <c r="F110" s="63"/>
    </row>
    <row r="111">
      <c r="A111" s="63"/>
      <c r="B111" s="63"/>
      <c r="C111" s="63"/>
      <c r="D111" s="63"/>
      <c r="E111" s="63"/>
      <c r="F111" s="63"/>
    </row>
    <row r="112">
      <c r="A112" s="63"/>
      <c r="B112" s="63"/>
      <c r="C112" s="63"/>
      <c r="D112" s="63"/>
      <c r="E112" s="63"/>
      <c r="F112" s="63"/>
    </row>
    <row r="113">
      <c r="A113" s="63"/>
      <c r="B113" s="63"/>
      <c r="C113" s="63"/>
      <c r="D113" s="63"/>
      <c r="E113" s="63"/>
      <c r="F113" s="63"/>
    </row>
    <row r="114">
      <c r="A114" s="63"/>
      <c r="B114" s="63"/>
      <c r="C114" s="63"/>
      <c r="D114" s="63"/>
      <c r="E114" s="63"/>
      <c r="F114" s="63"/>
    </row>
    <row r="115">
      <c r="A115" s="63"/>
      <c r="B115" s="63"/>
      <c r="C115" s="63"/>
      <c r="D115" s="63"/>
      <c r="E115" s="63"/>
      <c r="F115" s="63"/>
    </row>
    <row r="116">
      <c r="A116" s="63"/>
      <c r="B116" s="63"/>
      <c r="C116" s="63"/>
      <c r="D116" s="63"/>
      <c r="E116" s="63"/>
      <c r="F116" s="63"/>
    </row>
    <row r="117">
      <c r="A117" s="63"/>
      <c r="B117" s="63"/>
      <c r="C117" s="63"/>
      <c r="D117" s="63"/>
      <c r="E117" s="63"/>
      <c r="F117" s="63"/>
    </row>
    <row r="118">
      <c r="A118" s="63"/>
      <c r="B118" s="63"/>
      <c r="C118" s="63"/>
      <c r="D118" s="63"/>
      <c r="E118" s="63"/>
      <c r="F118" s="63"/>
    </row>
    <row r="119">
      <c r="A119" s="63"/>
      <c r="B119" s="63"/>
      <c r="C119" s="63"/>
      <c r="D119" s="63"/>
      <c r="E119" s="63"/>
      <c r="F119" s="63"/>
    </row>
    <row r="120">
      <c r="A120" s="63"/>
      <c r="B120" s="63"/>
      <c r="C120" s="63"/>
      <c r="D120" s="63"/>
      <c r="E120" s="63"/>
      <c r="F120" s="63"/>
    </row>
    <row r="121">
      <c r="A121" s="63"/>
      <c r="B121" s="63"/>
      <c r="C121" s="63"/>
      <c r="D121" s="63"/>
      <c r="E121" s="63"/>
      <c r="F121" s="63"/>
    </row>
    <row r="122">
      <c r="A122" s="63"/>
      <c r="B122" s="63"/>
      <c r="C122" s="63"/>
      <c r="D122" s="63"/>
      <c r="E122" s="63"/>
      <c r="F122" s="63"/>
    </row>
    <row r="123">
      <c r="A123" s="63"/>
      <c r="B123" s="63"/>
      <c r="C123" s="63"/>
      <c r="D123" s="63"/>
      <c r="E123" s="63"/>
      <c r="F123" s="63"/>
    </row>
    <row r="124">
      <c r="A124" s="63"/>
      <c r="B124" s="63"/>
      <c r="C124" s="63"/>
      <c r="D124" s="63"/>
      <c r="E124" s="63"/>
      <c r="F124" s="63"/>
    </row>
    <row r="125">
      <c r="A125" s="63"/>
      <c r="B125" s="63"/>
      <c r="C125" s="63"/>
      <c r="D125" s="63"/>
      <c r="E125" s="63"/>
      <c r="F125" s="63"/>
    </row>
    <row r="126">
      <c r="A126" s="63"/>
      <c r="B126" s="63"/>
      <c r="C126" s="63"/>
      <c r="D126" s="63"/>
      <c r="E126" s="63"/>
      <c r="F126" s="63"/>
    </row>
    <row r="127">
      <c r="A127" s="63"/>
      <c r="B127" s="63"/>
      <c r="C127" s="63"/>
      <c r="D127" s="63"/>
      <c r="E127" s="63"/>
      <c r="F127" s="63"/>
    </row>
    <row r="128">
      <c r="A128" s="63"/>
      <c r="B128" s="63"/>
      <c r="C128" s="63"/>
      <c r="D128" s="63"/>
      <c r="E128" s="63"/>
      <c r="F128" s="63"/>
    </row>
    <row r="129">
      <c r="A129" s="63"/>
      <c r="B129" s="63"/>
      <c r="C129" s="63"/>
      <c r="D129" s="63"/>
      <c r="E129" s="63"/>
      <c r="F129" s="63"/>
    </row>
    <row r="130">
      <c r="A130" s="63"/>
      <c r="B130" s="63"/>
      <c r="C130" s="63"/>
      <c r="D130" s="63"/>
      <c r="E130" s="63"/>
      <c r="F130" s="63"/>
    </row>
    <row r="131">
      <c r="A131" s="63"/>
      <c r="B131" s="63"/>
      <c r="C131" s="63"/>
      <c r="D131" s="63"/>
      <c r="E131" s="63"/>
      <c r="F131" s="63"/>
    </row>
    <row r="132">
      <c r="A132" s="63"/>
      <c r="B132" s="63"/>
      <c r="C132" s="63"/>
      <c r="D132" s="63"/>
      <c r="E132" s="63"/>
      <c r="F132" s="63"/>
    </row>
    <row r="133">
      <c r="A133" s="63"/>
      <c r="B133" s="63"/>
      <c r="C133" s="63"/>
      <c r="D133" s="63"/>
      <c r="E133" s="63"/>
      <c r="F133" s="63"/>
    </row>
    <row r="134">
      <c r="A134" s="63"/>
      <c r="B134" s="63"/>
      <c r="C134" s="63"/>
      <c r="D134" s="63"/>
      <c r="E134" s="63"/>
      <c r="F134" s="63"/>
    </row>
    <row r="135">
      <c r="A135" s="63"/>
      <c r="B135" s="63"/>
      <c r="C135" s="63"/>
      <c r="D135" s="63"/>
      <c r="E135" s="63"/>
      <c r="F135" s="63"/>
    </row>
    <row r="136">
      <c r="A136" s="63"/>
      <c r="B136" s="63"/>
      <c r="C136" s="63"/>
      <c r="D136" s="63"/>
      <c r="E136" s="63"/>
      <c r="F136" s="63"/>
    </row>
    <row r="137">
      <c r="A137" s="63"/>
      <c r="B137" s="63"/>
      <c r="C137" s="63"/>
      <c r="D137" s="63"/>
      <c r="E137" s="63"/>
      <c r="F137" s="63"/>
    </row>
    <row r="138">
      <c r="A138" s="63"/>
      <c r="B138" s="63"/>
      <c r="C138" s="63"/>
      <c r="D138" s="63"/>
      <c r="E138" s="63"/>
      <c r="F138" s="63"/>
    </row>
    <row r="139">
      <c r="A139" s="63"/>
      <c r="B139" s="63"/>
      <c r="C139" s="63"/>
      <c r="D139" s="63"/>
      <c r="E139" s="63"/>
      <c r="F139" s="63"/>
    </row>
    <row r="140">
      <c r="A140" s="63"/>
      <c r="B140" s="63"/>
      <c r="C140" s="63"/>
      <c r="D140" s="63"/>
      <c r="E140" s="63"/>
      <c r="F140" s="63"/>
    </row>
    <row r="141">
      <c r="A141" s="63"/>
      <c r="B141" s="63"/>
      <c r="C141" s="63"/>
      <c r="D141" s="63"/>
      <c r="E141" s="63"/>
      <c r="F141" s="63"/>
    </row>
    <row r="142">
      <c r="A142" s="63"/>
      <c r="B142" s="63"/>
      <c r="C142" s="63"/>
      <c r="D142" s="63"/>
      <c r="E142" s="63"/>
      <c r="F142" s="63"/>
    </row>
    <row r="143">
      <c r="A143" s="63"/>
      <c r="B143" s="63"/>
      <c r="C143" s="63"/>
      <c r="D143" s="63"/>
      <c r="E143" s="63"/>
      <c r="F143" s="63"/>
    </row>
    <row r="144">
      <c r="A144" s="63"/>
      <c r="B144" s="63"/>
      <c r="C144" s="63"/>
      <c r="D144" s="63"/>
      <c r="E144" s="63"/>
      <c r="F144" s="63"/>
    </row>
    <row r="145">
      <c r="A145" s="63"/>
      <c r="B145" s="63"/>
      <c r="C145" s="63"/>
      <c r="D145" s="63"/>
      <c r="E145" s="63"/>
      <c r="F145" s="63"/>
    </row>
    <row r="146">
      <c r="A146" s="63"/>
      <c r="B146" s="63"/>
      <c r="C146" s="63"/>
      <c r="D146" s="63"/>
      <c r="E146" s="63"/>
      <c r="F146" s="63"/>
    </row>
    <row r="147">
      <c r="A147" s="63"/>
      <c r="B147" s="63"/>
      <c r="C147" s="63"/>
      <c r="D147" s="63"/>
      <c r="E147" s="63"/>
      <c r="F147" s="63"/>
    </row>
    <row r="148">
      <c r="A148" s="63"/>
      <c r="B148" s="63"/>
      <c r="C148" s="63"/>
      <c r="D148" s="63"/>
      <c r="E148" s="63"/>
      <c r="F148" s="63"/>
    </row>
    <row r="149">
      <c r="A149" s="63"/>
      <c r="B149" s="63"/>
      <c r="C149" s="63"/>
      <c r="D149" s="63"/>
      <c r="E149" s="63"/>
      <c r="F149" s="63"/>
    </row>
    <row r="150">
      <c r="A150" s="63"/>
      <c r="B150" s="63"/>
      <c r="C150" s="63"/>
      <c r="D150" s="63"/>
      <c r="E150" s="63"/>
      <c r="F150" s="63"/>
    </row>
    <row r="151">
      <c r="A151" s="63"/>
      <c r="B151" s="63"/>
      <c r="C151" s="63"/>
      <c r="D151" s="63"/>
      <c r="E151" s="63"/>
      <c r="F151" s="63"/>
    </row>
    <row r="152">
      <c r="A152" s="63"/>
      <c r="B152" s="63"/>
      <c r="C152" s="63"/>
      <c r="D152" s="63"/>
      <c r="E152" s="63"/>
      <c r="F152" s="63"/>
    </row>
    <row r="153">
      <c r="A153" s="63"/>
      <c r="B153" s="63"/>
      <c r="C153" s="63"/>
      <c r="D153" s="63"/>
      <c r="E153" s="63"/>
      <c r="F153" s="63"/>
    </row>
    <row r="154">
      <c r="A154" s="63"/>
      <c r="B154" s="63"/>
      <c r="C154" s="63"/>
      <c r="D154" s="63"/>
      <c r="E154" s="63"/>
      <c r="F154" s="63"/>
    </row>
    <row r="155">
      <c r="A155" s="63"/>
      <c r="B155" s="63"/>
      <c r="C155" s="63"/>
      <c r="D155" s="63"/>
      <c r="E155" s="63"/>
      <c r="F155" s="63"/>
    </row>
    <row r="156">
      <c r="A156" s="63"/>
      <c r="B156" s="63"/>
      <c r="C156" s="63"/>
      <c r="D156" s="63"/>
      <c r="E156" s="63"/>
      <c r="F156" s="63"/>
    </row>
    <row r="157">
      <c r="A157" s="63"/>
      <c r="B157" s="63"/>
      <c r="C157" s="63"/>
      <c r="D157" s="63"/>
      <c r="E157" s="63"/>
      <c r="F157" s="63"/>
    </row>
    <row r="158">
      <c r="A158" s="63"/>
      <c r="B158" s="63"/>
      <c r="C158" s="63"/>
      <c r="D158" s="63"/>
      <c r="E158" s="63"/>
      <c r="F158" s="63"/>
    </row>
    <row r="159">
      <c r="A159" s="63"/>
      <c r="B159" s="63"/>
      <c r="C159" s="63"/>
      <c r="D159" s="63"/>
      <c r="E159" s="63"/>
      <c r="F159" s="63"/>
    </row>
    <row r="160">
      <c r="A160" s="63"/>
      <c r="B160" s="63"/>
      <c r="C160" s="63"/>
      <c r="D160" s="63"/>
      <c r="E160" s="63"/>
      <c r="F160" s="63"/>
    </row>
    <row r="161">
      <c r="A161" s="63"/>
      <c r="B161" s="63"/>
      <c r="C161" s="63"/>
      <c r="D161" s="63"/>
      <c r="E161" s="63"/>
      <c r="F161" s="63"/>
    </row>
    <row r="162">
      <c r="A162" s="63"/>
      <c r="B162" s="63"/>
      <c r="C162" s="63"/>
      <c r="D162" s="63"/>
      <c r="E162" s="63"/>
      <c r="F162" s="63"/>
    </row>
    <row r="163">
      <c r="A163" s="63"/>
      <c r="B163" s="63"/>
      <c r="C163" s="63"/>
      <c r="D163" s="63"/>
      <c r="E163" s="63"/>
      <c r="F163" s="63"/>
    </row>
    <row r="164">
      <c r="A164" s="63"/>
      <c r="B164" s="63"/>
      <c r="C164" s="63"/>
      <c r="D164" s="63"/>
      <c r="E164" s="63"/>
      <c r="F164" s="63"/>
    </row>
    <row r="165">
      <c r="A165" s="63"/>
      <c r="B165" s="63"/>
      <c r="C165" s="63"/>
      <c r="D165" s="63"/>
      <c r="E165" s="63"/>
      <c r="F165" s="63"/>
    </row>
    <row r="166">
      <c r="A166" s="63"/>
      <c r="B166" s="63"/>
      <c r="C166" s="63"/>
      <c r="D166" s="63"/>
      <c r="E166" s="63"/>
      <c r="F166" s="63"/>
    </row>
    <row r="167">
      <c r="A167" s="63"/>
      <c r="B167" s="63"/>
      <c r="C167" s="63"/>
      <c r="D167" s="63"/>
      <c r="E167" s="63"/>
      <c r="F167" s="63"/>
    </row>
    <row r="168">
      <c r="A168" s="63"/>
      <c r="B168" s="63"/>
      <c r="C168" s="63"/>
      <c r="D168" s="63"/>
      <c r="E168" s="63"/>
      <c r="F168" s="63"/>
    </row>
    <row r="169">
      <c r="A169" s="63"/>
      <c r="B169" s="63"/>
      <c r="C169" s="63"/>
      <c r="D169" s="63"/>
      <c r="E169" s="63"/>
      <c r="F169" s="63"/>
    </row>
    <row r="170">
      <c r="A170" s="63"/>
      <c r="B170" s="63"/>
      <c r="C170" s="63"/>
      <c r="D170" s="63"/>
      <c r="E170" s="63"/>
      <c r="F170" s="63"/>
    </row>
    <row r="171">
      <c r="A171" s="63"/>
      <c r="B171" s="63"/>
      <c r="C171" s="63"/>
      <c r="D171" s="63"/>
      <c r="E171" s="63"/>
      <c r="F171" s="63"/>
    </row>
    <row r="172">
      <c r="A172" s="63"/>
      <c r="B172" s="63"/>
      <c r="C172" s="63"/>
      <c r="D172" s="63"/>
      <c r="E172" s="63"/>
      <c r="F172" s="63"/>
    </row>
    <row r="173">
      <c r="A173" s="63"/>
      <c r="B173" s="63"/>
      <c r="C173" s="63"/>
      <c r="D173" s="63"/>
      <c r="E173" s="63"/>
      <c r="F173" s="63"/>
    </row>
    <row r="174">
      <c r="A174" s="63"/>
      <c r="B174" s="63"/>
      <c r="C174" s="63"/>
      <c r="D174" s="63"/>
      <c r="E174" s="63"/>
      <c r="F174" s="63"/>
    </row>
    <row r="175">
      <c r="A175" s="63"/>
      <c r="B175" s="63"/>
      <c r="C175" s="63"/>
      <c r="D175" s="63"/>
      <c r="E175" s="63"/>
      <c r="F175" s="63"/>
    </row>
    <row r="176">
      <c r="A176" s="63"/>
      <c r="B176" s="63"/>
      <c r="C176" s="63"/>
      <c r="D176" s="63"/>
      <c r="E176" s="63"/>
      <c r="F176" s="63"/>
    </row>
    <row r="177">
      <c r="A177" s="63"/>
      <c r="B177" s="63"/>
      <c r="C177" s="63"/>
      <c r="D177" s="63"/>
      <c r="E177" s="63"/>
      <c r="F177" s="63"/>
    </row>
    <row r="178">
      <c r="A178" s="63"/>
      <c r="B178" s="63"/>
      <c r="C178" s="63"/>
      <c r="D178" s="63"/>
      <c r="E178" s="63"/>
      <c r="F178" s="63"/>
    </row>
    <row r="179">
      <c r="A179" s="63"/>
      <c r="B179" s="63"/>
      <c r="C179" s="63"/>
      <c r="D179" s="63"/>
      <c r="E179" s="63"/>
      <c r="F179" s="63"/>
    </row>
    <row r="180">
      <c r="A180" s="63"/>
      <c r="B180" s="63"/>
      <c r="C180" s="63"/>
      <c r="D180" s="63"/>
      <c r="E180" s="63"/>
      <c r="F180" s="63"/>
    </row>
    <row r="181">
      <c r="A181" s="63"/>
      <c r="B181" s="63"/>
      <c r="C181" s="63"/>
      <c r="D181" s="63"/>
      <c r="E181" s="63"/>
      <c r="F181" s="63"/>
    </row>
    <row r="182">
      <c r="A182" s="63"/>
      <c r="B182" s="63"/>
      <c r="C182" s="63"/>
      <c r="D182" s="63"/>
      <c r="E182" s="63"/>
      <c r="F182" s="63"/>
    </row>
    <row r="183">
      <c r="A183" s="63"/>
      <c r="B183" s="63"/>
      <c r="C183" s="63"/>
      <c r="D183" s="63"/>
      <c r="E183" s="63"/>
      <c r="F183" s="63"/>
    </row>
    <row r="184">
      <c r="A184" s="63"/>
      <c r="B184" s="63"/>
      <c r="C184" s="63"/>
      <c r="D184" s="63"/>
      <c r="E184" s="63"/>
      <c r="F184" s="63"/>
    </row>
    <row r="185">
      <c r="A185" s="63"/>
      <c r="B185" s="63"/>
      <c r="C185" s="63"/>
      <c r="D185" s="63"/>
      <c r="E185" s="63"/>
      <c r="F185" s="63"/>
    </row>
    <row r="186">
      <c r="A186" s="63"/>
      <c r="B186" s="63"/>
      <c r="C186" s="63"/>
      <c r="D186" s="63"/>
      <c r="E186" s="63"/>
      <c r="F186" s="63"/>
    </row>
    <row r="187">
      <c r="A187" s="63"/>
      <c r="B187" s="63"/>
      <c r="C187" s="63"/>
      <c r="D187" s="63"/>
      <c r="E187" s="63"/>
      <c r="F187" s="63"/>
    </row>
    <row r="188">
      <c r="A188" s="63"/>
      <c r="B188" s="63"/>
      <c r="C188" s="63"/>
      <c r="D188" s="63"/>
      <c r="E188" s="63"/>
      <c r="F188" s="63"/>
    </row>
    <row r="189">
      <c r="A189" s="63"/>
      <c r="B189" s="63"/>
      <c r="C189" s="63"/>
      <c r="D189" s="63"/>
      <c r="E189" s="63"/>
      <c r="F189" s="63"/>
    </row>
    <row r="190">
      <c r="A190" s="63"/>
      <c r="B190" s="63"/>
      <c r="C190" s="63"/>
      <c r="D190" s="63"/>
      <c r="E190" s="63"/>
      <c r="F190" s="63"/>
    </row>
    <row r="191">
      <c r="A191" s="63"/>
      <c r="B191" s="63"/>
      <c r="C191" s="63"/>
      <c r="D191" s="63"/>
      <c r="E191" s="63"/>
      <c r="F191" s="63"/>
    </row>
    <row r="192">
      <c r="A192" s="63"/>
      <c r="B192" s="63"/>
      <c r="C192" s="63"/>
      <c r="D192" s="63"/>
      <c r="E192" s="63"/>
      <c r="F192" s="63"/>
    </row>
    <row r="193">
      <c r="A193" s="63"/>
      <c r="B193" s="63"/>
      <c r="C193" s="63"/>
      <c r="D193" s="63"/>
      <c r="E193" s="63"/>
      <c r="F193" s="63"/>
    </row>
    <row r="194">
      <c r="A194" s="63"/>
      <c r="B194" s="63"/>
      <c r="C194" s="63"/>
      <c r="D194" s="63"/>
      <c r="E194" s="63"/>
      <c r="F194" s="63"/>
    </row>
    <row r="195">
      <c r="A195" s="63"/>
      <c r="B195" s="63"/>
      <c r="C195" s="63"/>
      <c r="D195" s="63"/>
      <c r="E195" s="63"/>
      <c r="F195" s="63"/>
    </row>
    <row r="196">
      <c r="A196" s="63"/>
      <c r="B196" s="63"/>
      <c r="C196" s="63"/>
      <c r="D196" s="63"/>
      <c r="E196" s="63"/>
      <c r="F196" s="63"/>
    </row>
    <row r="197">
      <c r="A197" s="63"/>
      <c r="B197" s="63"/>
      <c r="C197" s="63"/>
      <c r="D197" s="63"/>
      <c r="E197" s="63"/>
      <c r="F197" s="63"/>
    </row>
    <row r="198">
      <c r="A198" s="63"/>
      <c r="B198" s="63"/>
      <c r="C198" s="63"/>
      <c r="D198" s="63"/>
      <c r="E198" s="63"/>
      <c r="F198" s="63"/>
    </row>
    <row r="199">
      <c r="A199" s="63"/>
      <c r="B199" s="63"/>
      <c r="C199" s="63"/>
      <c r="D199" s="63"/>
      <c r="E199" s="63"/>
      <c r="F199" s="63"/>
    </row>
    <row r="200">
      <c r="A200" s="63"/>
      <c r="B200" s="63"/>
      <c r="C200" s="63"/>
      <c r="D200" s="63"/>
      <c r="E200" s="63"/>
      <c r="F200" s="63"/>
    </row>
    <row r="201">
      <c r="A201" s="63"/>
      <c r="B201" s="63"/>
      <c r="C201" s="63"/>
      <c r="D201" s="63"/>
      <c r="E201" s="63"/>
      <c r="F201" s="63"/>
    </row>
    <row r="202">
      <c r="A202" s="63"/>
      <c r="B202" s="63"/>
      <c r="C202" s="63"/>
      <c r="D202" s="63"/>
      <c r="E202" s="63"/>
      <c r="F202" s="63"/>
    </row>
    <row r="203">
      <c r="A203" s="63"/>
      <c r="B203" s="63"/>
      <c r="C203" s="63"/>
      <c r="D203" s="63"/>
      <c r="E203" s="63"/>
      <c r="F203" s="63"/>
    </row>
    <row r="204">
      <c r="A204" s="63"/>
      <c r="B204" s="63"/>
      <c r="C204" s="63"/>
      <c r="D204" s="63"/>
      <c r="E204" s="63"/>
      <c r="F204" s="63"/>
    </row>
    <row r="205">
      <c r="A205" s="63"/>
      <c r="B205" s="63"/>
      <c r="C205" s="63"/>
      <c r="D205" s="63"/>
      <c r="E205" s="63"/>
      <c r="F205" s="63"/>
    </row>
    <row r="206">
      <c r="A206" s="63"/>
      <c r="B206" s="63"/>
      <c r="C206" s="63"/>
      <c r="D206" s="63"/>
      <c r="E206" s="63"/>
      <c r="F206" s="63"/>
    </row>
    <row r="207">
      <c r="A207" s="63"/>
      <c r="B207" s="63"/>
      <c r="C207" s="63"/>
      <c r="D207" s="63"/>
      <c r="E207" s="63"/>
      <c r="F207" s="63"/>
    </row>
    <row r="208">
      <c r="A208" s="63"/>
      <c r="B208" s="63"/>
      <c r="C208" s="63"/>
      <c r="D208" s="63"/>
      <c r="E208" s="63"/>
      <c r="F208" s="63"/>
    </row>
    <row r="209">
      <c r="A209" s="63"/>
      <c r="B209" s="63"/>
      <c r="C209" s="63"/>
      <c r="D209" s="63"/>
      <c r="E209" s="63"/>
      <c r="F209" s="63"/>
    </row>
    <row r="210">
      <c r="A210" s="63"/>
      <c r="B210" s="63"/>
      <c r="C210" s="63"/>
      <c r="D210" s="63"/>
      <c r="E210" s="63"/>
      <c r="F210" s="63"/>
    </row>
    <row r="211">
      <c r="A211" s="63"/>
      <c r="B211" s="63"/>
      <c r="C211" s="63"/>
      <c r="D211" s="63"/>
      <c r="E211" s="63"/>
      <c r="F211" s="63"/>
    </row>
    <row r="212">
      <c r="A212" s="63"/>
      <c r="B212" s="63"/>
      <c r="C212" s="63"/>
      <c r="D212" s="63"/>
      <c r="E212" s="63"/>
      <c r="F212" s="63"/>
    </row>
    <row r="213">
      <c r="A213" s="63"/>
      <c r="B213" s="63"/>
      <c r="C213" s="63"/>
      <c r="D213" s="63"/>
      <c r="E213" s="63"/>
      <c r="F213" s="63"/>
    </row>
    <row r="214">
      <c r="A214" s="63"/>
      <c r="B214" s="63"/>
      <c r="C214" s="63"/>
      <c r="D214" s="63"/>
      <c r="E214" s="63"/>
      <c r="F214" s="63"/>
    </row>
    <row r="215">
      <c r="A215" s="63"/>
      <c r="B215" s="63"/>
      <c r="C215" s="63"/>
      <c r="D215" s="63"/>
      <c r="E215" s="63"/>
      <c r="F215" s="63"/>
    </row>
    <row r="216">
      <c r="A216" s="63"/>
      <c r="B216" s="63"/>
      <c r="C216" s="63"/>
      <c r="D216" s="63"/>
      <c r="E216" s="63"/>
      <c r="F216" s="63"/>
    </row>
    <row r="217">
      <c r="A217" s="63"/>
      <c r="B217" s="63"/>
      <c r="C217" s="63"/>
      <c r="D217" s="63"/>
      <c r="E217" s="63"/>
      <c r="F217" s="63"/>
    </row>
    <row r="218">
      <c r="A218" s="63"/>
      <c r="B218" s="63"/>
      <c r="C218" s="63"/>
      <c r="D218" s="63"/>
      <c r="E218" s="63"/>
      <c r="F218" s="63"/>
    </row>
    <row r="219">
      <c r="A219" s="63"/>
      <c r="B219" s="63"/>
      <c r="C219" s="63"/>
      <c r="D219" s="63"/>
      <c r="E219" s="63"/>
      <c r="F219" s="63"/>
    </row>
    <row r="220">
      <c r="A220" s="63"/>
      <c r="B220" s="63"/>
      <c r="C220" s="63"/>
      <c r="D220" s="63"/>
      <c r="E220" s="63"/>
      <c r="F220" s="63"/>
    </row>
    <row r="221">
      <c r="A221" s="63"/>
      <c r="B221" s="63"/>
      <c r="C221" s="63"/>
      <c r="D221" s="63"/>
      <c r="E221" s="63"/>
      <c r="F221" s="63"/>
    </row>
    <row r="222">
      <c r="A222" s="63"/>
      <c r="B222" s="63"/>
      <c r="C222" s="63"/>
      <c r="D222" s="63"/>
      <c r="E222" s="63"/>
      <c r="F222" s="63"/>
    </row>
    <row r="223">
      <c r="A223" s="63"/>
      <c r="B223" s="63"/>
      <c r="C223" s="63"/>
      <c r="D223" s="63"/>
      <c r="E223" s="63"/>
      <c r="F223" s="63"/>
    </row>
    <row r="224">
      <c r="A224" s="63"/>
      <c r="B224" s="63"/>
      <c r="C224" s="63"/>
      <c r="D224" s="63"/>
      <c r="E224" s="63"/>
      <c r="F224" s="63"/>
    </row>
    <row r="225">
      <c r="A225" s="63"/>
      <c r="B225" s="63"/>
      <c r="C225" s="63"/>
      <c r="D225" s="63"/>
      <c r="E225" s="63"/>
      <c r="F225" s="63"/>
    </row>
    <row r="226">
      <c r="A226" s="63"/>
      <c r="B226" s="63"/>
      <c r="C226" s="63"/>
      <c r="D226" s="63"/>
      <c r="E226" s="63"/>
      <c r="F226" s="63"/>
    </row>
    <row r="227">
      <c r="A227" s="63"/>
      <c r="B227" s="63"/>
      <c r="C227" s="63"/>
      <c r="D227" s="63"/>
      <c r="E227" s="63"/>
      <c r="F227" s="63"/>
    </row>
    <row r="228">
      <c r="A228" s="63"/>
      <c r="B228" s="63"/>
      <c r="C228" s="63"/>
      <c r="D228" s="63"/>
      <c r="E228" s="63"/>
      <c r="F228" s="63"/>
    </row>
    <row r="229">
      <c r="A229" s="63"/>
      <c r="B229" s="63"/>
      <c r="C229" s="63"/>
      <c r="D229" s="63"/>
      <c r="E229" s="63"/>
      <c r="F229" s="63"/>
    </row>
    <row r="230">
      <c r="A230" s="63"/>
      <c r="B230" s="63"/>
      <c r="C230" s="63"/>
      <c r="D230" s="63"/>
      <c r="E230" s="63"/>
      <c r="F230" s="63"/>
    </row>
    <row r="231">
      <c r="A231" s="63"/>
      <c r="B231" s="63"/>
      <c r="C231" s="63"/>
      <c r="D231" s="63"/>
      <c r="E231" s="63"/>
      <c r="F231" s="63"/>
    </row>
    <row r="232">
      <c r="A232" s="63"/>
      <c r="B232" s="63"/>
      <c r="C232" s="63"/>
      <c r="D232" s="63"/>
      <c r="E232" s="63"/>
      <c r="F232" s="63"/>
    </row>
    <row r="233">
      <c r="A233" s="63"/>
      <c r="B233" s="63"/>
      <c r="C233" s="63"/>
      <c r="D233" s="63"/>
      <c r="E233" s="63"/>
      <c r="F233" s="63"/>
    </row>
    <row r="234">
      <c r="A234" s="63"/>
      <c r="B234" s="63"/>
      <c r="C234" s="63"/>
      <c r="D234" s="63"/>
      <c r="E234" s="63"/>
      <c r="F234" s="63"/>
    </row>
    <row r="235">
      <c r="A235" s="63"/>
      <c r="B235" s="63"/>
      <c r="C235" s="63"/>
      <c r="D235" s="63"/>
      <c r="E235" s="63"/>
      <c r="F235" s="63"/>
    </row>
    <row r="236">
      <c r="A236" s="63"/>
      <c r="B236" s="63"/>
      <c r="C236" s="63"/>
      <c r="D236" s="63"/>
      <c r="E236" s="63"/>
      <c r="F236" s="63"/>
    </row>
    <row r="237">
      <c r="A237" s="63"/>
      <c r="B237" s="63"/>
      <c r="C237" s="63"/>
      <c r="D237" s="63"/>
      <c r="E237" s="63"/>
      <c r="F237" s="63"/>
    </row>
    <row r="238">
      <c r="A238" s="63"/>
      <c r="B238" s="63"/>
      <c r="C238" s="63"/>
      <c r="D238" s="63"/>
      <c r="E238" s="63"/>
      <c r="F238" s="63"/>
    </row>
    <row r="239">
      <c r="A239" s="63"/>
      <c r="B239" s="63"/>
      <c r="C239" s="63"/>
      <c r="D239" s="63"/>
      <c r="E239" s="63"/>
      <c r="F239" s="63"/>
    </row>
    <row r="240">
      <c r="A240" s="63"/>
      <c r="B240" s="63"/>
      <c r="C240" s="63"/>
      <c r="D240" s="63"/>
      <c r="E240" s="63"/>
      <c r="F240" s="63"/>
    </row>
    <row r="241">
      <c r="A241" s="63"/>
      <c r="B241" s="63"/>
      <c r="C241" s="63"/>
      <c r="D241" s="63"/>
      <c r="E241" s="63"/>
      <c r="F241" s="63"/>
    </row>
    <row r="242">
      <c r="A242" s="63"/>
      <c r="B242" s="63"/>
      <c r="C242" s="63"/>
      <c r="D242" s="63"/>
      <c r="E242" s="63"/>
      <c r="F242" s="63"/>
    </row>
    <row r="243">
      <c r="A243" s="63"/>
      <c r="B243" s="63"/>
      <c r="C243" s="63"/>
      <c r="D243" s="63"/>
      <c r="E243" s="63"/>
      <c r="F243" s="63"/>
    </row>
    <row r="244">
      <c r="A244" s="63"/>
      <c r="B244" s="63"/>
      <c r="C244" s="63"/>
      <c r="D244" s="63"/>
      <c r="E244" s="63"/>
      <c r="F244" s="63"/>
    </row>
    <row r="245">
      <c r="A245" s="63"/>
      <c r="B245" s="63"/>
      <c r="C245" s="63"/>
      <c r="D245" s="63"/>
      <c r="E245" s="63"/>
      <c r="F245" s="63"/>
    </row>
    <row r="246">
      <c r="A246" s="63"/>
      <c r="B246" s="63"/>
      <c r="C246" s="63"/>
      <c r="D246" s="63"/>
      <c r="E246" s="63"/>
      <c r="F246" s="63"/>
    </row>
    <row r="247">
      <c r="A247" s="63"/>
      <c r="B247" s="63"/>
      <c r="C247" s="63"/>
      <c r="D247" s="63"/>
      <c r="E247" s="63"/>
      <c r="F247" s="63"/>
    </row>
    <row r="248">
      <c r="A248" s="63"/>
      <c r="B248" s="63"/>
      <c r="C248" s="63"/>
      <c r="D248" s="63"/>
      <c r="E248" s="63"/>
      <c r="F248" s="63"/>
    </row>
    <row r="249">
      <c r="A249" s="63"/>
      <c r="B249" s="63"/>
      <c r="C249" s="63"/>
      <c r="D249" s="63"/>
      <c r="E249" s="63"/>
      <c r="F249" s="63"/>
    </row>
    <row r="250">
      <c r="A250" s="63"/>
      <c r="B250" s="63"/>
      <c r="C250" s="63"/>
      <c r="D250" s="63"/>
      <c r="E250" s="63"/>
      <c r="F250" s="63"/>
    </row>
    <row r="251">
      <c r="A251" s="63"/>
      <c r="B251" s="63"/>
      <c r="C251" s="63"/>
      <c r="D251" s="63"/>
      <c r="E251" s="63"/>
      <c r="F251" s="63"/>
    </row>
    <row r="252">
      <c r="A252" s="63"/>
      <c r="B252" s="63"/>
      <c r="C252" s="63"/>
      <c r="D252" s="63"/>
      <c r="E252" s="63"/>
      <c r="F252" s="63"/>
    </row>
    <row r="253">
      <c r="A253" s="63"/>
      <c r="B253" s="63"/>
      <c r="C253" s="63"/>
      <c r="D253" s="63"/>
      <c r="E253" s="63"/>
      <c r="F253" s="63"/>
    </row>
    <row r="254">
      <c r="A254" s="63"/>
      <c r="B254" s="63"/>
      <c r="C254" s="63"/>
      <c r="D254" s="63"/>
      <c r="E254" s="63"/>
      <c r="F254" s="63"/>
    </row>
    <row r="255">
      <c r="A255" s="63"/>
      <c r="B255" s="63"/>
      <c r="C255" s="63"/>
      <c r="D255" s="63"/>
      <c r="E255" s="63"/>
      <c r="F255" s="63"/>
    </row>
    <row r="256">
      <c r="A256" s="63"/>
      <c r="B256" s="63"/>
      <c r="C256" s="63"/>
      <c r="D256" s="63"/>
      <c r="E256" s="63"/>
      <c r="F256" s="63"/>
    </row>
    <row r="257">
      <c r="A257" s="63"/>
      <c r="B257" s="63"/>
      <c r="C257" s="63"/>
      <c r="D257" s="63"/>
      <c r="E257" s="63"/>
      <c r="F257" s="63"/>
    </row>
    <row r="258">
      <c r="A258" s="63"/>
      <c r="B258" s="63"/>
      <c r="C258" s="63"/>
      <c r="D258" s="63"/>
      <c r="E258" s="63"/>
      <c r="F258" s="63"/>
    </row>
    <row r="259">
      <c r="A259" s="63"/>
      <c r="B259" s="63"/>
      <c r="C259" s="63"/>
      <c r="D259" s="63"/>
      <c r="E259" s="63"/>
      <c r="F259" s="63"/>
    </row>
    <row r="260">
      <c r="A260" s="63"/>
      <c r="B260" s="63"/>
      <c r="C260" s="63"/>
      <c r="D260" s="63"/>
      <c r="E260" s="63"/>
      <c r="F260" s="63"/>
    </row>
    <row r="261">
      <c r="A261" s="63"/>
      <c r="B261" s="63"/>
      <c r="C261" s="63"/>
      <c r="D261" s="63"/>
      <c r="E261" s="63"/>
      <c r="F261" s="63"/>
    </row>
    <row r="262">
      <c r="A262" s="63"/>
      <c r="B262" s="63"/>
      <c r="C262" s="63"/>
      <c r="D262" s="63"/>
      <c r="E262" s="63"/>
      <c r="F262" s="63"/>
    </row>
    <row r="263">
      <c r="A263" s="63"/>
      <c r="B263" s="63"/>
      <c r="C263" s="63"/>
      <c r="D263" s="63"/>
      <c r="E263" s="63"/>
      <c r="F263" s="63"/>
    </row>
    <row r="264">
      <c r="A264" s="63"/>
      <c r="B264" s="63"/>
      <c r="C264" s="63"/>
      <c r="D264" s="63"/>
      <c r="E264" s="63"/>
      <c r="F264" s="63"/>
    </row>
    <row r="265">
      <c r="A265" s="63"/>
      <c r="B265" s="63"/>
      <c r="C265" s="63"/>
      <c r="D265" s="63"/>
      <c r="E265" s="63"/>
      <c r="F265" s="63"/>
    </row>
    <row r="266">
      <c r="A266" s="63"/>
      <c r="B266" s="63"/>
      <c r="C266" s="63"/>
      <c r="D266" s="63"/>
      <c r="E266" s="63"/>
      <c r="F266" s="63"/>
    </row>
    <row r="267">
      <c r="A267" s="63"/>
      <c r="B267" s="63"/>
      <c r="C267" s="63"/>
      <c r="D267" s="63"/>
      <c r="E267" s="63"/>
      <c r="F267" s="63"/>
    </row>
    <row r="268">
      <c r="A268" s="63"/>
      <c r="B268" s="63"/>
      <c r="C268" s="63"/>
      <c r="D268" s="63"/>
      <c r="E268" s="63"/>
      <c r="F268" s="63"/>
    </row>
    <row r="269">
      <c r="A269" s="63"/>
      <c r="B269" s="63"/>
      <c r="C269" s="63"/>
      <c r="D269" s="63"/>
      <c r="E269" s="63"/>
      <c r="F269" s="63"/>
    </row>
    <row r="270">
      <c r="A270" s="63"/>
      <c r="B270" s="63"/>
      <c r="C270" s="63"/>
      <c r="D270" s="63"/>
      <c r="E270" s="63"/>
      <c r="F270" s="63"/>
    </row>
    <row r="271">
      <c r="A271" s="63"/>
      <c r="B271" s="63"/>
      <c r="C271" s="63"/>
      <c r="D271" s="63"/>
      <c r="E271" s="63"/>
      <c r="F271" s="63"/>
    </row>
    <row r="272">
      <c r="A272" s="63"/>
      <c r="B272" s="63"/>
      <c r="C272" s="63"/>
      <c r="D272" s="63"/>
      <c r="E272" s="63"/>
      <c r="F272" s="63"/>
    </row>
    <row r="273">
      <c r="A273" s="63"/>
      <c r="B273" s="63"/>
      <c r="C273" s="63"/>
      <c r="D273" s="63"/>
      <c r="E273" s="63"/>
      <c r="F273" s="63"/>
    </row>
    <row r="274">
      <c r="A274" s="63"/>
      <c r="B274" s="63"/>
      <c r="C274" s="63"/>
      <c r="D274" s="63"/>
      <c r="E274" s="63"/>
      <c r="F274" s="63"/>
    </row>
    <row r="275">
      <c r="A275" s="63"/>
      <c r="B275" s="63"/>
      <c r="C275" s="63"/>
      <c r="D275" s="63"/>
      <c r="E275" s="63"/>
      <c r="F275" s="63"/>
    </row>
    <row r="276">
      <c r="A276" s="63"/>
      <c r="B276" s="63"/>
      <c r="C276" s="63"/>
      <c r="D276" s="63"/>
      <c r="E276" s="63"/>
      <c r="F276" s="63"/>
    </row>
    <row r="277">
      <c r="A277" s="63"/>
      <c r="B277" s="63"/>
      <c r="C277" s="63"/>
      <c r="D277" s="63"/>
      <c r="E277" s="63"/>
      <c r="F277" s="63"/>
    </row>
    <row r="278">
      <c r="A278" s="63"/>
      <c r="B278" s="63"/>
      <c r="C278" s="63"/>
      <c r="D278" s="63"/>
      <c r="E278" s="63"/>
      <c r="F278" s="63"/>
    </row>
    <row r="279">
      <c r="A279" s="63"/>
      <c r="B279" s="63"/>
      <c r="C279" s="63"/>
      <c r="D279" s="63"/>
      <c r="E279" s="63"/>
      <c r="F279" s="63"/>
    </row>
    <row r="280">
      <c r="A280" s="63"/>
      <c r="B280" s="63"/>
      <c r="C280" s="63"/>
      <c r="D280" s="63"/>
      <c r="E280" s="63"/>
      <c r="F280" s="63"/>
    </row>
    <row r="281">
      <c r="A281" s="63"/>
      <c r="B281" s="63"/>
      <c r="C281" s="63"/>
      <c r="D281" s="63"/>
      <c r="E281" s="63"/>
      <c r="F281" s="63"/>
    </row>
    <row r="282">
      <c r="A282" s="63"/>
      <c r="B282" s="63"/>
      <c r="C282" s="63"/>
      <c r="D282" s="63"/>
      <c r="E282" s="63"/>
      <c r="F282" s="63"/>
    </row>
    <row r="283">
      <c r="A283" s="63"/>
      <c r="B283" s="63"/>
      <c r="C283" s="63"/>
      <c r="D283" s="63"/>
      <c r="E283" s="63"/>
      <c r="F283" s="63"/>
    </row>
    <row r="284">
      <c r="A284" s="63"/>
      <c r="B284" s="63"/>
      <c r="C284" s="63"/>
      <c r="D284" s="63"/>
      <c r="E284" s="63"/>
      <c r="F284" s="63"/>
    </row>
    <row r="285">
      <c r="A285" s="63"/>
      <c r="B285" s="63"/>
      <c r="C285" s="63"/>
      <c r="D285" s="63"/>
      <c r="E285" s="63"/>
      <c r="F285" s="63"/>
    </row>
    <row r="286">
      <c r="A286" s="63"/>
      <c r="B286" s="63"/>
      <c r="C286" s="63"/>
      <c r="D286" s="63"/>
      <c r="E286" s="63"/>
      <c r="F286" s="63"/>
    </row>
    <row r="287">
      <c r="A287" s="63"/>
      <c r="B287" s="63"/>
      <c r="C287" s="63"/>
      <c r="D287" s="63"/>
      <c r="E287" s="63"/>
      <c r="F287" s="63"/>
    </row>
    <row r="288">
      <c r="A288" s="63"/>
      <c r="B288" s="63"/>
      <c r="C288" s="63"/>
      <c r="D288" s="63"/>
      <c r="E288" s="63"/>
      <c r="F288" s="63"/>
    </row>
    <row r="289">
      <c r="A289" s="63"/>
      <c r="B289" s="63"/>
      <c r="C289" s="63"/>
      <c r="D289" s="63"/>
      <c r="E289" s="63"/>
      <c r="F289" s="63"/>
    </row>
    <row r="290">
      <c r="A290" s="63"/>
      <c r="B290" s="63"/>
      <c r="C290" s="63"/>
      <c r="D290" s="63"/>
      <c r="E290" s="63"/>
      <c r="F290" s="63"/>
    </row>
    <row r="291">
      <c r="A291" s="63"/>
      <c r="B291" s="63"/>
      <c r="C291" s="63"/>
      <c r="D291" s="63"/>
      <c r="E291" s="63"/>
      <c r="F291" s="63"/>
    </row>
    <row r="292">
      <c r="A292" s="63"/>
      <c r="B292" s="63"/>
      <c r="C292" s="63"/>
      <c r="D292" s="63"/>
      <c r="E292" s="63"/>
      <c r="F292" s="63"/>
    </row>
    <row r="293">
      <c r="A293" s="63"/>
      <c r="B293" s="63"/>
      <c r="C293" s="63"/>
      <c r="D293" s="63"/>
      <c r="E293" s="63"/>
      <c r="F293" s="63"/>
    </row>
    <row r="294">
      <c r="A294" s="63"/>
      <c r="B294" s="63"/>
      <c r="C294" s="63"/>
      <c r="D294" s="63"/>
      <c r="E294" s="63"/>
      <c r="F294" s="63"/>
    </row>
    <row r="295">
      <c r="A295" s="63"/>
      <c r="B295" s="63"/>
      <c r="C295" s="63"/>
      <c r="D295" s="63"/>
      <c r="E295" s="63"/>
      <c r="F295" s="63"/>
    </row>
    <row r="296">
      <c r="A296" s="63"/>
      <c r="B296" s="63"/>
      <c r="C296" s="63"/>
      <c r="D296" s="63"/>
      <c r="E296" s="63"/>
      <c r="F296" s="63"/>
    </row>
    <row r="297">
      <c r="A297" s="63"/>
      <c r="B297" s="63"/>
      <c r="C297" s="63"/>
      <c r="D297" s="63"/>
      <c r="E297" s="63"/>
      <c r="F297" s="63"/>
    </row>
    <row r="298">
      <c r="A298" s="63"/>
      <c r="B298" s="63"/>
      <c r="C298" s="63"/>
      <c r="D298" s="63"/>
      <c r="E298" s="63"/>
      <c r="F298" s="63"/>
    </row>
    <row r="299">
      <c r="A299" s="63"/>
      <c r="B299" s="63"/>
      <c r="C299" s="63"/>
      <c r="D299" s="63"/>
      <c r="E299" s="63"/>
      <c r="F299" s="63"/>
    </row>
    <row r="300">
      <c r="A300" s="63"/>
      <c r="B300" s="63"/>
      <c r="C300" s="63"/>
      <c r="D300" s="63"/>
      <c r="E300" s="63"/>
      <c r="F300" s="63"/>
    </row>
    <row r="301">
      <c r="A301" s="63"/>
      <c r="B301" s="63"/>
      <c r="C301" s="63"/>
      <c r="D301" s="63"/>
      <c r="E301" s="63"/>
      <c r="F301" s="63"/>
    </row>
    <row r="302">
      <c r="A302" s="63"/>
      <c r="B302" s="63"/>
      <c r="C302" s="63"/>
      <c r="D302" s="63"/>
      <c r="E302" s="63"/>
      <c r="F302" s="63"/>
    </row>
    <row r="303">
      <c r="A303" s="63"/>
      <c r="B303" s="63"/>
      <c r="C303" s="63"/>
      <c r="D303" s="63"/>
      <c r="E303" s="63"/>
      <c r="F303" s="63"/>
    </row>
    <row r="304">
      <c r="A304" s="63"/>
      <c r="B304" s="63"/>
      <c r="C304" s="63"/>
      <c r="D304" s="63"/>
      <c r="E304" s="63"/>
      <c r="F304" s="63"/>
    </row>
    <row r="305">
      <c r="A305" s="63"/>
      <c r="B305" s="63"/>
      <c r="C305" s="63"/>
      <c r="D305" s="63"/>
      <c r="E305" s="63"/>
      <c r="F305" s="63"/>
    </row>
    <row r="306">
      <c r="A306" s="63"/>
      <c r="B306" s="63"/>
      <c r="C306" s="63"/>
      <c r="D306" s="63"/>
      <c r="E306" s="63"/>
      <c r="F306" s="63"/>
    </row>
    <row r="307">
      <c r="A307" s="63"/>
      <c r="B307" s="63"/>
      <c r="C307" s="63"/>
      <c r="D307" s="63"/>
      <c r="E307" s="63"/>
      <c r="F307" s="63"/>
    </row>
    <row r="308">
      <c r="A308" s="63"/>
      <c r="B308" s="63"/>
      <c r="C308" s="63"/>
      <c r="D308" s="63"/>
      <c r="E308" s="63"/>
      <c r="F308" s="63"/>
    </row>
    <row r="309">
      <c r="A309" s="63"/>
      <c r="B309" s="63"/>
      <c r="C309" s="63"/>
      <c r="D309" s="63"/>
      <c r="E309" s="63"/>
      <c r="F309" s="63"/>
    </row>
    <row r="310">
      <c r="A310" s="63"/>
      <c r="B310" s="63"/>
      <c r="C310" s="63"/>
      <c r="D310" s="63"/>
      <c r="E310" s="63"/>
      <c r="F310" s="63"/>
    </row>
    <row r="311">
      <c r="A311" s="63"/>
      <c r="B311" s="63"/>
      <c r="C311" s="63"/>
      <c r="D311" s="63"/>
      <c r="E311" s="63"/>
      <c r="F311" s="63"/>
    </row>
    <row r="312">
      <c r="A312" s="63"/>
      <c r="B312" s="63"/>
      <c r="C312" s="63"/>
      <c r="D312" s="63"/>
      <c r="E312" s="63"/>
      <c r="F312" s="63"/>
    </row>
    <row r="313">
      <c r="A313" s="63"/>
      <c r="B313" s="63"/>
      <c r="C313" s="63"/>
      <c r="D313" s="63"/>
      <c r="E313" s="63"/>
      <c r="F313" s="63"/>
    </row>
    <row r="314">
      <c r="A314" s="63"/>
      <c r="B314" s="63"/>
      <c r="C314" s="63"/>
      <c r="D314" s="63"/>
      <c r="E314" s="63"/>
      <c r="F314" s="63"/>
    </row>
    <row r="315">
      <c r="A315" s="63"/>
      <c r="B315" s="63"/>
      <c r="C315" s="63"/>
      <c r="D315" s="63"/>
      <c r="E315" s="63"/>
      <c r="F315" s="63"/>
    </row>
    <row r="316">
      <c r="A316" s="63"/>
      <c r="B316" s="63"/>
      <c r="C316" s="63"/>
      <c r="D316" s="63"/>
      <c r="E316" s="63"/>
      <c r="F316" s="63"/>
    </row>
    <row r="317">
      <c r="A317" s="63"/>
      <c r="B317" s="63"/>
      <c r="C317" s="63"/>
      <c r="D317" s="63"/>
      <c r="E317" s="63"/>
      <c r="F317" s="63"/>
    </row>
    <row r="318">
      <c r="A318" s="63"/>
      <c r="B318" s="63"/>
      <c r="C318" s="63"/>
      <c r="D318" s="63"/>
      <c r="E318" s="63"/>
      <c r="F318" s="63"/>
    </row>
    <row r="319">
      <c r="A319" s="63"/>
      <c r="B319" s="63"/>
      <c r="C319" s="63"/>
      <c r="D319" s="63"/>
      <c r="E319" s="63"/>
      <c r="F319" s="63"/>
    </row>
    <row r="320">
      <c r="A320" s="63"/>
      <c r="B320" s="63"/>
      <c r="C320" s="63"/>
      <c r="D320" s="63"/>
      <c r="E320" s="63"/>
      <c r="F320" s="63"/>
    </row>
    <row r="321">
      <c r="A321" s="63"/>
      <c r="B321" s="63"/>
      <c r="C321" s="63"/>
      <c r="D321" s="63"/>
      <c r="E321" s="63"/>
      <c r="F321" s="63"/>
    </row>
    <row r="322">
      <c r="A322" s="63"/>
      <c r="B322" s="63"/>
      <c r="C322" s="63"/>
      <c r="D322" s="63"/>
      <c r="E322" s="63"/>
      <c r="F322" s="63"/>
    </row>
    <row r="323">
      <c r="A323" s="63"/>
      <c r="B323" s="63"/>
      <c r="C323" s="63"/>
      <c r="D323" s="63"/>
      <c r="E323" s="63"/>
      <c r="F323" s="63"/>
    </row>
    <row r="324">
      <c r="A324" s="63"/>
      <c r="B324" s="63"/>
      <c r="C324" s="63"/>
      <c r="D324" s="63"/>
      <c r="E324" s="63"/>
      <c r="F324" s="63"/>
    </row>
    <row r="325">
      <c r="A325" s="63"/>
      <c r="B325" s="63"/>
      <c r="C325" s="63"/>
      <c r="D325" s="63"/>
      <c r="E325" s="63"/>
      <c r="F325" s="63"/>
    </row>
    <row r="326">
      <c r="A326" s="63"/>
      <c r="B326" s="63"/>
      <c r="C326" s="63"/>
      <c r="D326" s="63"/>
      <c r="E326" s="63"/>
      <c r="F326" s="63"/>
    </row>
    <row r="327">
      <c r="A327" s="63"/>
      <c r="B327" s="63"/>
      <c r="C327" s="63"/>
      <c r="D327" s="63"/>
      <c r="E327" s="63"/>
      <c r="F327" s="63"/>
    </row>
    <row r="328">
      <c r="A328" s="63"/>
      <c r="B328" s="63"/>
      <c r="C328" s="63"/>
      <c r="D328" s="63"/>
      <c r="E328" s="63"/>
      <c r="F328" s="63"/>
    </row>
    <row r="329">
      <c r="A329" s="63"/>
      <c r="B329" s="63"/>
      <c r="C329" s="63"/>
      <c r="D329" s="63"/>
      <c r="E329" s="63"/>
      <c r="F329" s="63"/>
    </row>
    <row r="330">
      <c r="A330" s="63"/>
      <c r="B330" s="63"/>
      <c r="C330" s="63"/>
      <c r="D330" s="63"/>
      <c r="E330" s="63"/>
      <c r="F330" s="63"/>
    </row>
    <row r="331">
      <c r="A331" s="63"/>
      <c r="B331" s="63"/>
      <c r="C331" s="63"/>
      <c r="D331" s="63"/>
      <c r="E331" s="63"/>
      <c r="F331" s="63"/>
    </row>
    <row r="332">
      <c r="A332" s="63"/>
      <c r="B332" s="63"/>
      <c r="C332" s="63"/>
      <c r="D332" s="63"/>
      <c r="E332" s="63"/>
      <c r="F332" s="63"/>
    </row>
    <row r="333">
      <c r="A333" s="63"/>
      <c r="B333" s="63"/>
      <c r="C333" s="63"/>
      <c r="D333" s="63"/>
      <c r="E333" s="63"/>
      <c r="F333" s="63"/>
    </row>
    <row r="334">
      <c r="A334" s="63"/>
      <c r="B334" s="63"/>
      <c r="C334" s="63"/>
      <c r="D334" s="63"/>
      <c r="E334" s="63"/>
      <c r="F334" s="63"/>
    </row>
    <row r="335">
      <c r="A335" s="63"/>
      <c r="B335" s="63"/>
      <c r="C335" s="63"/>
      <c r="D335" s="63"/>
      <c r="E335" s="63"/>
      <c r="F335" s="63"/>
    </row>
    <row r="336">
      <c r="A336" s="63"/>
      <c r="B336" s="63"/>
      <c r="C336" s="63"/>
      <c r="D336" s="63"/>
      <c r="E336" s="63"/>
      <c r="F336" s="63"/>
    </row>
    <row r="337">
      <c r="A337" s="63"/>
      <c r="B337" s="63"/>
      <c r="C337" s="63"/>
      <c r="D337" s="63"/>
      <c r="E337" s="63"/>
      <c r="F337" s="63"/>
    </row>
    <row r="338">
      <c r="A338" s="63"/>
      <c r="B338" s="63"/>
      <c r="C338" s="63"/>
      <c r="D338" s="63"/>
      <c r="E338" s="63"/>
      <c r="F338" s="63"/>
    </row>
    <row r="339">
      <c r="A339" s="63"/>
      <c r="B339" s="63"/>
      <c r="C339" s="63"/>
      <c r="D339" s="63"/>
      <c r="E339" s="63"/>
      <c r="F339" s="63"/>
    </row>
    <row r="340">
      <c r="A340" s="63"/>
      <c r="B340" s="63"/>
      <c r="C340" s="63"/>
      <c r="D340" s="63"/>
      <c r="E340" s="63"/>
      <c r="F340" s="63"/>
    </row>
    <row r="341">
      <c r="A341" s="63"/>
      <c r="B341" s="63"/>
      <c r="C341" s="63"/>
      <c r="D341" s="63"/>
      <c r="E341" s="63"/>
      <c r="F341" s="63"/>
    </row>
    <row r="342">
      <c r="A342" s="63"/>
      <c r="B342" s="63"/>
      <c r="C342" s="63"/>
      <c r="D342" s="63"/>
      <c r="E342" s="63"/>
      <c r="F342" s="63"/>
    </row>
    <row r="343">
      <c r="A343" s="63"/>
      <c r="B343" s="63"/>
      <c r="C343" s="63"/>
      <c r="D343" s="63"/>
      <c r="E343" s="63"/>
      <c r="F343" s="63"/>
    </row>
    <row r="344">
      <c r="A344" s="63"/>
      <c r="B344" s="63"/>
      <c r="C344" s="63"/>
      <c r="D344" s="63"/>
      <c r="E344" s="63"/>
      <c r="F344" s="63"/>
    </row>
    <row r="345">
      <c r="A345" s="63"/>
      <c r="B345" s="63"/>
      <c r="C345" s="63"/>
      <c r="D345" s="63"/>
      <c r="E345" s="63"/>
      <c r="F345" s="63"/>
    </row>
    <row r="346">
      <c r="A346" s="63"/>
      <c r="B346" s="63"/>
      <c r="C346" s="63"/>
      <c r="D346" s="63"/>
      <c r="E346" s="63"/>
      <c r="F346" s="63"/>
    </row>
    <row r="347">
      <c r="A347" s="63"/>
      <c r="B347" s="63"/>
      <c r="C347" s="63"/>
      <c r="D347" s="63"/>
      <c r="E347" s="63"/>
      <c r="F347" s="63"/>
    </row>
    <row r="348">
      <c r="A348" s="63"/>
      <c r="B348" s="63"/>
      <c r="C348" s="63"/>
      <c r="D348" s="63"/>
      <c r="E348" s="63"/>
      <c r="F348" s="63"/>
    </row>
    <row r="349">
      <c r="A349" s="63"/>
      <c r="B349" s="63"/>
      <c r="C349" s="63"/>
      <c r="D349" s="63"/>
      <c r="E349" s="63"/>
      <c r="F349" s="63"/>
    </row>
    <row r="350">
      <c r="A350" s="63"/>
      <c r="B350" s="63"/>
      <c r="C350" s="63"/>
      <c r="D350" s="63"/>
      <c r="E350" s="63"/>
      <c r="F350" s="63"/>
    </row>
    <row r="351">
      <c r="A351" s="63"/>
      <c r="B351" s="63"/>
      <c r="C351" s="63"/>
      <c r="D351" s="63"/>
      <c r="E351" s="63"/>
      <c r="F351" s="63"/>
    </row>
    <row r="352">
      <c r="A352" s="63"/>
      <c r="B352" s="63"/>
      <c r="C352" s="63"/>
      <c r="D352" s="63"/>
      <c r="E352" s="63"/>
      <c r="F352" s="63"/>
    </row>
    <row r="353">
      <c r="A353" s="63"/>
      <c r="B353" s="63"/>
      <c r="C353" s="63"/>
      <c r="D353" s="63"/>
      <c r="E353" s="63"/>
      <c r="F353" s="63"/>
    </row>
    <row r="354">
      <c r="A354" s="63"/>
      <c r="B354" s="63"/>
      <c r="C354" s="63"/>
      <c r="D354" s="63"/>
      <c r="E354" s="63"/>
      <c r="F354" s="63"/>
    </row>
    <row r="355">
      <c r="A355" s="63"/>
      <c r="B355" s="63"/>
      <c r="C355" s="63"/>
      <c r="D355" s="63"/>
      <c r="E355" s="63"/>
      <c r="F355" s="63"/>
    </row>
    <row r="356">
      <c r="A356" s="63"/>
      <c r="B356" s="63"/>
      <c r="C356" s="63"/>
      <c r="D356" s="63"/>
      <c r="E356" s="63"/>
      <c r="F356" s="63"/>
    </row>
    <row r="357">
      <c r="A357" s="63"/>
      <c r="B357" s="63"/>
      <c r="C357" s="63"/>
      <c r="D357" s="63"/>
      <c r="E357" s="63"/>
      <c r="F357" s="63"/>
    </row>
    <row r="358">
      <c r="A358" s="63"/>
      <c r="B358" s="63"/>
      <c r="C358" s="63"/>
      <c r="D358" s="63"/>
      <c r="E358" s="63"/>
      <c r="F358" s="63"/>
    </row>
    <row r="359">
      <c r="A359" s="63"/>
      <c r="B359" s="63"/>
      <c r="C359" s="63"/>
      <c r="D359" s="63"/>
      <c r="E359" s="63"/>
      <c r="F359" s="63"/>
    </row>
    <row r="360">
      <c r="A360" s="63"/>
      <c r="B360" s="63"/>
      <c r="C360" s="63"/>
      <c r="D360" s="63"/>
      <c r="E360" s="63"/>
      <c r="F360" s="63"/>
    </row>
    <row r="361">
      <c r="A361" s="63"/>
      <c r="B361" s="63"/>
      <c r="C361" s="63"/>
      <c r="D361" s="63"/>
      <c r="E361" s="63"/>
      <c r="F361" s="63"/>
    </row>
    <row r="362">
      <c r="A362" s="63"/>
      <c r="B362" s="63"/>
      <c r="C362" s="63"/>
      <c r="D362" s="63"/>
      <c r="E362" s="63"/>
      <c r="F362" s="63"/>
    </row>
    <row r="363">
      <c r="A363" s="63"/>
      <c r="B363" s="63"/>
      <c r="C363" s="63"/>
      <c r="D363" s="63"/>
      <c r="E363" s="63"/>
      <c r="F363" s="63"/>
    </row>
    <row r="364">
      <c r="A364" s="63"/>
      <c r="B364" s="63"/>
      <c r="C364" s="63"/>
      <c r="D364" s="63"/>
      <c r="E364" s="63"/>
      <c r="F364" s="63"/>
    </row>
    <row r="365">
      <c r="A365" s="63"/>
      <c r="B365" s="63"/>
      <c r="C365" s="63"/>
      <c r="D365" s="63"/>
      <c r="E365" s="63"/>
      <c r="F365" s="63"/>
    </row>
    <row r="366">
      <c r="A366" s="63"/>
      <c r="B366" s="63"/>
      <c r="C366" s="63"/>
      <c r="D366" s="63"/>
      <c r="E366" s="63"/>
      <c r="F366" s="63"/>
    </row>
    <row r="367">
      <c r="A367" s="63"/>
      <c r="B367" s="63"/>
      <c r="C367" s="63"/>
      <c r="D367" s="63"/>
      <c r="E367" s="63"/>
      <c r="F367" s="63"/>
    </row>
    <row r="368">
      <c r="A368" s="63"/>
      <c r="B368" s="63"/>
      <c r="C368" s="63"/>
      <c r="D368" s="63"/>
      <c r="E368" s="63"/>
      <c r="F368" s="63"/>
    </row>
    <row r="369">
      <c r="A369" s="63"/>
      <c r="B369" s="63"/>
      <c r="C369" s="63"/>
      <c r="D369" s="63"/>
      <c r="E369" s="63"/>
      <c r="F369" s="63"/>
    </row>
    <row r="370">
      <c r="A370" s="63"/>
      <c r="B370" s="63"/>
      <c r="C370" s="63"/>
      <c r="D370" s="63"/>
      <c r="E370" s="63"/>
      <c r="F370" s="63"/>
    </row>
    <row r="371">
      <c r="A371" s="63"/>
      <c r="B371" s="63"/>
      <c r="C371" s="63"/>
      <c r="D371" s="63"/>
      <c r="E371" s="63"/>
      <c r="F371" s="63"/>
    </row>
    <row r="372">
      <c r="A372" s="63"/>
      <c r="B372" s="63"/>
      <c r="C372" s="63"/>
      <c r="D372" s="63"/>
      <c r="E372" s="63"/>
      <c r="F372" s="63"/>
    </row>
    <row r="373">
      <c r="A373" s="63"/>
      <c r="B373" s="63"/>
      <c r="C373" s="63"/>
      <c r="D373" s="63"/>
      <c r="E373" s="63"/>
      <c r="F373" s="63"/>
    </row>
    <row r="374">
      <c r="A374" s="63"/>
      <c r="B374" s="63"/>
      <c r="C374" s="63"/>
      <c r="D374" s="63"/>
      <c r="E374" s="63"/>
      <c r="F374" s="63"/>
    </row>
    <row r="375">
      <c r="A375" s="63"/>
      <c r="B375" s="63"/>
      <c r="C375" s="63"/>
      <c r="D375" s="63"/>
      <c r="E375" s="63"/>
      <c r="F375" s="63"/>
    </row>
    <row r="376">
      <c r="A376" s="63"/>
      <c r="B376" s="63"/>
      <c r="C376" s="63"/>
      <c r="D376" s="63"/>
      <c r="E376" s="63"/>
      <c r="F376" s="63"/>
    </row>
    <row r="377">
      <c r="A377" s="63"/>
      <c r="B377" s="63"/>
      <c r="C377" s="63"/>
      <c r="D377" s="63"/>
      <c r="E377" s="63"/>
      <c r="F377" s="63"/>
    </row>
    <row r="378">
      <c r="A378" s="63"/>
      <c r="B378" s="63"/>
      <c r="C378" s="63"/>
      <c r="D378" s="63"/>
      <c r="E378" s="63"/>
      <c r="F378" s="63"/>
    </row>
    <row r="379">
      <c r="A379" s="63"/>
      <c r="B379" s="63"/>
      <c r="C379" s="63"/>
      <c r="D379" s="63"/>
      <c r="E379" s="63"/>
      <c r="F379" s="63"/>
    </row>
    <row r="380">
      <c r="A380" s="63"/>
      <c r="B380" s="63"/>
      <c r="C380" s="63"/>
      <c r="D380" s="63"/>
      <c r="E380" s="63"/>
      <c r="F380" s="63"/>
    </row>
    <row r="381">
      <c r="A381" s="63"/>
      <c r="B381" s="63"/>
      <c r="C381" s="63"/>
      <c r="D381" s="63"/>
      <c r="E381" s="63"/>
      <c r="F381" s="63"/>
    </row>
    <row r="382">
      <c r="A382" s="63"/>
      <c r="B382" s="63"/>
      <c r="C382" s="63"/>
      <c r="D382" s="63"/>
      <c r="E382" s="63"/>
      <c r="F382" s="63"/>
    </row>
    <row r="383">
      <c r="A383" s="63"/>
      <c r="B383" s="63"/>
      <c r="C383" s="63"/>
      <c r="D383" s="63"/>
      <c r="E383" s="63"/>
      <c r="F383" s="63"/>
    </row>
    <row r="384">
      <c r="A384" s="63"/>
      <c r="B384" s="63"/>
      <c r="C384" s="63"/>
      <c r="D384" s="63"/>
      <c r="E384" s="63"/>
      <c r="F384" s="63"/>
    </row>
    <row r="385">
      <c r="A385" s="63"/>
      <c r="B385" s="63"/>
      <c r="C385" s="63"/>
      <c r="D385" s="63"/>
      <c r="E385" s="63"/>
      <c r="F385" s="63"/>
    </row>
    <row r="386">
      <c r="A386" s="63"/>
      <c r="B386" s="63"/>
      <c r="C386" s="63"/>
      <c r="D386" s="63"/>
      <c r="E386" s="63"/>
      <c r="F386" s="63"/>
    </row>
    <row r="387">
      <c r="A387" s="63"/>
      <c r="B387" s="63"/>
      <c r="C387" s="63"/>
      <c r="D387" s="63"/>
      <c r="E387" s="63"/>
      <c r="F387" s="63"/>
    </row>
    <row r="388">
      <c r="A388" s="63"/>
      <c r="B388" s="63"/>
      <c r="C388" s="63"/>
      <c r="D388" s="63"/>
      <c r="E388" s="63"/>
      <c r="F388" s="63"/>
    </row>
    <row r="389">
      <c r="A389" s="63"/>
      <c r="B389" s="63"/>
      <c r="C389" s="63"/>
      <c r="D389" s="63"/>
      <c r="E389" s="63"/>
      <c r="F389" s="63"/>
    </row>
    <row r="390">
      <c r="A390" s="63"/>
      <c r="B390" s="63"/>
      <c r="C390" s="63"/>
      <c r="D390" s="63"/>
      <c r="E390" s="63"/>
      <c r="F390" s="63"/>
    </row>
    <row r="391">
      <c r="A391" s="63"/>
      <c r="B391" s="63"/>
      <c r="C391" s="63"/>
      <c r="D391" s="63"/>
      <c r="E391" s="63"/>
      <c r="F391" s="63"/>
    </row>
    <row r="392">
      <c r="A392" s="63"/>
      <c r="B392" s="63"/>
      <c r="C392" s="63"/>
      <c r="D392" s="63"/>
      <c r="E392" s="63"/>
      <c r="F392" s="63"/>
    </row>
    <row r="393">
      <c r="A393" s="63"/>
      <c r="B393" s="63"/>
      <c r="C393" s="63"/>
      <c r="D393" s="63"/>
      <c r="E393" s="63"/>
      <c r="F393" s="63"/>
    </row>
    <row r="394">
      <c r="A394" s="63"/>
      <c r="B394" s="63"/>
      <c r="C394" s="63"/>
      <c r="D394" s="63"/>
      <c r="E394" s="63"/>
      <c r="F394" s="63"/>
    </row>
    <row r="395">
      <c r="A395" s="63"/>
      <c r="B395" s="63"/>
      <c r="C395" s="63"/>
      <c r="D395" s="63"/>
      <c r="E395" s="63"/>
      <c r="F395" s="63"/>
    </row>
    <row r="396">
      <c r="A396" s="63"/>
      <c r="B396" s="63"/>
      <c r="C396" s="63"/>
      <c r="D396" s="63"/>
      <c r="E396" s="63"/>
      <c r="F396" s="63"/>
    </row>
    <row r="397">
      <c r="A397" s="63"/>
      <c r="B397" s="63"/>
      <c r="C397" s="63"/>
      <c r="D397" s="63"/>
      <c r="E397" s="63"/>
      <c r="F397" s="63"/>
    </row>
    <row r="398">
      <c r="A398" s="63"/>
      <c r="B398" s="63"/>
      <c r="C398" s="63"/>
      <c r="D398" s="63"/>
      <c r="E398" s="63"/>
      <c r="F398" s="63"/>
    </row>
    <row r="399">
      <c r="A399" s="63"/>
      <c r="B399" s="63"/>
      <c r="C399" s="63"/>
      <c r="D399" s="63"/>
      <c r="E399" s="63"/>
      <c r="F399" s="63"/>
    </row>
    <row r="400">
      <c r="A400" s="63"/>
      <c r="B400" s="63"/>
      <c r="C400" s="63"/>
      <c r="D400" s="63"/>
      <c r="E400" s="63"/>
      <c r="F400" s="63"/>
    </row>
    <row r="401">
      <c r="A401" s="63"/>
      <c r="B401" s="63"/>
      <c r="C401" s="63"/>
      <c r="D401" s="63"/>
      <c r="E401" s="63"/>
      <c r="F401" s="63"/>
    </row>
    <row r="402">
      <c r="A402" s="63"/>
      <c r="B402" s="63"/>
      <c r="C402" s="63"/>
      <c r="D402" s="63"/>
      <c r="E402" s="63"/>
      <c r="F402" s="63"/>
    </row>
    <row r="403">
      <c r="A403" s="63"/>
      <c r="B403" s="63"/>
      <c r="C403" s="63"/>
      <c r="D403" s="63"/>
      <c r="E403" s="63"/>
      <c r="F403" s="63"/>
    </row>
    <row r="404">
      <c r="A404" s="63"/>
      <c r="B404" s="63"/>
      <c r="C404" s="63"/>
      <c r="D404" s="63"/>
      <c r="E404" s="63"/>
      <c r="F404" s="63"/>
    </row>
    <row r="405">
      <c r="A405" s="63"/>
      <c r="B405" s="63"/>
      <c r="C405" s="63"/>
      <c r="D405" s="63"/>
      <c r="E405" s="63"/>
      <c r="F405" s="63"/>
    </row>
    <row r="406">
      <c r="A406" s="63"/>
      <c r="B406" s="63"/>
      <c r="C406" s="63"/>
      <c r="D406" s="63"/>
      <c r="E406" s="63"/>
      <c r="F406" s="63"/>
    </row>
    <row r="407">
      <c r="A407" s="63"/>
      <c r="B407" s="63"/>
      <c r="C407" s="63"/>
      <c r="D407" s="63"/>
      <c r="E407" s="63"/>
      <c r="F407" s="63"/>
    </row>
    <row r="408">
      <c r="A408" s="63"/>
      <c r="B408" s="63"/>
      <c r="C408" s="63"/>
      <c r="D408" s="63"/>
      <c r="E408" s="63"/>
      <c r="F408" s="63"/>
    </row>
    <row r="409">
      <c r="A409" s="63"/>
      <c r="B409" s="63"/>
      <c r="C409" s="63"/>
      <c r="D409" s="63"/>
      <c r="E409" s="63"/>
      <c r="F409" s="63"/>
    </row>
    <row r="410">
      <c r="A410" s="63"/>
      <c r="B410" s="63"/>
      <c r="C410" s="63"/>
      <c r="D410" s="63"/>
      <c r="E410" s="63"/>
      <c r="F410" s="63"/>
    </row>
    <row r="411">
      <c r="A411" s="63"/>
      <c r="B411" s="63"/>
      <c r="C411" s="63"/>
      <c r="D411" s="63"/>
      <c r="E411" s="63"/>
      <c r="F411" s="63"/>
    </row>
    <row r="412">
      <c r="A412" s="63"/>
      <c r="B412" s="63"/>
      <c r="C412" s="63"/>
      <c r="D412" s="63"/>
      <c r="E412" s="63"/>
      <c r="F412" s="63"/>
    </row>
    <row r="413">
      <c r="A413" s="63"/>
      <c r="B413" s="63"/>
      <c r="C413" s="63"/>
      <c r="D413" s="63"/>
      <c r="E413" s="63"/>
      <c r="F413" s="63"/>
    </row>
    <row r="414">
      <c r="A414" s="63"/>
      <c r="B414" s="63"/>
      <c r="C414" s="63"/>
      <c r="D414" s="63"/>
      <c r="E414" s="63"/>
      <c r="F414" s="63"/>
    </row>
    <row r="415">
      <c r="A415" s="63"/>
      <c r="B415" s="63"/>
      <c r="C415" s="63"/>
      <c r="D415" s="63"/>
      <c r="E415" s="63"/>
      <c r="F415" s="63"/>
    </row>
    <row r="416">
      <c r="A416" s="63"/>
      <c r="B416" s="63"/>
      <c r="C416" s="63"/>
      <c r="D416" s="63"/>
      <c r="E416" s="63"/>
      <c r="F416" s="63"/>
    </row>
    <row r="417">
      <c r="A417" s="63"/>
      <c r="B417" s="63"/>
      <c r="C417" s="63"/>
      <c r="D417" s="63"/>
      <c r="E417" s="63"/>
      <c r="F417" s="63"/>
    </row>
    <row r="418">
      <c r="A418" s="63"/>
      <c r="B418" s="63"/>
      <c r="C418" s="63"/>
      <c r="D418" s="63"/>
      <c r="E418" s="63"/>
      <c r="F418" s="63"/>
    </row>
    <row r="419">
      <c r="A419" s="63"/>
      <c r="B419" s="63"/>
      <c r="C419" s="63"/>
      <c r="D419" s="63"/>
      <c r="E419" s="63"/>
      <c r="F419" s="63"/>
    </row>
    <row r="420">
      <c r="A420" s="63"/>
      <c r="B420" s="63"/>
      <c r="C420" s="63"/>
      <c r="D420" s="63"/>
      <c r="E420" s="63"/>
      <c r="F420" s="63"/>
    </row>
    <row r="421">
      <c r="A421" s="63"/>
      <c r="B421" s="63"/>
      <c r="C421" s="63"/>
      <c r="D421" s="63"/>
      <c r="E421" s="63"/>
      <c r="F421" s="63"/>
    </row>
    <row r="422">
      <c r="A422" s="63"/>
      <c r="B422" s="63"/>
      <c r="C422" s="63"/>
      <c r="D422" s="63"/>
      <c r="E422" s="63"/>
      <c r="F422" s="63"/>
    </row>
    <row r="423">
      <c r="A423" s="63"/>
      <c r="B423" s="63"/>
      <c r="C423" s="63"/>
      <c r="D423" s="63"/>
      <c r="E423" s="63"/>
      <c r="F423" s="63"/>
    </row>
    <row r="424">
      <c r="A424" s="63"/>
      <c r="B424" s="63"/>
      <c r="C424" s="63"/>
      <c r="D424" s="63"/>
      <c r="E424" s="63"/>
      <c r="F424" s="63"/>
    </row>
    <row r="425">
      <c r="A425" s="63"/>
      <c r="B425" s="63"/>
      <c r="C425" s="63"/>
      <c r="D425" s="63"/>
      <c r="E425" s="63"/>
      <c r="F425" s="63"/>
    </row>
    <row r="426">
      <c r="A426" s="63"/>
      <c r="B426" s="63"/>
      <c r="C426" s="63"/>
      <c r="D426" s="63"/>
      <c r="E426" s="63"/>
      <c r="F426" s="63"/>
    </row>
    <row r="427">
      <c r="A427" s="63"/>
      <c r="B427" s="63"/>
      <c r="C427" s="63"/>
      <c r="D427" s="63"/>
      <c r="E427" s="63"/>
      <c r="F427" s="63"/>
    </row>
    <row r="428">
      <c r="A428" s="63"/>
      <c r="B428" s="63"/>
      <c r="C428" s="63"/>
      <c r="D428" s="63"/>
      <c r="E428" s="63"/>
      <c r="F428" s="63"/>
    </row>
    <row r="429">
      <c r="A429" s="63"/>
      <c r="B429" s="63"/>
      <c r="C429" s="63"/>
      <c r="D429" s="63"/>
      <c r="E429" s="63"/>
      <c r="F429" s="63"/>
    </row>
    <row r="430">
      <c r="A430" s="63"/>
      <c r="B430" s="63"/>
      <c r="C430" s="63"/>
      <c r="D430" s="63"/>
      <c r="E430" s="63"/>
      <c r="F430" s="63"/>
    </row>
    <row r="431">
      <c r="A431" s="63"/>
      <c r="B431" s="63"/>
      <c r="C431" s="63"/>
      <c r="D431" s="63"/>
      <c r="E431" s="63"/>
      <c r="F431" s="63"/>
    </row>
    <row r="432">
      <c r="A432" s="63"/>
      <c r="B432" s="63"/>
      <c r="C432" s="63"/>
      <c r="D432" s="63"/>
      <c r="E432" s="63"/>
      <c r="F432" s="63"/>
    </row>
    <row r="433">
      <c r="A433" s="63"/>
      <c r="B433" s="63"/>
      <c r="C433" s="63"/>
      <c r="D433" s="63"/>
      <c r="E433" s="63"/>
      <c r="F433" s="63"/>
    </row>
    <row r="434">
      <c r="A434" s="63"/>
      <c r="B434" s="63"/>
      <c r="C434" s="63"/>
      <c r="D434" s="63"/>
      <c r="E434" s="63"/>
      <c r="F434" s="63"/>
    </row>
    <row r="435">
      <c r="A435" s="63"/>
      <c r="B435" s="63"/>
      <c r="C435" s="63"/>
      <c r="D435" s="63"/>
      <c r="E435" s="63"/>
      <c r="F435" s="63"/>
    </row>
    <row r="436">
      <c r="A436" s="63"/>
      <c r="B436" s="63"/>
      <c r="C436" s="63"/>
      <c r="D436" s="63"/>
      <c r="E436" s="63"/>
      <c r="F436" s="63"/>
    </row>
    <row r="437">
      <c r="A437" s="63"/>
      <c r="B437" s="63"/>
      <c r="C437" s="63"/>
      <c r="D437" s="63"/>
      <c r="E437" s="63"/>
      <c r="F437" s="63"/>
    </row>
    <row r="438">
      <c r="A438" s="63"/>
      <c r="B438" s="63"/>
      <c r="C438" s="63"/>
      <c r="D438" s="63"/>
      <c r="E438" s="63"/>
      <c r="F438" s="63"/>
    </row>
    <row r="439">
      <c r="A439" s="63"/>
      <c r="B439" s="63"/>
      <c r="C439" s="63"/>
      <c r="D439" s="63"/>
      <c r="E439" s="63"/>
      <c r="F439" s="63"/>
    </row>
    <row r="440">
      <c r="A440" s="63"/>
      <c r="B440" s="63"/>
      <c r="C440" s="63"/>
      <c r="D440" s="63"/>
      <c r="E440" s="63"/>
      <c r="F440" s="63"/>
    </row>
    <row r="441">
      <c r="A441" s="63"/>
      <c r="B441" s="63"/>
      <c r="C441" s="63"/>
      <c r="D441" s="63"/>
      <c r="E441" s="63"/>
      <c r="F441" s="63"/>
    </row>
    <row r="442">
      <c r="A442" s="63"/>
      <c r="B442" s="63"/>
      <c r="C442" s="63"/>
      <c r="D442" s="63"/>
      <c r="E442" s="63"/>
      <c r="F442" s="63"/>
    </row>
    <row r="443">
      <c r="A443" s="63"/>
      <c r="B443" s="63"/>
      <c r="C443" s="63"/>
      <c r="D443" s="63"/>
      <c r="E443" s="63"/>
      <c r="F443" s="63"/>
    </row>
    <row r="444">
      <c r="A444" s="63"/>
      <c r="B444" s="63"/>
      <c r="C444" s="63"/>
      <c r="D444" s="63"/>
      <c r="E444" s="63"/>
      <c r="F444" s="63"/>
    </row>
    <row r="445">
      <c r="A445" s="63"/>
      <c r="B445" s="63"/>
      <c r="C445" s="63"/>
      <c r="D445" s="63"/>
      <c r="E445" s="63"/>
      <c r="F445" s="63"/>
    </row>
    <row r="446">
      <c r="A446" s="63"/>
      <c r="B446" s="63"/>
      <c r="C446" s="63"/>
      <c r="D446" s="63"/>
      <c r="E446" s="63"/>
      <c r="F446" s="63"/>
    </row>
    <row r="447">
      <c r="A447" s="63"/>
      <c r="B447" s="63"/>
      <c r="C447" s="63"/>
      <c r="D447" s="63"/>
      <c r="E447" s="63"/>
      <c r="F447" s="63"/>
    </row>
    <row r="448">
      <c r="A448" s="63"/>
      <c r="B448" s="63"/>
      <c r="C448" s="63"/>
      <c r="D448" s="63"/>
      <c r="E448" s="63"/>
      <c r="F448" s="63"/>
    </row>
    <row r="449">
      <c r="A449" s="63"/>
      <c r="B449" s="63"/>
      <c r="C449" s="63"/>
      <c r="D449" s="63"/>
      <c r="E449" s="63"/>
      <c r="F449" s="63"/>
    </row>
    <row r="450">
      <c r="A450" s="63"/>
      <c r="B450" s="63"/>
      <c r="C450" s="63"/>
      <c r="D450" s="63"/>
      <c r="E450" s="63"/>
      <c r="F450" s="63"/>
    </row>
    <row r="451">
      <c r="A451" s="63"/>
      <c r="B451" s="63"/>
      <c r="C451" s="63"/>
      <c r="D451" s="63"/>
      <c r="E451" s="63"/>
      <c r="F451" s="63"/>
    </row>
    <row r="452">
      <c r="A452" s="63"/>
      <c r="B452" s="63"/>
      <c r="C452" s="63"/>
      <c r="D452" s="63"/>
      <c r="E452" s="63"/>
      <c r="F452" s="63"/>
    </row>
    <row r="453">
      <c r="A453" s="63"/>
      <c r="B453" s="63"/>
      <c r="C453" s="63"/>
      <c r="D453" s="63"/>
      <c r="E453" s="63"/>
      <c r="F453" s="63"/>
    </row>
    <row r="454">
      <c r="A454" s="63"/>
      <c r="B454" s="63"/>
      <c r="C454" s="63"/>
      <c r="D454" s="63"/>
      <c r="E454" s="63"/>
      <c r="F454" s="63"/>
    </row>
    <row r="455">
      <c r="A455" s="63"/>
      <c r="B455" s="63"/>
      <c r="C455" s="63"/>
      <c r="D455" s="63"/>
      <c r="E455" s="63"/>
      <c r="F455" s="63"/>
    </row>
    <row r="456">
      <c r="A456" s="63"/>
      <c r="B456" s="63"/>
      <c r="C456" s="63"/>
      <c r="D456" s="63"/>
      <c r="E456" s="63"/>
      <c r="F456" s="63"/>
    </row>
    <row r="457">
      <c r="A457" s="63"/>
      <c r="B457" s="63"/>
      <c r="C457" s="63"/>
      <c r="D457" s="63"/>
      <c r="E457" s="63"/>
      <c r="F457" s="63"/>
    </row>
    <row r="458">
      <c r="A458" s="63"/>
      <c r="B458" s="63"/>
      <c r="C458" s="63"/>
      <c r="D458" s="63"/>
      <c r="E458" s="63"/>
      <c r="F458" s="63"/>
    </row>
    <row r="459">
      <c r="A459" s="63"/>
      <c r="B459" s="63"/>
      <c r="C459" s="63"/>
      <c r="D459" s="63"/>
      <c r="E459" s="63"/>
      <c r="F459" s="63"/>
    </row>
    <row r="460">
      <c r="A460" s="63"/>
      <c r="B460" s="63"/>
      <c r="C460" s="63"/>
      <c r="D460" s="63"/>
      <c r="E460" s="63"/>
      <c r="F460" s="63"/>
    </row>
    <row r="461">
      <c r="A461" s="63"/>
      <c r="B461" s="63"/>
      <c r="C461" s="63"/>
      <c r="D461" s="63"/>
      <c r="E461" s="63"/>
      <c r="F461" s="63"/>
    </row>
    <row r="462">
      <c r="A462" s="63"/>
      <c r="B462" s="63"/>
      <c r="C462" s="63"/>
      <c r="D462" s="63"/>
      <c r="E462" s="63"/>
      <c r="F462" s="63"/>
    </row>
    <row r="463">
      <c r="A463" s="63"/>
      <c r="B463" s="63"/>
      <c r="C463" s="63"/>
      <c r="D463" s="63"/>
      <c r="E463" s="63"/>
      <c r="F463" s="63"/>
    </row>
    <row r="464">
      <c r="A464" s="63"/>
      <c r="B464" s="63"/>
      <c r="C464" s="63"/>
      <c r="D464" s="63"/>
      <c r="E464" s="63"/>
      <c r="F464" s="63"/>
    </row>
    <row r="465">
      <c r="A465" s="63"/>
      <c r="B465" s="63"/>
      <c r="C465" s="63"/>
      <c r="D465" s="63"/>
      <c r="E465" s="63"/>
      <c r="F465" s="63"/>
    </row>
    <row r="466">
      <c r="A466" s="63"/>
      <c r="B466" s="63"/>
      <c r="C466" s="63"/>
      <c r="D466" s="63"/>
      <c r="E466" s="63"/>
      <c r="F466" s="63"/>
    </row>
    <row r="467">
      <c r="A467" s="63"/>
      <c r="B467" s="63"/>
      <c r="C467" s="63"/>
      <c r="D467" s="63"/>
      <c r="E467" s="63"/>
      <c r="F467" s="63"/>
    </row>
    <row r="468">
      <c r="A468" s="63"/>
      <c r="B468" s="63"/>
      <c r="C468" s="63"/>
      <c r="D468" s="63"/>
      <c r="E468" s="63"/>
      <c r="F468" s="63"/>
    </row>
    <row r="469">
      <c r="A469" s="63"/>
      <c r="B469" s="63"/>
      <c r="C469" s="63"/>
      <c r="D469" s="63"/>
      <c r="E469" s="63"/>
      <c r="F469" s="63"/>
    </row>
    <row r="470">
      <c r="A470" s="63"/>
      <c r="B470" s="63"/>
      <c r="C470" s="63"/>
      <c r="D470" s="63"/>
      <c r="E470" s="63"/>
      <c r="F470" s="63"/>
    </row>
    <row r="471">
      <c r="A471" s="63"/>
      <c r="B471" s="63"/>
      <c r="C471" s="63"/>
      <c r="D471" s="63"/>
      <c r="E471" s="63"/>
      <c r="F471" s="63"/>
    </row>
    <row r="472">
      <c r="A472" s="63"/>
      <c r="B472" s="63"/>
      <c r="C472" s="63"/>
      <c r="D472" s="63"/>
      <c r="E472" s="63"/>
      <c r="F472" s="63"/>
    </row>
    <row r="473">
      <c r="A473" s="63"/>
      <c r="B473" s="63"/>
      <c r="C473" s="63"/>
      <c r="D473" s="63"/>
      <c r="E473" s="63"/>
      <c r="F473" s="63"/>
    </row>
    <row r="474">
      <c r="A474" s="63"/>
      <c r="B474" s="63"/>
      <c r="C474" s="63"/>
      <c r="D474" s="63"/>
      <c r="E474" s="63"/>
      <c r="F474" s="63"/>
    </row>
    <row r="475">
      <c r="A475" s="63"/>
      <c r="B475" s="63"/>
      <c r="C475" s="63"/>
      <c r="D475" s="63"/>
      <c r="E475" s="63"/>
      <c r="F475" s="63"/>
    </row>
    <row r="476">
      <c r="A476" s="63"/>
      <c r="B476" s="63"/>
      <c r="C476" s="63"/>
      <c r="D476" s="63"/>
      <c r="E476" s="63"/>
      <c r="F476" s="63"/>
    </row>
    <row r="477">
      <c r="A477" s="63"/>
      <c r="B477" s="63"/>
      <c r="C477" s="63"/>
      <c r="D477" s="63"/>
      <c r="E477" s="63"/>
      <c r="F477" s="63"/>
    </row>
    <row r="478">
      <c r="A478" s="63"/>
      <c r="B478" s="63"/>
      <c r="C478" s="63"/>
      <c r="D478" s="63"/>
      <c r="E478" s="63"/>
      <c r="F478" s="63"/>
    </row>
    <row r="479">
      <c r="A479" s="63"/>
      <c r="B479" s="63"/>
      <c r="C479" s="63"/>
      <c r="D479" s="63"/>
      <c r="E479" s="63"/>
      <c r="F479" s="63"/>
    </row>
    <row r="480">
      <c r="A480" s="63"/>
      <c r="B480" s="63"/>
      <c r="C480" s="63"/>
      <c r="D480" s="63"/>
      <c r="E480" s="63"/>
      <c r="F480" s="63"/>
    </row>
    <row r="481">
      <c r="A481" s="63"/>
      <c r="B481" s="63"/>
      <c r="C481" s="63"/>
      <c r="D481" s="63"/>
      <c r="E481" s="63"/>
      <c r="F481" s="63"/>
    </row>
    <row r="482">
      <c r="A482" s="63"/>
      <c r="B482" s="63"/>
      <c r="C482" s="63"/>
      <c r="D482" s="63"/>
      <c r="E482" s="63"/>
      <c r="F482" s="63"/>
    </row>
    <row r="483">
      <c r="A483" s="63"/>
      <c r="B483" s="63"/>
      <c r="C483" s="63"/>
      <c r="D483" s="63"/>
      <c r="E483" s="63"/>
      <c r="F483" s="63"/>
    </row>
    <row r="484">
      <c r="A484" s="63"/>
      <c r="B484" s="63"/>
      <c r="C484" s="63"/>
      <c r="D484" s="63"/>
      <c r="E484" s="63"/>
      <c r="F484" s="63"/>
    </row>
    <row r="485">
      <c r="A485" s="63"/>
      <c r="B485" s="63"/>
      <c r="C485" s="63"/>
      <c r="D485" s="63"/>
      <c r="E485" s="63"/>
      <c r="F485" s="63"/>
    </row>
    <row r="486">
      <c r="A486" s="63"/>
      <c r="B486" s="63"/>
      <c r="C486" s="63"/>
      <c r="D486" s="63"/>
      <c r="E486" s="63"/>
      <c r="F486" s="63"/>
    </row>
    <row r="487">
      <c r="A487" s="63"/>
      <c r="B487" s="63"/>
      <c r="C487" s="63"/>
      <c r="D487" s="63"/>
      <c r="E487" s="63"/>
      <c r="F487" s="63"/>
    </row>
    <row r="488">
      <c r="A488" s="63"/>
      <c r="B488" s="63"/>
      <c r="C488" s="63"/>
      <c r="D488" s="63"/>
      <c r="E488" s="63"/>
      <c r="F488" s="63"/>
    </row>
    <row r="489">
      <c r="A489" s="63"/>
      <c r="B489" s="63"/>
      <c r="C489" s="63"/>
      <c r="D489" s="63"/>
      <c r="E489" s="63"/>
      <c r="F489" s="63"/>
    </row>
    <row r="490">
      <c r="A490" s="63"/>
      <c r="B490" s="63"/>
      <c r="C490" s="63"/>
      <c r="D490" s="63"/>
      <c r="E490" s="63"/>
      <c r="F490" s="63"/>
    </row>
    <row r="491">
      <c r="A491" s="63"/>
      <c r="B491" s="63"/>
      <c r="C491" s="63"/>
      <c r="D491" s="63"/>
      <c r="E491" s="63"/>
      <c r="F491" s="63"/>
    </row>
    <row r="492">
      <c r="A492" s="63"/>
      <c r="B492" s="63"/>
      <c r="C492" s="63"/>
      <c r="D492" s="63"/>
      <c r="E492" s="63"/>
      <c r="F492" s="63"/>
    </row>
    <row r="493">
      <c r="A493" s="63"/>
      <c r="B493" s="63"/>
      <c r="C493" s="63"/>
      <c r="D493" s="63"/>
      <c r="E493" s="63"/>
      <c r="F493" s="63"/>
    </row>
    <row r="494">
      <c r="A494" s="63"/>
      <c r="B494" s="63"/>
      <c r="C494" s="63"/>
      <c r="D494" s="63"/>
      <c r="E494" s="63"/>
      <c r="F494" s="63"/>
    </row>
    <row r="495">
      <c r="A495" s="63"/>
      <c r="B495" s="63"/>
      <c r="C495" s="63"/>
      <c r="D495" s="63"/>
      <c r="E495" s="63"/>
      <c r="F495" s="63"/>
    </row>
    <row r="496">
      <c r="A496" s="63"/>
      <c r="B496" s="63"/>
      <c r="C496" s="63"/>
      <c r="D496" s="63"/>
      <c r="E496" s="63"/>
      <c r="F496" s="63"/>
    </row>
    <row r="497">
      <c r="A497" s="63"/>
      <c r="B497" s="63"/>
      <c r="C497" s="63"/>
      <c r="D497" s="63"/>
      <c r="E497" s="63"/>
      <c r="F497" s="63"/>
    </row>
    <row r="498">
      <c r="A498" s="63"/>
      <c r="B498" s="63"/>
      <c r="C498" s="63"/>
      <c r="D498" s="63"/>
      <c r="E498" s="63"/>
      <c r="F498" s="63"/>
    </row>
    <row r="499">
      <c r="A499" s="63"/>
      <c r="B499" s="63"/>
      <c r="C499" s="63"/>
      <c r="D499" s="63"/>
      <c r="E499" s="63"/>
      <c r="F499" s="63"/>
    </row>
    <row r="500">
      <c r="A500" s="63"/>
      <c r="B500" s="63"/>
      <c r="C500" s="63"/>
      <c r="D500" s="63"/>
      <c r="E500" s="63"/>
      <c r="F500" s="63"/>
    </row>
    <row r="501">
      <c r="A501" s="63"/>
      <c r="B501" s="63"/>
      <c r="C501" s="63"/>
      <c r="D501" s="63"/>
      <c r="E501" s="63"/>
      <c r="F501" s="63"/>
    </row>
    <row r="502">
      <c r="A502" s="63"/>
      <c r="B502" s="63"/>
      <c r="C502" s="63"/>
      <c r="D502" s="63"/>
      <c r="E502" s="63"/>
      <c r="F502" s="63"/>
    </row>
    <row r="503">
      <c r="A503" s="63"/>
      <c r="B503" s="63"/>
      <c r="C503" s="63"/>
      <c r="D503" s="63"/>
      <c r="E503" s="63"/>
      <c r="F503" s="63"/>
    </row>
    <row r="504">
      <c r="A504" s="63"/>
      <c r="B504" s="63"/>
      <c r="C504" s="63"/>
      <c r="D504" s="63"/>
      <c r="E504" s="63"/>
      <c r="F504" s="63"/>
    </row>
    <row r="505">
      <c r="A505" s="63"/>
      <c r="B505" s="63"/>
      <c r="C505" s="63"/>
      <c r="D505" s="63"/>
      <c r="E505" s="63"/>
      <c r="F505" s="63"/>
    </row>
    <row r="506">
      <c r="A506" s="63"/>
      <c r="B506" s="63"/>
      <c r="C506" s="63"/>
      <c r="D506" s="63"/>
      <c r="E506" s="63"/>
      <c r="F506" s="63"/>
    </row>
    <row r="507">
      <c r="A507" s="63"/>
      <c r="B507" s="63"/>
      <c r="C507" s="63"/>
      <c r="D507" s="63"/>
      <c r="E507" s="63"/>
      <c r="F507" s="63"/>
    </row>
    <row r="508">
      <c r="A508" s="63"/>
      <c r="B508" s="63"/>
      <c r="C508" s="63"/>
      <c r="D508" s="63"/>
      <c r="E508" s="63"/>
      <c r="F508" s="63"/>
    </row>
    <row r="509">
      <c r="A509" s="63"/>
      <c r="B509" s="63"/>
      <c r="C509" s="63"/>
      <c r="D509" s="63"/>
      <c r="E509" s="63"/>
      <c r="F509" s="63"/>
    </row>
    <row r="510">
      <c r="A510" s="63"/>
      <c r="B510" s="63"/>
      <c r="C510" s="63"/>
      <c r="D510" s="63"/>
      <c r="E510" s="63"/>
      <c r="F510" s="63"/>
    </row>
    <row r="511">
      <c r="A511" s="63"/>
      <c r="B511" s="63"/>
      <c r="C511" s="63"/>
      <c r="D511" s="63"/>
      <c r="E511" s="63"/>
      <c r="F511" s="63"/>
    </row>
    <row r="512">
      <c r="A512" s="63"/>
      <c r="B512" s="63"/>
      <c r="C512" s="63"/>
      <c r="D512" s="63"/>
      <c r="E512" s="63"/>
      <c r="F512" s="63"/>
    </row>
    <row r="513">
      <c r="A513" s="63"/>
      <c r="B513" s="63"/>
      <c r="C513" s="63"/>
      <c r="D513" s="63"/>
      <c r="E513" s="63"/>
      <c r="F513" s="63"/>
    </row>
    <row r="514">
      <c r="A514" s="63"/>
      <c r="B514" s="63"/>
      <c r="C514" s="63"/>
      <c r="D514" s="63"/>
      <c r="E514" s="63"/>
      <c r="F514" s="63"/>
    </row>
    <row r="515">
      <c r="A515" s="63"/>
      <c r="B515" s="63"/>
      <c r="C515" s="63"/>
      <c r="D515" s="63"/>
      <c r="E515" s="63"/>
      <c r="F515" s="63"/>
    </row>
    <row r="516">
      <c r="A516" s="63"/>
      <c r="B516" s="63"/>
      <c r="C516" s="63"/>
      <c r="D516" s="63"/>
      <c r="E516" s="63"/>
      <c r="F516" s="63"/>
    </row>
    <row r="517">
      <c r="A517" s="63"/>
      <c r="B517" s="63"/>
      <c r="C517" s="63"/>
      <c r="D517" s="63"/>
      <c r="E517" s="63"/>
      <c r="F517" s="63"/>
    </row>
    <row r="518">
      <c r="A518" s="63"/>
      <c r="B518" s="63"/>
      <c r="C518" s="63"/>
      <c r="D518" s="63"/>
      <c r="E518" s="63"/>
      <c r="F518" s="63"/>
    </row>
    <row r="519">
      <c r="A519" s="63"/>
      <c r="B519" s="63"/>
      <c r="C519" s="63"/>
      <c r="D519" s="63"/>
      <c r="E519" s="63"/>
      <c r="F519" s="63"/>
    </row>
    <row r="520">
      <c r="A520" s="63"/>
      <c r="B520" s="63"/>
      <c r="C520" s="63"/>
      <c r="D520" s="63"/>
      <c r="E520" s="63"/>
      <c r="F520" s="63"/>
    </row>
    <row r="521">
      <c r="A521" s="63"/>
      <c r="B521" s="63"/>
      <c r="C521" s="63"/>
      <c r="D521" s="63"/>
      <c r="E521" s="63"/>
      <c r="F521" s="63"/>
    </row>
    <row r="522">
      <c r="A522" s="63"/>
      <c r="B522" s="63"/>
      <c r="C522" s="63"/>
      <c r="D522" s="63"/>
      <c r="E522" s="63"/>
      <c r="F522" s="63"/>
    </row>
    <row r="523">
      <c r="A523" s="63"/>
      <c r="B523" s="63"/>
      <c r="C523" s="63"/>
      <c r="D523" s="63"/>
      <c r="E523" s="63"/>
      <c r="F523" s="63"/>
    </row>
    <row r="524">
      <c r="A524" s="63"/>
      <c r="B524" s="63"/>
      <c r="C524" s="63"/>
      <c r="D524" s="63"/>
      <c r="E524" s="63"/>
      <c r="F524" s="63"/>
    </row>
    <row r="525">
      <c r="A525" s="63"/>
      <c r="B525" s="63"/>
      <c r="C525" s="63"/>
      <c r="D525" s="63"/>
      <c r="E525" s="63"/>
      <c r="F525" s="63"/>
    </row>
    <row r="526">
      <c r="A526" s="63"/>
      <c r="B526" s="63"/>
      <c r="C526" s="63"/>
      <c r="D526" s="63"/>
      <c r="E526" s="63"/>
      <c r="F526" s="63"/>
    </row>
    <row r="527">
      <c r="A527" s="63"/>
      <c r="B527" s="63"/>
      <c r="C527" s="63"/>
      <c r="D527" s="63"/>
      <c r="E527" s="63"/>
      <c r="F527" s="63"/>
    </row>
    <row r="528">
      <c r="A528" s="63"/>
      <c r="B528" s="63"/>
      <c r="C528" s="63"/>
      <c r="D528" s="63"/>
      <c r="E528" s="63"/>
      <c r="F528" s="63"/>
    </row>
    <row r="529">
      <c r="A529" s="63"/>
      <c r="B529" s="63"/>
      <c r="C529" s="63"/>
      <c r="D529" s="63"/>
      <c r="E529" s="63"/>
      <c r="F529" s="63"/>
    </row>
    <row r="530">
      <c r="A530" s="63"/>
      <c r="B530" s="63"/>
      <c r="C530" s="63"/>
      <c r="D530" s="63"/>
      <c r="E530" s="63"/>
      <c r="F530" s="63"/>
    </row>
    <row r="531">
      <c r="A531" s="63"/>
      <c r="B531" s="63"/>
      <c r="C531" s="63"/>
      <c r="D531" s="63"/>
      <c r="E531" s="63"/>
      <c r="F531" s="63"/>
    </row>
    <row r="532">
      <c r="A532" s="63"/>
      <c r="B532" s="63"/>
      <c r="C532" s="63"/>
      <c r="D532" s="63"/>
      <c r="E532" s="63"/>
      <c r="F532" s="63"/>
    </row>
    <row r="533">
      <c r="A533" s="63"/>
      <c r="B533" s="63"/>
      <c r="C533" s="63"/>
      <c r="D533" s="63"/>
      <c r="E533" s="63"/>
      <c r="F533" s="63"/>
    </row>
    <row r="534">
      <c r="A534" s="63"/>
      <c r="B534" s="63"/>
      <c r="C534" s="63"/>
      <c r="D534" s="63"/>
      <c r="E534" s="63"/>
      <c r="F534" s="63"/>
    </row>
    <row r="535">
      <c r="A535" s="63"/>
      <c r="B535" s="63"/>
      <c r="C535" s="63"/>
      <c r="D535" s="63"/>
      <c r="E535" s="63"/>
      <c r="F535" s="63"/>
    </row>
    <row r="536">
      <c r="A536" s="63"/>
      <c r="B536" s="63"/>
      <c r="C536" s="63"/>
      <c r="D536" s="63"/>
      <c r="E536" s="63"/>
      <c r="F536" s="63"/>
    </row>
    <row r="537">
      <c r="A537" s="63"/>
      <c r="B537" s="63"/>
      <c r="C537" s="63"/>
      <c r="D537" s="63"/>
      <c r="E537" s="63"/>
      <c r="F537" s="63"/>
    </row>
    <row r="538">
      <c r="A538" s="63"/>
      <c r="B538" s="63"/>
      <c r="C538" s="63"/>
      <c r="D538" s="63"/>
      <c r="E538" s="63"/>
      <c r="F538" s="63"/>
    </row>
    <row r="539">
      <c r="A539" s="63"/>
      <c r="B539" s="63"/>
      <c r="C539" s="63"/>
      <c r="D539" s="63"/>
      <c r="E539" s="63"/>
      <c r="F539" s="63"/>
    </row>
    <row r="540">
      <c r="A540" s="63"/>
      <c r="B540" s="63"/>
      <c r="C540" s="63"/>
      <c r="D540" s="63"/>
      <c r="E540" s="63"/>
      <c r="F540" s="63"/>
    </row>
    <row r="541">
      <c r="A541" s="63"/>
      <c r="B541" s="63"/>
      <c r="C541" s="63"/>
      <c r="D541" s="63"/>
      <c r="E541" s="63"/>
      <c r="F541" s="63"/>
    </row>
    <row r="542">
      <c r="A542" s="63"/>
      <c r="B542" s="63"/>
      <c r="C542" s="63"/>
      <c r="D542" s="63"/>
      <c r="E542" s="63"/>
      <c r="F542" s="63"/>
    </row>
    <row r="543">
      <c r="A543" s="63"/>
      <c r="B543" s="63"/>
      <c r="C543" s="63"/>
      <c r="D543" s="63"/>
      <c r="E543" s="63"/>
      <c r="F543" s="63"/>
    </row>
    <row r="544">
      <c r="A544" s="63"/>
      <c r="B544" s="63"/>
      <c r="C544" s="63"/>
      <c r="D544" s="63"/>
      <c r="E544" s="63"/>
      <c r="F544" s="63"/>
    </row>
    <row r="545">
      <c r="A545" s="63"/>
      <c r="B545" s="63"/>
      <c r="C545" s="63"/>
      <c r="D545" s="63"/>
      <c r="E545" s="63"/>
      <c r="F545" s="63"/>
    </row>
    <row r="546">
      <c r="A546" s="63"/>
      <c r="B546" s="63"/>
      <c r="C546" s="63"/>
      <c r="D546" s="63"/>
      <c r="E546" s="63"/>
      <c r="F546" s="63"/>
    </row>
    <row r="547">
      <c r="A547" s="63"/>
      <c r="B547" s="63"/>
      <c r="C547" s="63"/>
      <c r="D547" s="63"/>
      <c r="E547" s="63"/>
      <c r="F547" s="63"/>
    </row>
    <row r="548">
      <c r="A548" s="63"/>
      <c r="B548" s="63"/>
      <c r="C548" s="63"/>
      <c r="D548" s="63"/>
      <c r="E548" s="63"/>
      <c r="F548" s="63"/>
    </row>
    <row r="549">
      <c r="A549" s="63"/>
      <c r="B549" s="63"/>
      <c r="C549" s="63"/>
      <c r="D549" s="63"/>
      <c r="E549" s="63"/>
      <c r="F549" s="63"/>
    </row>
    <row r="550">
      <c r="A550" s="63"/>
      <c r="B550" s="63"/>
      <c r="C550" s="63"/>
      <c r="D550" s="63"/>
      <c r="E550" s="63"/>
      <c r="F550" s="63"/>
    </row>
    <row r="551">
      <c r="A551" s="63"/>
      <c r="B551" s="63"/>
      <c r="C551" s="63"/>
      <c r="D551" s="63"/>
      <c r="E551" s="63"/>
      <c r="F551" s="63"/>
    </row>
    <row r="552">
      <c r="A552" s="63"/>
      <c r="B552" s="63"/>
      <c r="C552" s="63"/>
      <c r="D552" s="63"/>
      <c r="E552" s="63"/>
      <c r="F552" s="63"/>
    </row>
    <row r="553">
      <c r="A553" s="63"/>
      <c r="B553" s="63"/>
      <c r="C553" s="63"/>
      <c r="D553" s="63"/>
      <c r="E553" s="63"/>
      <c r="F553" s="63"/>
    </row>
    <row r="554">
      <c r="A554" s="63"/>
      <c r="B554" s="63"/>
      <c r="C554" s="63"/>
      <c r="D554" s="63"/>
      <c r="E554" s="63"/>
      <c r="F554" s="63"/>
    </row>
    <row r="555">
      <c r="A555" s="63"/>
      <c r="B555" s="63"/>
      <c r="C555" s="63"/>
      <c r="D555" s="63"/>
      <c r="E555" s="63"/>
      <c r="F555" s="63"/>
    </row>
    <row r="556">
      <c r="A556" s="63"/>
      <c r="B556" s="63"/>
      <c r="C556" s="63"/>
      <c r="D556" s="63"/>
      <c r="E556" s="63"/>
      <c r="F556" s="63"/>
    </row>
    <row r="557">
      <c r="A557" s="63"/>
      <c r="B557" s="63"/>
      <c r="C557" s="63"/>
      <c r="D557" s="63"/>
      <c r="E557" s="63"/>
      <c r="F557" s="63"/>
    </row>
    <row r="558">
      <c r="A558" s="63"/>
      <c r="B558" s="63"/>
      <c r="C558" s="63"/>
      <c r="D558" s="63"/>
      <c r="E558" s="63"/>
      <c r="F558" s="63"/>
    </row>
    <row r="559">
      <c r="A559" s="63"/>
      <c r="B559" s="63"/>
      <c r="C559" s="63"/>
      <c r="D559" s="63"/>
      <c r="E559" s="63"/>
      <c r="F559" s="63"/>
    </row>
    <row r="560">
      <c r="A560" s="63"/>
      <c r="B560" s="63"/>
      <c r="C560" s="63"/>
      <c r="D560" s="63"/>
      <c r="E560" s="63"/>
      <c r="F560" s="63"/>
    </row>
    <row r="561">
      <c r="A561" s="63"/>
      <c r="B561" s="63"/>
      <c r="C561" s="63"/>
      <c r="D561" s="63"/>
      <c r="E561" s="63"/>
      <c r="F561" s="63"/>
    </row>
    <row r="562">
      <c r="A562" s="63"/>
      <c r="B562" s="63"/>
      <c r="C562" s="63"/>
      <c r="D562" s="63"/>
      <c r="E562" s="63"/>
      <c r="F562" s="63"/>
    </row>
    <row r="563">
      <c r="A563" s="63"/>
      <c r="B563" s="63"/>
      <c r="C563" s="63"/>
      <c r="D563" s="63"/>
      <c r="E563" s="63"/>
      <c r="F563" s="63"/>
    </row>
    <row r="564">
      <c r="A564" s="63"/>
      <c r="B564" s="63"/>
      <c r="C564" s="63"/>
      <c r="D564" s="63"/>
      <c r="E564" s="63"/>
      <c r="F564" s="63"/>
    </row>
    <row r="565">
      <c r="A565" s="63"/>
      <c r="B565" s="63"/>
      <c r="C565" s="63"/>
      <c r="D565" s="63"/>
      <c r="E565" s="63"/>
      <c r="F565" s="63"/>
    </row>
    <row r="566">
      <c r="A566" s="63"/>
      <c r="B566" s="63"/>
      <c r="C566" s="63"/>
      <c r="D566" s="63"/>
      <c r="E566" s="63"/>
      <c r="F566" s="63"/>
    </row>
    <row r="567">
      <c r="A567" s="63"/>
      <c r="B567" s="63"/>
      <c r="C567" s="63"/>
      <c r="D567" s="63"/>
      <c r="E567" s="63"/>
      <c r="F567" s="63"/>
    </row>
    <row r="568">
      <c r="A568" s="63"/>
      <c r="B568" s="63"/>
      <c r="C568" s="63"/>
      <c r="D568" s="63"/>
      <c r="E568" s="63"/>
      <c r="F568" s="63"/>
    </row>
    <row r="569">
      <c r="A569" s="63"/>
      <c r="B569" s="63"/>
      <c r="C569" s="63"/>
      <c r="D569" s="63"/>
      <c r="E569" s="63"/>
      <c r="F569" s="63"/>
    </row>
    <row r="570">
      <c r="A570" s="63"/>
      <c r="B570" s="63"/>
      <c r="C570" s="63"/>
      <c r="D570" s="63"/>
      <c r="E570" s="63"/>
      <c r="F570" s="63"/>
    </row>
    <row r="571">
      <c r="A571" s="63"/>
      <c r="B571" s="63"/>
      <c r="C571" s="63"/>
      <c r="D571" s="63"/>
      <c r="E571" s="63"/>
      <c r="F571" s="63"/>
    </row>
    <row r="572">
      <c r="A572" s="63"/>
      <c r="B572" s="63"/>
      <c r="C572" s="63"/>
      <c r="D572" s="63"/>
      <c r="E572" s="63"/>
      <c r="F572" s="63"/>
    </row>
    <row r="573">
      <c r="A573" s="63"/>
      <c r="B573" s="63"/>
      <c r="C573" s="63"/>
      <c r="D573" s="63"/>
      <c r="E573" s="63"/>
      <c r="F573" s="63"/>
    </row>
    <row r="574">
      <c r="A574" s="63"/>
      <c r="B574" s="63"/>
      <c r="C574" s="63"/>
      <c r="D574" s="63"/>
      <c r="E574" s="63"/>
      <c r="F574" s="63"/>
    </row>
    <row r="575">
      <c r="A575" s="63"/>
      <c r="B575" s="63"/>
      <c r="C575" s="63"/>
      <c r="D575" s="63"/>
      <c r="E575" s="63"/>
      <c r="F575" s="63"/>
    </row>
    <row r="576">
      <c r="A576" s="63"/>
      <c r="B576" s="63"/>
      <c r="C576" s="63"/>
      <c r="D576" s="63"/>
      <c r="E576" s="63"/>
      <c r="F576" s="63"/>
    </row>
    <row r="577">
      <c r="A577" s="63"/>
      <c r="B577" s="63"/>
      <c r="C577" s="63"/>
      <c r="D577" s="63"/>
      <c r="E577" s="63"/>
      <c r="F577" s="63"/>
    </row>
    <row r="578">
      <c r="A578" s="63"/>
      <c r="B578" s="63"/>
      <c r="C578" s="63"/>
      <c r="D578" s="63"/>
      <c r="E578" s="63"/>
      <c r="F578" s="63"/>
    </row>
    <row r="579">
      <c r="A579" s="63"/>
      <c r="B579" s="63"/>
      <c r="C579" s="63"/>
      <c r="D579" s="63"/>
      <c r="E579" s="63"/>
      <c r="F579" s="63"/>
    </row>
    <row r="580">
      <c r="A580" s="63"/>
      <c r="B580" s="63"/>
      <c r="C580" s="63"/>
      <c r="D580" s="63"/>
      <c r="E580" s="63"/>
      <c r="F580" s="63"/>
    </row>
    <row r="581">
      <c r="A581" s="63"/>
      <c r="B581" s="63"/>
      <c r="C581" s="63"/>
      <c r="D581" s="63"/>
      <c r="E581" s="63"/>
      <c r="F581" s="63"/>
    </row>
    <row r="582">
      <c r="A582" s="63"/>
      <c r="B582" s="63"/>
      <c r="C582" s="63"/>
      <c r="D582" s="63"/>
      <c r="E582" s="63"/>
      <c r="F582" s="63"/>
    </row>
    <row r="583">
      <c r="A583" s="63"/>
      <c r="B583" s="63"/>
      <c r="C583" s="63"/>
      <c r="D583" s="63"/>
      <c r="E583" s="63"/>
      <c r="F583" s="63"/>
    </row>
    <row r="584">
      <c r="A584" s="63"/>
      <c r="B584" s="63"/>
      <c r="C584" s="63"/>
      <c r="D584" s="63"/>
      <c r="E584" s="63"/>
      <c r="F584" s="63"/>
    </row>
    <row r="585">
      <c r="A585" s="63"/>
      <c r="B585" s="63"/>
      <c r="C585" s="63"/>
      <c r="D585" s="63"/>
      <c r="E585" s="63"/>
      <c r="F585" s="63"/>
    </row>
    <row r="586">
      <c r="A586" s="63"/>
      <c r="B586" s="63"/>
      <c r="C586" s="63"/>
      <c r="D586" s="63"/>
      <c r="E586" s="63"/>
      <c r="F586" s="63"/>
    </row>
    <row r="587">
      <c r="A587" s="63"/>
      <c r="B587" s="63"/>
      <c r="C587" s="63"/>
      <c r="D587" s="63"/>
      <c r="E587" s="63"/>
      <c r="F587" s="63"/>
    </row>
    <row r="588">
      <c r="A588" s="63"/>
      <c r="B588" s="63"/>
      <c r="C588" s="63"/>
      <c r="D588" s="63"/>
      <c r="E588" s="63"/>
      <c r="F588" s="63"/>
    </row>
    <row r="589">
      <c r="A589" s="63"/>
      <c r="B589" s="63"/>
      <c r="C589" s="63"/>
      <c r="D589" s="63"/>
      <c r="E589" s="63"/>
      <c r="F589" s="63"/>
    </row>
    <row r="590">
      <c r="A590" s="63"/>
      <c r="B590" s="63"/>
      <c r="C590" s="63"/>
      <c r="D590" s="63"/>
      <c r="E590" s="63"/>
      <c r="F590" s="63"/>
    </row>
    <row r="591">
      <c r="A591" s="63"/>
      <c r="B591" s="63"/>
      <c r="C591" s="63"/>
      <c r="D591" s="63"/>
      <c r="E591" s="63"/>
      <c r="F591" s="63"/>
    </row>
    <row r="592">
      <c r="A592" s="63"/>
      <c r="B592" s="63"/>
      <c r="C592" s="63"/>
      <c r="D592" s="63"/>
      <c r="E592" s="63"/>
      <c r="F592" s="63"/>
    </row>
    <row r="593">
      <c r="A593" s="63"/>
      <c r="B593" s="63"/>
      <c r="C593" s="63"/>
      <c r="D593" s="63"/>
      <c r="E593" s="63"/>
      <c r="F593" s="63"/>
    </row>
    <row r="594">
      <c r="A594" s="63"/>
      <c r="B594" s="63"/>
      <c r="C594" s="63"/>
      <c r="D594" s="63"/>
      <c r="E594" s="63"/>
      <c r="F594" s="63"/>
    </row>
    <row r="595">
      <c r="A595" s="63"/>
      <c r="B595" s="63"/>
      <c r="C595" s="63"/>
      <c r="D595" s="63"/>
      <c r="E595" s="63"/>
      <c r="F595" s="63"/>
    </row>
    <row r="596">
      <c r="A596" s="63"/>
      <c r="B596" s="63"/>
      <c r="C596" s="63"/>
      <c r="D596" s="63"/>
      <c r="E596" s="63"/>
      <c r="F596" s="63"/>
    </row>
    <row r="597">
      <c r="A597" s="63"/>
      <c r="B597" s="63"/>
      <c r="C597" s="63"/>
      <c r="D597" s="63"/>
      <c r="E597" s="63"/>
      <c r="F597" s="63"/>
    </row>
    <row r="598">
      <c r="A598" s="63"/>
      <c r="B598" s="63"/>
      <c r="C598" s="63"/>
      <c r="D598" s="63"/>
      <c r="E598" s="63"/>
      <c r="F598" s="63"/>
    </row>
    <row r="599">
      <c r="A599" s="63"/>
      <c r="B599" s="63"/>
      <c r="C599" s="63"/>
      <c r="D599" s="63"/>
      <c r="E599" s="63"/>
      <c r="F599" s="63"/>
    </row>
    <row r="600">
      <c r="A600" s="63"/>
      <c r="B600" s="63"/>
      <c r="C600" s="63"/>
      <c r="D600" s="63"/>
      <c r="E600" s="63"/>
      <c r="F600" s="63"/>
    </row>
    <row r="601">
      <c r="A601" s="63"/>
      <c r="B601" s="63"/>
      <c r="C601" s="63"/>
      <c r="D601" s="63"/>
      <c r="E601" s="63"/>
      <c r="F601" s="63"/>
    </row>
    <row r="602">
      <c r="A602" s="63"/>
      <c r="B602" s="63"/>
      <c r="C602" s="63"/>
      <c r="D602" s="63"/>
      <c r="E602" s="63"/>
      <c r="F602" s="63"/>
    </row>
    <row r="603">
      <c r="A603" s="63"/>
      <c r="B603" s="63"/>
      <c r="C603" s="63"/>
      <c r="D603" s="63"/>
      <c r="E603" s="63"/>
      <c r="F603" s="63"/>
    </row>
    <row r="604">
      <c r="A604" s="63"/>
      <c r="B604" s="63"/>
      <c r="C604" s="63"/>
      <c r="D604" s="63"/>
      <c r="E604" s="63"/>
      <c r="F604" s="63"/>
    </row>
    <row r="605">
      <c r="A605" s="63"/>
      <c r="B605" s="63"/>
      <c r="C605" s="63"/>
      <c r="D605" s="63"/>
      <c r="E605" s="63"/>
      <c r="F605" s="63"/>
    </row>
    <row r="606">
      <c r="A606" s="63"/>
      <c r="B606" s="63"/>
      <c r="C606" s="63"/>
      <c r="D606" s="63"/>
      <c r="E606" s="63"/>
      <c r="F606" s="63"/>
    </row>
    <row r="607">
      <c r="A607" s="63"/>
      <c r="B607" s="63"/>
      <c r="C607" s="63"/>
      <c r="D607" s="63"/>
      <c r="E607" s="63"/>
      <c r="F607" s="63"/>
    </row>
    <row r="608">
      <c r="A608" s="63"/>
      <c r="B608" s="63"/>
      <c r="C608" s="63"/>
      <c r="D608" s="63"/>
      <c r="E608" s="63"/>
      <c r="F608" s="63"/>
    </row>
    <row r="609">
      <c r="A609" s="63"/>
      <c r="B609" s="63"/>
      <c r="C609" s="63"/>
      <c r="D609" s="63"/>
      <c r="E609" s="63"/>
      <c r="F609" s="63"/>
    </row>
    <row r="610">
      <c r="A610" s="63"/>
      <c r="B610" s="63"/>
      <c r="C610" s="63"/>
      <c r="D610" s="63"/>
      <c r="E610" s="63"/>
      <c r="F610" s="63"/>
    </row>
    <row r="611">
      <c r="A611" s="63"/>
      <c r="B611" s="63"/>
      <c r="C611" s="63"/>
      <c r="D611" s="63"/>
      <c r="E611" s="63"/>
      <c r="F611" s="63"/>
    </row>
    <row r="612">
      <c r="A612" s="63"/>
      <c r="B612" s="63"/>
      <c r="C612" s="63"/>
      <c r="D612" s="63"/>
      <c r="E612" s="63"/>
      <c r="F612" s="63"/>
    </row>
    <row r="613">
      <c r="A613" s="63"/>
      <c r="B613" s="63"/>
      <c r="C613" s="63"/>
      <c r="D613" s="63"/>
      <c r="E613" s="63"/>
      <c r="F613" s="63"/>
    </row>
    <row r="614">
      <c r="A614" s="63"/>
      <c r="B614" s="63"/>
      <c r="C614" s="63"/>
      <c r="D614" s="63"/>
      <c r="E614" s="63"/>
      <c r="F614" s="63"/>
    </row>
    <row r="615">
      <c r="A615" s="63"/>
      <c r="B615" s="63"/>
      <c r="C615" s="63"/>
      <c r="D615" s="63"/>
      <c r="E615" s="63"/>
      <c r="F615" s="63"/>
    </row>
    <row r="616">
      <c r="A616" s="63"/>
      <c r="B616" s="63"/>
      <c r="C616" s="63"/>
      <c r="D616" s="63"/>
      <c r="E616" s="63"/>
      <c r="F616" s="63"/>
    </row>
    <row r="617">
      <c r="A617" s="63"/>
      <c r="B617" s="63"/>
      <c r="C617" s="63"/>
      <c r="D617" s="63"/>
      <c r="E617" s="63"/>
      <c r="F617" s="63"/>
    </row>
    <row r="618">
      <c r="A618" s="63"/>
      <c r="B618" s="63"/>
      <c r="C618" s="63"/>
      <c r="D618" s="63"/>
      <c r="E618" s="63"/>
      <c r="F618" s="63"/>
    </row>
    <row r="619">
      <c r="A619" s="63"/>
      <c r="B619" s="63"/>
      <c r="C619" s="63"/>
      <c r="D619" s="63"/>
      <c r="E619" s="63"/>
      <c r="F619" s="63"/>
    </row>
    <row r="620">
      <c r="A620" s="63"/>
      <c r="B620" s="63"/>
      <c r="C620" s="63"/>
      <c r="D620" s="63"/>
      <c r="E620" s="63"/>
      <c r="F620" s="63"/>
    </row>
    <row r="621">
      <c r="A621" s="63"/>
      <c r="B621" s="63"/>
      <c r="C621" s="63"/>
      <c r="D621" s="63"/>
      <c r="E621" s="63"/>
      <c r="F621" s="63"/>
    </row>
    <row r="622">
      <c r="A622" s="63"/>
      <c r="B622" s="63"/>
      <c r="C622" s="63"/>
      <c r="D622" s="63"/>
      <c r="E622" s="63"/>
      <c r="F622" s="63"/>
    </row>
    <row r="623">
      <c r="A623" s="63"/>
      <c r="B623" s="63"/>
      <c r="C623" s="63"/>
      <c r="D623" s="63"/>
      <c r="E623" s="63"/>
      <c r="F623" s="63"/>
    </row>
    <row r="624">
      <c r="A624" s="63"/>
      <c r="B624" s="63"/>
      <c r="C624" s="63"/>
      <c r="D624" s="63"/>
      <c r="E624" s="63"/>
      <c r="F624" s="63"/>
    </row>
    <row r="625">
      <c r="A625" s="63"/>
      <c r="B625" s="63"/>
      <c r="C625" s="63"/>
      <c r="D625" s="63"/>
      <c r="E625" s="63"/>
      <c r="F625" s="63"/>
    </row>
    <row r="626">
      <c r="A626" s="63"/>
      <c r="B626" s="63"/>
      <c r="C626" s="63"/>
      <c r="D626" s="63"/>
      <c r="E626" s="63"/>
      <c r="F626" s="63"/>
    </row>
    <row r="627">
      <c r="A627" s="63"/>
      <c r="B627" s="63"/>
      <c r="C627" s="63"/>
      <c r="D627" s="63"/>
      <c r="E627" s="63"/>
      <c r="F627" s="63"/>
    </row>
    <row r="628">
      <c r="A628" s="63"/>
      <c r="B628" s="63"/>
      <c r="C628" s="63"/>
      <c r="D628" s="63"/>
      <c r="E628" s="63"/>
      <c r="F628" s="63"/>
    </row>
    <row r="629">
      <c r="A629" s="63"/>
      <c r="B629" s="63"/>
      <c r="C629" s="63"/>
      <c r="D629" s="63"/>
      <c r="E629" s="63"/>
      <c r="F629" s="63"/>
    </row>
    <row r="630">
      <c r="A630" s="63"/>
      <c r="B630" s="63"/>
      <c r="C630" s="63"/>
      <c r="D630" s="63"/>
      <c r="E630" s="63"/>
      <c r="F630" s="63"/>
    </row>
    <row r="631">
      <c r="A631" s="63"/>
      <c r="B631" s="63"/>
      <c r="C631" s="63"/>
      <c r="D631" s="63"/>
      <c r="E631" s="63"/>
      <c r="F631" s="63"/>
    </row>
    <row r="632">
      <c r="A632" s="63"/>
      <c r="B632" s="63"/>
      <c r="C632" s="63"/>
      <c r="D632" s="63"/>
      <c r="E632" s="63"/>
      <c r="F632" s="63"/>
    </row>
    <row r="633">
      <c r="A633" s="63"/>
      <c r="B633" s="63"/>
      <c r="C633" s="63"/>
      <c r="D633" s="63"/>
      <c r="E633" s="63"/>
      <c r="F633" s="63"/>
    </row>
    <row r="634">
      <c r="A634" s="63"/>
      <c r="B634" s="63"/>
      <c r="C634" s="63"/>
      <c r="D634" s="63"/>
      <c r="E634" s="63"/>
      <c r="F634" s="63"/>
    </row>
    <row r="635">
      <c r="A635" s="63"/>
      <c r="B635" s="63"/>
      <c r="C635" s="63"/>
      <c r="D635" s="63"/>
      <c r="E635" s="63"/>
      <c r="F635" s="63"/>
    </row>
    <row r="636">
      <c r="A636" s="63"/>
      <c r="B636" s="63"/>
      <c r="C636" s="63"/>
      <c r="D636" s="63"/>
      <c r="E636" s="63"/>
      <c r="F636" s="63"/>
    </row>
    <row r="637">
      <c r="A637" s="63"/>
      <c r="B637" s="63"/>
      <c r="C637" s="63"/>
      <c r="D637" s="63"/>
      <c r="E637" s="63"/>
      <c r="F637" s="63"/>
    </row>
    <row r="638">
      <c r="A638" s="63"/>
      <c r="B638" s="63"/>
      <c r="C638" s="63"/>
      <c r="D638" s="63"/>
      <c r="E638" s="63"/>
      <c r="F638" s="63"/>
    </row>
    <row r="639">
      <c r="A639" s="63"/>
      <c r="B639" s="63"/>
      <c r="C639" s="63"/>
      <c r="D639" s="63"/>
      <c r="E639" s="63"/>
      <c r="F639" s="63"/>
    </row>
    <row r="640">
      <c r="A640" s="63"/>
      <c r="B640" s="63"/>
      <c r="C640" s="63"/>
      <c r="D640" s="63"/>
      <c r="E640" s="63"/>
      <c r="F640" s="63"/>
    </row>
    <row r="641">
      <c r="A641" s="63"/>
      <c r="B641" s="63"/>
      <c r="C641" s="63"/>
      <c r="D641" s="63"/>
      <c r="E641" s="63"/>
      <c r="F641" s="63"/>
    </row>
    <row r="642">
      <c r="A642" s="63"/>
      <c r="B642" s="63"/>
      <c r="C642" s="63"/>
      <c r="D642" s="63"/>
      <c r="E642" s="63"/>
      <c r="F642" s="63"/>
    </row>
    <row r="643">
      <c r="A643" s="63"/>
      <c r="B643" s="63"/>
      <c r="C643" s="63"/>
      <c r="D643" s="63"/>
      <c r="E643" s="63"/>
      <c r="F643" s="63"/>
    </row>
    <row r="644">
      <c r="A644" s="63"/>
      <c r="B644" s="63"/>
      <c r="C644" s="63"/>
      <c r="D644" s="63"/>
      <c r="E644" s="63"/>
      <c r="F644" s="63"/>
    </row>
    <row r="645">
      <c r="A645" s="63"/>
      <c r="B645" s="63"/>
      <c r="C645" s="63"/>
      <c r="D645" s="63"/>
      <c r="E645" s="63"/>
      <c r="F645" s="63"/>
    </row>
    <row r="646">
      <c r="A646" s="63"/>
      <c r="B646" s="63"/>
      <c r="C646" s="63"/>
      <c r="D646" s="63"/>
      <c r="E646" s="63"/>
      <c r="F646" s="63"/>
    </row>
    <row r="647">
      <c r="A647" s="63"/>
      <c r="B647" s="63"/>
      <c r="C647" s="63"/>
      <c r="D647" s="63"/>
      <c r="E647" s="63"/>
      <c r="F647" s="63"/>
    </row>
    <row r="648">
      <c r="A648" s="63"/>
      <c r="B648" s="63"/>
      <c r="C648" s="63"/>
      <c r="D648" s="63"/>
      <c r="E648" s="63"/>
      <c r="F648" s="63"/>
    </row>
    <row r="649">
      <c r="A649" s="63"/>
      <c r="B649" s="63"/>
      <c r="C649" s="63"/>
      <c r="D649" s="63"/>
      <c r="E649" s="63"/>
      <c r="F649" s="63"/>
    </row>
    <row r="650">
      <c r="A650" s="63"/>
      <c r="B650" s="63"/>
      <c r="C650" s="63"/>
      <c r="D650" s="63"/>
      <c r="E650" s="63"/>
      <c r="F650" s="63"/>
    </row>
    <row r="651">
      <c r="A651" s="63"/>
      <c r="B651" s="63"/>
      <c r="C651" s="63"/>
      <c r="D651" s="63"/>
      <c r="E651" s="63"/>
      <c r="F651" s="63"/>
    </row>
    <row r="652">
      <c r="A652" s="63"/>
      <c r="B652" s="63"/>
      <c r="C652" s="63"/>
      <c r="D652" s="63"/>
      <c r="E652" s="63"/>
      <c r="F652" s="63"/>
    </row>
    <row r="653">
      <c r="A653" s="63"/>
      <c r="B653" s="63"/>
      <c r="C653" s="63"/>
      <c r="D653" s="63"/>
      <c r="E653" s="63"/>
      <c r="F653" s="63"/>
    </row>
    <row r="654">
      <c r="A654" s="63"/>
      <c r="B654" s="63"/>
      <c r="C654" s="63"/>
      <c r="D654" s="63"/>
      <c r="E654" s="63"/>
      <c r="F654" s="63"/>
    </row>
    <row r="655">
      <c r="A655" s="63"/>
      <c r="B655" s="63"/>
      <c r="C655" s="63"/>
      <c r="D655" s="63"/>
      <c r="E655" s="63"/>
      <c r="F655" s="63"/>
    </row>
    <row r="656">
      <c r="A656" s="63"/>
      <c r="B656" s="63"/>
      <c r="C656" s="63"/>
      <c r="D656" s="63"/>
      <c r="E656" s="63"/>
      <c r="F656" s="63"/>
    </row>
    <row r="657">
      <c r="A657" s="63"/>
      <c r="B657" s="63"/>
      <c r="C657" s="63"/>
      <c r="D657" s="63"/>
      <c r="E657" s="63"/>
      <c r="F657" s="63"/>
    </row>
    <row r="658">
      <c r="A658" s="63"/>
      <c r="B658" s="63"/>
      <c r="C658" s="63"/>
      <c r="D658" s="63"/>
      <c r="E658" s="63"/>
      <c r="F658" s="63"/>
    </row>
    <row r="659">
      <c r="A659" s="63"/>
      <c r="B659" s="63"/>
      <c r="C659" s="63"/>
      <c r="D659" s="63"/>
      <c r="E659" s="63"/>
      <c r="F659" s="63"/>
    </row>
    <row r="660">
      <c r="A660" s="63"/>
      <c r="B660" s="63"/>
      <c r="C660" s="63"/>
      <c r="D660" s="63"/>
      <c r="E660" s="63"/>
      <c r="F660" s="63"/>
    </row>
    <row r="661">
      <c r="A661" s="63"/>
      <c r="B661" s="63"/>
      <c r="C661" s="63"/>
      <c r="D661" s="63"/>
      <c r="E661" s="63"/>
      <c r="F661" s="63"/>
    </row>
    <row r="662">
      <c r="A662" s="63"/>
      <c r="B662" s="63"/>
      <c r="C662" s="63"/>
      <c r="D662" s="63"/>
      <c r="E662" s="63"/>
      <c r="F662" s="63"/>
    </row>
    <row r="663">
      <c r="A663" s="63"/>
      <c r="B663" s="63"/>
      <c r="C663" s="63"/>
      <c r="D663" s="63"/>
      <c r="E663" s="63"/>
      <c r="F663" s="63"/>
    </row>
    <row r="664">
      <c r="A664" s="63"/>
      <c r="B664" s="63"/>
      <c r="C664" s="63"/>
      <c r="D664" s="63"/>
      <c r="E664" s="63"/>
      <c r="F664" s="63"/>
    </row>
    <row r="665">
      <c r="A665" s="63"/>
      <c r="B665" s="63"/>
      <c r="C665" s="63"/>
      <c r="D665" s="63"/>
      <c r="E665" s="63"/>
      <c r="F665" s="63"/>
    </row>
    <row r="666">
      <c r="A666" s="63"/>
      <c r="B666" s="63"/>
      <c r="C666" s="63"/>
      <c r="D666" s="63"/>
      <c r="E666" s="63"/>
      <c r="F666" s="63"/>
    </row>
    <row r="667">
      <c r="A667" s="63"/>
      <c r="B667" s="63"/>
      <c r="C667" s="63"/>
      <c r="D667" s="63"/>
      <c r="E667" s="63"/>
      <c r="F667" s="63"/>
    </row>
    <row r="668">
      <c r="A668" s="63"/>
      <c r="B668" s="63"/>
      <c r="C668" s="63"/>
      <c r="D668" s="63"/>
      <c r="E668" s="63"/>
      <c r="F668" s="63"/>
    </row>
    <row r="669">
      <c r="A669" s="63"/>
      <c r="B669" s="63"/>
      <c r="C669" s="63"/>
      <c r="D669" s="63"/>
      <c r="E669" s="63"/>
      <c r="F669" s="63"/>
    </row>
    <row r="670">
      <c r="A670" s="63"/>
      <c r="B670" s="63"/>
      <c r="C670" s="63"/>
      <c r="D670" s="63"/>
      <c r="E670" s="63"/>
      <c r="F670" s="63"/>
    </row>
    <row r="671">
      <c r="A671" s="63"/>
      <c r="B671" s="63"/>
      <c r="C671" s="63"/>
      <c r="D671" s="63"/>
      <c r="E671" s="63"/>
      <c r="F671" s="63"/>
    </row>
    <row r="672">
      <c r="A672" s="63"/>
      <c r="B672" s="63"/>
      <c r="C672" s="63"/>
      <c r="D672" s="63"/>
      <c r="E672" s="63"/>
      <c r="F672" s="63"/>
    </row>
    <row r="673">
      <c r="A673" s="63"/>
      <c r="B673" s="63"/>
      <c r="C673" s="63"/>
      <c r="D673" s="63"/>
      <c r="E673" s="63"/>
      <c r="F673" s="63"/>
    </row>
    <row r="674">
      <c r="A674" s="63"/>
      <c r="B674" s="63"/>
      <c r="C674" s="63"/>
      <c r="D674" s="63"/>
      <c r="E674" s="63"/>
      <c r="F674" s="63"/>
    </row>
    <row r="675">
      <c r="A675" s="63"/>
      <c r="B675" s="63"/>
      <c r="C675" s="63"/>
      <c r="D675" s="63"/>
      <c r="E675" s="63"/>
      <c r="F675" s="63"/>
    </row>
    <row r="676">
      <c r="A676" s="63"/>
      <c r="B676" s="63"/>
      <c r="C676" s="63"/>
      <c r="D676" s="63"/>
      <c r="E676" s="63"/>
      <c r="F676" s="63"/>
    </row>
    <row r="677">
      <c r="A677" s="63"/>
      <c r="B677" s="63"/>
      <c r="C677" s="63"/>
      <c r="D677" s="63"/>
      <c r="E677" s="63"/>
      <c r="F677" s="63"/>
    </row>
    <row r="678">
      <c r="A678" s="63"/>
      <c r="B678" s="63"/>
      <c r="C678" s="63"/>
      <c r="D678" s="63"/>
      <c r="E678" s="63"/>
      <c r="F678" s="63"/>
    </row>
    <row r="679">
      <c r="A679" s="63"/>
      <c r="B679" s="63"/>
      <c r="C679" s="63"/>
      <c r="D679" s="63"/>
      <c r="E679" s="63"/>
      <c r="F679" s="63"/>
    </row>
    <row r="680">
      <c r="A680" s="63"/>
      <c r="B680" s="63"/>
      <c r="C680" s="63"/>
      <c r="D680" s="63"/>
      <c r="E680" s="63"/>
      <c r="F680" s="63"/>
    </row>
    <row r="681">
      <c r="A681" s="63"/>
      <c r="B681" s="63"/>
      <c r="C681" s="63"/>
      <c r="D681" s="63"/>
      <c r="E681" s="63"/>
      <c r="F681" s="63"/>
    </row>
    <row r="682">
      <c r="A682" s="63"/>
      <c r="B682" s="63"/>
      <c r="C682" s="63"/>
      <c r="D682" s="63"/>
      <c r="E682" s="63"/>
      <c r="F682" s="63"/>
    </row>
    <row r="683">
      <c r="A683" s="63"/>
      <c r="B683" s="63"/>
      <c r="C683" s="63"/>
      <c r="D683" s="63"/>
      <c r="E683" s="63"/>
      <c r="F683" s="63"/>
    </row>
    <row r="684">
      <c r="A684" s="63"/>
      <c r="B684" s="63"/>
      <c r="C684" s="63"/>
      <c r="D684" s="63"/>
      <c r="E684" s="63"/>
      <c r="F684" s="63"/>
    </row>
    <row r="685">
      <c r="A685" s="63"/>
      <c r="B685" s="63"/>
      <c r="C685" s="63"/>
      <c r="D685" s="63"/>
      <c r="E685" s="63"/>
      <c r="F685" s="63"/>
    </row>
    <row r="686">
      <c r="A686" s="63"/>
      <c r="B686" s="63"/>
      <c r="C686" s="63"/>
      <c r="D686" s="63"/>
      <c r="E686" s="63"/>
      <c r="F686" s="63"/>
    </row>
    <row r="687">
      <c r="A687" s="63"/>
      <c r="B687" s="63"/>
      <c r="C687" s="63"/>
      <c r="D687" s="63"/>
      <c r="E687" s="63"/>
      <c r="F687" s="63"/>
    </row>
    <row r="688">
      <c r="A688" s="63"/>
      <c r="B688" s="63"/>
      <c r="C688" s="63"/>
      <c r="D688" s="63"/>
      <c r="E688" s="63"/>
      <c r="F688" s="63"/>
    </row>
    <row r="689">
      <c r="A689" s="63"/>
      <c r="B689" s="63"/>
      <c r="C689" s="63"/>
      <c r="D689" s="63"/>
      <c r="E689" s="63"/>
      <c r="F689" s="63"/>
    </row>
    <row r="690">
      <c r="A690" s="63"/>
      <c r="B690" s="63"/>
      <c r="C690" s="63"/>
      <c r="D690" s="63"/>
      <c r="E690" s="63"/>
      <c r="F690" s="63"/>
    </row>
    <row r="691">
      <c r="A691" s="63"/>
      <c r="B691" s="63"/>
      <c r="C691" s="63"/>
      <c r="D691" s="63"/>
      <c r="E691" s="63"/>
      <c r="F691" s="63"/>
    </row>
    <row r="692">
      <c r="A692" s="63"/>
      <c r="B692" s="63"/>
      <c r="C692" s="63"/>
      <c r="D692" s="63"/>
      <c r="E692" s="63"/>
      <c r="F692" s="63"/>
    </row>
    <row r="693">
      <c r="A693" s="63"/>
      <c r="B693" s="63"/>
      <c r="C693" s="63"/>
      <c r="D693" s="63"/>
      <c r="E693" s="63"/>
      <c r="F693" s="63"/>
    </row>
    <row r="694">
      <c r="A694" s="63"/>
      <c r="B694" s="63"/>
      <c r="C694" s="63"/>
      <c r="D694" s="63"/>
      <c r="E694" s="63"/>
      <c r="F694" s="63"/>
    </row>
    <row r="695">
      <c r="A695" s="63"/>
      <c r="B695" s="63"/>
      <c r="C695" s="63"/>
      <c r="D695" s="63"/>
      <c r="E695" s="63"/>
      <c r="F695" s="63"/>
    </row>
    <row r="696">
      <c r="A696" s="63"/>
      <c r="B696" s="63"/>
      <c r="C696" s="63"/>
      <c r="D696" s="63"/>
      <c r="E696" s="63"/>
      <c r="F696" s="63"/>
    </row>
    <row r="697">
      <c r="A697" s="63"/>
      <c r="B697" s="63"/>
      <c r="C697" s="63"/>
      <c r="D697" s="63"/>
      <c r="E697" s="63"/>
      <c r="F697" s="63"/>
    </row>
    <row r="698">
      <c r="A698" s="63"/>
      <c r="B698" s="63"/>
      <c r="C698" s="63"/>
      <c r="D698" s="63"/>
      <c r="E698" s="63"/>
      <c r="F698" s="63"/>
    </row>
    <row r="699">
      <c r="A699" s="63"/>
      <c r="B699" s="63"/>
      <c r="C699" s="63"/>
      <c r="D699" s="63"/>
      <c r="E699" s="63"/>
      <c r="F699" s="63"/>
    </row>
    <row r="700">
      <c r="A700" s="63"/>
      <c r="B700" s="63"/>
      <c r="C700" s="63"/>
      <c r="D700" s="63"/>
      <c r="E700" s="63"/>
      <c r="F700" s="63"/>
    </row>
    <row r="701">
      <c r="A701" s="63"/>
      <c r="B701" s="63"/>
      <c r="C701" s="63"/>
      <c r="D701" s="63"/>
      <c r="E701" s="63"/>
      <c r="F701" s="63"/>
    </row>
    <row r="702">
      <c r="A702" s="63"/>
      <c r="B702" s="63"/>
      <c r="C702" s="63"/>
      <c r="D702" s="63"/>
      <c r="E702" s="63"/>
      <c r="F702" s="63"/>
    </row>
    <row r="703">
      <c r="A703" s="63"/>
      <c r="B703" s="63"/>
      <c r="C703" s="63"/>
      <c r="D703" s="63"/>
      <c r="E703" s="63"/>
      <c r="F703" s="63"/>
    </row>
    <row r="704">
      <c r="A704" s="63"/>
      <c r="B704" s="63"/>
      <c r="C704" s="63"/>
      <c r="D704" s="63"/>
      <c r="E704" s="63"/>
      <c r="F704" s="63"/>
    </row>
    <row r="705">
      <c r="A705" s="63"/>
      <c r="B705" s="63"/>
      <c r="C705" s="63"/>
      <c r="D705" s="63"/>
      <c r="E705" s="63"/>
      <c r="F705" s="63"/>
    </row>
    <row r="706">
      <c r="A706" s="63"/>
      <c r="B706" s="63"/>
      <c r="C706" s="63"/>
      <c r="D706" s="63"/>
      <c r="E706" s="63"/>
      <c r="F706" s="63"/>
    </row>
    <row r="707">
      <c r="A707" s="63"/>
      <c r="B707" s="63"/>
      <c r="C707" s="63"/>
      <c r="D707" s="63"/>
      <c r="E707" s="63"/>
      <c r="F707" s="63"/>
    </row>
    <row r="708">
      <c r="A708" s="63"/>
      <c r="B708" s="63"/>
      <c r="C708" s="63"/>
      <c r="D708" s="63"/>
      <c r="E708" s="63"/>
      <c r="F708" s="63"/>
    </row>
    <row r="709">
      <c r="A709" s="63"/>
      <c r="B709" s="63"/>
      <c r="C709" s="63"/>
      <c r="D709" s="63"/>
      <c r="E709" s="63"/>
      <c r="F709" s="63"/>
    </row>
    <row r="710">
      <c r="A710" s="63"/>
      <c r="B710" s="63"/>
      <c r="C710" s="63"/>
      <c r="D710" s="63"/>
      <c r="E710" s="63"/>
      <c r="F710" s="63"/>
    </row>
    <row r="711">
      <c r="A711" s="63"/>
      <c r="B711" s="63"/>
      <c r="C711" s="63"/>
      <c r="D711" s="63"/>
      <c r="E711" s="63"/>
      <c r="F711" s="63"/>
    </row>
    <row r="712">
      <c r="A712" s="63"/>
      <c r="B712" s="63"/>
      <c r="C712" s="63"/>
      <c r="D712" s="63"/>
      <c r="E712" s="63"/>
      <c r="F712" s="63"/>
    </row>
    <row r="713">
      <c r="A713" s="63"/>
      <c r="B713" s="63"/>
      <c r="C713" s="63"/>
      <c r="D713" s="63"/>
      <c r="E713" s="63"/>
      <c r="F713" s="63"/>
    </row>
    <row r="714">
      <c r="A714" s="63"/>
      <c r="B714" s="63"/>
      <c r="C714" s="63"/>
      <c r="D714" s="63"/>
      <c r="E714" s="63"/>
      <c r="F714" s="63"/>
    </row>
    <row r="715">
      <c r="A715" s="63"/>
      <c r="B715" s="63"/>
      <c r="C715" s="63"/>
      <c r="D715" s="63"/>
      <c r="E715" s="63"/>
      <c r="F715" s="63"/>
    </row>
    <row r="716">
      <c r="A716" s="63"/>
      <c r="B716" s="63"/>
      <c r="C716" s="63"/>
      <c r="D716" s="63"/>
      <c r="E716" s="63"/>
      <c r="F716" s="63"/>
    </row>
    <row r="717">
      <c r="A717" s="63"/>
      <c r="B717" s="63"/>
      <c r="C717" s="63"/>
      <c r="D717" s="63"/>
      <c r="E717" s="63"/>
      <c r="F717" s="63"/>
    </row>
    <row r="718">
      <c r="A718" s="63"/>
      <c r="B718" s="63"/>
      <c r="C718" s="63"/>
      <c r="D718" s="63"/>
      <c r="E718" s="63"/>
      <c r="F718" s="63"/>
    </row>
    <row r="719">
      <c r="A719" s="63"/>
      <c r="B719" s="63"/>
      <c r="C719" s="63"/>
      <c r="D719" s="63"/>
      <c r="E719" s="63"/>
      <c r="F719" s="63"/>
    </row>
    <row r="720">
      <c r="A720" s="63"/>
      <c r="B720" s="63"/>
      <c r="C720" s="63"/>
      <c r="D720" s="63"/>
      <c r="E720" s="63"/>
      <c r="F720" s="63"/>
    </row>
    <row r="721">
      <c r="A721" s="63"/>
      <c r="B721" s="63"/>
      <c r="C721" s="63"/>
      <c r="D721" s="63"/>
      <c r="E721" s="63"/>
      <c r="F721" s="63"/>
    </row>
    <row r="722">
      <c r="A722" s="63"/>
      <c r="B722" s="63"/>
      <c r="C722" s="63"/>
      <c r="D722" s="63"/>
      <c r="E722" s="63"/>
      <c r="F722" s="63"/>
    </row>
    <row r="723">
      <c r="A723" s="63"/>
      <c r="B723" s="63"/>
      <c r="C723" s="63"/>
      <c r="D723" s="63"/>
      <c r="E723" s="63"/>
      <c r="F723" s="63"/>
    </row>
    <row r="724">
      <c r="A724" s="63"/>
      <c r="B724" s="63"/>
      <c r="C724" s="63"/>
      <c r="D724" s="63"/>
      <c r="E724" s="63"/>
      <c r="F724" s="63"/>
    </row>
    <row r="725">
      <c r="A725" s="63"/>
      <c r="B725" s="63"/>
      <c r="C725" s="63"/>
      <c r="D725" s="63"/>
      <c r="E725" s="63"/>
      <c r="F725" s="63"/>
    </row>
    <row r="726">
      <c r="A726" s="63"/>
      <c r="B726" s="63"/>
      <c r="C726" s="63"/>
      <c r="D726" s="63"/>
      <c r="E726" s="63"/>
      <c r="F726" s="63"/>
    </row>
    <row r="727">
      <c r="A727" s="63"/>
      <c r="B727" s="63"/>
      <c r="C727" s="63"/>
      <c r="D727" s="63"/>
      <c r="E727" s="63"/>
      <c r="F727" s="63"/>
    </row>
    <row r="728">
      <c r="A728" s="63"/>
      <c r="B728" s="63"/>
      <c r="C728" s="63"/>
      <c r="D728" s="63"/>
      <c r="E728" s="63"/>
      <c r="F728" s="63"/>
    </row>
    <row r="729">
      <c r="A729" s="63"/>
      <c r="B729" s="63"/>
      <c r="C729" s="63"/>
      <c r="D729" s="63"/>
      <c r="E729" s="63"/>
      <c r="F729" s="63"/>
    </row>
    <row r="730">
      <c r="A730" s="63"/>
      <c r="B730" s="63"/>
      <c r="C730" s="63"/>
      <c r="D730" s="63"/>
      <c r="E730" s="63"/>
      <c r="F730" s="63"/>
    </row>
    <row r="731">
      <c r="A731" s="63"/>
      <c r="B731" s="63"/>
      <c r="C731" s="63"/>
      <c r="D731" s="63"/>
      <c r="E731" s="63"/>
      <c r="F731" s="63"/>
    </row>
    <row r="732">
      <c r="A732" s="63"/>
      <c r="B732" s="63"/>
      <c r="C732" s="63"/>
      <c r="D732" s="63"/>
      <c r="E732" s="63"/>
      <c r="F732" s="63"/>
    </row>
    <row r="733">
      <c r="A733" s="63"/>
      <c r="B733" s="63"/>
      <c r="C733" s="63"/>
      <c r="D733" s="63"/>
      <c r="E733" s="63"/>
      <c r="F733" s="63"/>
    </row>
    <row r="734">
      <c r="A734" s="63"/>
      <c r="B734" s="63"/>
      <c r="C734" s="63"/>
      <c r="D734" s="63"/>
      <c r="E734" s="63"/>
      <c r="F734" s="63"/>
    </row>
    <row r="735">
      <c r="A735" s="63"/>
      <c r="B735" s="63"/>
      <c r="C735" s="63"/>
      <c r="D735" s="63"/>
      <c r="E735" s="63"/>
      <c r="F735" s="63"/>
    </row>
    <row r="736">
      <c r="A736" s="63"/>
      <c r="B736" s="63"/>
      <c r="C736" s="63"/>
      <c r="D736" s="63"/>
      <c r="E736" s="63"/>
      <c r="F736" s="63"/>
    </row>
    <row r="737">
      <c r="A737" s="63"/>
      <c r="B737" s="63"/>
      <c r="C737" s="63"/>
      <c r="D737" s="63"/>
      <c r="E737" s="63"/>
      <c r="F737" s="63"/>
    </row>
    <row r="738">
      <c r="A738" s="63"/>
      <c r="B738" s="63"/>
      <c r="C738" s="63"/>
      <c r="D738" s="63"/>
      <c r="E738" s="63"/>
      <c r="F738" s="63"/>
    </row>
    <row r="739">
      <c r="A739" s="63"/>
      <c r="B739" s="63"/>
      <c r="C739" s="63"/>
      <c r="D739" s="63"/>
      <c r="E739" s="63"/>
      <c r="F739" s="63"/>
    </row>
    <row r="740">
      <c r="A740" s="63"/>
      <c r="B740" s="63"/>
      <c r="C740" s="63"/>
      <c r="D740" s="63"/>
      <c r="E740" s="63"/>
      <c r="F740" s="63"/>
    </row>
    <row r="741">
      <c r="A741" s="63"/>
      <c r="B741" s="63"/>
      <c r="C741" s="63"/>
      <c r="D741" s="63"/>
      <c r="E741" s="63"/>
      <c r="F741" s="63"/>
    </row>
    <row r="742">
      <c r="A742" s="63"/>
      <c r="B742" s="63"/>
      <c r="C742" s="63"/>
      <c r="D742" s="63"/>
      <c r="E742" s="63"/>
      <c r="F742" s="63"/>
    </row>
    <row r="743">
      <c r="A743" s="63"/>
      <c r="B743" s="63"/>
      <c r="C743" s="63"/>
      <c r="D743" s="63"/>
      <c r="E743" s="63"/>
      <c r="F743" s="63"/>
    </row>
    <row r="744">
      <c r="A744" s="63"/>
      <c r="B744" s="63"/>
      <c r="C744" s="63"/>
      <c r="D744" s="63"/>
      <c r="E744" s="63"/>
      <c r="F744" s="63"/>
    </row>
    <row r="745">
      <c r="A745" s="63"/>
      <c r="B745" s="63"/>
      <c r="C745" s="63"/>
      <c r="D745" s="63"/>
      <c r="E745" s="63"/>
      <c r="F745" s="63"/>
    </row>
    <row r="746">
      <c r="A746" s="63"/>
      <c r="B746" s="63"/>
      <c r="C746" s="63"/>
      <c r="D746" s="63"/>
      <c r="E746" s="63"/>
      <c r="F746" s="63"/>
    </row>
    <row r="747">
      <c r="A747" s="63"/>
      <c r="B747" s="63"/>
      <c r="C747" s="63"/>
      <c r="D747" s="63"/>
      <c r="E747" s="63"/>
      <c r="F747" s="63"/>
    </row>
    <row r="748">
      <c r="A748" s="63"/>
      <c r="B748" s="63"/>
      <c r="C748" s="63"/>
      <c r="D748" s="63"/>
      <c r="E748" s="63"/>
      <c r="F748" s="63"/>
    </row>
    <row r="749">
      <c r="A749" s="63"/>
      <c r="B749" s="63"/>
      <c r="C749" s="63"/>
      <c r="D749" s="63"/>
      <c r="E749" s="63"/>
      <c r="F749" s="63"/>
    </row>
    <row r="750">
      <c r="A750" s="63"/>
      <c r="B750" s="63"/>
      <c r="C750" s="63"/>
      <c r="D750" s="63"/>
      <c r="E750" s="63"/>
      <c r="F750" s="63"/>
    </row>
    <row r="751">
      <c r="A751" s="63"/>
      <c r="B751" s="63"/>
      <c r="C751" s="63"/>
      <c r="D751" s="63"/>
      <c r="E751" s="63"/>
      <c r="F751" s="63"/>
    </row>
    <row r="752">
      <c r="A752" s="63"/>
      <c r="B752" s="63"/>
      <c r="C752" s="63"/>
      <c r="D752" s="63"/>
      <c r="E752" s="63"/>
      <c r="F752" s="63"/>
    </row>
    <row r="753">
      <c r="A753" s="63"/>
      <c r="B753" s="63"/>
      <c r="C753" s="63"/>
      <c r="D753" s="63"/>
      <c r="E753" s="63"/>
      <c r="F753" s="63"/>
    </row>
    <row r="754">
      <c r="A754" s="63"/>
      <c r="B754" s="63"/>
      <c r="C754" s="63"/>
      <c r="D754" s="63"/>
      <c r="E754" s="63"/>
      <c r="F754" s="63"/>
    </row>
    <row r="755">
      <c r="A755" s="63"/>
      <c r="B755" s="63"/>
      <c r="C755" s="63"/>
      <c r="D755" s="63"/>
      <c r="E755" s="63"/>
      <c r="F755" s="63"/>
    </row>
    <row r="756">
      <c r="A756" s="63"/>
      <c r="B756" s="63"/>
      <c r="C756" s="63"/>
      <c r="D756" s="63"/>
      <c r="E756" s="63"/>
      <c r="F756" s="63"/>
    </row>
    <row r="757">
      <c r="A757" s="63"/>
      <c r="B757" s="63"/>
      <c r="C757" s="63"/>
      <c r="D757" s="63"/>
      <c r="E757" s="63"/>
      <c r="F757" s="63"/>
    </row>
    <row r="758">
      <c r="A758" s="63"/>
      <c r="B758" s="63"/>
      <c r="C758" s="63"/>
      <c r="D758" s="63"/>
      <c r="E758" s="63"/>
      <c r="F758" s="63"/>
    </row>
    <row r="759">
      <c r="A759" s="63"/>
      <c r="B759" s="63"/>
      <c r="C759" s="63"/>
      <c r="D759" s="63"/>
      <c r="E759" s="63"/>
      <c r="F759" s="63"/>
    </row>
    <row r="760">
      <c r="A760" s="63"/>
      <c r="B760" s="63"/>
      <c r="C760" s="63"/>
      <c r="D760" s="63"/>
      <c r="E760" s="63"/>
      <c r="F760" s="63"/>
    </row>
    <row r="761">
      <c r="A761" s="63"/>
      <c r="B761" s="63"/>
      <c r="C761" s="63"/>
      <c r="D761" s="63"/>
      <c r="E761" s="63"/>
      <c r="F761" s="63"/>
    </row>
    <row r="762">
      <c r="A762" s="63"/>
      <c r="B762" s="63"/>
      <c r="C762" s="63"/>
      <c r="D762" s="63"/>
      <c r="E762" s="63"/>
      <c r="F762" s="63"/>
    </row>
    <row r="763">
      <c r="A763" s="63"/>
      <c r="B763" s="63"/>
      <c r="C763" s="63"/>
      <c r="D763" s="63"/>
      <c r="E763" s="63"/>
      <c r="F763" s="63"/>
    </row>
    <row r="764">
      <c r="A764" s="63"/>
      <c r="B764" s="63"/>
      <c r="C764" s="63"/>
      <c r="D764" s="63"/>
      <c r="E764" s="63"/>
      <c r="F764" s="63"/>
    </row>
    <row r="765">
      <c r="A765" s="63"/>
      <c r="B765" s="63"/>
      <c r="C765" s="63"/>
      <c r="D765" s="63"/>
      <c r="E765" s="63"/>
      <c r="F765" s="63"/>
    </row>
    <row r="766">
      <c r="A766" s="63"/>
      <c r="B766" s="63"/>
      <c r="C766" s="63"/>
      <c r="D766" s="63"/>
      <c r="E766" s="63"/>
      <c r="F766" s="63"/>
    </row>
    <row r="767">
      <c r="A767" s="63"/>
      <c r="B767" s="63"/>
      <c r="C767" s="63"/>
      <c r="D767" s="63"/>
      <c r="E767" s="63"/>
      <c r="F767" s="63"/>
    </row>
    <row r="768">
      <c r="A768" s="63"/>
      <c r="B768" s="63"/>
      <c r="C768" s="63"/>
      <c r="D768" s="63"/>
      <c r="E768" s="63"/>
      <c r="F768" s="63"/>
    </row>
    <row r="769">
      <c r="A769" s="63"/>
      <c r="B769" s="63"/>
      <c r="C769" s="63"/>
      <c r="D769" s="63"/>
      <c r="E769" s="63"/>
      <c r="F769" s="63"/>
    </row>
    <row r="770">
      <c r="A770" s="63"/>
      <c r="B770" s="63"/>
      <c r="C770" s="63"/>
      <c r="D770" s="63"/>
      <c r="E770" s="63"/>
      <c r="F770" s="63"/>
    </row>
    <row r="771">
      <c r="A771" s="63"/>
      <c r="B771" s="63"/>
      <c r="C771" s="63"/>
      <c r="D771" s="63"/>
      <c r="E771" s="63"/>
      <c r="F771" s="63"/>
    </row>
    <row r="772">
      <c r="A772" s="63"/>
      <c r="B772" s="63"/>
      <c r="C772" s="63"/>
      <c r="D772" s="63"/>
      <c r="E772" s="63"/>
      <c r="F772" s="63"/>
    </row>
    <row r="773">
      <c r="A773" s="63"/>
      <c r="B773" s="63"/>
      <c r="C773" s="63"/>
      <c r="D773" s="63"/>
      <c r="E773" s="63"/>
      <c r="F773" s="63"/>
    </row>
    <row r="774">
      <c r="A774" s="63"/>
      <c r="B774" s="63"/>
      <c r="C774" s="63"/>
      <c r="D774" s="63"/>
      <c r="E774" s="63"/>
      <c r="F774" s="63"/>
    </row>
    <row r="775">
      <c r="A775" s="63"/>
      <c r="B775" s="63"/>
      <c r="C775" s="63"/>
      <c r="D775" s="63"/>
      <c r="E775" s="63"/>
      <c r="F775" s="63"/>
    </row>
    <row r="776">
      <c r="A776" s="63"/>
      <c r="B776" s="63"/>
      <c r="C776" s="63"/>
      <c r="D776" s="63"/>
      <c r="E776" s="63"/>
      <c r="F776" s="63"/>
    </row>
    <row r="777">
      <c r="A777" s="63"/>
      <c r="B777" s="63"/>
      <c r="C777" s="63"/>
      <c r="D777" s="63"/>
      <c r="E777" s="63"/>
      <c r="F777" s="63"/>
    </row>
    <row r="778">
      <c r="A778" s="63"/>
      <c r="B778" s="63"/>
      <c r="C778" s="63"/>
      <c r="D778" s="63"/>
      <c r="E778" s="63"/>
      <c r="F778" s="63"/>
    </row>
    <row r="779">
      <c r="A779" s="63"/>
      <c r="B779" s="63"/>
      <c r="C779" s="63"/>
      <c r="D779" s="63"/>
      <c r="E779" s="63"/>
      <c r="F779" s="63"/>
    </row>
    <row r="780">
      <c r="A780" s="63"/>
      <c r="B780" s="63"/>
      <c r="C780" s="63"/>
      <c r="D780" s="63"/>
      <c r="E780" s="63"/>
      <c r="F780" s="63"/>
    </row>
    <row r="781">
      <c r="A781" s="63"/>
      <c r="B781" s="63"/>
      <c r="C781" s="63"/>
      <c r="D781" s="63"/>
      <c r="E781" s="63"/>
      <c r="F781" s="63"/>
    </row>
    <row r="782">
      <c r="A782" s="63"/>
      <c r="B782" s="63"/>
      <c r="C782" s="63"/>
      <c r="D782" s="63"/>
      <c r="E782" s="63"/>
      <c r="F782" s="63"/>
    </row>
    <row r="783">
      <c r="A783" s="63"/>
      <c r="B783" s="63"/>
      <c r="C783" s="63"/>
      <c r="D783" s="63"/>
      <c r="E783" s="63"/>
      <c r="F783" s="63"/>
    </row>
    <row r="784">
      <c r="A784" s="63"/>
      <c r="B784" s="63"/>
      <c r="C784" s="63"/>
      <c r="D784" s="63"/>
      <c r="E784" s="63"/>
      <c r="F784" s="63"/>
    </row>
    <row r="785">
      <c r="A785" s="63"/>
      <c r="B785" s="63"/>
      <c r="C785" s="63"/>
      <c r="D785" s="63"/>
      <c r="E785" s="63"/>
      <c r="F785" s="63"/>
    </row>
    <row r="786">
      <c r="A786" s="63"/>
      <c r="B786" s="63"/>
      <c r="C786" s="63"/>
      <c r="D786" s="63"/>
      <c r="E786" s="63"/>
      <c r="F786" s="63"/>
    </row>
    <row r="787">
      <c r="A787" s="63"/>
      <c r="B787" s="63"/>
      <c r="C787" s="63"/>
      <c r="D787" s="63"/>
      <c r="E787" s="63"/>
      <c r="F787" s="63"/>
    </row>
    <row r="788">
      <c r="A788" s="63"/>
      <c r="B788" s="63"/>
      <c r="C788" s="63"/>
      <c r="D788" s="63"/>
      <c r="E788" s="63"/>
      <c r="F788" s="63"/>
    </row>
    <row r="789">
      <c r="A789" s="63"/>
      <c r="B789" s="63"/>
      <c r="C789" s="63"/>
      <c r="D789" s="63"/>
      <c r="E789" s="63"/>
      <c r="F789" s="63"/>
    </row>
    <row r="790">
      <c r="A790" s="63"/>
      <c r="B790" s="63"/>
      <c r="C790" s="63"/>
      <c r="D790" s="63"/>
      <c r="E790" s="63"/>
      <c r="F790" s="63"/>
    </row>
    <row r="791">
      <c r="A791" s="63"/>
      <c r="B791" s="63"/>
      <c r="C791" s="63"/>
      <c r="D791" s="63"/>
      <c r="E791" s="63"/>
      <c r="F791" s="63"/>
    </row>
    <row r="792">
      <c r="A792" s="63"/>
      <c r="B792" s="63"/>
      <c r="C792" s="63"/>
      <c r="D792" s="63"/>
      <c r="E792" s="63"/>
      <c r="F792" s="63"/>
    </row>
    <row r="793">
      <c r="A793" s="63"/>
      <c r="B793" s="63"/>
      <c r="C793" s="63"/>
      <c r="D793" s="63"/>
      <c r="E793" s="63"/>
      <c r="F793" s="63"/>
    </row>
    <row r="794">
      <c r="A794" s="63"/>
      <c r="B794" s="63"/>
      <c r="C794" s="63"/>
      <c r="D794" s="63"/>
      <c r="E794" s="63"/>
      <c r="F794" s="63"/>
    </row>
    <row r="795">
      <c r="A795" s="63"/>
      <c r="B795" s="63"/>
      <c r="C795" s="63"/>
      <c r="D795" s="63"/>
      <c r="E795" s="63"/>
      <c r="F795" s="63"/>
    </row>
    <row r="796">
      <c r="A796" s="63"/>
      <c r="B796" s="63"/>
      <c r="C796" s="63"/>
      <c r="D796" s="63"/>
      <c r="E796" s="63"/>
      <c r="F796" s="63"/>
    </row>
    <row r="797">
      <c r="A797" s="63"/>
      <c r="B797" s="63"/>
      <c r="C797" s="63"/>
      <c r="D797" s="63"/>
      <c r="E797" s="63"/>
      <c r="F797" s="63"/>
    </row>
    <row r="798">
      <c r="A798" s="63"/>
      <c r="B798" s="63"/>
      <c r="C798" s="63"/>
      <c r="D798" s="63"/>
      <c r="E798" s="63"/>
      <c r="F798" s="63"/>
    </row>
    <row r="799">
      <c r="A799" s="63"/>
      <c r="B799" s="63"/>
      <c r="C799" s="63"/>
      <c r="D799" s="63"/>
      <c r="E799" s="63"/>
      <c r="F799" s="63"/>
    </row>
    <row r="800">
      <c r="A800" s="63"/>
      <c r="B800" s="63"/>
      <c r="C800" s="63"/>
      <c r="D800" s="63"/>
      <c r="E800" s="63"/>
      <c r="F800" s="63"/>
    </row>
    <row r="801">
      <c r="A801" s="63"/>
      <c r="B801" s="63"/>
      <c r="C801" s="63"/>
      <c r="D801" s="63"/>
      <c r="E801" s="63"/>
      <c r="F801" s="63"/>
    </row>
    <row r="802">
      <c r="A802" s="63"/>
      <c r="B802" s="63"/>
      <c r="C802" s="63"/>
      <c r="D802" s="63"/>
      <c r="E802" s="63"/>
      <c r="F802" s="63"/>
    </row>
    <row r="803">
      <c r="A803" s="63"/>
      <c r="B803" s="63"/>
      <c r="C803" s="63"/>
      <c r="D803" s="63"/>
      <c r="E803" s="63"/>
      <c r="F803" s="63"/>
    </row>
    <row r="804">
      <c r="A804" s="63"/>
      <c r="B804" s="63"/>
      <c r="C804" s="63"/>
      <c r="D804" s="63"/>
      <c r="E804" s="63"/>
      <c r="F804" s="63"/>
    </row>
    <row r="805">
      <c r="A805" s="63"/>
      <c r="B805" s="63"/>
      <c r="C805" s="63"/>
      <c r="D805" s="63"/>
      <c r="E805" s="63"/>
      <c r="F805" s="63"/>
    </row>
    <row r="806">
      <c r="A806" s="63"/>
      <c r="B806" s="63"/>
      <c r="C806" s="63"/>
      <c r="D806" s="63"/>
      <c r="E806" s="63"/>
      <c r="F806" s="63"/>
    </row>
    <row r="807">
      <c r="A807" s="63"/>
      <c r="B807" s="63"/>
      <c r="C807" s="63"/>
      <c r="D807" s="63"/>
      <c r="E807" s="63"/>
      <c r="F807" s="63"/>
    </row>
    <row r="808">
      <c r="A808" s="63"/>
      <c r="B808" s="63"/>
      <c r="C808" s="63"/>
      <c r="D808" s="63"/>
      <c r="E808" s="63"/>
      <c r="F808" s="63"/>
    </row>
    <row r="809">
      <c r="A809" s="63"/>
      <c r="B809" s="63"/>
      <c r="C809" s="63"/>
      <c r="D809" s="63"/>
      <c r="E809" s="63"/>
      <c r="F809" s="63"/>
    </row>
    <row r="810">
      <c r="A810" s="63"/>
      <c r="B810" s="63"/>
      <c r="C810" s="63"/>
      <c r="D810" s="63"/>
      <c r="E810" s="63"/>
      <c r="F810" s="63"/>
    </row>
    <row r="811">
      <c r="A811" s="63"/>
      <c r="B811" s="63"/>
      <c r="C811" s="63"/>
      <c r="D811" s="63"/>
      <c r="E811" s="63"/>
      <c r="F811" s="63"/>
    </row>
    <row r="812">
      <c r="A812" s="63"/>
      <c r="B812" s="63"/>
      <c r="C812" s="63"/>
      <c r="D812" s="63"/>
      <c r="E812" s="63"/>
      <c r="F812" s="63"/>
    </row>
    <row r="813">
      <c r="A813" s="63"/>
      <c r="B813" s="63"/>
      <c r="C813" s="63"/>
      <c r="D813" s="63"/>
      <c r="E813" s="63"/>
      <c r="F813" s="63"/>
    </row>
    <row r="814">
      <c r="A814" s="63"/>
      <c r="B814" s="63"/>
      <c r="C814" s="63"/>
      <c r="D814" s="63"/>
      <c r="E814" s="63"/>
      <c r="F814" s="63"/>
    </row>
    <row r="815">
      <c r="A815" s="63"/>
      <c r="B815" s="63"/>
      <c r="C815" s="63"/>
      <c r="D815" s="63"/>
      <c r="E815" s="63"/>
      <c r="F815" s="63"/>
    </row>
    <row r="816">
      <c r="A816" s="63"/>
      <c r="B816" s="63"/>
      <c r="C816" s="63"/>
      <c r="D816" s="63"/>
      <c r="E816" s="63"/>
      <c r="F816" s="63"/>
    </row>
    <row r="817">
      <c r="A817" s="63"/>
      <c r="B817" s="63"/>
      <c r="C817" s="63"/>
      <c r="D817" s="63"/>
      <c r="E817" s="63"/>
      <c r="F817" s="63"/>
    </row>
    <row r="818">
      <c r="A818" s="63"/>
      <c r="B818" s="63"/>
      <c r="C818" s="63"/>
      <c r="D818" s="63"/>
      <c r="E818" s="63"/>
      <c r="F818" s="63"/>
    </row>
    <row r="819">
      <c r="A819" s="63"/>
      <c r="B819" s="63"/>
      <c r="C819" s="63"/>
      <c r="D819" s="63"/>
      <c r="E819" s="63"/>
      <c r="F819" s="63"/>
    </row>
    <row r="820">
      <c r="A820" s="63"/>
      <c r="B820" s="63"/>
      <c r="C820" s="63"/>
      <c r="D820" s="63"/>
      <c r="E820" s="63"/>
      <c r="F820" s="63"/>
    </row>
    <row r="821">
      <c r="A821" s="63"/>
      <c r="B821" s="63"/>
      <c r="C821" s="63"/>
      <c r="D821" s="63"/>
      <c r="E821" s="63"/>
      <c r="F821" s="63"/>
    </row>
    <row r="822">
      <c r="A822" s="63"/>
      <c r="B822" s="63"/>
      <c r="C822" s="63"/>
      <c r="D822" s="63"/>
      <c r="E822" s="63"/>
      <c r="F822" s="63"/>
    </row>
    <row r="823">
      <c r="A823" s="63"/>
      <c r="B823" s="63"/>
      <c r="C823" s="63"/>
      <c r="D823" s="63"/>
      <c r="E823" s="63"/>
      <c r="F823" s="63"/>
    </row>
    <row r="824">
      <c r="A824" s="63"/>
      <c r="B824" s="63"/>
      <c r="C824" s="63"/>
      <c r="D824" s="63"/>
      <c r="E824" s="63"/>
      <c r="F824" s="63"/>
    </row>
    <row r="825">
      <c r="A825" s="63"/>
      <c r="B825" s="63"/>
      <c r="C825" s="63"/>
      <c r="D825" s="63"/>
      <c r="E825" s="63"/>
      <c r="F825" s="63"/>
    </row>
    <row r="826">
      <c r="A826" s="63"/>
      <c r="B826" s="63"/>
      <c r="C826" s="63"/>
      <c r="D826" s="63"/>
      <c r="E826" s="63"/>
      <c r="F826" s="63"/>
    </row>
    <row r="827">
      <c r="A827" s="63"/>
      <c r="B827" s="63"/>
      <c r="C827" s="63"/>
      <c r="D827" s="63"/>
      <c r="E827" s="63"/>
      <c r="F827" s="63"/>
    </row>
    <row r="828">
      <c r="A828" s="63"/>
      <c r="B828" s="63"/>
      <c r="C828" s="63"/>
      <c r="D828" s="63"/>
      <c r="E828" s="63"/>
      <c r="F828" s="63"/>
    </row>
    <row r="829">
      <c r="A829" s="63"/>
      <c r="B829" s="63"/>
      <c r="C829" s="63"/>
      <c r="D829" s="63"/>
      <c r="E829" s="63"/>
      <c r="F829" s="63"/>
    </row>
    <row r="830">
      <c r="A830" s="63"/>
      <c r="B830" s="63"/>
      <c r="C830" s="63"/>
      <c r="D830" s="63"/>
      <c r="E830" s="63"/>
      <c r="F830" s="63"/>
    </row>
    <row r="831">
      <c r="A831" s="63"/>
      <c r="B831" s="63"/>
      <c r="C831" s="63"/>
      <c r="D831" s="63"/>
      <c r="E831" s="63"/>
      <c r="F831" s="63"/>
    </row>
    <row r="832">
      <c r="A832" s="63"/>
      <c r="B832" s="63"/>
      <c r="C832" s="63"/>
      <c r="D832" s="63"/>
      <c r="E832" s="63"/>
      <c r="F832" s="63"/>
    </row>
    <row r="833">
      <c r="A833" s="63"/>
      <c r="B833" s="63"/>
      <c r="C833" s="63"/>
      <c r="D833" s="63"/>
      <c r="E833" s="63"/>
      <c r="F833" s="63"/>
    </row>
    <row r="834">
      <c r="A834" s="63"/>
      <c r="B834" s="63"/>
      <c r="C834" s="63"/>
      <c r="D834" s="63"/>
      <c r="E834" s="63"/>
      <c r="F834" s="63"/>
    </row>
    <row r="835">
      <c r="A835" s="63"/>
      <c r="B835" s="63"/>
      <c r="C835" s="63"/>
      <c r="D835" s="63"/>
      <c r="E835" s="63"/>
      <c r="F835" s="63"/>
    </row>
    <row r="836">
      <c r="A836" s="63"/>
      <c r="B836" s="63"/>
      <c r="C836" s="63"/>
      <c r="D836" s="63"/>
      <c r="E836" s="63"/>
      <c r="F836" s="63"/>
    </row>
    <row r="837">
      <c r="A837" s="63"/>
      <c r="B837" s="63"/>
      <c r="C837" s="63"/>
      <c r="D837" s="63"/>
      <c r="E837" s="63"/>
      <c r="F837" s="63"/>
    </row>
    <row r="838">
      <c r="A838" s="63"/>
      <c r="B838" s="63"/>
      <c r="C838" s="63"/>
      <c r="D838" s="63"/>
      <c r="E838" s="63"/>
      <c r="F838" s="63"/>
    </row>
    <row r="839">
      <c r="A839" s="63"/>
      <c r="B839" s="63"/>
      <c r="C839" s="63"/>
      <c r="D839" s="63"/>
      <c r="E839" s="63"/>
      <c r="F839" s="63"/>
    </row>
    <row r="840">
      <c r="A840" s="63"/>
      <c r="B840" s="63"/>
      <c r="C840" s="63"/>
      <c r="D840" s="63"/>
      <c r="E840" s="63"/>
      <c r="F840" s="63"/>
    </row>
    <row r="841">
      <c r="A841" s="63"/>
      <c r="B841" s="63"/>
      <c r="C841" s="63"/>
      <c r="D841" s="63"/>
      <c r="E841" s="63"/>
      <c r="F841" s="63"/>
    </row>
    <row r="842">
      <c r="A842" s="63"/>
      <c r="B842" s="63"/>
      <c r="C842" s="63"/>
      <c r="D842" s="63"/>
      <c r="E842" s="63"/>
      <c r="F842" s="63"/>
    </row>
    <row r="843">
      <c r="A843" s="63"/>
      <c r="B843" s="63"/>
      <c r="C843" s="63"/>
      <c r="D843" s="63"/>
      <c r="E843" s="63"/>
      <c r="F843" s="63"/>
    </row>
    <row r="844">
      <c r="A844" s="63"/>
      <c r="B844" s="63"/>
      <c r="C844" s="63"/>
      <c r="D844" s="63"/>
      <c r="E844" s="63"/>
      <c r="F844" s="63"/>
    </row>
    <row r="845">
      <c r="A845" s="63"/>
      <c r="B845" s="63"/>
      <c r="C845" s="63"/>
      <c r="D845" s="63"/>
      <c r="E845" s="63"/>
      <c r="F845" s="63"/>
    </row>
    <row r="846">
      <c r="A846" s="63"/>
      <c r="B846" s="63"/>
      <c r="C846" s="63"/>
      <c r="D846" s="63"/>
      <c r="E846" s="63"/>
      <c r="F846" s="63"/>
    </row>
    <row r="847">
      <c r="A847" s="63"/>
      <c r="B847" s="63"/>
      <c r="C847" s="63"/>
      <c r="D847" s="63"/>
      <c r="E847" s="63"/>
      <c r="F847" s="63"/>
    </row>
    <row r="848">
      <c r="A848" s="63"/>
      <c r="B848" s="63"/>
      <c r="C848" s="63"/>
      <c r="D848" s="63"/>
      <c r="E848" s="63"/>
      <c r="F848" s="63"/>
    </row>
    <row r="849">
      <c r="A849" s="63"/>
      <c r="B849" s="63"/>
      <c r="C849" s="63"/>
      <c r="D849" s="63"/>
      <c r="E849" s="63"/>
      <c r="F849" s="63"/>
    </row>
    <row r="850">
      <c r="A850" s="63"/>
      <c r="B850" s="63"/>
      <c r="C850" s="63"/>
      <c r="D850" s="63"/>
      <c r="E850" s="63"/>
      <c r="F850" s="63"/>
    </row>
    <row r="851">
      <c r="A851" s="63"/>
      <c r="B851" s="63"/>
      <c r="C851" s="63"/>
      <c r="D851" s="63"/>
      <c r="E851" s="63"/>
      <c r="F851" s="63"/>
    </row>
    <row r="852">
      <c r="A852" s="63"/>
      <c r="B852" s="63"/>
      <c r="C852" s="63"/>
      <c r="D852" s="63"/>
      <c r="E852" s="63"/>
      <c r="F852" s="63"/>
    </row>
    <row r="853">
      <c r="A853" s="63"/>
      <c r="B853" s="63"/>
      <c r="C853" s="63"/>
      <c r="D853" s="63"/>
      <c r="E853" s="63"/>
      <c r="F853" s="63"/>
    </row>
    <row r="854">
      <c r="A854" s="63"/>
      <c r="B854" s="63"/>
      <c r="C854" s="63"/>
      <c r="D854" s="63"/>
      <c r="E854" s="63"/>
      <c r="F854" s="63"/>
    </row>
    <row r="855">
      <c r="A855" s="63"/>
      <c r="B855" s="63"/>
      <c r="C855" s="63"/>
      <c r="D855" s="63"/>
      <c r="E855" s="63"/>
      <c r="F855" s="63"/>
    </row>
    <row r="856">
      <c r="A856" s="63"/>
      <c r="B856" s="63"/>
      <c r="C856" s="63"/>
      <c r="D856" s="63"/>
      <c r="E856" s="63"/>
      <c r="F856" s="63"/>
    </row>
    <row r="857">
      <c r="A857" s="63"/>
      <c r="B857" s="63"/>
      <c r="C857" s="63"/>
      <c r="D857" s="63"/>
      <c r="E857" s="63"/>
      <c r="F857" s="63"/>
    </row>
    <row r="858">
      <c r="A858" s="63"/>
      <c r="B858" s="63"/>
      <c r="C858" s="63"/>
      <c r="D858" s="63"/>
      <c r="E858" s="63"/>
      <c r="F858" s="63"/>
    </row>
    <row r="859">
      <c r="A859" s="63"/>
      <c r="B859" s="63"/>
      <c r="C859" s="63"/>
      <c r="D859" s="63"/>
      <c r="E859" s="63"/>
      <c r="F859" s="63"/>
    </row>
    <row r="860">
      <c r="A860" s="63"/>
      <c r="B860" s="63"/>
      <c r="C860" s="63"/>
      <c r="D860" s="63"/>
      <c r="E860" s="63"/>
      <c r="F860" s="63"/>
    </row>
    <row r="861">
      <c r="A861" s="63"/>
      <c r="B861" s="63"/>
      <c r="C861" s="63"/>
      <c r="D861" s="63"/>
      <c r="E861" s="63"/>
      <c r="F861" s="63"/>
    </row>
    <row r="862">
      <c r="A862" s="63"/>
      <c r="B862" s="63"/>
      <c r="C862" s="63"/>
      <c r="D862" s="63"/>
      <c r="E862" s="63"/>
      <c r="F862" s="63"/>
    </row>
    <row r="863">
      <c r="A863" s="63"/>
      <c r="B863" s="63"/>
      <c r="C863" s="63"/>
      <c r="D863" s="63"/>
      <c r="E863" s="63"/>
      <c r="F863" s="63"/>
    </row>
    <row r="864">
      <c r="A864" s="63"/>
      <c r="B864" s="63"/>
      <c r="C864" s="63"/>
      <c r="D864" s="63"/>
      <c r="E864" s="63"/>
      <c r="F864" s="63"/>
    </row>
    <row r="865">
      <c r="A865" s="63"/>
      <c r="B865" s="63"/>
      <c r="C865" s="63"/>
      <c r="D865" s="63"/>
      <c r="E865" s="63"/>
      <c r="F865" s="63"/>
    </row>
    <row r="866">
      <c r="A866" s="63"/>
      <c r="B866" s="63"/>
      <c r="C866" s="63"/>
      <c r="D866" s="63"/>
      <c r="E866" s="63"/>
      <c r="F866" s="63"/>
    </row>
    <row r="867">
      <c r="A867" s="63"/>
      <c r="B867" s="63"/>
      <c r="C867" s="63"/>
      <c r="D867" s="63"/>
      <c r="E867" s="63"/>
      <c r="F867" s="63"/>
    </row>
    <row r="868">
      <c r="A868" s="63"/>
      <c r="B868" s="63"/>
      <c r="C868" s="63"/>
      <c r="D868" s="63"/>
      <c r="E868" s="63"/>
      <c r="F868" s="63"/>
    </row>
    <row r="869">
      <c r="A869" s="63"/>
      <c r="B869" s="63"/>
      <c r="C869" s="63"/>
      <c r="D869" s="63"/>
      <c r="E869" s="63"/>
      <c r="F869" s="63"/>
    </row>
    <row r="870">
      <c r="A870" s="63"/>
      <c r="B870" s="63"/>
      <c r="C870" s="63"/>
      <c r="D870" s="63"/>
      <c r="E870" s="63"/>
      <c r="F870" s="63"/>
    </row>
    <row r="871">
      <c r="A871" s="63"/>
      <c r="B871" s="63"/>
      <c r="C871" s="63"/>
      <c r="D871" s="63"/>
      <c r="E871" s="63"/>
      <c r="F871" s="63"/>
    </row>
    <row r="872">
      <c r="A872" s="63"/>
      <c r="B872" s="63"/>
      <c r="C872" s="63"/>
      <c r="D872" s="63"/>
      <c r="E872" s="63"/>
      <c r="F872" s="63"/>
    </row>
    <row r="873">
      <c r="A873" s="63"/>
      <c r="B873" s="63"/>
      <c r="C873" s="63"/>
      <c r="D873" s="63"/>
      <c r="E873" s="63"/>
      <c r="F873" s="63"/>
    </row>
    <row r="874">
      <c r="A874" s="63"/>
      <c r="B874" s="63"/>
      <c r="C874" s="63"/>
      <c r="D874" s="63"/>
      <c r="E874" s="63"/>
      <c r="F874" s="63"/>
    </row>
    <row r="875">
      <c r="A875" s="63"/>
      <c r="B875" s="63"/>
      <c r="C875" s="63"/>
      <c r="D875" s="63"/>
      <c r="E875" s="63"/>
      <c r="F875" s="63"/>
    </row>
    <row r="876">
      <c r="A876" s="63"/>
      <c r="B876" s="63"/>
      <c r="C876" s="63"/>
      <c r="D876" s="63"/>
      <c r="E876" s="63"/>
      <c r="F876" s="63"/>
    </row>
    <row r="877">
      <c r="A877" s="63"/>
      <c r="B877" s="63"/>
      <c r="C877" s="63"/>
      <c r="D877" s="63"/>
      <c r="E877" s="63"/>
      <c r="F877" s="63"/>
    </row>
    <row r="878">
      <c r="A878" s="63"/>
      <c r="B878" s="63"/>
      <c r="C878" s="63"/>
      <c r="D878" s="63"/>
      <c r="E878" s="63"/>
      <c r="F878" s="63"/>
    </row>
    <row r="879">
      <c r="A879" s="63"/>
      <c r="B879" s="63"/>
      <c r="C879" s="63"/>
      <c r="D879" s="63"/>
      <c r="E879" s="63"/>
      <c r="F879" s="63"/>
    </row>
    <row r="880">
      <c r="A880" s="63"/>
      <c r="B880" s="63"/>
      <c r="C880" s="63"/>
      <c r="D880" s="63"/>
      <c r="E880" s="63"/>
      <c r="F880" s="63"/>
    </row>
    <row r="881">
      <c r="A881" s="63"/>
      <c r="B881" s="63"/>
      <c r="C881" s="63"/>
      <c r="D881" s="63"/>
      <c r="E881" s="63"/>
      <c r="F881" s="63"/>
    </row>
    <row r="882">
      <c r="A882" s="63"/>
      <c r="B882" s="63"/>
      <c r="C882" s="63"/>
      <c r="D882" s="63"/>
      <c r="E882" s="63"/>
      <c r="F882" s="63"/>
    </row>
    <row r="883">
      <c r="A883" s="63"/>
      <c r="B883" s="63"/>
      <c r="C883" s="63"/>
      <c r="D883" s="63"/>
      <c r="E883" s="63"/>
      <c r="F883" s="63"/>
    </row>
    <row r="884">
      <c r="A884" s="63"/>
      <c r="B884" s="63"/>
      <c r="C884" s="63"/>
      <c r="D884" s="63"/>
      <c r="E884" s="63"/>
      <c r="F884" s="63"/>
    </row>
    <row r="885">
      <c r="A885" s="63"/>
      <c r="B885" s="63"/>
      <c r="C885" s="63"/>
      <c r="D885" s="63"/>
      <c r="E885" s="63"/>
      <c r="F885" s="63"/>
    </row>
    <row r="886">
      <c r="A886" s="63"/>
      <c r="B886" s="63"/>
      <c r="C886" s="63"/>
      <c r="D886" s="63"/>
      <c r="E886" s="63"/>
      <c r="F886" s="63"/>
    </row>
    <row r="887">
      <c r="A887" s="63"/>
      <c r="B887" s="63"/>
      <c r="C887" s="63"/>
      <c r="D887" s="63"/>
      <c r="E887" s="63"/>
      <c r="F887" s="63"/>
    </row>
    <row r="888">
      <c r="A888" s="63"/>
      <c r="B888" s="63"/>
      <c r="C888" s="63"/>
      <c r="D888" s="63"/>
      <c r="E888" s="63"/>
      <c r="F888" s="63"/>
    </row>
    <row r="889">
      <c r="A889" s="63"/>
      <c r="B889" s="63"/>
      <c r="C889" s="63"/>
      <c r="D889" s="63"/>
      <c r="E889" s="63"/>
      <c r="F889" s="63"/>
    </row>
    <row r="890">
      <c r="A890" s="63"/>
      <c r="B890" s="63"/>
      <c r="C890" s="63"/>
      <c r="D890" s="63"/>
      <c r="E890" s="63"/>
      <c r="F890" s="63"/>
    </row>
    <row r="891">
      <c r="A891" s="63"/>
      <c r="B891" s="63"/>
      <c r="C891" s="63"/>
      <c r="D891" s="63"/>
      <c r="E891" s="63"/>
      <c r="F891" s="63"/>
    </row>
    <row r="892">
      <c r="A892" s="63"/>
      <c r="B892" s="63"/>
      <c r="C892" s="63"/>
      <c r="D892" s="63"/>
      <c r="E892" s="63"/>
      <c r="F892" s="63"/>
    </row>
    <row r="893">
      <c r="A893" s="63"/>
      <c r="B893" s="63"/>
      <c r="C893" s="63"/>
      <c r="D893" s="63"/>
      <c r="E893" s="63"/>
      <c r="F893" s="63"/>
    </row>
    <row r="894">
      <c r="A894" s="63"/>
      <c r="B894" s="63"/>
      <c r="C894" s="63"/>
      <c r="D894" s="63"/>
      <c r="E894" s="63"/>
      <c r="F894" s="63"/>
    </row>
    <row r="895">
      <c r="A895" s="63"/>
      <c r="B895" s="63"/>
      <c r="C895" s="63"/>
      <c r="D895" s="63"/>
      <c r="E895" s="63"/>
      <c r="F895" s="63"/>
    </row>
    <row r="896">
      <c r="A896" s="63"/>
      <c r="B896" s="63"/>
      <c r="C896" s="63"/>
      <c r="D896" s="63"/>
      <c r="E896" s="63"/>
      <c r="F896" s="63"/>
    </row>
    <row r="897">
      <c r="A897" s="63"/>
      <c r="B897" s="63"/>
      <c r="C897" s="63"/>
      <c r="D897" s="63"/>
      <c r="E897" s="63"/>
      <c r="F897" s="63"/>
    </row>
    <row r="898">
      <c r="A898" s="63"/>
      <c r="B898" s="63"/>
      <c r="C898" s="63"/>
      <c r="D898" s="63"/>
      <c r="E898" s="63"/>
      <c r="F898" s="63"/>
    </row>
    <row r="899">
      <c r="A899" s="63"/>
      <c r="B899" s="63"/>
      <c r="C899" s="63"/>
      <c r="D899" s="63"/>
      <c r="E899" s="63"/>
      <c r="F899" s="63"/>
    </row>
    <row r="900">
      <c r="A900" s="63"/>
      <c r="B900" s="63"/>
      <c r="C900" s="63"/>
      <c r="D900" s="63"/>
      <c r="E900" s="63"/>
      <c r="F900" s="63"/>
    </row>
    <row r="901">
      <c r="A901" s="63"/>
      <c r="B901" s="63"/>
      <c r="C901" s="63"/>
      <c r="D901" s="63"/>
      <c r="E901" s="63"/>
      <c r="F901" s="63"/>
    </row>
    <row r="902">
      <c r="A902" s="63"/>
      <c r="B902" s="63"/>
      <c r="C902" s="63"/>
      <c r="D902" s="63"/>
      <c r="E902" s="63"/>
      <c r="F902" s="63"/>
    </row>
    <row r="903">
      <c r="A903" s="63"/>
      <c r="B903" s="63"/>
      <c r="C903" s="63"/>
      <c r="D903" s="63"/>
      <c r="E903" s="63"/>
      <c r="F903" s="63"/>
    </row>
    <row r="904">
      <c r="A904" s="63"/>
      <c r="B904" s="63"/>
      <c r="C904" s="63"/>
      <c r="D904" s="63"/>
      <c r="E904" s="63"/>
      <c r="F904" s="63"/>
    </row>
    <row r="905">
      <c r="A905" s="63"/>
      <c r="B905" s="63"/>
      <c r="C905" s="63"/>
      <c r="D905" s="63"/>
      <c r="E905" s="63"/>
      <c r="F905" s="63"/>
    </row>
    <row r="906">
      <c r="A906" s="63"/>
      <c r="B906" s="63"/>
      <c r="C906" s="63"/>
      <c r="D906" s="63"/>
      <c r="E906" s="63"/>
      <c r="F906" s="63"/>
    </row>
    <row r="907">
      <c r="A907" s="63"/>
      <c r="B907" s="63"/>
      <c r="C907" s="63"/>
      <c r="D907" s="63"/>
      <c r="E907" s="63"/>
      <c r="F907" s="63"/>
    </row>
    <row r="908">
      <c r="A908" s="63"/>
      <c r="B908" s="63"/>
      <c r="C908" s="63"/>
      <c r="D908" s="63"/>
      <c r="E908" s="63"/>
      <c r="F908" s="63"/>
    </row>
    <row r="909">
      <c r="A909" s="63"/>
      <c r="B909" s="63"/>
      <c r="C909" s="63"/>
      <c r="D909" s="63"/>
      <c r="E909" s="63"/>
      <c r="F909" s="63"/>
    </row>
    <row r="910">
      <c r="A910" s="63"/>
      <c r="B910" s="63"/>
      <c r="C910" s="63"/>
      <c r="D910" s="63"/>
      <c r="E910" s="63"/>
      <c r="F910" s="63"/>
    </row>
    <row r="911">
      <c r="A911" s="63"/>
      <c r="B911" s="63"/>
      <c r="C911" s="63"/>
      <c r="D911" s="63"/>
      <c r="E911" s="63"/>
      <c r="F911" s="63"/>
    </row>
    <row r="912">
      <c r="A912" s="63"/>
      <c r="B912" s="63"/>
      <c r="C912" s="63"/>
      <c r="D912" s="63"/>
      <c r="E912" s="63"/>
      <c r="F912" s="63"/>
    </row>
    <row r="913">
      <c r="A913" s="63"/>
      <c r="B913" s="63"/>
      <c r="C913" s="63"/>
      <c r="D913" s="63"/>
      <c r="E913" s="63"/>
      <c r="F913" s="63"/>
    </row>
    <row r="914">
      <c r="A914" s="63"/>
      <c r="B914" s="63"/>
      <c r="C914" s="63"/>
      <c r="D914" s="63"/>
      <c r="E914" s="63"/>
      <c r="F914" s="63"/>
    </row>
    <row r="915">
      <c r="A915" s="63"/>
      <c r="B915" s="63"/>
      <c r="C915" s="63"/>
      <c r="D915" s="63"/>
      <c r="E915" s="63"/>
      <c r="F915" s="63"/>
    </row>
    <row r="916">
      <c r="A916" s="63"/>
      <c r="B916" s="63"/>
      <c r="C916" s="63"/>
      <c r="D916" s="63"/>
      <c r="E916" s="63"/>
      <c r="F916" s="63"/>
    </row>
    <row r="917">
      <c r="A917" s="63"/>
      <c r="B917" s="63"/>
      <c r="C917" s="63"/>
      <c r="D917" s="63"/>
      <c r="E917" s="63"/>
      <c r="F917" s="63"/>
    </row>
    <row r="918">
      <c r="A918" s="63"/>
      <c r="B918" s="63"/>
      <c r="C918" s="63"/>
      <c r="D918" s="63"/>
      <c r="E918" s="63"/>
      <c r="F918" s="63"/>
    </row>
    <row r="919">
      <c r="A919" s="63"/>
      <c r="B919" s="63"/>
      <c r="C919" s="63"/>
      <c r="D919" s="63"/>
      <c r="E919" s="63"/>
      <c r="F919" s="63"/>
    </row>
    <row r="920">
      <c r="A920" s="63"/>
      <c r="B920" s="63"/>
      <c r="C920" s="63"/>
      <c r="D920" s="63"/>
      <c r="E920" s="63"/>
      <c r="F920" s="63"/>
    </row>
    <row r="921">
      <c r="A921" s="63"/>
      <c r="B921" s="63"/>
      <c r="C921" s="63"/>
      <c r="D921" s="63"/>
      <c r="E921" s="63"/>
      <c r="F921" s="63"/>
    </row>
    <row r="922">
      <c r="A922" s="63"/>
      <c r="B922" s="63"/>
      <c r="C922" s="63"/>
      <c r="D922" s="63"/>
      <c r="E922" s="63"/>
      <c r="F922" s="63"/>
    </row>
    <row r="923">
      <c r="A923" s="63"/>
      <c r="B923" s="63"/>
      <c r="C923" s="63"/>
      <c r="D923" s="63"/>
      <c r="E923" s="63"/>
      <c r="F923" s="63"/>
    </row>
    <row r="924">
      <c r="A924" s="63"/>
      <c r="B924" s="63"/>
      <c r="C924" s="63"/>
      <c r="D924" s="63"/>
      <c r="E924" s="63"/>
      <c r="F924" s="63"/>
    </row>
    <row r="925">
      <c r="A925" s="63"/>
      <c r="B925" s="63"/>
      <c r="C925" s="63"/>
      <c r="D925" s="63"/>
      <c r="E925" s="63"/>
      <c r="F925" s="63"/>
    </row>
    <row r="926">
      <c r="A926" s="63"/>
      <c r="B926" s="63"/>
      <c r="C926" s="63"/>
      <c r="D926" s="63"/>
      <c r="E926" s="63"/>
      <c r="F926" s="63"/>
    </row>
    <row r="927">
      <c r="A927" s="63"/>
      <c r="B927" s="63"/>
      <c r="C927" s="63"/>
      <c r="D927" s="63"/>
      <c r="E927" s="63"/>
      <c r="F927" s="63"/>
    </row>
    <row r="928">
      <c r="A928" s="63"/>
      <c r="B928" s="63"/>
      <c r="C928" s="63"/>
      <c r="D928" s="63"/>
      <c r="E928" s="63"/>
      <c r="F928" s="63"/>
    </row>
    <row r="929">
      <c r="A929" s="63"/>
      <c r="B929" s="63"/>
      <c r="C929" s="63"/>
      <c r="D929" s="63"/>
      <c r="E929" s="63"/>
      <c r="F929" s="63"/>
    </row>
    <row r="930">
      <c r="A930" s="63"/>
      <c r="B930" s="63"/>
      <c r="C930" s="63"/>
      <c r="D930" s="63"/>
      <c r="E930" s="63"/>
      <c r="F930" s="63"/>
    </row>
    <row r="931">
      <c r="A931" s="63"/>
      <c r="B931" s="63"/>
      <c r="C931" s="63"/>
      <c r="D931" s="63"/>
      <c r="E931" s="63"/>
      <c r="F931" s="63"/>
    </row>
    <row r="932">
      <c r="A932" s="63"/>
      <c r="B932" s="63"/>
      <c r="C932" s="63"/>
      <c r="D932" s="63"/>
      <c r="E932" s="63"/>
      <c r="F932" s="63"/>
    </row>
    <row r="933">
      <c r="A933" s="63"/>
      <c r="B933" s="63"/>
      <c r="C933" s="63"/>
      <c r="D933" s="63"/>
      <c r="E933" s="63"/>
      <c r="F933" s="63"/>
    </row>
    <row r="934">
      <c r="A934" s="63"/>
      <c r="B934" s="63"/>
      <c r="C934" s="63"/>
      <c r="D934" s="63"/>
      <c r="E934" s="63"/>
      <c r="F934" s="63"/>
    </row>
    <row r="935">
      <c r="A935" s="63"/>
      <c r="B935" s="63"/>
      <c r="C935" s="63"/>
      <c r="D935" s="63"/>
      <c r="E935" s="63"/>
      <c r="F935" s="63"/>
    </row>
    <row r="936">
      <c r="A936" s="63"/>
      <c r="B936" s="63"/>
      <c r="C936" s="63"/>
      <c r="D936" s="63"/>
      <c r="E936" s="63"/>
      <c r="F936" s="63"/>
    </row>
    <row r="937">
      <c r="A937" s="63"/>
      <c r="B937" s="63"/>
      <c r="C937" s="63"/>
      <c r="D937" s="63"/>
      <c r="E937" s="63"/>
      <c r="F937" s="63"/>
    </row>
    <row r="938">
      <c r="A938" s="63"/>
      <c r="B938" s="63"/>
      <c r="C938" s="63"/>
      <c r="D938" s="63"/>
      <c r="E938" s="63"/>
      <c r="F938" s="63"/>
    </row>
    <row r="939">
      <c r="A939" s="63"/>
      <c r="B939" s="63"/>
      <c r="C939" s="63"/>
      <c r="D939" s="63"/>
      <c r="E939" s="63"/>
      <c r="F939" s="63"/>
    </row>
    <row r="940">
      <c r="A940" s="63"/>
      <c r="B940" s="63"/>
      <c r="C940" s="63"/>
      <c r="D940" s="63"/>
      <c r="E940" s="63"/>
      <c r="F940" s="63"/>
    </row>
    <row r="941">
      <c r="A941" s="63"/>
      <c r="B941" s="63"/>
      <c r="C941" s="63"/>
      <c r="D941" s="63"/>
      <c r="E941" s="63"/>
      <c r="F941" s="63"/>
    </row>
    <row r="942">
      <c r="A942" s="63"/>
      <c r="B942" s="63"/>
      <c r="C942" s="63"/>
      <c r="D942" s="63"/>
      <c r="E942" s="63"/>
      <c r="F942" s="63"/>
    </row>
    <row r="943">
      <c r="A943" s="63"/>
      <c r="B943" s="63"/>
      <c r="C943" s="63"/>
      <c r="D943" s="63"/>
      <c r="E943" s="63"/>
      <c r="F943" s="63"/>
    </row>
    <row r="944">
      <c r="A944" s="63"/>
      <c r="B944" s="63"/>
      <c r="C944" s="63"/>
      <c r="D944" s="63"/>
      <c r="E944" s="63"/>
      <c r="F944" s="63"/>
    </row>
    <row r="945">
      <c r="A945" s="63"/>
      <c r="B945" s="63"/>
      <c r="C945" s="63"/>
      <c r="D945" s="63"/>
      <c r="E945" s="63"/>
      <c r="F945" s="63"/>
    </row>
    <row r="946">
      <c r="A946" s="63"/>
      <c r="B946" s="63"/>
      <c r="C946" s="63"/>
      <c r="D946" s="63"/>
      <c r="E946" s="63"/>
      <c r="F946" s="63"/>
    </row>
    <row r="947">
      <c r="A947" s="63"/>
      <c r="B947" s="63"/>
      <c r="C947" s="63"/>
      <c r="D947" s="63"/>
      <c r="E947" s="63"/>
      <c r="F947" s="63"/>
    </row>
    <row r="948">
      <c r="A948" s="63"/>
      <c r="B948" s="63"/>
      <c r="C948" s="63"/>
      <c r="D948" s="63"/>
      <c r="E948" s="63"/>
      <c r="F948" s="63"/>
    </row>
    <row r="949">
      <c r="A949" s="63"/>
      <c r="B949" s="63"/>
      <c r="C949" s="63"/>
      <c r="D949" s="63"/>
      <c r="E949" s="63"/>
      <c r="F949" s="63"/>
    </row>
    <row r="950">
      <c r="A950" s="63"/>
      <c r="B950" s="63"/>
      <c r="C950" s="63"/>
      <c r="D950" s="63"/>
      <c r="E950" s="63"/>
      <c r="F950" s="63"/>
    </row>
    <row r="951">
      <c r="A951" s="63"/>
      <c r="B951" s="63"/>
      <c r="C951" s="63"/>
      <c r="D951" s="63"/>
      <c r="E951" s="63"/>
      <c r="F951" s="63"/>
    </row>
    <row r="952">
      <c r="A952" s="63"/>
      <c r="B952" s="63"/>
      <c r="C952" s="63"/>
      <c r="D952" s="63"/>
      <c r="E952" s="63"/>
      <c r="F952" s="63"/>
    </row>
    <row r="953">
      <c r="A953" s="63"/>
      <c r="B953" s="63"/>
      <c r="C953" s="63"/>
      <c r="D953" s="63"/>
      <c r="E953" s="63"/>
      <c r="F953" s="63"/>
    </row>
    <row r="954">
      <c r="A954" s="63"/>
      <c r="B954" s="63"/>
      <c r="C954" s="63"/>
      <c r="D954" s="63"/>
      <c r="E954" s="63"/>
      <c r="F954" s="63"/>
    </row>
    <row r="955">
      <c r="A955" s="63"/>
      <c r="B955" s="63"/>
      <c r="C955" s="63"/>
      <c r="D955" s="63"/>
      <c r="E955" s="63"/>
      <c r="F955" s="63"/>
    </row>
    <row r="956">
      <c r="A956" s="63"/>
      <c r="B956" s="63"/>
      <c r="C956" s="63"/>
      <c r="D956" s="63"/>
      <c r="E956" s="63"/>
      <c r="F956" s="63"/>
    </row>
    <row r="957">
      <c r="A957" s="63"/>
      <c r="B957" s="63"/>
      <c r="C957" s="63"/>
      <c r="D957" s="63"/>
      <c r="E957" s="63"/>
      <c r="F957" s="63"/>
    </row>
    <row r="958">
      <c r="A958" s="63"/>
      <c r="B958" s="63"/>
      <c r="C958" s="63"/>
      <c r="D958" s="63"/>
      <c r="E958" s="63"/>
      <c r="F958" s="63"/>
    </row>
    <row r="959">
      <c r="A959" s="63"/>
      <c r="B959" s="63"/>
      <c r="C959" s="63"/>
      <c r="D959" s="63"/>
      <c r="E959" s="63"/>
      <c r="F959" s="63"/>
    </row>
    <row r="960">
      <c r="A960" s="63"/>
      <c r="B960" s="63"/>
      <c r="C960" s="63"/>
      <c r="D960" s="63"/>
      <c r="E960" s="63"/>
      <c r="F960" s="63"/>
    </row>
    <row r="961">
      <c r="A961" s="63"/>
      <c r="B961" s="63"/>
      <c r="C961" s="63"/>
      <c r="D961" s="63"/>
      <c r="E961" s="63"/>
      <c r="F961" s="63"/>
    </row>
    <row r="962">
      <c r="A962" s="63"/>
      <c r="B962" s="63"/>
      <c r="C962" s="63"/>
      <c r="D962" s="63"/>
      <c r="E962" s="63"/>
      <c r="F962" s="63"/>
    </row>
    <row r="963">
      <c r="A963" s="63"/>
      <c r="B963" s="63"/>
      <c r="C963" s="63"/>
      <c r="D963" s="63"/>
      <c r="E963" s="63"/>
      <c r="F963" s="63"/>
    </row>
    <row r="964">
      <c r="A964" s="63"/>
      <c r="B964" s="63"/>
      <c r="C964" s="63"/>
      <c r="D964" s="63"/>
      <c r="E964" s="63"/>
      <c r="F964" s="63"/>
    </row>
    <row r="965">
      <c r="A965" s="63"/>
      <c r="B965" s="63"/>
      <c r="C965" s="63"/>
      <c r="D965" s="63"/>
      <c r="E965" s="63"/>
      <c r="F965" s="63"/>
    </row>
    <row r="966">
      <c r="A966" s="63"/>
      <c r="B966" s="63"/>
      <c r="C966" s="63"/>
      <c r="D966" s="63"/>
      <c r="E966" s="63"/>
      <c r="F966" s="63"/>
    </row>
    <row r="967">
      <c r="A967" s="63"/>
      <c r="B967" s="63"/>
      <c r="C967" s="63"/>
      <c r="D967" s="63"/>
      <c r="E967" s="63"/>
      <c r="F967" s="63"/>
    </row>
    <row r="968">
      <c r="A968" s="63"/>
      <c r="B968" s="63"/>
      <c r="C968" s="63"/>
      <c r="D968" s="63"/>
      <c r="E968" s="63"/>
      <c r="F968" s="63"/>
    </row>
    <row r="969">
      <c r="A969" s="63"/>
      <c r="B969" s="63"/>
      <c r="C969" s="63"/>
      <c r="D969" s="63"/>
      <c r="E969" s="63"/>
      <c r="F969" s="63"/>
    </row>
    <row r="970">
      <c r="A970" s="63"/>
      <c r="B970" s="63"/>
      <c r="C970" s="63"/>
      <c r="D970" s="63"/>
      <c r="E970" s="63"/>
      <c r="F970" s="63"/>
    </row>
    <row r="971">
      <c r="A971" s="63"/>
      <c r="B971" s="63"/>
      <c r="C971" s="63"/>
      <c r="D971" s="63"/>
      <c r="E971" s="63"/>
      <c r="F971" s="63"/>
    </row>
    <row r="972">
      <c r="A972" s="63"/>
      <c r="B972" s="63"/>
      <c r="C972" s="63"/>
      <c r="D972" s="63"/>
      <c r="E972" s="63"/>
      <c r="F972" s="63"/>
    </row>
    <row r="973">
      <c r="A973" s="63"/>
      <c r="B973" s="63"/>
      <c r="C973" s="63"/>
      <c r="D973" s="63"/>
      <c r="E973" s="63"/>
      <c r="F973" s="63"/>
    </row>
    <row r="974">
      <c r="A974" s="63"/>
      <c r="B974" s="63"/>
      <c r="C974" s="63"/>
      <c r="D974" s="63"/>
      <c r="E974" s="63"/>
      <c r="F974" s="63"/>
    </row>
    <row r="975">
      <c r="A975" s="63"/>
      <c r="B975" s="63"/>
      <c r="C975" s="63"/>
      <c r="D975" s="63"/>
      <c r="E975" s="63"/>
      <c r="F975" s="63"/>
    </row>
    <row r="976">
      <c r="A976" s="63"/>
      <c r="B976" s="63"/>
      <c r="C976" s="63"/>
      <c r="D976" s="63"/>
      <c r="E976" s="63"/>
      <c r="F976" s="63"/>
    </row>
    <row r="977">
      <c r="A977" s="63"/>
      <c r="B977" s="63"/>
      <c r="C977" s="63"/>
      <c r="D977" s="63"/>
      <c r="E977" s="63"/>
      <c r="F977" s="63"/>
    </row>
    <row r="978">
      <c r="A978" s="63"/>
      <c r="B978" s="63"/>
      <c r="C978" s="63"/>
      <c r="D978" s="63"/>
      <c r="E978" s="63"/>
      <c r="F978" s="63"/>
    </row>
    <row r="979">
      <c r="A979" s="63"/>
      <c r="B979" s="63"/>
      <c r="C979" s="63"/>
      <c r="D979" s="63"/>
      <c r="E979" s="63"/>
      <c r="F979" s="63"/>
    </row>
    <row r="980">
      <c r="A980" s="63"/>
      <c r="B980" s="63"/>
      <c r="C980" s="63"/>
      <c r="D980" s="63"/>
      <c r="E980" s="63"/>
      <c r="F980" s="63"/>
    </row>
    <row r="981">
      <c r="A981" s="63"/>
      <c r="B981" s="63"/>
      <c r="C981" s="63"/>
      <c r="D981" s="63"/>
      <c r="E981" s="63"/>
      <c r="F981" s="63"/>
    </row>
    <row r="982">
      <c r="A982" s="63"/>
      <c r="B982" s="63"/>
      <c r="C982" s="63"/>
      <c r="D982" s="63"/>
      <c r="E982" s="63"/>
      <c r="F982" s="63"/>
    </row>
    <row r="983">
      <c r="A983" s="63"/>
      <c r="B983" s="63"/>
      <c r="C983" s="63"/>
      <c r="D983" s="63"/>
      <c r="E983" s="63"/>
      <c r="F983" s="63"/>
    </row>
    <row r="984">
      <c r="A984" s="63"/>
      <c r="B984" s="63"/>
      <c r="C984" s="63"/>
      <c r="D984" s="63"/>
      <c r="E984" s="63"/>
      <c r="F984" s="63"/>
    </row>
    <row r="985">
      <c r="A985" s="63"/>
      <c r="B985" s="63"/>
      <c r="C985" s="63"/>
      <c r="D985" s="63"/>
      <c r="E985" s="63"/>
      <c r="F985" s="63"/>
    </row>
    <row r="986">
      <c r="A986" s="63"/>
      <c r="B986" s="63"/>
      <c r="C986" s="63"/>
      <c r="D986" s="63"/>
      <c r="E986" s="63"/>
      <c r="F986" s="63"/>
    </row>
    <row r="987">
      <c r="A987" s="63"/>
      <c r="B987" s="63"/>
      <c r="C987" s="63"/>
      <c r="D987" s="63"/>
      <c r="E987" s="63"/>
      <c r="F987" s="63"/>
    </row>
    <row r="988">
      <c r="A988" s="63"/>
      <c r="B988" s="63"/>
      <c r="C988" s="63"/>
      <c r="D988" s="63"/>
      <c r="E988" s="63"/>
      <c r="F988" s="63"/>
    </row>
    <row r="989">
      <c r="A989" s="63"/>
      <c r="B989" s="63"/>
      <c r="C989" s="63"/>
      <c r="D989" s="63"/>
      <c r="E989" s="63"/>
      <c r="F989" s="63"/>
    </row>
    <row r="990">
      <c r="A990" s="63"/>
      <c r="B990" s="63"/>
      <c r="C990" s="63"/>
      <c r="D990" s="63"/>
      <c r="E990" s="63"/>
      <c r="F990" s="63"/>
    </row>
    <row r="991">
      <c r="A991" s="63"/>
      <c r="B991" s="63"/>
      <c r="C991" s="63"/>
      <c r="D991" s="63"/>
      <c r="E991" s="63"/>
      <c r="F991" s="63"/>
    </row>
    <row r="992">
      <c r="A992" s="63"/>
      <c r="B992" s="63"/>
      <c r="C992" s="63"/>
      <c r="D992" s="63"/>
      <c r="E992" s="63"/>
      <c r="F992" s="63"/>
    </row>
    <row r="993">
      <c r="A993" s="63"/>
      <c r="B993" s="63"/>
      <c r="C993" s="63"/>
      <c r="D993" s="63"/>
      <c r="E993" s="63"/>
      <c r="F993" s="63"/>
    </row>
    <row r="994">
      <c r="A994" s="63"/>
      <c r="B994" s="63"/>
      <c r="C994" s="63"/>
      <c r="D994" s="63"/>
      <c r="E994" s="63"/>
      <c r="F994" s="63"/>
    </row>
    <row r="995">
      <c r="A995" s="63"/>
      <c r="B995" s="63"/>
      <c r="C995" s="63"/>
      <c r="D995" s="63"/>
      <c r="E995" s="63"/>
      <c r="F995" s="63"/>
    </row>
    <row r="996">
      <c r="A996" s="63"/>
      <c r="B996" s="63"/>
      <c r="C996" s="63"/>
      <c r="D996" s="63"/>
      <c r="E996" s="63"/>
      <c r="F996" s="63"/>
    </row>
    <row r="997">
      <c r="A997" s="63"/>
      <c r="B997" s="63"/>
      <c r="C997" s="63"/>
      <c r="D997" s="63"/>
      <c r="E997" s="63"/>
      <c r="F997" s="63"/>
    </row>
    <row r="998">
      <c r="A998" s="63"/>
      <c r="B998" s="63"/>
      <c r="C998" s="63"/>
      <c r="D998" s="63"/>
      <c r="E998" s="63"/>
      <c r="F998" s="63"/>
    </row>
    <row r="999">
      <c r="A999" s="63"/>
      <c r="B999" s="63"/>
      <c r="C999" s="63"/>
      <c r="D999" s="63"/>
      <c r="E999" s="63"/>
      <c r="F999" s="63"/>
    </row>
    <row r="1000">
      <c r="A1000" s="63"/>
      <c r="B1000" s="63"/>
      <c r="C1000" s="63"/>
      <c r="D1000" s="63"/>
      <c r="E1000" s="63"/>
      <c r="F1000" s="63"/>
    </row>
  </sheetData>
  <drawing r:id="rId1"/>
</worksheet>
</file>