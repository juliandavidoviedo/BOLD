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c59082ed3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1c5489aeed2f4c97"/>
    <x:sheet xmlns:r="http://schemas.openxmlformats.org/officeDocument/2006/relationships" name="Conciliación" sheetId="2" r:id="Rcff3768060db45e8"/>
    <x:sheet xmlns:r="http://schemas.openxmlformats.org/officeDocument/2006/relationships" name="Detalle Merchants" sheetId="3" r:id="R22fcd7d80dd44490"/>
    <x:sheet xmlns:r="http://schemas.openxmlformats.org/officeDocument/2006/relationships" name="Metodología" sheetId="4" r:id="R42f22bd5c13c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&quot;$&quot;#,##0.00;[Red](&quot;$&quot;#,##0.00);-"/>
    <x:numFmt numFmtId="202" formatCode="#,##0;[Red](#,##0);-"/>
    <x:numFmt numFmtId="203" formatCode="dd-mmm-yyyy hh:mm"/>
  </x:numFmts>
  <x:fonts count="12">
    <x:font>
      <x:sz val="11"/>
      <x:name val="Carlito"/>
    </x:font>
    <x:font>
      <x:b/>
      <x:sz val="16"/>
      <x:color rgb="FF17365D"/>
      <x:name val="Aptos Display"/>
    </x:font>
    <x:font>
      <x:sz val="10"/>
      <x:color rgb="FF333333"/>
      <x:name val="Aptos"/>
    </x:font>
    <x:font>
      <x:b/>
      <x:sz val="10"/>
      <x:color rgb="FF17365D"/>
      <x:name val="Aptos"/>
    </x:font>
    <x:font>
      <x:b/>
      <x:sz val="10"/>
      <x:color rgb="FFFFFFFF"/>
      <x:name val="Aptos"/>
    </x:font>
    <x:font>
      <x:sz val="11"/>
      <x:color rgb="FF17365D"/>
      <x:name val="Aptos"/>
    </x:font>
    <x:font>
      <x:sz val="10"/>
      <x:color rgb="FF555555"/>
      <x:name val="Aptos"/>
    </x:font>
    <x:font>
      <x:i/>
      <x:sz val="10"/>
      <x:color rgb="FF17365D"/>
      <x:name val="Aptos"/>
    </x:font>
    <x:font>
      <x:sz val="9"/>
      <x:color rgb="FF333333"/>
      <x:name val="Aptos"/>
    </x:font>
    <x:font>
      <x:b/>
      <x:sz val="9"/>
      <x:color rgb="FF17365D"/>
      <x:name val="Aptos"/>
    </x:font>
    <x:font>
      <x:b/>
      <x:sz val="16"/>
      <x:color rgb="FF17365D"/>
      <x:name val="Aptos"/>
    </x:font>
    <x:font>
      <x:sz val="1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FFFDF5"/>
      </x:patternFill>
    </x:fill>
    <x:fill>
      <x:patternFill patternType="solid">
        <x:fgColor rgb="FFF2F2F2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2" fillId="0" borderId="8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1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201" fontId="2" fillId="5" borderId="0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202" fontId="2" fillId="6" borderId="0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3" fillId="6" borderId="7" xfId="0" applyNumberFormat="1" applyFont="1" applyFill="1" applyBorder="1" applyAlignment="1">
      <x:alignment vertical="center" wrapText="1"/>
    </x:xf>
    <x:xf numFmtId="201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left" wrapText="1"/>
    </x:xf>
    <x:xf numFmtId="0" fontId="5" fillId="5" borderId="3" xfId="0" applyNumberFormat="1" applyFont="1" applyFill="1" applyBorder="1" applyAlignment="1">
      <x:alignment horizontal="left" wrapText="1"/>
    </x:xf>
    <x:xf numFmtId="0" fontId="5" fillId="5" borderId="4" xfId="0" applyNumberFormat="1" applyFont="1" applyFill="1" applyBorder="1" applyAlignment="1">
      <x:alignment horizontal="left" wrapText="1"/>
    </x:xf>
    <x:xf numFmtId="0" fontId="5" fillId="5" borderId="5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6" xfId="0" applyNumberFormat="1" applyFont="1" applyFill="1" applyBorder="1" applyAlignment="1">
      <x:alignment horizontal="left" wrapText="1"/>
    </x:xf>
    <x:xf numFmtId="0" fontId="5" fillId="5" borderId="7" xfId="0" applyNumberFormat="1" applyFont="1" applyFill="1" applyBorder="1" applyAlignment="1">
      <x:alignment horizontal="left" wrapText="1"/>
    </x:xf>
    <x:xf numFmtId="0" fontId="5" fillId="5" borderId="8" xfId="0" applyNumberFormat="1" applyFont="1" applyFill="1" applyBorder="1" applyAlignment="1">
      <x:alignment horizontal="left" wrapText="1"/>
    </x:xf>
    <x:xf numFmtId="0" fontId="5" fillId="5" borderId="9" xfId="0" applyNumberFormat="1" applyFont="1" applyFill="1" applyBorder="1" applyAlignment="1">
      <x:alignment horizontal="left" wrapText="1"/>
    </x:xf>
    <x:xf numFmtId="0" fontId="5" fillId="5" borderId="2" xfId="0" applyNumberFormat="1" applyFont="1" applyFill="1" applyBorder="1" applyAlignment="1">
      <x:alignment horizontal="left" vertical="center" wrapText="1"/>
    </x:xf>
    <x:xf numFmtId="0" fontId="5" fillId="5" borderId="3" xfId="0" applyNumberFormat="1" applyFont="1" applyFill="1" applyBorder="1" applyAlignment="1">
      <x:alignment horizontal="left" vertical="center" wrapText="1"/>
    </x:xf>
    <x:xf numFmtId="0" fontId="5" fillId="5" borderId="4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5" borderId="6" xfId="0" applyNumberFormat="1" applyFont="1" applyFill="1" applyBorder="1" applyAlignment="1">
      <x:alignment horizontal="left" vertical="center" wrapText="1"/>
    </x:xf>
    <x:xf numFmtId="0" fontId="5" fillId="5" borderId="7" xfId="0" applyNumberFormat="1" applyFont="1" applyFill="1" applyBorder="1" applyAlignment="1">
      <x:alignment horizontal="left" vertical="center" wrapText="1"/>
    </x:xf>
    <x:xf numFmtId="0" fontId="5" fillId="5" borderId="8" xfId="0" applyNumberFormat="1" applyFont="1" applyFill="1" applyBorder="1" applyAlignment="1">
      <x:alignment horizontal="left" vertical="center" wrapText="1"/>
    </x:xf>
    <x:xf numFmtId="0" fontId="5" fillId="5" borderId="9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202" fontId="2" fillId="0" borderId="3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201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8" fillId="0" borderId="0" xfId="0" applyNumberFormat="1" applyFont="1" applyFill="1" applyBorder="1"/>
    <x:xf numFmtId="203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wrapText="0"/>
    </x:xf>
    <x:xf numFmtId="203" fontId="8" fillId="0" borderId="0" xfId="0" applyNumberFormat="1" applyFont="1" applyFill="1" applyBorder="1" applyAlignment="1">
      <x:alignment wrapText="0"/>
    </x:xf>
    <x:xf numFmtId="201" fontId="8" fillId="0" borderId="0" xfId="0" applyNumberFormat="1" applyFont="1" applyFill="1" applyBorder="1" applyAlignment="1">
      <x:alignment wrapText="0"/>
    </x:xf>
    <x:xf numFmtId="202" fontId="8" fillId="0" borderId="0" xfId="0" applyNumberFormat="1" applyFont="1" applyFill="1" applyBorder="1" applyAlignment="1">
      <x:alignment wrapText="0"/>
    </x:xf>
    <x:xf numFmtId="0" fontId="8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 wrapText="0"/>
    </x:xf>
    <x:xf numFmtId="203" fontId="8" fillId="0" borderId="0" xfId="0" applyNumberFormat="1" applyFont="1" applyFill="1" applyBorder="1" applyAlignment="1">
      <x:alignment vertical="center" wrapText="0"/>
    </x:xf>
    <x:xf numFmtId="201" fontId="8" fillId="0" borderId="0" xfId="0" applyNumberFormat="1" applyFont="1" applyFill="1" applyBorder="1" applyAlignment="1">
      <x:alignment vertical="center" wrapText="0"/>
    </x:xf>
    <x:xf numFmtId="202" fontId="8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 wrapText="0"/>
    </x:xf>
    <x:xf numFmtId="0" fontId="3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d0f8ff0ec4467" /><Relationship Type="http://schemas.openxmlformats.org/officeDocument/2006/relationships/theme" Target="/xl/theme/theme1.xml" Id="R953a8efd5ab74107" /><Relationship Type="http://schemas.microsoft.com/office/2022/11/relationships/FeaturePropertyBag" Target="/xl/featurePropertyBag/featurePropertyBag.xml" Id="R3c4f5c637cf948c3" /><Relationship Type="http://schemas.openxmlformats.org/officeDocument/2006/relationships/sharedStrings" Target="/xl/sharedStrings.xml" Id="Re271b5159f294173" /><Relationship Type="http://schemas.openxmlformats.org/officeDocument/2006/relationships/worksheet" Target="/xl/worksheets/sheet1.xml" Id="R1c5489aeed2f4c97" /><Relationship Type="http://schemas.openxmlformats.org/officeDocument/2006/relationships/worksheet" Target="/xl/worksheets/sheet2.xml" Id="Rcff3768060db45e8" /><Relationship Type="http://schemas.openxmlformats.org/officeDocument/2006/relationships/worksheet" Target="/xl/worksheets/sheet3.xml" Id="R22fcd7d80dd44490" /><Relationship Type="http://schemas.openxmlformats.org/officeDocument/2006/relationships/worksheet" Target="/xl/worksheets/sheet4.xml" Id="R42f22bd5c13c40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talleMerchants" displayName="DetalleMerchants" ref="A4:T52" headerRowCount="1" totalsRowCount="0" totalsRowShown="0">
  <x:tableColumns count="20">
    <x:tableColumn id="1" name="merchant_id"/>
    <x:tableColumn id="2" name="merchant_name"/>
    <x:tableColumn id="3" name="reporte_ejecutivo"/>
    <x:tableColumn id="4" name="sales_source"/>
    <x:tableColumn id="5" name="sales_agent_email"/>
    <x:tableColumn id="6" name="status_code"/>
    <x:tableColumn id="7" name="verification_status_code"/>
    <x:tableColumn id="8" name="onboarding_end_date"/>
    <x:tableColumn id="9" name="primera_tx_historica"/>
    <x:tableColumn id="10" name="primera_tx_agosto"/>
    <x:tableColumn id="11" name="tpv_bruto_agosto"/>
    <x:tableColumn id="12" name="tpv_pagado_agosto"/>
    <x:tableColumn id="13" name="transacciones_agosto"/>
    <x:tableColumn id="14" name="sales_source_enterprise"/>
    <x:tableColumn id="15" name="jeyson_confirmado"/>
    <x:tableColumn id="16" name="m0_transaccional"/>
    <x:tableColumn id="17" name="m0_nuevo_estricto"/>
    <x:tableColumn id="18" name="clasificacion_final"/>
    <x:tableColumn id="19" name="nota"/>
    <x:tableColumn id="20" name="datos_actualizados_has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e618d1e2c21484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34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</x:cols>
  <x:sheetData>
    <x:row r="1" ht="21" customHeight="1">
      <x:c r="A1" s="162" t="str">
        <x:v>Cierre TPV Enterprise | Coopicrédito | Agosto 2026</x:v>
      </x:c>
      <x:c r="B1" s="162"/>
      <x:c r="C1" s="162"/>
      <x:c r="D1" s="162"/>
      <x:c r="E1" s="162"/>
      <x:c r="F1" s="162"/>
      <x:c r="G1" s="162"/>
      <x:c r="H1" s="162"/>
    </x:row>
    <x:row r="2" ht="21" customHeight="1">
      <x:c r="A2" s="163"/>
      <x:c r="B2" s="163"/>
      <x:c r="C2" s="163"/>
      <x:c r="D2" s="163"/>
      <x:c r="E2" s="163"/>
      <x:c r="F2" s="163"/>
      <x:c r="G2" s="163"/>
      <x:c r="H2" s="163"/>
    </x:row>
    <x:row r="3" ht="21" customHeight="1">
      <x:c r="A3" s="5" t="str">
        <x:v>Responsable comercial</x:v>
      </x:c>
      <x:c r="B3" s="4" t="str">
        <x:v>Jeyson Salazar</x:v>
      </x:c>
      <x:c r="C3" s="5" t="str">
        <x:v>Manager</x:v>
      </x:c>
      <x:c r="D3" s="4" t="str">
        <x:v>Juan Camilo Salgado</x:v>
      </x:c>
      <x:c r="E3" s="5" t="str">
        <x:v>Fecha de corte</x:v>
      </x:c>
      <x:c r="F3" s="6" t="n">
        <x:v>46265</x:v>
      </x:c>
      <x:c r="G3" s="5" t="str">
        <x:v>Base principal</x:v>
      </x:c>
      <x:c r="H3" s="4" t="str">
        <x:v>sales_source Enterprise</x:v>
      </x:c>
    </x:row>
    <x:row r="4" ht="21" customHeight="1">
      <x:c r="A4" s="5" t="str">
        <x:v>Alcance</x:v>
      </x:c>
      <x:c r="B4" s="4" t="str">
        <x:v>48 merchants reportados por el ejecutivo</x:v>
      </x:c>
      <x:c r="C4" s="5" t="str">
        <x:v>Fuente TPV</x:v>
      </x:c>
      <x:c r="D4" s="4" t="str">
        <x:v>mart_tpv_daily_by_transaction</x:v>
      </x:c>
      <x:c r="E4" s="5" t="str">
        <x:v>Fuente canal</x:v>
      </x:c>
      <x:c r="F4" s="6" t="str">
        <x:v>dim_merchant.sales_source</x:v>
      </x:c>
      <x:c r="G4" s="5" t="str">
        <x:v>Fuente M0</x:v>
      </x:c>
      <x:c r="H4" s="4" t="str">
        <x:v>mart_merchant_enrich._1st_transaction_approved_date</x:v>
      </x:c>
    </x:row>
    <x:row r="5" ht="21" customHeight="1">
      <x:c r="A5" s="5" t="str">
        <x:v>Cifra recomendada</x:v>
      </x:c>
      <x:c r="B5" s="4" t="str">
        <x:v>TPV nuevo Enterprise estricto</x:v>
      </x:c>
      <x:c r="C5" s="5" t="str">
        <x:v>Base financiera</x:v>
      </x:c>
      <x:c r="D5" s="4" t="str">
        <x:v>Bruto y pagado separados</x:v>
      </x:c>
      <x:c r="E5" s="5" t="str">
        <x:v>Actualización datos</x:v>
      </x:c>
      <x:c r="F5" s="6" t="n">
        <x:v>46274</x:v>
      </x:c>
      <x:c r="G5" s="5" t="str">
        <x:v>Estado</x:v>
      </x:c>
      <x:c r="H5" s="4" t="str">
        <x:v>Validado por dos consultas</x:v>
      </x:c>
    </x:row>
    <x:row r="6" ht="21" customHeight="1">
      <x:c r="A6" s="163"/>
      <x:c r="B6" s="163"/>
      <x:c r="C6" s="163"/>
      <x:c r="D6" s="163"/>
      <x:c r="E6" s="163"/>
      <x:c r="F6" s="163"/>
      <x:c r="G6" s="163"/>
      <x:c r="H6" s="163"/>
    </x:row>
    <x:row r="7" ht="21" customHeight="1">
      <x:c r="A7" s="9" t="str">
        <x:v>Cifras para comparar con Matriz Financiera</x:v>
      </x:c>
      <x:c r="B7" s="9"/>
      <x:c r="C7" s="9"/>
      <x:c r="D7" s="9"/>
      <x:c r="E7" s="9" t="str">
        <x:v>Mensaje ejecutivo</x:v>
      </x:c>
      <x:c r="F7" s="9"/>
      <x:c r="G7" s="9"/>
      <x:c r="H7" s="9"/>
    </x:row>
    <x:row r="8" ht="25" customHeight="1">
      <x:c r="A8" s="15" t="str">
        <x:v>Métrica</x:v>
      </x:c>
      <x:c r="B8" s="15" t="str">
        <x:v>Valor</x:v>
      </x:c>
      <x:c r="C8" s="15" t="str">
        <x:v>Lectura</x:v>
      </x:c>
      <x:c r="D8" s="163"/>
      <x:c r="E8" s="90" t="str">
        <x:v>Para comparar con la Matriz Financiera, usar $145.910.540 de TPV bruto nuevo Enterprise o $144.745.722,19 de TPV pagado nuevo Enterprise. La cifra ampliada de M0 transaccional es $146.867.140 bruto y contiene 41 merchants, incluyendo un merchant antiguo activado por primera vez en agosto.</x:v>
      </x:c>
      <x:c r="F8" s="91"/>
      <x:c r="G8" s="91"/>
      <x:c r="H8" s="92"/>
    </x:row>
    <x:row r="9" ht="25" customHeight="1">
      <x:c r="A9" s="47" t="str">
        <x:v>TPV nuevo Enterprise estricto | bruto</x:v>
      </x:c>
      <x:c r="B9" s="48" t="n">
        <x:f>SUMIFS('Detalle Merchants'!$K$5:$K$52,'Detalle Merchants'!$R$5:$R$52,"M0 Enterprise estricto")</x:f>
        <x:v>145910540</x:v>
      </x:c>
      <x:c r="C9" s="49" t="str">
        <x:v>Cifra principal si la matriz usa TPV bruto</x:v>
      </x:c>
      <x:c r="D9" s="163"/>
      <x:c r="E9" s="93"/>
      <x:c r="F9" s="94"/>
      <x:c r="G9" s="94"/>
      <x:c r="H9" s="95"/>
    </x:row>
    <x:row r="10" ht="25" customHeight="1">
      <x:c r="A10" s="50" t="str">
        <x:v>TPV nuevo Enterprise estricto | pagado</x:v>
      </x:c>
      <x:c r="B10" s="51" t="n">
        <x:f>SUMIFS('Detalle Merchants'!$L$5:$L$52,'Detalle Merchants'!$R$5:$R$52,"M0 Enterprise estricto")</x:f>
        <x:v>144745722.19000003</x:v>
      </x:c>
      <x:c r="C10" s="52" t="str">
        <x:v>Cifra principal si la matriz usa TPV pagado</x:v>
      </x:c>
      <x:c r="D10" s="163"/>
      <x:c r="E10" s="93"/>
      <x:c r="F10" s="94"/>
      <x:c r="G10" s="94"/>
      <x:c r="H10" s="95"/>
    </x:row>
    <x:row r="11" ht="25" customHeight="1">
      <x:c r="A11" s="41" t="str">
        <x:v>Merchants nuevos Enterprise estrictos</x:v>
      </x:c>
      <x:c r="B11" s="45" t="n">
        <x:f>COUNTIF('Detalle Merchants'!$R$5:$R$52,"M0 Enterprise estricto")</x:f>
        <x:v>40</x:v>
      </x:c>
      <x:c r="C11" s="36" t="str">
        <x:v>40 merchants</x:v>
      </x:c>
      <x:c r="D11" s="163"/>
      <x:c r="E11" s="93"/>
      <x:c r="F11" s="94"/>
      <x:c r="G11" s="94"/>
      <x:c r="H11" s="95"/>
    </x:row>
    <x:row r="12" ht="25" customHeight="1">
      <x:c r="A12" s="53" t="str">
        <x:v>TPV M0 transaccional Enterprise | bruto</x:v>
      </x:c>
      <x:c r="B12" s="54" t="n">
        <x:f>SUMIFS('Detalle Merchants'!$K$5:$K$52,'Detalle Merchants'!$R$5:$R$52,"M0 Enterprise estricto")+SUMIFS('Detalle Merchants'!$K$5:$K$52,'Detalle Merchants'!$R$5:$R$52,"M0 transaccional Enterprise pendiente")</x:f>
        <x:v>146867140</x:v>
      </x:c>
      <x:c r="C12" s="55" t="str">
        <x:v>Incluye Farmacenter Mi Farma, merchant antiguo activado en agosto</x:v>
      </x:c>
      <x:c r="D12" s="163"/>
      <x:c r="E12" s="93"/>
      <x:c r="F12" s="94"/>
      <x:c r="G12" s="94"/>
      <x:c r="H12" s="95"/>
    </x:row>
    <x:row r="13" ht="25" customHeight="1">
      <x:c r="A13" s="53" t="str">
        <x:v>TPV M0 transaccional Enterprise | pagado</x:v>
      </x:c>
      <x:c r="B13" s="54" t="n">
        <x:f>SUMIFS('Detalle Merchants'!$L$5:$L$52,'Detalle Merchants'!$R$5:$R$52,"M0 Enterprise estricto")+SUMIFS('Detalle Merchants'!$L$5:$L$52,'Detalle Merchants'!$R$5:$R$52,"M0 transaccional Enterprise pendiente")</x:f>
        <x:v>145666326.56000003</x:v>
      </x:c>
      <x:c r="C13" s="55" t="str">
        <x:v>Cohorte transaccional ampliada</x:v>
      </x:c>
      <x:c r="D13" s="163"/>
      <x:c r="E13" s="96"/>
      <x:c r="F13" s="97"/>
      <x:c r="G13" s="97"/>
      <x:c r="H13" s="98"/>
    </x:row>
    <x:row r="14" ht="21" customHeight="1">
      <x:c r="A14" s="41" t="str">
        <x:v>Merchants Enterprise asignados a Jeyson</x:v>
      </x:c>
      <x:c r="B14" s="45" t="n">
        <x:f>COUNTIF('Detalle Merchants'!$E$5:$E$52,"jeyson.salazar@bold.co")</x:f>
        <x:v>42</x:v>
      </x:c>
      <x:c r="C14" s="36" t="str">
        <x:v>Coincide con la consulta filtrada</x:v>
      </x:c>
      <x:c r="D14" s="163"/>
      <x:c r="E14" s="163"/>
      <x:c r="F14" s="163"/>
      <x:c r="G14" s="163"/>
      <x:c r="H14" s="163"/>
    </x:row>
    <x:row r="15" ht="21" customHeight="1">
      <x:c r="A15" s="56" t="str">
        <x:v>Merchants Enterprise sin TPV en agosto</x:v>
      </x:c>
      <x:c r="B15" s="57" t="n">
        <x:f>COUNTIF('Detalle Merchants'!$R$5:$R$52,"Enterprise sin TPV agosto")</x:f>
        <x:v>1</x:v>
      </x:c>
      <x:c r="C15" s="58" t="str">
        <x:v>Pendientes de activación</x:v>
      </x:c>
      <x:c r="D15" s="163"/>
      <x:c r="E15" s="160" t="str">
        <x:v>Nota de conciliación</x:v>
      </x:c>
      <x:c r="F15" s="160"/>
      <x:c r="G15" s="160"/>
      <x:c r="H15" s="160"/>
    </x:row>
    <x:row r="16" ht="23" customHeight="1">
      <x:c r="A16" s="59" t="str">
        <x:v>TPV fuera de Enterprise dentro del universo</x:v>
      </x:c>
      <x:c r="B16" s="60" t="n">
        <x:f>SUMIFS('Detalle Merchants'!$K$5:$K$52,'Detalle Merchants'!$R$5:$R$52,"Fuera de Enterprise")</x:f>
        <x:v>237800</x:v>
      </x:c>
      <x:c r="C16" s="61" t="str">
        <x:v>No incluir en la cifra Enterprise</x:v>
      </x:c>
      <x:c r="D16" s="163"/>
      <x:c r="E16" s="120" t="str">
        <x:v>Las consultas 04 y 05 coinciden en 42 merchants Enterprise/Jeyson, 41 M0 transaccionales y $146.867.140 bruto. La diferencia contra los 48 merchants reportados corresponde a 6 merchants fuera de Enterprise según dim_merchant.sales_source.</x:v>
      </x:c>
      <x:c r="F16" s="121"/>
      <x:c r="G16" s="121"/>
      <x:c r="H16" s="122"/>
    </x:row>
    <x:row r="17" ht="23" customHeight="1">
      <x:c r="A17" s="163"/>
      <x:c r="B17" s="163"/>
      <x:c r="C17" s="163"/>
      <x:c r="D17" s="163"/>
      <x:c r="E17" s="123"/>
      <x:c r="F17" s="124"/>
      <x:c r="G17" s="124"/>
      <x:c r="H17" s="125"/>
    </x:row>
    <x:row r="18" ht="23" customHeight="1">
      <x:c r="A18" s="163"/>
      <x:c r="B18" s="163"/>
      <x:c r="C18" s="163"/>
      <x:c r="D18" s="163"/>
      <x:c r="E18" s="126"/>
      <x:c r="F18" s="127"/>
      <x:c r="G18" s="127"/>
      <x:c r="H18" s="128"/>
    </x:row>
    <x:row r="19" ht="21" customHeight="1">
      <x:c r="A19" s="164"/>
      <x:c r="B19" s="164"/>
      <x:c r="C19" s="164"/>
      <x:c r="D19" s="164"/>
      <x:c r="E19" s="164"/>
      <x:c r="F19" s="164"/>
      <x:c r="G19" s="164"/>
      <x:c r="H19" s="164"/>
    </x:row>
    <x:row r="20" ht="21" customHeight="1">
      <x:c r="A20" s="164"/>
      <x:c r="B20" s="164"/>
      <x:c r="C20" s="164"/>
      <x:c r="D20" s="164"/>
      <x:c r="E20" s="164"/>
      <x:c r="F20" s="164"/>
      <x:c r="G20" s="164"/>
      <x:c r="H20" s="164"/>
    </x:row>
  </x:sheetData>
  <x:mergeCells>
    <x:mergeCell ref="A1:H1"/>
    <x:mergeCell ref="E8:H13"/>
    <x:mergeCell ref="E15:H15"/>
    <x:mergeCell ref="E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56" hidden="0" customWidth="1"/>
  </x:cols>
  <x:sheetData>
    <x:row r="1" ht="22" customHeight="1">
      <x:c r="A1" s="158" t="str">
        <x:v>Conciliación de universos y bases de cálculo</x:v>
      </x:c>
      <x:c r="B1" s="158"/>
      <x:c r="C1" s="158"/>
      <x:c r="D1" s="158"/>
      <x:c r="E1" s="158"/>
    </x:row>
    <x:row r="2" ht="22" customHeight="1">
      <x:c r="A2" s="159"/>
      <x:c r="B2" s="159"/>
      <x:c r="C2" s="159"/>
      <x:c r="D2" s="159"/>
      <x:c r="E2" s="159"/>
    </x:row>
    <x:row r="3" ht="22" customHeight="1">
      <x:c r="A3" s="15" t="str">
        <x:v>Control</x:v>
      </x:c>
      <x:c r="B3" s="15" t="str">
        <x:v>Consulta por merchant ID</x:v>
      </x:c>
      <x:c r="C3" s="15" t="str">
        <x:v>Consulta Enterprise + Jeyson</x:v>
      </x:c>
      <x:c r="D3" s="15" t="str">
        <x:v>Diferencia</x:v>
      </x:c>
      <x:c r="E3" s="15" t="str">
        <x:v>Interpretación</x:v>
      </x:c>
    </x:row>
    <x:row r="4" ht="22" customHeight="1">
      <x:c r="A4" s="40" t="str">
        <x:v>Merchants en alcance</x:v>
      </x:c>
      <x:c r="B4" s="129" t="n">
        <x:f>COUNTA('Detalle Merchants'!$A$5:$A$52)</x:f>
        <x:v>48</x:v>
      </x:c>
      <x:c r="C4" s="129" t="n">
        <x:f>COUNTIF('Detalle Merchants'!$E$5:$E$52,"jeyson.salazar@bold.co")</x:f>
        <x:v>42</x:v>
      </x:c>
      <x:c r="D4" s="129" t="n">
        <x:f>B4-C4</x:f>
        <x:v>6</x:v>
      </x:c>
      <x:c r="E4" s="34" t="str">
        <x:v>El universo reportado tiene 48; 42 están en Enterprise/Jeyson</x:v>
      </x:c>
    </x:row>
    <x:row r="5" ht="22" customHeight="1">
      <x:c r="A5" s="41" t="str">
        <x:v>Merchants con M0 transaccional</x:v>
      </x:c>
      <x:c r="B5" s="45" t="n">
        <x:f>COUNTIF('Detalle Merchants'!$P$5:$P$52,TRUE)</x:f>
        <x:v>0</x:v>
      </x:c>
      <x:c r="C5" s="45" t="n">
        <x:f>COUNTIFS('Detalle Merchants'!$P$5:$P$52,TRUE,'Detalle Merchants'!$E$5:$E$52,"jeyson.salazar@bold.co")</x:f>
        <x:v>0</x:v>
      </x:c>
      <x:c r="D5" s="45" t="n">
        <x:f>B5-C5</x:f>
        <x:v>0</x:v>
      </x:c>
      <x:c r="E5" s="36" t="str">
        <x:v>Los 41 coinciden</x:v>
      </x:c>
    </x:row>
    <x:row r="6" ht="22" customHeight="1">
      <x:c r="A6" s="41" t="str">
        <x:v>TPV bruto de agosto</x:v>
      </x:c>
      <x:c r="B6" s="44" t="n">
        <x:f>SUM('Detalle Merchants'!$K$5:$K$52)</x:f>
        <x:v>147104940</x:v>
      </x:c>
      <x:c r="C6" s="44" t="n">
        <x:f>SUMIFS('Detalle Merchants'!$K$5:$K$52,'Detalle Merchants'!$E$5:$E$52,"jeyson.salazar@bold.co")</x:f>
        <x:v>146867140</x:v>
      </x:c>
      <x:c r="D6" s="44" t="n">
        <x:f>B6-C6</x:f>
        <x:v>237800</x:v>
      </x:c>
      <x:c r="E6" s="36" t="str">
        <x:v>La diferencia es TPV fuera de Enterprise</x:v>
      </x:c>
    </x:row>
    <x:row r="7" ht="22" customHeight="1">
      <x:c r="A7" s="41" t="str">
        <x:v>TPV pagado de agosto</x:v>
      </x:c>
      <x:c r="B7" s="44" t="n">
        <x:f>SUM('Detalle Merchants'!$L$5:$L$52)</x:f>
        <x:v>145894257.86000004</x:v>
      </x:c>
      <x:c r="C7" s="44" t="n">
        <x:f>SUMIFS('Detalle Merchants'!$L$5:$L$52,'Detalle Merchants'!$E$5:$E$52,"jeyson.salazar@bold.co")</x:f>
        <x:v>145666326.56000003</x:v>
      </x:c>
      <x:c r="D7" s="44" t="n">
        <x:f>B7-C7</x:f>
        <x:v>227931.30000001192</x:v>
      </x:c>
      <x:c r="E7" s="36" t="str">
        <x:v>Comparar con la base que use Matriz Financiera</x:v>
      </x:c>
    </x:row>
    <x:row r="8" ht="22" customHeight="1">
      <x:c r="A8" s="130" t="str">
        <x:v>TPV bruto nuevo Enterprise estricto</x:v>
      </x:c>
      <x:c r="B8" s="131" t="n">
        <x:f>SUMIFS('Detalle Merchants'!$K$5:$K$52,'Detalle Merchants'!$R$5:$R$52,"M0 Enterprise estricto")</x:f>
        <x:v>145910540</x:v>
      </x:c>
      <x:c r="C8" s="131" t="n">
        <x:f>SUMIFS('Detalle Merchants'!$K$5:$K$52,'Detalle Merchants'!$R$5:$R$52,"M0 Enterprise estricto")</x:f>
        <x:v>145910540</x:v>
      </x:c>
      <x:c r="D8" s="131" t="n">
        <x:f>B8-C8</x:f>
        <x:v>0</x:v>
      </x:c>
      <x:c r="E8" s="132" t="str">
        <x:v>Cifra recomendada para cierre de nuevos</x:v>
      </x:c>
    </x:row>
    <x:row r="9" ht="22" customHeight="1">
      <x:c r="A9" s="159"/>
      <x:c r="B9" s="159"/>
      <x:c r="C9" s="159"/>
      <x:c r="D9" s="159"/>
      <x:c r="E9" s="159"/>
    </x:row>
    <x:row r="10" ht="22" customHeight="1">
      <x:c r="A10" s="159"/>
      <x:c r="B10" s="159"/>
      <x:c r="C10" s="159"/>
      <x:c r="D10" s="159"/>
      <x:c r="E10" s="159"/>
    </x:row>
    <x:row r="11" ht="22" customHeight="1">
      <x:c r="A11" s="161" t="str">
        <x:v>Lectura</x:v>
      </x:c>
      <x:c r="B11" s="161" t="str">
        <x:v>El total de 48 merchants no es la cifra Enterprise. El cierre Enterprise/Jeyson es el subconjunto de 42, y el nuevo estricto son 40.</x:v>
      </x:c>
      <x:c r="C11" s="161"/>
      <x:c r="D11" s="161"/>
      <x:c r="E11" s="161"/>
    </x:row>
    <x:row r="12" ht="22" customHeight="1"/>
  </x:sheetData>
  <x:mergeCells>
    <x:mergeCell ref="A1:E1"/>
    <x:mergeCell ref="A11:E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6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9" hidden="0" customWidth="1"/>
    <x:col min="9" max="9" width="19" hidden="0" customWidth="1"/>
    <x:col min="10" max="10" width="19" hidden="0" customWidth="1"/>
    <x:col min="11" max="11" width="17" hidden="0" customWidth="1"/>
    <x:col min="12" max="12" width="17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0" hidden="0" customWidth="1"/>
    <x:col min="19" max="19" width="58" hidden="0" customWidth="1"/>
    <x:col min="20" max="20" width="20" hidden="0" customWidth="1"/>
  </x:cols>
  <x:sheetData>
    <x:row r="1" ht="28" customHeight="1">
      <x:c r="A1" s="158" t="str">
        <x:v>Detalle de merchants y evidencia de cierre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  <x:c r="M1" s="158"/>
      <x:c r="N1" s="158"/>
      <x:c r="O1" s="158"/>
      <x:c r="P1" s="158"/>
      <x:c r="Q1" s="158"/>
      <x:c r="R1" s="158"/>
      <x:c r="S1" s="158"/>
      <x:c r="T1" s="158"/>
    </x:row>
    <x:row r="2">
      <x:c r="A2" s="159"/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  <x:c r="O2" s="159"/>
      <x:c r="P2" s="159"/>
      <x:c r="Q2" s="159"/>
      <x:c r="R2" s="159"/>
      <x:c r="S2" s="159"/>
      <x:c r="T2" s="159"/>
    </x:row>
    <x:row r="3">
      <x:c r="A3" s="159"/>
      <x:c r="B3" s="159"/>
      <x:c r="C3" s="159"/>
      <x:c r="D3" s="159"/>
      <x:c r="E3" s="159"/>
      <x:c r="F3" s="159"/>
      <x:c r="G3" s="159"/>
      <x:c r="H3" s="159"/>
      <x:c r="I3" s="159"/>
      <x:c r="J3" s="159"/>
      <x:c r="K3" s="159"/>
      <x:c r="L3" s="159"/>
      <x:c r="M3" s="159"/>
      <x:c r="N3" s="159"/>
      <x:c r="O3" s="159"/>
      <x:c r="P3" s="159"/>
      <x:c r="Q3" s="159"/>
      <x:c r="R3" s="159"/>
      <x:c r="S3" s="159"/>
      <x:c r="T3" s="159"/>
    </x:row>
    <x:row r="4">
      <x:c r="A4" s="15" t="str">
        <x:v>merchant_id</x:v>
      </x:c>
      <x:c r="B4" s="15" t="str">
        <x:v>merchant_name</x:v>
      </x:c>
      <x:c r="C4" s="15" t="str">
        <x:v>reporte_ejecutivo</x:v>
      </x:c>
      <x:c r="D4" s="15" t="str">
        <x:v>sales_source</x:v>
      </x:c>
      <x:c r="E4" s="15" t="str">
        <x:v>sales_agent_email</x:v>
      </x:c>
      <x:c r="F4" s="15" t="str">
        <x:v>status_code</x:v>
      </x:c>
      <x:c r="G4" s="15" t="str">
        <x:v>verification_status_code</x:v>
      </x:c>
      <x:c r="H4" s="15" t="str">
        <x:v>onboarding_end_date</x:v>
      </x:c>
      <x:c r="I4" s="15" t="str">
        <x:v>primera_tx_historica</x:v>
      </x:c>
      <x:c r="J4" s="15" t="str">
        <x:v>primera_tx_agosto</x:v>
      </x:c>
      <x:c r="K4" s="15" t="str">
        <x:v>tpv_bruto_agosto</x:v>
      </x:c>
      <x:c r="L4" s="15" t="str">
        <x:v>tpv_pagado_agosto</x:v>
      </x:c>
      <x:c r="M4" s="15" t="str">
        <x:v>transacciones_agosto</x:v>
      </x:c>
      <x:c r="N4" s="15" t="str">
        <x:v>sales_source_enterprise</x:v>
      </x:c>
      <x:c r="O4" s="15" t="str">
        <x:v>jeyson_confirmado</x:v>
      </x:c>
      <x:c r="P4" s="15" t="str">
        <x:v>m0_transaccional</x:v>
      </x:c>
      <x:c r="Q4" s="15" t="str">
        <x:v>m0_nuevo_estricto</x:v>
      </x:c>
      <x:c r="R4" s="15" t="str">
        <x:v>clasificacion_final</x:v>
      </x:c>
      <x:c r="S4" s="15" t="str">
        <x:v>nota</x:v>
      </x:c>
      <x:c r="T4" s="15" t="str">
        <x:v>datos_actualizados_hasta</x:v>
      </x:c>
    </x:row>
    <x:row r="5">
      <x:c r="A5" s="154" t="str">
        <x:v>3K2UR9MQ3O</x:v>
      </x:c>
      <x:c r="B5" s="149" t="str">
        <x:v>SFARMA DROGUERIAS N 9 ASUNCION</x:v>
      </x:c>
      <x:c r="C5" s="149" t="str">
        <x:v>NUEVO</x:v>
      </x:c>
      <x:c r="D5" s="149" t="str">
        <x:v>ENTERPRISE</x:v>
      </x:c>
      <x:c r="E5" s="149" t="str">
        <x:v>jeyson.salazar@bold.co</x:v>
      </x:c>
      <x:c r="F5" s="149" t="str">
        <x:v>ACTIVE</x:v>
      </x:c>
      <x:c r="G5" s="149" t="str">
        <x:v>SUCCESSFUL_VERIFY</x:v>
      </x:c>
      <x:c r="H5" s="150" t="n">
        <x:v>46245.77033431713</x:v>
      </x:c>
      <x:c r="I5" s="150" t="n">
        <x:v>46254.72049565972</x:v>
      </x:c>
      <x:c r="J5" s="150" t="n">
        <x:v>46254.72049565972</x:v>
      </x:c>
      <x:c r="K5" s="151" t="n">
        <x:v>17710100</x:v>
      </x:c>
      <x:c r="L5" s="151" t="n">
        <x:v>17217455.16</x:v>
      </x:c>
      <x:c r="M5" s="152" t="n">
        <x:v>289</x:v>
      </x:c>
      <x:c r="N5" s="153" t="b">
        <x:v>1</x:v>
      </x:c>
      <x:c r="O5" s="153" t="b">
        <x:v>1</x:v>
      </x:c>
      <x:c r="P5" s="153" t="b">
        <x:v>1</x:v>
      </x:c>
      <x:c r="Q5" s="153" t="b">
        <x:v>1</x:v>
      </x:c>
      <x:c r="R5" s="149" t="str">
        <x:v>M0 Enterprise estricto</x:v>
      </x:c>
      <x:c r="S5" s="149" t="str">
        <x:v>sales_source Enterprise, Jeyson, primera TX y onboarding en agosto.</x:v>
      </x:c>
      <x:c r="T5" s="150" t="n">
        <x:v>46274.68445368056</x:v>
      </x:c>
    </x:row>
    <x:row r="6">
      <x:c r="A6" s="154" t="str">
        <x:v>0BE18WOVV2</x:v>
      </x:c>
      <x:c r="B6" s="149" t="str">
        <x:v>SFARMA DROGUERIAS N 6 SAN CIPRIANO</x:v>
      </x:c>
      <x:c r="C6" s="149" t="str">
        <x:v>NUEVO</x:v>
      </x:c>
      <x:c r="D6" s="149" t="str">
        <x:v>ENTERPRISE</x:v>
      </x:c>
      <x:c r="E6" s="149" t="str">
        <x:v>jeyson.salazar@bold.co</x:v>
      </x:c>
      <x:c r="F6" s="149" t="str">
        <x:v>ACTIVE</x:v>
      </x:c>
      <x:c r="G6" s="149" t="str">
        <x:v>SUCCESSFUL_VERIFY</x:v>
      </x:c>
      <x:c r="H6" s="150" t="n">
        <x:v>46245.75838569445</x:v>
      </x:c>
      <x:c r="I6" s="150" t="n">
        <x:v>46256.560709606485</x:v>
      </x:c>
      <x:c r="J6" s="150" t="n">
        <x:v>46256.560709606485</x:v>
      </x:c>
      <x:c r="K6" s="151" t="n">
        <x:v>9170400</x:v>
      </x:c>
      <x:c r="L6" s="151" t="n">
        <x:v>8945805.16</x:v>
      </x:c>
      <x:c r="M6" s="152" t="n">
        <x:v>239</x:v>
      </x:c>
      <x:c r="N6" s="153" t="b">
        <x:v>1</x:v>
      </x:c>
      <x:c r="O6" s="153" t="b">
        <x:v>1</x:v>
      </x:c>
      <x:c r="P6" s="153" t="b">
        <x:v>1</x:v>
      </x:c>
      <x:c r="Q6" s="153" t="b">
        <x:v>1</x:v>
      </x:c>
      <x:c r="R6" s="149" t="str">
        <x:v>M0 Enterprise estricto</x:v>
      </x:c>
      <x:c r="S6" s="149" t="str">
        <x:v>sales_source Enterprise, Jeyson, primera TX y onboarding en agosto.</x:v>
      </x:c>
      <x:c r="T6" s="150" t="n">
        <x:v>46274.68445368056</x:v>
      </x:c>
    </x:row>
    <x:row r="7">
      <x:c r="A7" s="154" t="str">
        <x:v>NZ911L9FFZ</x:v>
      </x:c>
      <x:c r="B7" s="149" t="str">
        <x:v>SFARMA DROGUERIAS N 16 MOLINOS</x:v>
      </x:c>
      <x:c r="C7" s="149" t="str">
        <x:v>NUEVO</x:v>
      </x:c>
      <x:c r="D7" s="149" t="str">
        <x:v>ENTERPRISE</x:v>
      </x:c>
      <x:c r="E7" s="149" t="str">
        <x:v>jeyson.salazar@bold.co</x:v>
      </x:c>
      <x:c r="F7" s="149" t="str">
        <x:v>ACTIVE</x:v>
      </x:c>
      <x:c r="G7" s="149" t="str">
        <x:v>SUCCESSFUL_VERIFY</x:v>
      </x:c>
      <x:c r="H7" s="150" t="n">
        <x:v>46245.79727862268</x:v>
      </x:c>
      <x:c r="I7" s="150" t="n">
        <x:v>46255.702450983794</x:v>
      </x:c>
      <x:c r="J7" s="150" t="n">
        <x:v>46255.702450983794</x:v>
      </x:c>
      <x:c r="K7" s="151" t="n">
        <x:v>7699700</x:v>
      </x:c>
      <x:c r="L7" s="151" t="n">
        <x:v>7699700</x:v>
      </x:c>
      <x:c r="M7" s="152" t="n">
        <x:v>271</x:v>
      </x:c>
      <x:c r="N7" s="153" t="b">
        <x:v>1</x:v>
      </x:c>
      <x:c r="O7" s="153" t="b">
        <x:v>1</x:v>
      </x:c>
      <x:c r="P7" s="153" t="b">
        <x:v>1</x:v>
      </x:c>
      <x:c r="Q7" s="153" t="b">
        <x:v>1</x:v>
      </x:c>
      <x:c r="R7" s="149" t="str">
        <x:v>M0 Enterprise estricto</x:v>
      </x:c>
      <x:c r="S7" s="149" t="str">
        <x:v>sales_source Enterprise, Jeyson, primera TX y onboarding en agosto.</x:v>
      </x:c>
      <x:c r="T7" s="150" t="n">
        <x:v>46274.68445368056</x:v>
      </x:c>
    </x:row>
    <x:row r="8">
      <x:c r="A8" s="154" t="str">
        <x:v>J7IML9IM9I</x:v>
      </x:c>
      <x:c r="B8" s="149" t="str">
        <x:v>SFARMA DROGUERIAS N 8 LA VICTORIA</x:v>
      </x:c>
      <x:c r="C8" s="149" t="str">
        <x:v>NUEVO</x:v>
      </x:c>
      <x:c r="D8" s="149" t="str">
        <x:v>ENTERPRISE</x:v>
      </x:c>
      <x:c r="E8" s="149" t="str">
        <x:v>jeyson.salazar@bold.co</x:v>
      </x:c>
      <x:c r="F8" s="149" t="str">
        <x:v>ACTIVE</x:v>
      </x:c>
      <x:c r="G8" s="149" t="str">
        <x:v>SUCCESSFUL_VERIFY</x:v>
      </x:c>
      <x:c r="H8" s="150" t="n">
        <x:v>46245.77016579861</x:v>
      </x:c>
      <x:c r="I8" s="150" t="n">
        <x:v>46256.54596113426</x:v>
      </x:c>
      <x:c r="J8" s="150" t="n">
        <x:v>46256.54596113426</x:v>
      </x:c>
      <x:c r="K8" s="151" t="n">
        <x:v>6713050</x:v>
      </x:c>
      <x:c r="L8" s="151" t="n">
        <x:v>6708474.73</x:v>
      </x:c>
      <x:c r="M8" s="152" t="n">
        <x:v>203</x:v>
      </x:c>
      <x:c r="N8" s="153" t="b">
        <x:v>1</x:v>
      </x:c>
      <x:c r="O8" s="153" t="b">
        <x:v>1</x:v>
      </x:c>
      <x:c r="P8" s="153" t="b">
        <x:v>1</x:v>
      </x:c>
      <x:c r="Q8" s="153" t="b">
        <x:v>1</x:v>
      </x:c>
      <x:c r="R8" s="149" t="str">
        <x:v>M0 Enterprise estricto</x:v>
      </x:c>
      <x:c r="S8" s="149" t="str">
        <x:v>sales_source Enterprise, Jeyson, primera TX y onboarding en agosto.</x:v>
      </x:c>
      <x:c r="T8" s="150" t="n">
        <x:v>46274.68445368056</x:v>
      </x:c>
    </x:row>
    <x:row r="9">
      <x:c r="A9" s="154" t="str">
        <x:v>XOP5AO97MP</x:v>
      </x:c>
      <x:c r="B9" s="149" t="str">
        <x:v>SFARMA DROGUERIAS N 3 FUNZA</x:v>
      </x:c>
      <x:c r="C9" s="149" t="str">
        <x:v>NUEVO</x:v>
      </x:c>
      <x:c r="D9" s="149" t="str">
        <x:v>ENTERPRISE</x:v>
      </x:c>
      <x:c r="E9" s="149" t="str">
        <x:v>jeyson.salazar@bold.co</x:v>
      </x:c>
      <x:c r="F9" s="149" t="str">
        <x:v>ACTIVE</x:v>
      </x:c>
      <x:c r="G9" s="149" t="str">
        <x:v>SUCCESSFUL_VERIFY</x:v>
      </x:c>
      <x:c r="H9" s="150" t="n">
        <x:v>46245.673596064815</x:v>
      </x:c>
      <x:c r="I9" s="150" t="n">
        <x:v>46256.571298310184</x:v>
      </x:c>
      <x:c r="J9" s="150" t="n">
        <x:v>46256.571298310184</x:v>
      </x:c>
      <x:c r="K9" s="151" t="n">
        <x:v>6106000</x:v>
      </x:c>
      <x:c r="L9" s="151" t="n">
        <x:v>6106000</x:v>
      </x:c>
      <x:c r="M9" s="152" t="n">
        <x:v>190</x:v>
      </x:c>
      <x:c r="N9" s="153" t="b">
        <x:v>1</x:v>
      </x:c>
      <x:c r="O9" s="153" t="b">
        <x:v>1</x:v>
      </x:c>
      <x:c r="P9" s="153" t="b">
        <x:v>1</x:v>
      </x:c>
      <x:c r="Q9" s="153" t="b">
        <x:v>1</x:v>
      </x:c>
      <x:c r="R9" s="149" t="str">
        <x:v>M0 Enterprise estricto</x:v>
      </x:c>
      <x:c r="S9" s="149" t="str">
        <x:v>sales_source Enterprise, Jeyson, primera TX y onboarding en agosto.</x:v>
      </x:c>
      <x:c r="T9" s="150" t="n">
        <x:v>46274.68445368056</x:v>
      </x:c>
    </x:row>
    <x:row r="10">
      <x:c r="A10" s="154" t="str">
        <x:v>VUSTI8DA46</x:v>
      </x:c>
      <x:c r="B10" s="149" t="str">
        <x:v>SFARMA DROGUERIAS N 1 SPRINT</x:v>
      </x:c>
      <x:c r="C10" s="149" t="str">
        <x:v>NUEVO</x:v>
      </x:c>
      <x:c r="D10" s="149" t="str">
        <x:v>ENTERPRISE</x:v>
      </x:c>
      <x:c r="E10" s="149" t="str">
        <x:v>jeyson.salazar@bold.co</x:v>
      </x:c>
      <x:c r="F10" s="149" t="str">
        <x:v>ACTIVE</x:v>
      </x:c>
      <x:c r="G10" s="149" t="str">
        <x:v>SUCCESSFUL_VERIFY</x:v>
      </x:c>
      <x:c r="H10" s="150" t="n">
        <x:v>46245.65110407407</x:v>
      </x:c>
      <x:c r="I10" s="150" t="n">
        <x:v>46256.57647810185</x:v>
      </x:c>
      <x:c r="J10" s="150" t="n">
        <x:v>46256.57647810185</x:v>
      </x:c>
      <x:c r="K10" s="151" t="n">
        <x:v>5059700</x:v>
      </x:c>
      <x:c r="L10" s="151" t="n">
        <x:v>4956865.73</x:v>
      </x:c>
      <x:c r="M10" s="152" t="n">
        <x:v>131</x:v>
      </x:c>
      <x:c r="N10" s="153" t="b">
        <x:v>1</x:v>
      </x:c>
      <x:c r="O10" s="153" t="b">
        <x:v>1</x:v>
      </x:c>
      <x:c r="P10" s="153" t="b">
        <x:v>1</x:v>
      </x:c>
      <x:c r="Q10" s="153" t="b">
        <x:v>1</x:v>
      </x:c>
      <x:c r="R10" s="149" t="str">
        <x:v>M0 Enterprise estricto</x:v>
      </x:c>
      <x:c r="S10" s="149" t="str">
        <x:v>sales_source Enterprise, Jeyson, primera TX y onboarding en agosto.</x:v>
      </x:c>
      <x:c r="T10" s="150" t="n">
        <x:v>46274.68445368056</x:v>
      </x:c>
    </x:row>
    <x:row r="11">
      <x:c r="A11" s="154" t="str">
        <x:v>GH9NAMTKQE</x:v>
      </x:c>
      <x:c r="B11" s="149" t="str">
        <x:v>SFARMA DROGUERIAS N 26 MILANESA</x:v>
      </x:c>
      <x:c r="C11" s="149" t="str">
        <x:v>NUEVO</x:v>
      </x:c>
      <x:c r="D11" s="149" t="str">
        <x:v>ENTERPRISE</x:v>
      </x:c>
      <x:c r="E11" s="149" t="str">
        <x:v>jeyson.salazar@bold.co</x:v>
      </x:c>
      <x:c r="F11" s="149" t="str">
        <x:v>ACTIVE</x:v>
      </x:c>
      <x:c r="G11" s="149" t="str">
        <x:v>SUCCESSFUL_VERIFY</x:v>
      </x:c>
      <x:c r="H11" s="150" t="n">
        <x:v>46245.82905503472</x:v>
      </x:c>
      <x:c r="I11" s="150" t="n">
        <x:v>46256.71310318287</x:v>
      </x:c>
      <x:c r="J11" s="150" t="n">
        <x:v>46256.71310318287</x:v>
      </x:c>
      <x:c r="K11" s="151" t="n">
        <x:v>5027900</x:v>
      </x:c>
      <x:c r="L11" s="151" t="n">
        <x:v>5027900</x:v>
      </x:c>
      <x:c r="M11" s="152" t="n">
        <x:v>137</x:v>
      </x:c>
      <x:c r="N11" s="153" t="b">
        <x:v>1</x:v>
      </x:c>
      <x:c r="O11" s="153" t="b">
        <x:v>1</x:v>
      </x:c>
      <x:c r="P11" s="153" t="b">
        <x:v>1</x:v>
      </x:c>
      <x:c r="Q11" s="153" t="b">
        <x:v>1</x:v>
      </x:c>
      <x:c r="R11" s="149" t="str">
        <x:v>M0 Enterprise estricto</x:v>
      </x:c>
      <x:c r="S11" s="149" t="str">
        <x:v>sales_source Enterprise, Jeyson, primera TX y onboarding en agosto.</x:v>
      </x:c>
      <x:c r="T11" s="150" t="n">
        <x:v>46274.68445368056</x:v>
      </x:c>
    </x:row>
    <x:row r="12">
      <x:c r="A12" s="154" t="str">
        <x:v>ND9E9BVEFH</x:v>
      </x:c>
      <x:c r="B12" s="149" t="str">
        <x:v>SFARMA DROGUERIAS N 20 LUCERO</x:v>
      </x:c>
      <x:c r="C12" s="149" t="str">
        <x:v>NUEVO</x:v>
      </x:c>
      <x:c r="D12" s="149" t="str">
        <x:v>ENTERPRISE</x:v>
      </x:c>
      <x:c r="E12" s="149" t="str">
        <x:v>jeyson.salazar@bold.co</x:v>
      </x:c>
      <x:c r="F12" s="149" t="str">
        <x:v>ACTIVE</x:v>
      </x:c>
      <x:c r="G12" s="149" t="str">
        <x:v>SUCCESSFUL_VERIFY</x:v>
      </x:c>
      <x:c r="H12" s="150" t="n">
        <x:v>46245.80972450232</x:v>
      </x:c>
      <x:c r="I12" s="150" t="n">
        <x:v>46255.70257295139</x:v>
      </x:c>
      <x:c r="J12" s="150" t="n">
        <x:v>46255.70257295139</x:v>
      </x:c>
      <x:c r="K12" s="151" t="n">
        <x:v>4948450</x:v>
      </x:c>
      <x:c r="L12" s="151" t="n">
        <x:v>4948450</x:v>
      </x:c>
      <x:c r="M12" s="152" t="n">
        <x:v>129</x:v>
      </x:c>
      <x:c r="N12" s="153" t="b">
        <x:v>1</x:v>
      </x:c>
      <x:c r="O12" s="153" t="b">
        <x:v>1</x:v>
      </x:c>
      <x:c r="P12" s="153" t="b">
        <x:v>1</x:v>
      </x:c>
      <x:c r="Q12" s="153" t="b">
        <x:v>1</x:v>
      </x:c>
      <x:c r="R12" s="149" t="str">
        <x:v>M0 Enterprise estricto</x:v>
      </x:c>
      <x:c r="S12" s="149" t="str">
        <x:v>sales_source Enterprise, Jeyson, primera TX y onboarding en agosto.</x:v>
      </x:c>
      <x:c r="T12" s="150" t="n">
        <x:v>46274.68445368056</x:v>
      </x:c>
    </x:row>
    <x:row r="13">
      <x:c r="A13" s="154" t="str">
        <x:v>NFUSJ7NQ96</x:v>
      </x:c>
      <x:c r="B13" s="149" t="str">
        <x:v>SFARMA DROGUERIAS N 39 MADRID</x:v>
      </x:c>
      <x:c r="C13" s="149" t="str">
        <x:v>NUEVO</x:v>
      </x:c>
      <x:c r="D13" s="149" t="str">
        <x:v>ENTERPRISE</x:v>
      </x:c>
      <x:c r="E13" s="149" t="str">
        <x:v>jeyson.salazar@bold.co</x:v>
      </x:c>
      <x:c r="F13" s="149" t="str">
        <x:v>ACTIVE</x:v>
      </x:c>
      <x:c r="G13" s="149" t="str">
        <x:v>SUCCESSFUL_VERIFY</x:v>
      </x:c>
      <x:c r="H13" s="150" t="n">
        <x:v>46245.861829699075</x:v>
      </x:c>
      <x:c r="I13" s="150" t="n">
        <x:v>46256.62103696759</x:v>
      </x:c>
      <x:c r="J13" s="150" t="n">
        <x:v>46256.62103696759</x:v>
      </x:c>
      <x:c r="K13" s="151" t="n">
        <x:v>4706050</x:v>
      </x:c>
      <x:c r="L13" s="151" t="n">
        <x:v>4706050</x:v>
      </x:c>
      <x:c r="M13" s="152" t="n">
        <x:v>217</x:v>
      </x:c>
      <x:c r="N13" s="153" t="b">
        <x:v>1</x:v>
      </x:c>
      <x:c r="O13" s="153" t="b">
        <x:v>1</x:v>
      </x:c>
      <x:c r="P13" s="153" t="b">
        <x:v>1</x:v>
      </x:c>
      <x:c r="Q13" s="153" t="b">
        <x:v>1</x:v>
      </x:c>
      <x:c r="R13" s="149" t="str">
        <x:v>M0 Enterprise estricto</x:v>
      </x:c>
      <x:c r="S13" s="149" t="str">
        <x:v>sales_source Enterprise, Jeyson, primera TX y onboarding en agosto.</x:v>
      </x:c>
      <x:c r="T13" s="150" t="n">
        <x:v>46274.68445368056</x:v>
      </x:c>
    </x:row>
    <x:row r="14">
      <x:c r="A14" s="154" t="str">
        <x:v>LZ4FUN0WQD</x:v>
      </x:c>
      <x:c r="B14" s="149" t="str">
        <x:v>FARMACENTER HEMERY</x:v>
      </x:c>
      <x:c r="C14" s="149" t="str">
        <x:v>NUEVO</x:v>
      </x:c>
      <x:c r="D14" s="149" t="str">
        <x:v>ENTERPRISE</x:v>
      </x:c>
      <x:c r="E14" s="149" t="str">
        <x:v>jeyson.salazar@bold.co</x:v>
      </x:c>
      <x:c r="F14" s="149" t="str">
        <x:v>ACTIVE</x:v>
      </x:c>
      <x:c r="G14" s="149" t="str">
        <x:v>SUCCESSFUL_VERIFY</x:v>
      </x:c>
      <x:c r="H14" s="150" t="n">
        <x:v>46241.67828626157</x:v>
      </x:c>
      <x:c r="I14" s="150" t="n">
        <x:v>46253.97918495371</x:v>
      </x:c>
      <x:c r="J14" s="150" t="n">
        <x:v>46253.97918495371</x:v>
      </x:c>
      <x:c r="K14" s="151" t="n">
        <x:v>4542600</x:v>
      </x:c>
      <x:c r="L14" s="151" t="n">
        <x:v>4357247.94</x:v>
      </x:c>
      <x:c r="M14" s="152" t="n">
        <x:v>114</x:v>
      </x:c>
      <x:c r="N14" s="153" t="b">
        <x:v>1</x:v>
      </x:c>
      <x:c r="O14" s="153" t="b">
        <x:v>1</x:v>
      </x:c>
      <x:c r="P14" s="153" t="b">
        <x:v>1</x:v>
      </x:c>
      <x:c r="Q14" s="153" t="b">
        <x:v>1</x:v>
      </x:c>
      <x:c r="R14" s="149" t="str">
        <x:v>M0 Enterprise estricto</x:v>
      </x:c>
      <x:c r="S14" s="149" t="str">
        <x:v>sales_source Enterprise, Jeyson, primera TX y onboarding en agosto.</x:v>
      </x:c>
      <x:c r="T14" s="150" t="n">
        <x:v>46274.68445368056</x:v>
      </x:c>
    </x:row>
    <x:row r="15">
      <x:c r="A15" s="154" t="str">
        <x:v>8A1O5ELS22</x:v>
      </x:c>
      <x:c r="B15" s="149" t="str">
        <x:v>SFARMA DROGUERIAS N 27 FARMACENTER FUNZA</x:v>
      </x:c>
      <x:c r="C15" s="149" t="str">
        <x:v>NUEVO</x:v>
      </x:c>
      <x:c r="D15" s="149" t="str">
        <x:v>ENTERPRISE</x:v>
      </x:c>
      <x:c r="E15" s="149" t="str">
        <x:v>jeyson.salazar@bold.co</x:v>
      </x:c>
      <x:c r="F15" s="149" t="str">
        <x:v>ACTIVE</x:v>
      </x:c>
      <x:c r="G15" s="149" t="str">
        <x:v>SUCCESSFUL_VERIFY</x:v>
      </x:c>
      <x:c r="H15" s="150" t="n">
        <x:v>46245.83063751157</x:v>
      </x:c>
      <x:c r="I15" s="150" t="n">
        <x:v>46256.67762944444</x:v>
      </x:c>
      <x:c r="J15" s="150" t="n">
        <x:v>46256.67762944444</x:v>
      </x:c>
      <x:c r="K15" s="151" t="n">
        <x:v>4428800</x:v>
      </x:c>
      <x:c r="L15" s="151" t="n">
        <x:v>4428800</x:v>
      </x:c>
      <x:c r="M15" s="152" t="n">
        <x:v>143</x:v>
      </x:c>
      <x:c r="N15" s="153" t="b">
        <x:v>1</x:v>
      </x:c>
      <x:c r="O15" s="153" t="b">
        <x:v>1</x:v>
      </x:c>
      <x:c r="P15" s="153" t="b">
        <x:v>1</x:v>
      </x:c>
      <x:c r="Q15" s="153" t="b">
        <x:v>1</x:v>
      </x:c>
      <x:c r="R15" s="149" t="str">
        <x:v>M0 Enterprise estricto</x:v>
      </x:c>
      <x:c r="S15" s="149" t="str">
        <x:v>sales_source Enterprise, Jeyson, primera TX y onboarding en agosto.</x:v>
      </x:c>
      <x:c r="T15" s="150" t="n">
        <x:v>46274.68445368056</x:v>
      </x:c>
    </x:row>
    <x:row r="16">
      <x:c r="A16" s="154" t="str">
        <x:v>U215EU8J7D</x:v>
      </x:c>
      <x:c r="B16" s="149" t="str">
        <x:v>SFARMA DROGUERIAS N 32 VICTORIA</x:v>
      </x:c>
      <x:c r="C16" s="149" t="str">
        <x:v>NUEVO</x:v>
      </x:c>
      <x:c r="D16" s="149" t="str">
        <x:v>ENTERPRISE</x:v>
      </x:c>
      <x:c r="E16" s="149" t="str">
        <x:v>jeyson.salazar@bold.co</x:v>
      </x:c>
      <x:c r="F16" s="149" t="str">
        <x:v>ACTIVE</x:v>
      </x:c>
      <x:c r="G16" s="149" t="str">
        <x:v>SUCCESSFUL_VERIFY</x:v>
      </x:c>
      <x:c r="H16" s="150" t="n">
        <x:v>46245.84379092592</x:v>
      </x:c>
      <x:c r="I16" s="150" t="n">
        <x:v>46256.65254591435</x:v>
      </x:c>
      <x:c r="J16" s="150" t="n">
        <x:v>46256.65254591435</x:v>
      </x:c>
      <x:c r="K16" s="151" t="n">
        <x:v>4272930</x:v>
      </x:c>
      <x:c r="L16" s="151" t="n">
        <x:v>4272930</x:v>
      </x:c>
      <x:c r="M16" s="152" t="n">
        <x:v>168</x:v>
      </x:c>
      <x:c r="N16" s="153" t="b">
        <x:v>1</x:v>
      </x:c>
      <x:c r="O16" s="153" t="b">
        <x:v>1</x:v>
      </x:c>
      <x:c r="P16" s="153" t="b">
        <x:v>1</x:v>
      </x:c>
      <x:c r="Q16" s="153" t="b">
        <x:v>1</x:v>
      </x:c>
      <x:c r="R16" s="149" t="str">
        <x:v>M0 Enterprise estricto</x:v>
      </x:c>
      <x:c r="S16" s="149" t="str">
        <x:v>sales_source Enterprise, Jeyson, primera TX y onboarding en agosto.</x:v>
      </x:c>
      <x:c r="T16" s="150" t="n">
        <x:v>46274.68445368056</x:v>
      </x:c>
    </x:row>
    <x:row r="17">
      <x:c r="A17" s="154" t="str">
        <x:v>MLMHGPOYCP</x:v>
      </x:c>
      <x:c r="B17" s="149" t="str">
        <x:v>SFARMA DROGUERIAS N 36 LA VICTORIA</x:v>
      </x:c>
      <x:c r="C17" s="149" t="str">
        <x:v>NUEVO</x:v>
      </x:c>
      <x:c r="D17" s="149" t="str">
        <x:v>ENTERPRISE</x:v>
      </x:c>
      <x:c r="E17" s="149" t="str">
        <x:v>jeyson.salazar@bold.co</x:v>
      </x:c>
      <x:c r="F17" s="149" t="str">
        <x:v>ACTIVE</x:v>
      </x:c>
      <x:c r="G17" s="149" t="str">
        <x:v>SUCCESSFUL_VERIFY</x:v>
      </x:c>
      <x:c r="H17" s="150" t="n">
        <x:v>46245.95709568287</x:v>
      </x:c>
      <x:c r="I17" s="150" t="n">
        <x:v>46256.77643975694</x:v>
      </x:c>
      <x:c r="J17" s="150" t="n">
        <x:v>46256.77643975694</x:v>
      </x:c>
      <x:c r="K17" s="151" t="n">
        <x:v>3641900</x:v>
      </x:c>
      <x:c r="L17" s="151" t="n">
        <x:v>3641900</x:v>
      </x:c>
      <x:c r="M17" s="152" t="n">
        <x:v>149</x:v>
      </x:c>
      <x:c r="N17" s="153" t="b">
        <x:v>1</x:v>
      </x:c>
      <x:c r="O17" s="153" t="b">
        <x:v>1</x:v>
      </x:c>
      <x:c r="P17" s="153" t="b">
        <x:v>1</x:v>
      </x:c>
      <x:c r="Q17" s="153" t="b">
        <x:v>1</x:v>
      </x:c>
      <x:c r="R17" s="149" t="str">
        <x:v>M0 Enterprise estricto</x:v>
      </x:c>
      <x:c r="S17" s="149" t="str">
        <x:v>sales_source Enterprise, Jeyson, primera TX y onboarding en agosto.</x:v>
      </x:c>
      <x:c r="T17" s="150" t="n">
        <x:v>46274.68445368056</x:v>
      </x:c>
    </x:row>
    <x:row r="18">
      <x:c r="A18" s="154" t="str">
        <x:v>9O6561CJE9</x:v>
      </x:c>
      <x:c r="B18" s="149" t="str">
        <x:v>SFARMA DROGUERIAS N 24 RESTREPO</x:v>
      </x:c>
      <x:c r="C18" s="149" t="str">
        <x:v>NUEVO</x:v>
      </x:c>
      <x:c r="D18" s="149" t="str">
        <x:v>ENTERPRISE</x:v>
      </x:c>
      <x:c r="E18" s="149" t="str">
        <x:v>jeyson.salazar@bold.co</x:v>
      </x:c>
      <x:c r="F18" s="149" t="str">
        <x:v>ACTIVE</x:v>
      </x:c>
      <x:c r="G18" s="149" t="str">
        <x:v>SUCCESSFUL_VERIFY</x:v>
      </x:c>
      <x:c r="H18" s="150" t="n">
        <x:v>46245.82311545139</x:v>
      </x:c>
      <x:c r="I18" s="150" t="n">
        <x:v>46256.539412060185</x:v>
      </x:c>
      <x:c r="J18" s="150" t="n">
        <x:v>46256.539412060185</x:v>
      </x:c>
      <x:c r="K18" s="151" t="n">
        <x:v>3554250</x:v>
      </x:c>
      <x:c r="L18" s="151" t="n">
        <x:v>3554250</x:v>
      </x:c>
      <x:c r="M18" s="152" t="n">
        <x:v>159</x:v>
      </x:c>
      <x:c r="N18" s="153" t="b">
        <x:v>1</x:v>
      </x:c>
      <x:c r="O18" s="153" t="b">
        <x:v>1</x:v>
      </x:c>
      <x:c r="P18" s="153" t="b">
        <x:v>1</x:v>
      </x:c>
      <x:c r="Q18" s="153" t="b">
        <x:v>1</x:v>
      </x:c>
      <x:c r="R18" s="149" t="str">
        <x:v>M0 Enterprise estricto</x:v>
      </x:c>
      <x:c r="S18" s="149" t="str">
        <x:v>sales_source Enterprise, Jeyson, primera TX y onboarding en agosto.</x:v>
      </x:c>
      <x:c r="T18" s="150" t="n">
        <x:v>46274.68445368056</x:v>
      </x:c>
    </x:row>
    <x:row r="19">
      <x:c r="A19" s="154" t="str">
        <x:v>TR2KLJUVZ6</x:v>
      </x:c>
      <x:c r="B19" s="149" t="str">
        <x:v>Droguería Farma América</x:v>
      </x:c>
      <x:c r="C19" s="149" t="str">
        <x:v>NUEVO</x:v>
      </x:c>
      <x:c r="D19" s="149" t="str">
        <x:v>ENTERPRISE</x:v>
      </x:c>
      <x:c r="E19" s="149" t="str">
        <x:v>jeyson.salazar@bold.co</x:v>
      </x:c>
      <x:c r="F19" s="149" t="str">
        <x:v>ACTIVE</x:v>
      </x:c>
      <x:c r="G19" s="149" t="str">
        <x:v>SUCCESSFUL_VERIFY</x:v>
      </x:c>
      <x:c r="H19" s="150" t="n">
        <x:v>46240.96202277778</x:v>
      </x:c>
      <x:c r="I19" s="150" t="n">
        <x:v>46247.57035436342</x:v>
      </x:c>
      <x:c r="J19" s="150" t="n">
        <x:v>46247.57035436342</x:v>
      </x:c>
      <x:c r="K19" s="151" t="n">
        <x:v>3485700</x:v>
      </x:c>
      <x:c r="L19" s="151" t="n">
        <x:v>3436885.2</x:v>
      </x:c>
      <x:c r="M19" s="152" t="n">
        <x:v>176</x:v>
      </x:c>
      <x:c r="N19" s="153" t="b">
        <x:v>1</x:v>
      </x:c>
      <x:c r="O19" s="153" t="b">
        <x:v>1</x:v>
      </x:c>
      <x:c r="P19" s="153" t="b">
        <x:v>1</x:v>
      </x:c>
      <x:c r="Q19" s="153" t="b">
        <x:v>1</x:v>
      </x:c>
      <x:c r="R19" s="149" t="str">
        <x:v>M0 Enterprise estricto</x:v>
      </x:c>
      <x:c r="S19" s="149" t="str">
        <x:v>sales_source Enterprise, Jeyson, primera TX y onboarding en agosto.</x:v>
      </x:c>
      <x:c r="T19" s="150" t="n">
        <x:v>46274.68445368056</x:v>
      </x:c>
    </x:row>
    <x:row r="20">
      <x:c r="A20" s="154" t="str">
        <x:v>BVDN5HUB7R</x:v>
      </x:c>
      <x:c r="B20" s="149" t="str">
        <x:v>SFARMA DROGUERIAS N 5 CIUDAD MONTES</x:v>
      </x:c>
      <x:c r="C20" s="149" t="str">
        <x:v>NUEVO</x:v>
      </x:c>
      <x:c r="D20" s="149" t="str">
        <x:v>ENTERPRISE</x:v>
      </x:c>
      <x:c r="E20" s="149" t="str">
        <x:v>jeyson.salazar@bold.co</x:v>
      </x:c>
      <x:c r="F20" s="149" t="str">
        <x:v>ACTIVE</x:v>
      </x:c>
      <x:c r="G20" s="149" t="str">
        <x:v>SUCCESSFUL_VERIFY</x:v>
      </x:c>
      <x:c r="H20" s="150" t="n">
        <x:v>46245.6798421875</x:v>
      </x:c>
      <x:c r="I20" s="150" t="n">
        <x:v>46256.60528033565</x:v>
      </x:c>
      <x:c r="J20" s="150" t="n">
        <x:v>46256.60528033565</x:v>
      </x:c>
      <x:c r="K20" s="151" t="n">
        <x:v>3458100</x:v>
      </x:c>
      <x:c r="L20" s="151" t="n">
        <x:v>3425326.01</x:v>
      </x:c>
      <x:c r="M20" s="152" t="n">
        <x:v>107</x:v>
      </x:c>
      <x:c r="N20" s="153" t="b">
        <x:v>1</x:v>
      </x:c>
      <x:c r="O20" s="153" t="b">
        <x:v>1</x:v>
      </x:c>
      <x:c r="P20" s="153" t="b">
        <x:v>1</x:v>
      </x:c>
      <x:c r="Q20" s="153" t="b">
        <x:v>1</x:v>
      </x:c>
      <x:c r="R20" s="149" t="str">
        <x:v>M0 Enterprise estricto</x:v>
      </x:c>
      <x:c r="S20" s="149" t="str">
        <x:v>sales_source Enterprise, Jeyson, primera TX y onboarding en agosto.</x:v>
      </x:c>
      <x:c r="T20" s="150" t="n">
        <x:v>46274.68445368056</x:v>
      </x:c>
    </x:row>
    <x:row r="21">
      <x:c r="A21" s="154" t="str">
        <x:v>J9QFIT63EE</x:v>
      </x:c>
      <x:c r="B21" s="149" t="str">
        <x:v>SFARMA DROGUERIAS N 33 ENGATIVA</x:v>
      </x:c>
      <x:c r="C21" s="149" t="str">
        <x:v>NUEVO</x:v>
      </x:c>
      <x:c r="D21" s="149" t="str">
        <x:v>ENTERPRISE</x:v>
      </x:c>
      <x:c r="E21" s="149" t="str">
        <x:v>jeyson.salazar@bold.co</x:v>
      </x:c>
      <x:c r="F21" s="149" t="str">
        <x:v>ACTIVE</x:v>
      </x:c>
      <x:c r="G21" s="149" t="str">
        <x:v>SUCCESSFUL_VERIFY</x:v>
      </x:c>
      <x:c r="H21" s="150" t="n">
        <x:v>46245.849510162036</x:v>
      </x:c>
      <x:c r="I21" s="150" t="n">
        <x:v>46256.60153535879</x:v>
      </x:c>
      <x:c r="J21" s="150" t="n">
        <x:v>46256.60153535879</x:v>
      </x:c>
      <x:c r="K21" s="151" t="n">
        <x:v>3439600</x:v>
      </x:c>
      <x:c r="L21" s="151" t="n">
        <x:v>3439600</x:v>
      </x:c>
      <x:c r="M21" s="152" t="n">
        <x:v>137</x:v>
      </x:c>
      <x:c r="N21" s="153" t="b">
        <x:v>1</x:v>
      </x:c>
      <x:c r="O21" s="153" t="b">
        <x:v>1</x:v>
      </x:c>
      <x:c r="P21" s="153" t="b">
        <x:v>1</x:v>
      </x:c>
      <x:c r="Q21" s="153" t="b">
        <x:v>1</x:v>
      </x:c>
      <x:c r="R21" s="149" t="str">
        <x:v>M0 Enterprise estricto</x:v>
      </x:c>
      <x:c r="S21" s="149" t="str">
        <x:v>sales_source Enterprise, Jeyson, primera TX y onboarding en agosto.</x:v>
      </x:c>
      <x:c r="T21" s="150" t="n">
        <x:v>46274.68445368056</x:v>
      </x:c>
    </x:row>
    <x:row r="22">
      <x:c r="A22" s="154" t="str">
        <x:v>GHYHY5RPOS</x:v>
      </x:c>
      <x:c r="B22" s="149" t="str">
        <x:v>SFARMA DROGUERIAS N 38 NIZA IX</x:v>
      </x:c>
      <x:c r="C22" s="149" t="str">
        <x:v>NUEVO</x:v>
      </x:c>
      <x:c r="D22" s="149" t="str">
        <x:v>ENTERPRISE</x:v>
      </x:c>
      <x:c r="E22" s="149" t="str">
        <x:v>jeyson.salazar@bold.co</x:v>
      </x:c>
      <x:c r="F22" s="149" t="str">
        <x:v>ACTIVE</x:v>
      </x:c>
      <x:c r="G22" s="149" t="str">
        <x:v>SUCCESSFUL_VERIFY</x:v>
      </x:c>
      <x:c r="H22" s="150" t="n">
        <x:v>46245.85632060185</x:v>
      </x:c>
      <x:c r="I22" s="150" t="n">
        <x:v>46256.660504988424</x:v>
      </x:c>
      <x:c r="J22" s="150" t="n">
        <x:v>46256.660504988424</x:v>
      </x:c>
      <x:c r="K22" s="151" t="n">
        <x:v>3258750</x:v>
      </x:c>
      <x:c r="L22" s="151" t="n">
        <x:v>3236026.14</x:v>
      </x:c>
      <x:c r="M22" s="152" t="n">
        <x:v>83</x:v>
      </x:c>
      <x:c r="N22" s="153" t="b">
        <x:v>1</x:v>
      </x:c>
      <x:c r="O22" s="153" t="b">
        <x:v>1</x:v>
      </x:c>
      <x:c r="P22" s="153" t="b">
        <x:v>1</x:v>
      </x:c>
      <x:c r="Q22" s="153" t="b">
        <x:v>1</x:v>
      </x:c>
      <x:c r="R22" s="149" t="str">
        <x:v>M0 Enterprise estricto</x:v>
      </x:c>
      <x:c r="S22" s="149" t="str">
        <x:v>sales_source Enterprise, Jeyson, primera TX y onboarding en agosto.</x:v>
      </x:c>
      <x:c r="T22" s="150" t="n">
        <x:v>46274.68445368056</x:v>
      </x:c>
    </x:row>
    <x:row r="23">
      <x:c r="A23" s="154" t="str">
        <x:v>9OYGZJX2JZ</x:v>
      </x:c>
      <x:c r="B23" s="149" t="str">
        <x:v>SFARMA DROGUERIAS N 11 GALERIAS</x:v>
      </x:c>
      <x:c r="C23" s="149" t="str">
        <x:v>NUEVO</x:v>
      </x:c>
      <x:c r="D23" s="149" t="str">
        <x:v>ENTERPRISE</x:v>
      </x:c>
      <x:c r="E23" s="149" t="str">
        <x:v>jeyson.salazar@bold.co</x:v>
      </x:c>
      <x:c r="F23" s="149" t="str">
        <x:v>ACTIVE</x:v>
      </x:c>
      <x:c r="G23" s="149" t="str">
        <x:v>SUCCESSFUL_VERIFY</x:v>
      </x:c>
      <x:c r="H23" s="150" t="n">
        <x:v>46245.78197984954</x:v>
      </x:c>
      <x:c r="I23" s="150" t="n">
        <x:v>46256.55909306713</x:v>
      </x:c>
      <x:c r="J23" s="150" t="n">
        <x:v>46256.55909306713</x:v>
      </x:c>
      <x:c r="K23" s="151" t="n">
        <x:v>3107220</x:v>
      </x:c>
      <x:c r="L23" s="151" t="n">
        <x:v>3107220</x:v>
      </x:c>
      <x:c r="M23" s="152" t="n">
        <x:v>168</x:v>
      </x:c>
      <x:c r="N23" s="153" t="b">
        <x:v>1</x:v>
      </x:c>
      <x:c r="O23" s="153" t="b">
        <x:v>1</x:v>
      </x:c>
      <x:c r="P23" s="153" t="b">
        <x:v>1</x:v>
      </x:c>
      <x:c r="Q23" s="153" t="b">
        <x:v>1</x:v>
      </x:c>
      <x:c r="R23" s="149" t="str">
        <x:v>M0 Enterprise estricto</x:v>
      </x:c>
      <x:c r="S23" s="149" t="str">
        <x:v>sales_source Enterprise, Jeyson, primera TX y onboarding en agosto.</x:v>
      </x:c>
      <x:c r="T23" s="150" t="n">
        <x:v>46274.68445368056</x:v>
      </x:c>
    </x:row>
    <x:row r="24">
      <x:c r="A24" s="154" t="str">
        <x:v>AKKHBLNCCA</x:v>
      </x:c>
      <x:c r="B24" s="149" t="str">
        <x:v>SFARMA DROGUERIAS N 37 CASTILLA</x:v>
      </x:c>
      <x:c r="C24" s="149" t="str">
        <x:v>NUEVO</x:v>
      </x:c>
      <x:c r="D24" s="149" t="str">
        <x:v>ENTERPRISE</x:v>
      </x:c>
      <x:c r="E24" s="149" t="str">
        <x:v>jeyson.salazar@bold.co</x:v>
      </x:c>
      <x:c r="F24" s="149" t="str">
        <x:v>ACTIVE</x:v>
      </x:c>
      <x:c r="G24" s="149" t="str">
        <x:v>SUCCESSFUL_VERIFY</x:v>
      </x:c>
      <x:c r="H24" s="150" t="n">
        <x:v>46245.85529989583</x:v>
      </x:c>
      <x:c r="I24" s="150" t="n">
        <x:v>46256.58156171296</x:v>
      </x:c>
      <x:c r="J24" s="150" t="n">
        <x:v>46256.58156171296</x:v>
      </x:c>
      <x:c r="K24" s="151" t="n">
        <x:v>3057200</x:v>
      </x:c>
      <x:c r="L24" s="151" t="n">
        <x:v>3057200</x:v>
      </x:c>
      <x:c r="M24" s="152" t="n">
        <x:v>137</x:v>
      </x:c>
      <x:c r="N24" s="153" t="b">
        <x:v>1</x:v>
      </x:c>
      <x:c r="O24" s="153" t="b">
        <x:v>1</x:v>
      </x:c>
      <x:c r="P24" s="153" t="b">
        <x:v>1</x:v>
      </x:c>
      <x:c r="Q24" s="153" t="b">
        <x:v>1</x:v>
      </x:c>
      <x:c r="R24" s="149" t="str">
        <x:v>M0 Enterprise estricto</x:v>
      </x:c>
      <x:c r="S24" s="149" t="str">
        <x:v>sales_source Enterprise, Jeyson, primera TX y onboarding en agosto.</x:v>
      </x:c>
      <x:c r="T24" s="150" t="n">
        <x:v>46274.68445368056</x:v>
      </x:c>
    </x:row>
    <x:row r="25">
      <x:c r="A25" s="154" t="str">
        <x:v>X12JGJK6HD</x:v>
      </x:c>
      <x:c r="B25" s="149" t="str">
        <x:v>SFARMA DROGUERIAS N 18 SOACHA</x:v>
      </x:c>
      <x:c r="C25" s="149" t="str">
        <x:v>NUEVO</x:v>
      </x:c>
      <x:c r="D25" s="149" t="str">
        <x:v>ENTERPRISE</x:v>
      </x:c>
      <x:c r="E25" s="149" t="str">
        <x:v>jeyson.salazar@bold.co</x:v>
      </x:c>
      <x:c r="F25" s="149" t="str">
        <x:v>ACTIVE</x:v>
      </x:c>
      <x:c r="G25" s="149" t="str">
        <x:v>SUCCESSFUL_VERIFY</x:v>
      </x:c>
      <x:c r="H25" s="150" t="n">
        <x:v>46245.80294555556</x:v>
      </x:c>
      <x:c r="I25" s="150" t="n">
        <x:v>46256.64320090278</x:v>
      </x:c>
      <x:c r="J25" s="150" t="n">
        <x:v>46256.64320090278</x:v>
      </x:c>
      <x:c r="K25" s="151" t="n">
        <x:v>2986700</x:v>
      </x:c>
      <x:c r="L25" s="151" t="n">
        <x:v>2986700</x:v>
      </x:c>
      <x:c r="M25" s="152" t="n">
        <x:v>146</x:v>
      </x:c>
      <x:c r="N25" s="153" t="b">
        <x:v>1</x:v>
      </x:c>
      <x:c r="O25" s="153" t="b">
        <x:v>1</x:v>
      </x:c>
      <x:c r="P25" s="153" t="b">
        <x:v>1</x:v>
      </x:c>
      <x:c r="Q25" s="153" t="b">
        <x:v>1</x:v>
      </x:c>
      <x:c r="R25" s="149" t="str">
        <x:v>M0 Enterprise estricto</x:v>
      </x:c>
      <x:c r="S25" s="149" t="str">
        <x:v>sales_source Enterprise, Jeyson, primera TX y onboarding en agosto.</x:v>
      </x:c>
      <x:c r="T25" s="150" t="n">
        <x:v>46274.68445368056</x:v>
      </x:c>
    </x:row>
    <x:row r="26">
      <x:c r="A26" s="154" t="str">
        <x:v>JWB364BYJT</x:v>
      </x:c>
      <x:c r="B26" s="149" t="str">
        <x:v>SFARMA DROGUERIAS N 31 VICTORIA</x:v>
      </x:c>
      <x:c r="C26" s="149" t="str">
        <x:v>NUEVO</x:v>
      </x:c>
      <x:c r="D26" s="149" t="str">
        <x:v>ENTERPRISE</x:v>
      </x:c>
      <x:c r="E26" s="149" t="str">
        <x:v>jeyson.salazar@bold.co</x:v>
      </x:c>
      <x:c r="F26" s="149" t="str">
        <x:v>ACTIVE</x:v>
      </x:c>
      <x:c r="G26" s="149" t="str">
        <x:v>SUCCESSFUL_VERIFY</x:v>
      </x:c>
      <x:c r="H26" s="150" t="n">
        <x:v>46245.843087800924</x:v>
      </x:c>
      <x:c r="I26" s="150" t="n">
        <x:v>46256.5902427662</x:v>
      </x:c>
      <x:c r="J26" s="150" t="n">
        <x:v>46256.5902427662</x:v>
      </x:c>
      <x:c r="K26" s="151" t="n">
        <x:v>2976950</x:v>
      </x:c>
      <x:c r="L26" s="151" t="n">
        <x:v>2976950</x:v>
      </x:c>
      <x:c r="M26" s="152" t="n">
        <x:v>112</x:v>
      </x:c>
      <x:c r="N26" s="153" t="b">
        <x:v>1</x:v>
      </x:c>
      <x:c r="O26" s="153" t="b">
        <x:v>1</x:v>
      </x:c>
      <x:c r="P26" s="153" t="b">
        <x:v>1</x:v>
      </x:c>
      <x:c r="Q26" s="153" t="b">
        <x:v>1</x:v>
      </x:c>
      <x:c r="R26" s="149" t="str">
        <x:v>M0 Enterprise estricto</x:v>
      </x:c>
      <x:c r="S26" s="149" t="str">
        <x:v>sales_source Enterprise, Jeyson, primera TX y onboarding en agosto.</x:v>
      </x:c>
      <x:c r="T26" s="150" t="n">
        <x:v>46274.68445368056</x:v>
      </x:c>
    </x:row>
    <x:row r="27">
      <x:c r="A27" s="154" t="str">
        <x:v>91VH6IUNEA</x:v>
      </x:c>
      <x:c r="B27" s="149" t="str">
        <x:v>SFARMA DROGUERIAS N 34 SAN TERESA</x:v>
      </x:c>
      <x:c r="C27" s="149" t="str">
        <x:v>NUEVO</x:v>
      </x:c>
      <x:c r="D27" s="149" t="str">
        <x:v>ENTERPRISE</x:v>
      </x:c>
      <x:c r="E27" s="149" t="str">
        <x:v>jeyson.salazar@bold.co</x:v>
      </x:c>
      <x:c r="F27" s="149" t="str">
        <x:v>ACTIVE</x:v>
      </x:c>
      <x:c r="G27" s="149" t="str">
        <x:v>SUCCESSFUL_VERIFY</x:v>
      </x:c>
      <x:c r="H27" s="150" t="n">
        <x:v>46245.84960300926</x:v>
      </x:c>
      <x:c r="I27" s="150" t="n">
        <x:v>46256.58485532407</x:v>
      </x:c>
      <x:c r="J27" s="150" t="n">
        <x:v>46256.58485532407</x:v>
      </x:c>
      <x:c r="K27" s="151" t="n">
        <x:v>2960450</x:v>
      </x:c>
      <x:c r="L27" s="151" t="n">
        <x:v>2952034.56</x:v>
      </x:c>
      <x:c r="M27" s="152" t="n">
        <x:v>115</x:v>
      </x:c>
      <x:c r="N27" s="153" t="b">
        <x:v>1</x:v>
      </x:c>
      <x:c r="O27" s="153" t="b">
        <x:v>1</x:v>
      </x:c>
      <x:c r="P27" s="153" t="b">
        <x:v>1</x:v>
      </x:c>
      <x:c r="Q27" s="153" t="b">
        <x:v>1</x:v>
      </x:c>
      <x:c r="R27" s="149" t="str">
        <x:v>M0 Enterprise estricto</x:v>
      </x:c>
      <x:c r="S27" s="149" t="str">
        <x:v>sales_source Enterprise, Jeyson, primera TX y onboarding en agosto.</x:v>
      </x:c>
      <x:c r="T27" s="150" t="n">
        <x:v>46274.68445368056</x:v>
      </x:c>
    </x:row>
    <x:row r="28">
      <x:c r="A28" s="154" t="str">
        <x:v>D3CSCWAZSN</x:v>
      </x:c>
      <x:c r="B28" s="149" t="str">
        <x:v>SFARMA DROGUERIAS N 21 TREBOLIS</x:v>
      </x:c>
      <x:c r="C28" s="149" t="str">
        <x:v>NUEVO</x:v>
      </x:c>
      <x:c r="D28" s="149" t="str">
        <x:v>ENTERPRISE</x:v>
      </x:c>
      <x:c r="E28" s="149" t="str">
        <x:v>jeyson.salazar@bold.co</x:v>
      </x:c>
      <x:c r="F28" s="149" t="str">
        <x:v>ACTIVE</x:v>
      </x:c>
      <x:c r="G28" s="149" t="str">
        <x:v>SUCCESSFUL_VERIFY</x:v>
      </x:c>
      <x:c r="H28" s="150" t="n">
        <x:v>46245.80991498843</x:v>
      </x:c>
      <x:c r="I28" s="150" t="n">
        <x:v>46255.70337540509</x:v>
      </x:c>
      <x:c r="J28" s="150" t="n">
        <x:v>46255.70337540509</x:v>
      </x:c>
      <x:c r="K28" s="151" t="n">
        <x:v>2771700</x:v>
      </x:c>
      <x:c r="L28" s="151" t="n">
        <x:v>2771700</x:v>
      </x:c>
      <x:c r="M28" s="152" t="n">
        <x:v>92</x:v>
      </x:c>
      <x:c r="N28" s="153" t="b">
        <x:v>1</x:v>
      </x:c>
      <x:c r="O28" s="153" t="b">
        <x:v>1</x:v>
      </x:c>
      <x:c r="P28" s="153" t="b">
        <x:v>1</x:v>
      </x:c>
      <x:c r="Q28" s="153" t="b">
        <x:v>1</x:v>
      </x:c>
      <x:c r="R28" s="149" t="str">
        <x:v>M0 Enterprise estricto</x:v>
      </x:c>
      <x:c r="S28" s="149" t="str">
        <x:v>sales_source Enterprise, Jeyson, primera TX y onboarding en agosto.</x:v>
      </x:c>
      <x:c r="T28" s="150" t="n">
        <x:v>46274.68445368056</x:v>
      </x:c>
    </x:row>
    <x:row r="29">
      <x:c r="A29" s="154" t="str">
        <x:v>R1MFU4VEUU</x:v>
      </x:c>
      <x:c r="B29" s="149" t="str">
        <x:v>SFARMA DROGUERIAS N 28 NORMANDIA</x:v>
      </x:c>
      <x:c r="C29" s="149" t="str">
        <x:v>NUEVO</x:v>
      </x:c>
      <x:c r="D29" s="149" t="str">
        <x:v>ENTERPRISE</x:v>
      </x:c>
      <x:c r="E29" s="149" t="str">
        <x:v>jeyson.salazar@bold.co</x:v>
      </x:c>
      <x:c r="F29" s="149" t="str">
        <x:v>ACTIVE</x:v>
      </x:c>
      <x:c r="G29" s="149" t="str">
        <x:v>SUCCESSFUL_VERIFY</x:v>
      </x:c>
      <x:c r="H29" s="150" t="n">
        <x:v>46245.83493413194</x:v>
      </x:c>
      <x:c r="I29" s="150" t="n">
        <x:v>46256.61793910879</x:v>
      </x:c>
      <x:c r="J29" s="150" t="n">
        <x:v>46256.61793910879</x:v>
      </x:c>
      <x:c r="K29" s="151" t="n">
        <x:v>2585800</x:v>
      </x:c>
      <x:c r="L29" s="151" t="n">
        <x:v>2585800</x:v>
      </x:c>
      <x:c r="M29" s="152" t="n">
        <x:v>125</x:v>
      </x:c>
      <x:c r="N29" s="153" t="b">
        <x:v>1</x:v>
      </x:c>
      <x:c r="O29" s="153" t="b">
        <x:v>1</x:v>
      </x:c>
      <x:c r="P29" s="153" t="b">
        <x:v>1</x:v>
      </x:c>
      <x:c r="Q29" s="153" t="b">
        <x:v>1</x:v>
      </x:c>
      <x:c r="R29" s="149" t="str">
        <x:v>M0 Enterprise estricto</x:v>
      </x:c>
      <x:c r="S29" s="149" t="str">
        <x:v>sales_source Enterprise, Jeyson, primera TX y onboarding en agosto.</x:v>
      </x:c>
      <x:c r="T29" s="150" t="n">
        <x:v>46274.68445368056</x:v>
      </x:c>
    </x:row>
    <x:row r="30">
      <x:c r="A30" s="154" t="str">
        <x:v>VS2MRZDVZL</x:v>
      </x:c>
      <x:c r="B30" s="149" t="str">
        <x:v>SFARMA DROGUERIAS N 10 VILLA CLAUDIA</x:v>
      </x:c>
      <x:c r="C30" s="149" t="str">
        <x:v>NUEVO</x:v>
      </x:c>
      <x:c r="D30" s="149" t="str">
        <x:v>ENTERPRISE</x:v>
      </x:c>
      <x:c r="E30" s="149" t="str">
        <x:v>jeyson.salazar@bold.co</x:v>
      </x:c>
      <x:c r="F30" s="149" t="str">
        <x:v>ACTIVE</x:v>
      </x:c>
      <x:c r="G30" s="149" t="str">
        <x:v>SUCCESSFUL_VERIFY</x:v>
      </x:c>
      <x:c r="H30" s="150" t="n">
        <x:v>46245.772928900464</x:v>
      </x:c>
      <x:c r="I30" s="150" t="n">
        <x:v>46255.701687326386</x:v>
      </x:c>
      <x:c r="J30" s="150" t="n">
        <x:v>46255.701687326386</x:v>
      </x:c>
      <x:c r="K30" s="151" t="n">
        <x:v>2511050</x:v>
      </x:c>
      <x:c r="L30" s="151" t="n">
        <x:v>2511050</x:v>
      </x:c>
      <x:c r="M30" s="152" t="n">
        <x:v>122</x:v>
      </x:c>
      <x:c r="N30" s="153" t="b">
        <x:v>1</x:v>
      </x:c>
      <x:c r="O30" s="153" t="b">
        <x:v>1</x:v>
      </x:c>
      <x:c r="P30" s="153" t="b">
        <x:v>1</x:v>
      </x:c>
      <x:c r="Q30" s="153" t="b">
        <x:v>1</x:v>
      </x:c>
      <x:c r="R30" s="149" t="str">
        <x:v>M0 Enterprise estricto</x:v>
      </x:c>
      <x:c r="S30" s="149" t="str">
        <x:v>sales_source Enterprise, Jeyson, primera TX y onboarding en agosto.</x:v>
      </x:c>
      <x:c r="T30" s="150" t="n">
        <x:v>46274.68445368056</x:v>
      </x:c>
    </x:row>
    <x:row r="31">
      <x:c r="A31" s="154" t="str">
        <x:v>IFZJ8WSLSE</x:v>
      </x:c>
      <x:c r="B31" s="149" t="str">
        <x:v>SFARMA DROGUERIAS N 12 LA GLORIA</x:v>
      </x:c>
      <x:c r="C31" s="149" t="str">
        <x:v>NUEVO</x:v>
      </x:c>
      <x:c r="D31" s="149" t="str">
        <x:v>ENTERPRISE</x:v>
      </x:c>
      <x:c r="E31" s="149" t="str">
        <x:v>jeyson.salazar@bold.co</x:v>
      </x:c>
      <x:c r="F31" s="149" t="str">
        <x:v>ACTIVE</x:v>
      </x:c>
      <x:c r="G31" s="149" t="str">
        <x:v>SUCCESSFUL_VERIFY</x:v>
      </x:c>
      <x:c r="H31" s="150" t="n">
        <x:v>46245.78220657408</x:v>
      </x:c>
      <x:c r="I31" s="150" t="n">
        <x:v>46256.607768333335</x:v>
      </x:c>
      <x:c r="J31" s="150" t="n">
        <x:v>46256.607768333335</x:v>
      </x:c>
      <x:c r="K31" s="151" t="n">
        <x:v>2446400</x:v>
      </x:c>
      <x:c r="L31" s="151" t="n">
        <x:v>2446400</x:v>
      </x:c>
      <x:c r="M31" s="152" t="n">
        <x:v>99</x:v>
      </x:c>
      <x:c r="N31" s="153" t="b">
        <x:v>1</x:v>
      </x:c>
      <x:c r="O31" s="153" t="b">
        <x:v>1</x:v>
      </x:c>
      <x:c r="P31" s="153" t="b">
        <x:v>1</x:v>
      </x:c>
      <x:c r="Q31" s="153" t="b">
        <x:v>1</x:v>
      </x:c>
      <x:c r="R31" s="149" t="str">
        <x:v>M0 Enterprise estricto</x:v>
      </x:c>
      <x:c r="S31" s="149" t="str">
        <x:v>sales_source Enterprise, Jeyson, primera TX y onboarding en agosto.</x:v>
      </x:c>
      <x:c r="T31" s="150" t="n">
        <x:v>46274.68445368056</x:v>
      </x:c>
    </x:row>
    <x:row r="32">
      <x:c r="A32" s="154" t="str">
        <x:v>6T666ZC1PC</x:v>
      </x:c>
      <x:c r="B32" s="149" t="str">
        <x:v>SFARMA DROGUERIAS N 19 GRAN GRANADA</x:v>
      </x:c>
      <x:c r="C32" s="149" t="str">
        <x:v>NUEVO</x:v>
      </x:c>
      <x:c r="D32" s="149" t="str">
        <x:v>ENTERPRISE</x:v>
      </x:c>
      <x:c r="E32" s="149" t="str">
        <x:v>jeyson.salazar@bold.co</x:v>
      </x:c>
      <x:c r="F32" s="149" t="str">
        <x:v>ACTIVE</x:v>
      </x:c>
      <x:c r="G32" s="149" t="str">
        <x:v>SUCCESSFUL_VERIFY</x:v>
      </x:c>
      <x:c r="H32" s="150" t="n">
        <x:v>46245.80423224537</x:v>
      </x:c>
      <x:c r="I32" s="150" t="n">
        <x:v>46256.527873113424</x:v>
      </x:c>
      <x:c r="J32" s="150" t="n">
        <x:v>46256.527873113424</x:v>
      </x:c>
      <x:c r="K32" s="151" t="n">
        <x:v>2364300</x:v>
      </x:c>
      <x:c r="L32" s="151" t="n">
        <x:v>2364300</x:v>
      </x:c>
      <x:c r="M32" s="152" t="n">
        <x:v>115</x:v>
      </x:c>
      <x:c r="N32" s="153" t="b">
        <x:v>1</x:v>
      </x:c>
      <x:c r="O32" s="153" t="b">
        <x:v>1</x:v>
      </x:c>
      <x:c r="P32" s="153" t="b">
        <x:v>1</x:v>
      </x:c>
      <x:c r="Q32" s="153" t="b">
        <x:v>1</x:v>
      </x:c>
      <x:c r="R32" s="149" t="str">
        <x:v>M0 Enterprise estricto</x:v>
      </x:c>
      <x:c r="S32" s="149" t="str">
        <x:v>sales_source Enterprise, Jeyson, primera TX y onboarding en agosto.</x:v>
      </x:c>
      <x:c r="T32" s="150" t="n">
        <x:v>46274.68445368056</x:v>
      </x:c>
    </x:row>
    <x:row r="33">
      <x:c r="A33" s="154" t="str">
        <x:v>AVGU6FEYZ7</x:v>
      </x:c>
      <x:c r="B33" s="149" t="str">
        <x:v>SFARMA DROGUERIAS N 13 VERAGUAS</x:v>
      </x:c>
      <x:c r="C33" s="149" t="str">
        <x:v>NUEVO</x:v>
      </x:c>
      <x:c r="D33" s="149" t="str">
        <x:v>ENTERPRISE</x:v>
      </x:c>
      <x:c r="E33" s="149" t="str">
        <x:v>jeyson.salazar@bold.co</x:v>
      </x:c>
      <x:c r="F33" s="149" t="str">
        <x:v>ACTIVE</x:v>
      </x:c>
      <x:c r="G33" s="149" t="str">
        <x:v>SUCCESSFUL_VERIFY</x:v>
      </x:c>
      <x:c r="H33" s="150" t="n">
        <x:v>46245.78781234954</x:v>
      </x:c>
      <x:c r="I33" s="150" t="n">
        <x:v>46256.5721006713</x:v>
      </x:c>
      <x:c r="J33" s="150" t="n">
        <x:v>46256.5721006713</x:v>
      </x:c>
      <x:c r="K33" s="151" t="n">
        <x:v>2312500</x:v>
      </x:c>
      <x:c r="L33" s="151" t="n">
        <x:v>2312500</x:v>
      </x:c>
      <x:c r="M33" s="152" t="n">
        <x:v>91</x:v>
      </x:c>
      <x:c r="N33" s="153" t="b">
        <x:v>1</x:v>
      </x:c>
      <x:c r="O33" s="153" t="b">
        <x:v>1</x:v>
      </x:c>
      <x:c r="P33" s="153" t="b">
        <x:v>1</x:v>
      </x:c>
      <x:c r="Q33" s="153" t="b">
        <x:v>1</x:v>
      </x:c>
      <x:c r="R33" s="149" t="str">
        <x:v>M0 Enterprise estricto</x:v>
      </x:c>
      <x:c r="S33" s="149" t="str">
        <x:v>sales_source Enterprise, Jeyson, primera TX y onboarding en agosto.</x:v>
      </x:c>
      <x:c r="T33" s="150" t="n">
        <x:v>46274.68445368056</x:v>
      </x:c>
    </x:row>
    <x:row r="34">
      <x:c r="A34" s="154" t="str">
        <x:v>54LXJZBNZ9</x:v>
      </x:c>
      <x:c r="B34" s="149" t="str">
        <x:v>SFARMA DROGUERIAS N 2 PATIO BONITO</x:v>
      </x:c>
      <x:c r="C34" s="149" t="str">
        <x:v>NUEVO</x:v>
      </x:c>
      <x:c r="D34" s="149" t="str">
        <x:v>ENTERPRISE</x:v>
      </x:c>
      <x:c r="E34" s="149" t="str">
        <x:v>jeyson.salazar@bold.co</x:v>
      </x:c>
      <x:c r="F34" s="149" t="str">
        <x:v>ACTIVE</x:v>
      </x:c>
      <x:c r="G34" s="149" t="str">
        <x:v>SUCCESSFUL_VERIFY</x:v>
      </x:c>
      <x:c r="H34" s="150" t="n">
        <x:v>46245.663500625</x:v>
      </x:c>
      <x:c r="I34" s="150" t="n">
        <x:v>46256.682464756945</x:v>
      </x:c>
      <x:c r="J34" s="150" t="n">
        <x:v>46256.682464756945</x:v>
      </x:c>
      <x:c r="K34" s="151" t="n">
        <x:v>2106350</x:v>
      </x:c>
      <x:c r="L34" s="151" t="n">
        <x:v>2105654.97</x:v>
      </x:c>
      <x:c r="M34" s="152" t="n">
        <x:v>81</x:v>
      </x:c>
      <x:c r="N34" s="153" t="b">
        <x:v>1</x:v>
      </x:c>
      <x:c r="O34" s="153" t="b">
        <x:v>1</x:v>
      </x:c>
      <x:c r="P34" s="153" t="b">
        <x:v>1</x:v>
      </x:c>
      <x:c r="Q34" s="153" t="b">
        <x:v>1</x:v>
      </x:c>
      <x:c r="R34" s="149" t="str">
        <x:v>M0 Enterprise estricto</x:v>
      </x:c>
      <x:c r="S34" s="149" t="str">
        <x:v>sales_source Enterprise, Jeyson, primera TX y onboarding en agosto.</x:v>
      </x:c>
      <x:c r="T34" s="150" t="n">
        <x:v>46274.68445368056</x:v>
      </x:c>
    </x:row>
    <x:row r="35">
      <x:c r="A35" s="154" t="str">
        <x:v>NIV028B3MZ</x:v>
      </x:c>
      <x:c r="B35" s="149" t="str">
        <x:v>SFARMA DROGUERIAS N 7 SANTA LIBRADA</x:v>
      </x:c>
      <x:c r="C35" s="149" t="str">
        <x:v>NUEVO</x:v>
      </x:c>
      <x:c r="D35" s="149" t="str">
        <x:v>ENTERPRISE</x:v>
      </x:c>
      <x:c r="E35" s="149" t="str">
        <x:v>jeyson.salazar@bold.co</x:v>
      </x:c>
      <x:c r="F35" s="149" t="str">
        <x:v>ACTIVE</x:v>
      </x:c>
      <x:c r="G35" s="149" t="str">
        <x:v>SUCCESSFUL_VERIFY</x:v>
      </x:c>
      <x:c r="H35" s="150" t="n">
        <x:v>46245.764141747684</x:v>
      </x:c>
      <x:c r="I35" s="150" t="n">
        <x:v>46256.58805841435</x:v>
      </x:c>
      <x:c r="J35" s="150" t="n">
        <x:v>46256.58805841435</x:v>
      </x:c>
      <x:c r="K35" s="151" t="n">
        <x:v>2006100</x:v>
      </x:c>
      <x:c r="L35" s="151" t="n">
        <x:v>2006100</x:v>
      </x:c>
      <x:c r="M35" s="152" t="n">
        <x:v>72</x:v>
      </x:c>
      <x:c r="N35" s="153" t="b">
        <x:v>1</x:v>
      </x:c>
      <x:c r="O35" s="153" t="b">
        <x:v>1</x:v>
      </x:c>
      <x:c r="P35" s="153" t="b">
        <x:v>1</x:v>
      </x:c>
      <x:c r="Q35" s="153" t="b">
        <x:v>1</x:v>
      </x:c>
      <x:c r="R35" s="149" t="str">
        <x:v>M0 Enterprise estricto</x:v>
      </x:c>
      <x:c r="S35" s="149" t="str">
        <x:v>sales_source Enterprise, Jeyson, primera TX y onboarding en agosto.</x:v>
      </x:c>
      <x:c r="T35" s="150" t="n">
        <x:v>46274.68445368056</x:v>
      </x:c>
    </x:row>
    <x:row r="36">
      <x:c r="A36" s="154" t="str">
        <x:v>RINNZMPT6N</x:v>
      </x:c>
      <x:c r="B36" s="149" t="str">
        <x:v>SFARMA DROGUERIAS N 30 SUBA</x:v>
      </x:c>
      <x:c r="C36" s="149" t="str">
        <x:v>NUEVO</x:v>
      </x:c>
      <x:c r="D36" s="149" t="str">
        <x:v>ENTERPRISE</x:v>
      </x:c>
      <x:c r="E36" s="149" t="str">
        <x:v>jeyson.salazar@bold.co</x:v>
      </x:c>
      <x:c r="F36" s="149" t="str">
        <x:v>ACTIVE</x:v>
      </x:c>
      <x:c r="G36" s="149" t="str">
        <x:v>SUCCESSFUL_VERIFY</x:v>
      </x:c>
      <x:c r="H36" s="150" t="n">
        <x:v>46245.83824571759</x:v>
      </x:c>
      <x:c r="I36" s="150" t="n">
        <x:v>46256.55602388889</x:v>
      </x:c>
      <x:c r="J36" s="150" t="n">
        <x:v>46256.55602388889</x:v>
      </x:c>
      <x:c r="K36" s="151" t="n">
        <x:v>1885800</x:v>
      </x:c>
      <x:c r="L36" s="151" t="n">
        <x:v>1885800</x:v>
      </x:c>
      <x:c r="M36" s="152" t="n">
        <x:v>135</x:v>
      </x:c>
      <x:c r="N36" s="153" t="b">
        <x:v>1</x:v>
      </x:c>
      <x:c r="O36" s="153" t="b">
        <x:v>1</x:v>
      </x:c>
      <x:c r="P36" s="153" t="b">
        <x:v>1</x:v>
      </x:c>
      <x:c r="Q36" s="153" t="b">
        <x:v>1</x:v>
      </x:c>
      <x:c r="R36" s="149" t="str">
        <x:v>M0 Enterprise estricto</x:v>
      </x:c>
      <x:c r="S36" s="149" t="str">
        <x:v>sales_source Enterprise, Jeyson, primera TX y onboarding en agosto.</x:v>
      </x:c>
      <x:c r="T36" s="150" t="n">
        <x:v>46274.68445368056</x:v>
      </x:c>
    </x:row>
    <x:row r="37">
      <x:c r="A37" s="154" t="str">
        <x:v>HW9F3DLU6Y</x:v>
      </x:c>
      <x:c r="B37" s="149" t="str">
        <x:v>SFARMA DROGUERIAS N 17 BELEN</x:v>
      </x:c>
      <x:c r="C37" s="149" t="str">
        <x:v>NUEVO</x:v>
      </x:c>
      <x:c r="D37" s="149" t="str">
        <x:v>ENTERPRISE</x:v>
      </x:c>
      <x:c r="E37" s="149" t="str">
        <x:v>jeyson.salazar@bold.co</x:v>
      </x:c>
      <x:c r="F37" s="149" t="str">
        <x:v>ACTIVE</x:v>
      </x:c>
      <x:c r="G37" s="149" t="str">
        <x:v>SUCCESSFUL_VERIFY</x:v>
      </x:c>
      <x:c r="H37" s="150" t="n">
        <x:v>46245.80291679398</x:v>
      </x:c>
      <x:c r="I37" s="150" t="n">
        <x:v>46256.56683740741</x:v>
      </x:c>
      <x:c r="J37" s="150" t="n">
        <x:v>46256.56683740741</x:v>
      </x:c>
      <x:c r="K37" s="151" t="n">
        <x:v>1845000</x:v>
      </x:c>
      <x:c r="L37" s="151" t="n">
        <x:v>1845000</x:v>
      </x:c>
      <x:c r="M37" s="152" t="n">
        <x:v>80</x:v>
      </x:c>
      <x:c r="N37" s="153" t="b">
        <x:v>1</x:v>
      </x:c>
      <x:c r="O37" s="153" t="b">
        <x:v>1</x:v>
      </x:c>
      <x:c r="P37" s="153" t="b">
        <x:v>1</x:v>
      </x:c>
      <x:c r="Q37" s="153" t="b">
        <x:v>1</x:v>
      </x:c>
      <x:c r="R37" s="149" t="str">
        <x:v>M0 Enterprise estricto</x:v>
      </x:c>
      <x:c r="S37" s="149" t="str">
        <x:v>sales_source Enterprise, Jeyson, primera TX y onboarding en agosto.</x:v>
      </x:c>
      <x:c r="T37" s="150" t="n">
        <x:v>46274.68445368056</x:v>
      </x:c>
    </x:row>
    <x:row r="38">
      <x:c r="A38" s="154" t="str">
        <x:v>3CH8FBJ9AN</x:v>
      </x:c>
      <x:c r="B38" s="149" t="str">
        <x:v>SFARMA DROGUERIAS N 23 SAN CRISTOBAL</x:v>
      </x:c>
      <x:c r="C38" s="149" t="str">
        <x:v>NUEVO</x:v>
      </x:c>
      <x:c r="D38" s="149" t="str">
        <x:v>ENTERPRISE</x:v>
      </x:c>
      <x:c r="E38" s="149" t="str">
        <x:v>jeyson.salazar@bold.co</x:v>
      </x:c>
      <x:c r="F38" s="149" t="str">
        <x:v>ACTIVE</x:v>
      </x:c>
      <x:c r="G38" s="149" t="str">
        <x:v>SUCCESSFUL_VERIFY</x:v>
      </x:c>
      <x:c r="H38" s="150" t="n">
        <x:v>46245.815542337965</x:v>
      </x:c>
      <x:c r="I38" s="150" t="n">
        <x:v>46256.568702233795</x:v>
      </x:c>
      <x:c r="J38" s="150" t="n">
        <x:v>46256.568702233795</x:v>
      </x:c>
      <x:c r="K38" s="151" t="n">
        <x:v>1640700</x:v>
      </x:c>
      <x:c r="L38" s="151" t="n">
        <x:v>1640700</x:v>
      </x:c>
      <x:c r="M38" s="152" t="n">
        <x:v>65</x:v>
      </x:c>
      <x:c r="N38" s="153" t="b">
        <x:v>1</x:v>
      </x:c>
      <x:c r="O38" s="153" t="b">
        <x:v>1</x:v>
      </x:c>
      <x:c r="P38" s="153" t="b">
        <x:v>1</x:v>
      </x:c>
      <x:c r="Q38" s="153" t="b">
        <x:v>1</x:v>
      </x:c>
      <x:c r="R38" s="149" t="str">
        <x:v>M0 Enterprise estricto</x:v>
      </x:c>
      <x:c r="S38" s="149" t="str">
        <x:v>sales_source Enterprise, Jeyson, primera TX y onboarding en agosto.</x:v>
      </x:c>
      <x:c r="T38" s="150" t="n">
        <x:v>46274.68445368056</x:v>
      </x:c>
    </x:row>
    <x:row r="39">
      <x:c r="A39" s="154" t="str">
        <x:v>LNZJWX2CJM</x:v>
      </x:c>
      <x:c r="B39" s="149" t="str">
        <x:v>SFARMA DROGUERIAS N 29 ZIPAQUIRA</x:v>
      </x:c>
      <x:c r="C39" s="149" t="str">
        <x:v>NUEVO</x:v>
      </x:c>
      <x:c r="D39" s="149" t="str">
        <x:v>ENTERPRISE</x:v>
      </x:c>
      <x:c r="E39" s="149" t="str">
        <x:v>jeyson.salazar@bold.co</x:v>
      </x:c>
      <x:c r="F39" s="149" t="str">
        <x:v>ACTIVE</x:v>
      </x:c>
      <x:c r="G39" s="149" t="str">
        <x:v>SUCCESSFUL_VERIFY</x:v>
      </x:c>
      <x:c r="H39" s="150" t="n">
        <x:v>46245.83615673611</x:v>
      </x:c>
      <x:c r="I39" s="150" t="n">
        <x:v>46256.57952288195</x:v>
      </x:c>
      <x:c r="J39" s="150" t="n">
        <x:v>46256.57952288195</x:v>
      </x:c>
      <x:c r="K39" s="151" t="n">
        <x:v>1264500</x:v>
      </x:c>
      <x:c r="L39" s="151" t="n">
        <x:v>1264500</x:v>
      </x:c>
      <x:c r="M39" s="152" t="n">
        <x:v>58</x:v>
      </x:c>
      <x:c r="N39" s="153" t="b">
        <x:v>1</x:v>
      </x:c>
      <x:c r="O39" s="153" t="b">
        <x:v>1</x:v>
      </x:c>
      <x:c r="P39" s="153" t="b">
        <x:v>1</x:v>
      </x:c>
      <x:c r="Q39" s="153" t="b">
        <x:v>1</x:v>
      </x:c>
      <x:c r="R39" s="149" t="str">
        <x:v>M0 Enterprise estricto</x:v>
      </x:c>
      <x:c r="S39" s="149" t="str">
        <x:v>sales_source Enterprise, Jeyson, primera TX y onboarding en agosto.</x:v>
      </x:c>
      <x:c r="T39" s="150" t="n">
        <x:v>46274.68445368056</x:v>
      </x:c>
    </x:row>
    <x:row r="40">
      <x:c r="A40" s="154" t="str">
        <x:v>OL7HSSUC3Q</x:v>
      </x:c>
      <x:c r="B40" s="149" t="str">
        <x:v>SFARMA DROGUERIAS N 22 CEDRITOS</x:v>
      </x:c>
      <x:c r="C40" s="149" t="str">
        <x:v>NUEVO</x:v>
      </x:c>
      <x:c r="D40" s="149" t="str">
        <x:v>ENTERPRISE</x:v>
      </x:c>
      <x:c r="E40" s="149" t="str">
        <x:v>jeyson.salazar@bold.co</x:v>
      </x:c>
      <x:c r="F40" s="149" t="str">
        <x:v>ACTIVE</x:v>
      </x:c>
      <x:c r="G40" s="149" t="str">
        <x:v>SUCCESSFUL_VERIFY</x:v>
      </x:c>
      <x:c r="H40" s="150" t="n">
        <x:v>46245.95092604167</x:v>
      </x:c>
      <x:c r="I40" s="150" t="n">
        <x:v>46256.65952234954</x:v>
      </x:c>
      <x:c r="J40" s="150" t="n">
        <x:v>46256.65952234954</x:v>
      </x:c>
      <x:c r="K40" s="151" t="n">
        <x:v>1041200</x:v>
      </x:c>
      <x:c r="L40" s="151" t="n">
        <x:v>1028546.9</x:v>
      </x:c>
      <x:c r="M40" s="152" t="n">
        <x:v>42</x:v>
      </x:c>
      <x:c r="N40" s="153" t="b">
        <x:v>1</x:v>
      </x:c>
      <x:c r="O40" s="153" t="b">
        <x:v>1</x:v>
      </x:c>
      <x:c r="P40" s="153" t="b">
        <x:v>1</x:v>
      </x:c>
      <x:c r="Q40" s="153" t="b">
        <x:v>1</x:v>
      </x:c>
      <x:c r="R40" s="149" t="str">
        <x:v>M0 Enterprise estricto</x:v>
      </x:c>
      <x:c r="S40" s="149" t="str">
        <x:v>sales_source Enterprise, Jeyson, primera TX y onboarding en agosto.</x:v>
      </x:c>
      <x:c r="T40" s="150" t="n">
        <x:v>46274.68445368056</x:v>
      </x:c>
    </x:row>
    <x:row r="41">
      <x:c r="A41" s="154" t="str">
        <x:v>NFBG4DGNTU</x:v>
      </x:c>
      <x:c r="B41" s="149" t="str">
        <x:v>SFARMA DROGUERIAS N 15 ALCALA</x:v>
      </x:c>
      <x:c r="C41" s="149" t="str">
        <x:v>NUEVO</x:v>
      </x:c>
      <x:c r="D41" s="149" t="str">
        <x:v>ENTERPRISE</x:v>
      </x:c>
      <x:c r="E41" s="149" t="str">
        <x:v>jeyson.salazar@bold.co</x:v>
      </x:c>
      <x:c r="F41" s="149" t="str">
        <x:v>ACTIVE</x:v>
      </x:c>
      <x:c r="G41" s="149" t="str">
        <x:v>SUCCESSFUL_VERIFY</x:v>
      </x:c>
      <x:c r="H41" s="150" t="n">
        <x:v>46245.79419197917</x:v>
      </x:c>
      <x:c r="I41" s="150" t="n">
        <x:v>46256.67037258102</x:v>
      </x:c>
      <x:c r="J41" s="150" t="n">
        <x:v>46256.67037258102</x:v>
      </x:c>
      <x:c r="K41" s="151" t="n">
        <x:v>981340</x:v>
      </x:c>
      <x:c r="L41" s="151" t="n">
        <x:v>981340</x:v>
      </x:c>
      <x:c r="M41" s="152" t="n">
        <x:v>60</x:v>
      </x:c>
      <x:c r="N41" s="153" t="b">
        <x:v>1</x:v>
      </x:c>
      <x:c r="O41" s="153" t="b">
        <x:v>1</x:v>
      </x:c>
      <x:c r="P41" s="153" t="b">
        <x:v>1</x:v>
      </x:c>
      <x:c r="Q41" s="153" t="b">
        <x:v>1</x:v>
      </x:c>
      <x:c r="R41" s="149" t="str">
        <x:v>M0 Enterprise estricto</x:v>
      </x:c>
      <x:c r="S41" s="149" t="str">
        <x:v>sales_source Enterprise, Jeyson, primera TX y onboarding en agosto.</x:v>
      </x:c>
      <x:c r="T41" s="150" t="n">
        <x:v>46274.68445368056</x:v>
      </x:c>
    </x:row>
    <x:row r="42">
      <x:c r="A42" s="154" t="str">
        <x:v>75H2G3UNCN</x:v>
      </x:c>
      <x:c r="B42" s="149" t="str">
        <x:v>Farmacenter mi farma</x:v>
      </x:c>
      <x:c r="C42" s="149" t="str">
        <x:v>NO NUEVO</x:v>
      </x:c>
      <x:c r="D42" s="149" t="str">
        <x:v>ENTERPRISE</x:v>
      </x:c>
      <x:c r="E42" s="149" t="str">
        <x:v>jeyson.salazar@bold.co</x:v>
      </x:c>
      <x:c r="F42" s="149" t="str">
        <x:v>ACTIVE</x:v>
      </x:c>
      <x:c r="G42" s="149" t="str">
        <x:v>SUCCESSFUL_VERIFY</x:v>
      </x:c>
      <x:c r="H42" s="150" t="n">
        <x:v>45254.01785405092</x:v>
      </x:c>
      <x:c r="I42" s="150" t="n">
        <x:v>46253.78628517361</x:v>
      </x:c>
      <x:c r="J42" s="150" t="n">
        <x:v>46253.78628517361</x:v>
      </x:c>
      <x:c r="K42" s="151" t="n">
        <x:v>956600</x:v>
      </x:c>
      <x:c r="L42" s="151" t="n">
        <x:v>920604.37</x:v>
      </x:c>
      <x:c r="M42" s="152" t="n">
        <x:v>29</x:v>
      </x:c>
      <x:c r="N42" s="153" t="b">
        <x:v>1</x:v>
      </x:c>
      <x:c r="O42" s="153" t="b">
        <x:v>1</x:v>
      </x:c>
      <x:c r="P42" s="153" t="b">
        <x:v>1</x:v>
      </x:c>
      <x:c r="Q42" s="153" t="b">
        <x:v>0</x:v>
      </x:c>
      <x:c r="R42" s="149" t="str">
        <x:v>M0 transaccional Enterprise pendiente</x:v>
      </x:c>
      <x:c r="S42" s="149" t="str">
        <x:v>Primera TX en agosto, pero onboarding anterior o no disponible.</x:v>
      </x:c>
      <x:c r="T42" s="150" t="n">
        <x:v>46274.68445368056</x:v>
      </x:c>
    </x:row>
    <x:row r="43">
      <x:c r="A43" s="154" t="str">
        <x:v>Z1OH7VNMNP</x:v>
      </x:c>
      <x:c r="B43" s="149" t="str">
        <x:v>SFARMA DROGUERIAS N 25 MONTERREY</x:v>
      </x:c>
      <x:c r="C43" s="149" t="str">
        <x:v>NUEVO</x:v>
      </x:c>
      <x:c r="D43" s="149" t="str">
        <x:v>ENTERPRISE</x:v>
      </x:c>
      <x:c r="E43" s="149" t="str">
        <x:v>jeyson.salazar@bold.co</x:v>
      </x:c>
      <x:c r="F43" s="149" t="str">
        <x:v>ACTIVE</x:v>
      </x:c>
      <x:c r="G43" s="149" t="str">
        <x:v>SUCCESSFUL_VERIFY</x:v>
      </x:c>
      <x:c r="H43" s="150" t="n">
        <x:v>46245.8236796412</x:v>
      </x:c>
      <x:c r="I43" s="150" t="n">
        <x:v>46257.00928701389</x:v>
      </x:c>
      <x:c r="J43" s="150" t="n">
        <x:v>46257.00928701389</x:v>
      </x:c>
      <x:c r="K43" s="151" t="n">
        <x:v>894800</x:v>
      </x:c>
      <x:c r="L43" s="151" t="n">
        <x:v>894800</x:v>
      </x:c>
      <x:c r="M43" s="152" t="n">
        <x:v>43</x:v>
      </x:c>
      <x:c r="N43" s="153" t="b">
        <x:v>1</x:v>
      </x:c>
      <x:c r="O43" s="153" t="b">
        <x:v>1</x:v>
      </x:c>
      <x:c r="P43" s="153" t="b">
        <x:v>1</x:v>
      </x:c>
      <x:c r="Q43" s="153" t="b">
        <x:v>1</x:v>
      </x:c>
      <x:c r="R43" s="149" t="str">
        <x:v>M0 Enterprise estricto</x:v>
      </x:c>
      <x:c r="S43" s="149" t="str">
        <x:v>sales_source Enterprise, Jeyson, primera TX y onboarding en agosto.</x:v>
      </x:c>
      <x:c r="T43" s="150" t="n">
        <x:v>46274.68445368056</x:v>
      </x:c>
    </x:row>
    <x:row r="44">
      <x:c r="A44" s="154" t="str">
        <x:v>O1ZWI9P1IS</x:v>
      </x:c>
      <x:c r="B44" s="149" t="str">
        <x:v>FARMAPRECIOS NUEVE MACHETA</x:v>
      </x:c>
      <x:c r="C44" s="149" t="str">
        <x:v>NUEVO</x:v>
      </x:c>
      <x:c r="D44" s="149" t="str">
        <x:v>ENTERPRISE</x:v>
      </x:c>
      <x:c r="E44" s="149" t="str">
        <x:v>jeyson.salazar@bold.co</x:v>
      </x:c>
      <x:c r="F44" s="149" t="str">
        <x:v>ACTIVE</x:v>
      </x:c>
      <x:c r="G44" s="149" t="str">
        <x:v>SUCCESSFUL_VERIFY</x:v>
      </x:c>
      <x:c r="H44" s="150" t="n">
        <x:v>46262.62289569445</x:v>
      </x:c>
      <x:c r="I44" s="150" t="n">
        <x:v>46263.54369349537</x:v>
      </x:c>
      <x:c r="J44" s="150" t="n">
        <x:v>46263.54369349537</x:v>
      </x:c>
      <x:c r="K44" s="151" t="n">
        <x:v>711100</x:v>
      </x:c>
      <x:c r="L44" s="151" t="n">
        <x:v>690912.55</x:v>
      </x:c>
      <x:c r="M44" s="152" t="n">
        <x:v>10</x:v>
      </x:c>
      <x:c r="N44" s="153" t="b">
        <x:v>1</x:v>
      </x:c>
      <x:c r="O44" s="153" t="b">
        <x:v>1</x:v>
      </x:c>
      <x:c r="P44" s="153" t="b">
        <x:v>1</x:v>
      </x:c>
      <x:c r="Q44" s="153" t="b">
        <x:v>1</x:v>
      </x:c>
      <x:c r="R44" s="149" t="str">
        <x:v>M0 Enterprise estricto</x:v>
      </x:c>
      <x:c r="S44" s="149" t="str">
        <x:v>sales_source Enterprise, Jeyson, primera TX y onboarding en agosto.</x:v>
      </x:c>
      <x:c r="T44" s="150" t="n">
        <x:v>46274.68445368056</x:v>
      </x:c>
    </x:row>
    <x:row r="45">
      <x:c r="A45" s="154" t="str">
        <x:v>VXJZXFZCK5</x:v>
      </x:c>
      <x:c r="B45" s="149" t="str">
        <x:v>DROGUERIA BULEVAR NIZA</x:v>
      </x:c>
      <x:c r="C45" s="149" t="str">
        <x:v>NUEVO</x:v>
      </x:c>
      <x:c r="D45" s="149" t="str">
        <x:v>ENTERPRISE</x:v>
      </x:c>
      <x:c r="E45" s="149" t="str">
        <x:v>jeyson.salazar@bold.co</x:v>
      </x:c>
      <x:c r="F45" s="149" t="str">
        <x:v>ACTIVE</x:v>
      </x:c>
      <x:c r="G45" s="149" t="str">
        <x:v>SUCCESSFUL_VERIFY</x:v>
      </x:c>
      <x:c r="H45" s="150" t="n">
        <x:v>46262.98518108796</x:v>
      </x:c>
      <x:c r="I45" s="150" t="n">
        <x:v>46265.61103412037</x:v>
      </x:c>
      <x:c r="J45" s="150" t="n">
        <x:v>46265.61103412037</x:v>
      </x:c>
      <x:c r="K45" s="151" t="n">
        <x:v>229400</x:v>
      </x:c>
      <x:c r="L45" s="151" t="n">
        <x:v>220847.14</x:v>
      </x:c>
      <x:c r="M45" s="152" t="n">
        <x:v>9</x:v>
      </x:c>
      <x:c r="N45" s="153" t="b">
        <x:v>1</x:v>
      </x:c>
      <x:c r="O45" s="153" t="b">
        <x:v>1</x:v>
      </x:c>
      <x:c r="P45" s="153" t="b">
        <x:v>1</x:v>
      </x:c>
      <x:c r="Q45" s="153" t="b">
        <x:v>1</x:v>
      </x:c>
      <x:c r="R45" s="149" t="str">
        <x:v>M0 Enterprise estricto</x:v>
      </x:c>
      <x:c r="S45" s="149" t="str">
        <x:v>sales_source Enterprise, Jeyson, primera TX y onboarding en agosto.</x:v>
      </x:c>
      <x:c r="T45" s="150" t="n">
        <x:v>46274.68445368056</x:v>
      </x:c>
    </x:row>
    <x:row r="46">
      <x:c r="A46" s="154" t="str">
        <x:v>0XV9992C0O</x:v>
      </x:c>
      <x:c r="B46" s="149" t="str">
        <x:v>Droguería y Farmacia Central</x:v>
      </x:c>
      <x:c r="C46" s="149" t="str">
        <x:v>NUEVO</x:v>
      </x:c>
      <x:c r="D46" s="149" t="str">
        <x:v>ENTERPRISE</x:v>
      </x:c>
      <x:c r="E46" s="149" t="str">
        <x:v>jeyson.salazar@bold.co</x:v>
      </x:c>
      <x:c r="F46" s="149" t="str">
        <x:v>ACTIVE</x:v>
      </x:c>
      <x:c r="G46" s="149" t="str">
        <x:v>SUCCESSFUL_VERIFY</x:v>
      </x:c>
      <x:c r="H46" s="150" t="n">
        <x:v>46240.60416469907</x:v>
      </x:c>
      <x:c r="I46" s="150" t="n">
        <x:v>46267.582546805555</x:v>
      </x:c>
      <x:c r="J46" s="150"/>
      <x:c r="K46" s="151" t="n">
        <x:v>0</x:v>
      </x:c>
      <x:c r="L46" s="151" t="n">
        <x:v>0</x:v>
      </x:c>
      <x:c r="M46" s="152" t="n">
        <x:v>0</x:v>
      </x:c>
      <x:c r="N46" s="153" t="b">
        <x:v>1</x:v>
      </x:c>
      <x:c r="O46" s="153" t="b">
        <x:v>1</x:v>
      </x:c>
      <x:c r="P46" s="153" t="b">
        <x:v>0</x:v>
      </x:c>
      <x:c r="Q46" s="153" t="b">
        <x:v>0</x:v>
      </x:c>
      <x:c r="R46" s="149" t="str">
        <x:v>Enterprise sin TPV agosto</x:v>
      </x:c>
      <x:c r="S46" s="149" t="str">
        <x:v>Enterprise/Jeyson; primera TX posterior al cierre: 2-sep-2026.</x:v>
      </x:c>
      <x:c r="T46" s="150"/>
    </x:row>
    <x:row r="47">
      <x:c r="A47" s="154" t="str">
        <x:v>GSYCJJ0ZMX</x:v>
      </x:c>
      <x:c r="B47" s="149" t="str">
        <x:v>Droguerías Mare</x:v>
      </x:c>
      <x:c r="C47" s="149" t="str">
        <x:v>NO NUEVO</x:v>
      </x:c>
      <x:c r="D47" s="149" t="str">
        <x:v>OUTBOUND</x:v>
      </x:c>
      <x:c r="E47" s="149" t="str">
        <x:v>angela.ramos@bold.co</x:v>
      </x:c>
      <x:c r="F47" s="149" t="str">
        <x:v>ACTIVE</x:v>
      </x:c>
      <x:c r="G47" s="149" t="str">
        <x:v>SUCCESSFUL_VERIFY</x:v>
      </x:c>
      <x:c r="H47" s="150" t="n">
        <x:v>44818.706214432874</x:v>
      </x:c>
      <x:c r="I47" s="150" t="n">
        <x:v>44818.71114986111</x:v>
      </x:c>
      <x:c r="J47" s="150" t="n">
        <x:v>46240.8708374537</x:v>
      </x:c>
      <x:c r="K47" s="151" t="n">
        <x:v>237800</x:v>
      </x:c>
      <x:c r="L47" s="151" t="n">
        <x:v>227931.3</x:v>
      </x:c>
      <x:c r="M47" s="152" t="n">
        <x:v>9</x:v>
      </x:c>
      <x:c r="N47" s="153" t="b">
        <x:v>0</x:v>
      </x:c>
      <x:c r="O47" s="153" t="b">
        <x:v>0</x:v>
      </x:c>
      <x:c r="P47" s="153" t="b">
        <x:v>0</x:v>
      </x:c>
      <x:c r="Q47" s="153" t="b">
        <x:v>0</x:v>
      </x:c>
      <x:c r="R47" s="149" t="str">
        <x:v>Fuera de Enterprise</x:v>
      </x:c>
      <x:c r="S47" s="149" t="str">
        <x:v>TPV del universo, pero sales_source no es Enterprise.</x:v>
      </x:c>
      <x:c r="T47" s="150" t="n">
        <x:v>46274.68445368056</x:v>
      </x:c>
    </x:row>
    <x:row r="48">
      <x:c r="A48" s="154" t="str">
        <x:v>1KQZPLFRVW</x:v>
      </x:c>
      <x:c r="B48" s="149" t="str">
        <x:v>FARMALKOSTO ALMENDROS</x:v>
      </x:c>
      <x:c r="C48" s="149" t="str">
        <x:v>NUEVO</x:v>
      </x:c>
      <x:c r="D48" s="149" t="str">
        <x:v>INBOUND</x:v>
      </x:c>
      <x:c r="E48" s="149" t="str"/>
      <x:c r="F48" s="149" t="str">
        <x:v>ACTIVE</x:v>
      </x:c>
      <x:c r="G48" s="149" t="str">
        <x:v>SUCCESSFUL_VERIFY</x:v>
      </x:c>
      <x:c r="H48" s="150" t="n">
        <x:v>46262.99774010417</x:v>
      </x:c>
      <x:c r="I48" s="150"/>
      <x:c r="J48" s="150"/>
      <x:c r="K48" s="151" t="n">
        <x:v>0</x:v>
      </x:c>
      <x:c r="L48" s="151" t="n">
        <x:v>0</x:v>
      </x:c>
      <x:c r="M48" s="152" t="n">
        <x:v>0</x:v>
      </x:c>
      <x:c r="N48" s="153" t="b">
        <x:v>0</x:v>
      </x:c>
      <x:c r="O48" s="153" t="b">
        <x:v>0</x:v>
      </x:c>
      <x:c r="P48" s="153" t="b">
        <x:v>0</x:v>
      </x:c>
      <x:c r="Q48" s="153" t="b">
        <x:v>0</x:v>
      </x:c>
      <x:c r="R48" s="149" t="str">
        <x:v>Sin TPV agosto</x:v>
      </x:c>
      <x:c r="S48" s="149" t="str">
        <x:v>Merchant dentro del universo reportado, sin TPV bruto en agosto.</x:v>
      </x:c>
      <x:c r="T48" s="150"/>
    </x:row>
    <x:row r="49">
      <x:c r="A49" s="154" t="str">
        <x:v>GHTNMF7727</x:v>
      </x:c>
      <x:c r="B49" s="149" t="str">
        <x:v>Drogueria Melcomia </x:v>
      </x:c>
      <x:c r="C49" s="149" t="str">
        <x:v>NUEVO</x:v>
      </x:c>
      <x:c r="D49" s="149" t="str">
        <x:v>INBOUND</x:v>
      </x:c>
      <x:c r="E49" s="149" t="str"/>
      <x:c r="F49" s="149" t="str">
        <x:v>ACTIVE</x:v>
      </x:c>
      <x:c r="G49" s="149" t="str">
        <x:v>SUCCESSFUL_VERIFY</x:v>
      </x:c>
      <x:c r="H49" s="150" t="n">
        <x:v>46240.9351784375</x:v>
      </x:c>
      <x:c r="I49" s="150"/>
      <x:c r="J49" s="150"/>
      <x:c r="K49" s="151" t="n">
        <x:v>0</x:v>
      </x:c>
      <x:c r="L49" s="151" t="n">
        <x:v>0</x:v>
      </x:c>
      <x:c r="M49" s="152" t="n">
        <x:v>0</x:v>
      </x:c>
      <x:c r="N49" s="153" t="b">
        <x:v>0</x:v>
      </x:c>
      <x:c r="O49" s="153" t="b">
        <x:v>0</x:v>
      </x:c>
      <x:c r="P49" s="153" t="b">
        <x:v>0</x:v>
      </x:c>
      <x:c r="Q49" s="153" t="b">
        <x:v>0</x:v>
      </x:c>
      <x:c r="R49" s="149" t="str">
        <x:v>Sin TPV agosto</x:v>
      </x:c>
      <x:c r="S49" s="149" t="str">
        <x:v>Merchant dentro del universo reportado, sin TPV bruto en agosto.</x:v>
      </x:c>
      <x:c r="T49" s="150"/>
    </x:row>
    <x:row r="50">
      <x:c r="A50" s="154" t="str">
        <x:v>JXLFJ824NO</x:v>
      </x:c>
      <x:c r="B50" s="149" t="str">
        <x:v>Droguerías Expreso S.A.S</x:v>
      </x:c>
      <x:c r="C50" s="149" t="str">
        <x:v>NUEVO</x:v>
      </x:c>
      <x:c r="D50" s="149" t="str">
        <x:v>INBOUND</x:v>
      </x:c>
      <x:c r="E50" s="149" t="str"/>
      <x:c r="F50" s="149" t="str">
        <x:v>ACTIVE</x:v>
      </x:c>
      <x:c r="G50" s="149" t="str">
        <x:v>SUCCESSFUL_VERIFY</x:v>
      </x:c>
      <x:c r="H50" s="150" t="n">
        <x:v>46249.67342486111</x:v>
      </x:c>
      <x:c r="I50" s="150" t="n">
        <x:v>46272.94599380787</x:v>
      </x:c>
      <x:c r="J50" s="150"/>
      <x:c r="K50" s="151" t="n">
        <x:v>0</x:v>
      </x:c>
      <x:c r="L50" s="151" t="n">
        <x:v>0</x:v>
      </x:c>
      <x:c r="M50" s="152" t="n">
        <x:v>0</x:v>
      </x:c>
      <x:c r="N50" s="153" t="b">
        <x:v>0</x:v>
      </x:c>
      <x:c r="O50" s="153" t="b">
        <x:v>0</x:v>
      </x:c>
      <x:c r="P50" s="153" t="b">
        <x:v>0</x:v>
      </x:c>
      <x:c r="Q50" s="153" t="b">
        <x:v>0</x:v>
      </x:c>
      <x:c r="R50" s="149" t="str">
        <x:v>Sin TPV agosto</x:v>
      </x:c>
      <x:c r="S50" s="149" t="str">
        <x:v>Merchant dentro del universo reportado, sin TPV bruto en agosto.</x:v>
      </x:c>
      <x:c r="T50" s="150"/>
    </x:row>
    <x:row r="51">
      <x:c r="A51" s="154" t="str">
        <x:v>PL0B5ER5G3</x:v>
      </x:c>
      <x:c r="B51" s="149" t="str">
        <x:v>Drogueria  villadela</x:v>
      </x:c>
      <x:c r="C51" s="149" t="str">
        <x:v>SIN_CLASIFICAR</x:v>
      </x:c>
      <x:c r="D51" s="149" t="str">
        <x:v>INBOUND</x:v>
      </x:c>
      <x:c r="E51" s="149" t="str"/>
      <x:c r="F51" s="149" t="str">
        <x:v>ACTIVE</x:v>
      </x:c>
      <x:c r="G51" s="149" t="str">
        <x:v>SUCCESSFUL_VERIFY</x:v>
      </x:c>
      <x:c r="H51" s="150" t="n">
        <x:v>46254.95985090278</x:v>
      </x:c>
      <x:c r="I51" s="150"/>
      <x:c r="J51" s="150"/>
      <x:c r="K51" s="151" t="n">
        <x:v>0</x:v>
      </x:c>
      <x:c r="L51" s="151" t="n">
        <x:v>0</x:v>
      </x:c>
      <x:c r="M51" s="152" t="n">
        <x:v>0</x:v>
      </x:c>
      <x:c r="N51" s="153" t="b">
        <x:v>0</x:v>
      </x:c>
      <x:c r="O51" s="153" t="b">
        <x:v>0</x:v>
      </x:c>
      <x:c r="P51" s="153" t="b">
        <x:v>0</x:v>
      </x:c>
      <x:c r="Q51" s="153" t="b">
        <x:v>0</x:v>
      </x:c>
      <x:c r="R51" s="149" t="str">
        <x:v>Sin TPV agosto</x:v>
      </x:c>
      <x:c r="S51" s="149" t="str">
        <x:v>Merchant dentro del universo reportado, sin TPV bruto en agosto.</x:v>
      </x:c>
      <x:c r="T51" s="150"/>
    </x:row>
    <x:row r="52">
      <x:c r="A52" s="154" t="str">
        <x:v>XMABPI8SDB</x:v>
      </x:c>
      <x:c r="B52" s="149" t="str">
        <x:v>Droguería Farmacenter Yinimar</x:v>
      </x:c>
      <x:c r="C52" s="149" t="str">
        <x:v>NUEVO</x:v>
      </x:c>
      <x:c r="D52" s="149" t="str">
        <x:v>INBOUND</x:v>
      </x:c>
      <x:c r="E52" s="149" t="str"/>
      <x:c r="F52" s="149" t="str">
        <x:v>ACTIVE</x:v>
      </x:c>
      <x:c r="G52" s="149" t="str">
        <x:v>SUCCESSFUL_VERIFY</x:v>
      </x:c>
      <x:c r="H52" s="150" t="n">
        <x:v>46248.74410974537</x:v>
      </x:c>
      <x:c r="I52" s="150"/>
      <x:c r="J52" s="150"/>
      <x:c r="K52" s="151" t="n">
        <x:v>0</x:v>
      </x:c>
      <x:c r="L52" s="151" t="n">
        <x:v>0</x:v>
      </x:c>
      <x:c r="M52" s="152" t="n">
        <x:v>0</x:v>
      </x:c>
      <x:c r="N52" s="153" t="b">
        <x:v>0</x:v>
      </x:c>
      <x:c r="O52" s="153" t="b">
        <x:v>0</x:v>
      </x:c>
      <x:c r="P52" s="153" t="b">
        <x:v>0</x:v>
      </x:c>
      <x:c r="Q52" s="153" t="b">
        <x:v>0</x:v>
      </x:c>
      <x:c r="R52" s="149" t="str">
        <x:v>Sin TPV agosto</x:v>
      </x:c>
      <x:c r="S52" s="149" t="str">
        <x:v>Merchant dentro del universo reportado, sin TPV bruto en agosto.</x:v>
      </x:c>
      <x:c r="T52" s="150"/>
    </x:row>
  </x:sheetData>
  <x:mergeCells>
    <x:mergeCell ref="A1:T1"/>
  </x:mergeCells>
  <x:conditionalFormatting sqref="R5:R52">
    <x:cfRule type="containsText" dxfId="0" priority="1" operator="containsText" text="M0 Enterprise estricto"/>
    <x:cfRule type="containsText" dxfId="1" priority="2" operator="containsText" text="Sin TPV"/>
    <x:cfRule type="containsText" dxfId="2" priority="3" operator="containsText" text="Fuera de Enterprise"/>
  </x:conditionalFormatting>
  <x:pageMargins left="0.7" right="0.7" top="0.75" bottom="0.75" header="0.3" footer="0.3"/>
  <x:tableParts count="1">
    <x:tablePart xmlns:r="http://schemas.openxmlformats.org/officeDocument/2006/relationships" r:id="R1e618d1e2c214840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34" hidden="0" customWidth="1"/>
    <x:col min="4" max="4" width="58" hidden="0" customWidth="1"/>
  </x:cols>
  <x:sheetData>
    <x:row r="1" ht="24" customHeight="1">
      <x:c r="A1" s="158" t="str">
        <x:v>Metodología, fuentes y criterios de lectura</x:v>
      </x:c>
      <x:c r="B1" s="158"/>
      <x:c r="C1" s="158"/>
      <x:c r="D1" s="158"/>
    </x:row>
    <x:row r="2" ht="24" customHeight="1">
      <x:c r="A2" s="159"/>
      <x:c r="B2" s="159"/>
      <x:c r="C2" s="159"/>
      <x:c r="D2" s="159"/>
    </x:row>
    <x:row r="3" ht="24" customHeight="1">
      <x:c r="A3" s="15" t="str">
        <x:v>Elemento</x:v>
      </x:c>
      <x:c r="B3" s="15" t="str">
        <x:v>Definición aplicada</x:v>
      </x:c>
      <x:c r="C3" s="15" t="str">
        <x:v>Fuente</x:v>
      </x:c>
      <x:c r="D3" s="15" t="str">
        <x:v>Nota</x:v>
      </x:c>
    </x:row>
    <x:row r="4" ht="34" customHeight="1">
      <x:c r="A4" s="155" t="str">
        <x:v>Período</x:v>
      </x:c>
      <x:c r="B4" s="156" t="str">
        <x:v>01-ago-2026 a 31-ago-2026, intervalo cerrado-abierto</x:v>
      </x:c>
      <x:c r="C4" s="156" t="str">
        <x:v>Parámetros SQL</x:v>
      </x:c>
      <x:c r="D4" s="157" t="str">
        <x:v>No incluye transacciones del 01-sep-2026 en TPV de agosto</x:v>
      </x:c>
    </x:row>
    <x:row r="5" ht="34" customHeight="1">
      <x:c r="A5" s="41" t="str">
        <x:v>TPV bruto</x:v>
      </x:c>
      <x:c r="B5" s="4" t="str">
        <x:v>SUM(tpv)</x:v>
      </x:c>
      <x:c r="C5" s="4" t="str">
        <x:v>mart_tpv_daily_by_transaction</x:v>
      </x:c>
      <x:c r="D5" s="36" t="str">
        <x:v>Base recomendada si Matriz Financiera usa TPV bruto</x:v>
      </x:c>
    </x:row>
    <x:row r="6" ht="34" customHeight="1">
      <x:c r="A6" s="41" t="str">
        <x:v>TPV pagado</x:v>
      </x:c>
      <x:c r="B6" s="4" t="str">
        <x:v>SUM(paid_tpv)</x:v>
      </x:c>
      <x:c r="C6" s="4" t="str">
        <x:v>mart_tpv_daily_by_transaction</x:v>
      </x:c>
      <x:c r="D6" s="36" t="str">
        <x:v>Base alternativa si Matriz Financiera usa TPV pagado</x:v>
      </x:c>
    </x:row>
    <x:row r="7" ht="34" customHeight="1">
      <x:c r="A7" s="41" t="str">
        <x:v>M0 transaccional</x:v>
      </x:c>
      <x:c r="B7" s="4" t="str">
        <x:v>primera_tx_historica en agosto y TPV positivo</x:v>
      </x:c>
      <x:c r="C7" s="4" t="str">
        <x:v>mart_merchant_enrich</x:v>
      </x:c>
      <x:c r="D7" s="36" t="str">
        <x:v>Incluye merchant antiguo activado por primera vez</x:v>
      </x:c>
    </x:row>
    <x:row r="8" ht="34" customHeight="1">
      <x:c r="A8" s="41" t="str">
        <x:v>M0 nuevo estricto</x:v>
      </x:c>
      <x:c r="B8" s="4" t="str">
        <x:v>M0 transaccional + sales_source Enterprise + onboarding en agosto</x:v>
      </x:c>
      <x:c r="C8" s="4" t="str">
        <x:v>dim_merchant + mart_merchant_enrich</x:v>
      </x:c>
      <x:c r="D8" s="36" t="str">
        <x:v>Cifra recomendada para nuevos Enterprise</x:v>
      </x:c>
    </x:row>
    <x:row r="9" ht="34" customHeight="1">
      <x:c r="A9" s="41" t="str">
        <x:v>Canal Enterprise</x:v>
      </x:c>
      <x:c r="B9" s="4" t="str">
        <x:v>upper(trim(sales_source)) = ENTERPRISE</x:v>
      </x:c>
      <x:c r="C9" s="4" t="str">
        <x:v>dim_merchant.sales_source</x:v>
      </x:c>
      <x:c r="D9" s="36" t="str">
        <x:v>Validado con filtro directo</x:v>
      </x:c>
    </x:row>
    <x:row r="10" ht="34" customHeight="1">
      <x:c r="A10" s="41" t="str">
        <x:v>Ejecutivo Jeyson</x:v>
      </x:c>
      <x:c r="B10" s="4" t="str">
        <x:v>sales_agent_email = jeyson.salazar@bold.co</x:v>
      </x:c>
      <x:c r="C10" s="4" t="str">
        <x:v>dim_merchant.sales_agent_email</x:v>
      </x:c>
      <x:c r="D10" s="36" t="str">
        <x:v>La consulta filtrada retorna los mismos 42 merchants Enterprise</x:v>
      </x:c>
    </x:row>
    <x:row r="11" ht="34" customHeight="1">
      <x:c r="A11" s="41" t="str">
        <x:v>Merchant excluido de nuevo estricto</x:v>
      </x:c>
      <x:c r="B11" s="4" t="str">
        <x:v>75H2G3UNCN</x:v>
      </x:c>
      <x:c r="C11" s="4" t="str">
        <x:v>dim_merchant + reporte ejecutivo</x:v>
      </x:c>
      <x:c r="D11" s="36" t="str">
        <x:v>Primera TX agosto, pero onboarding anterior y reporte NO NUEVO</x:v>
      </x:c>
    </x:row>
    <x:row r="12" ht="34" customHeight="1">
      <x:c r="A12" s="41" t="str">
        <x:v>Merchant Enterprise sin TPV</x:v>
      </x:c>
      <x:c r="B12" s="4" t="str">
        <x:v>0XV9992C0O</x:v>
      </x:c>
      <x:c r="C12" s="4" t="str">
        <x:v>dim_merchant + mart_merchant_enrich</x:v>
      </x:c>
      <x:c r="D12" s="36" t="str">
        <x:v>Primera TX posterior al cierre: 02-sep-2026</x:v>
      </x:c>
    </x:row>
    <x:row r="13" ht="34" customHeight="1">
      <x:c r="A13" s="41" t="str">
        <x:v>Fuera de Enterprise</x:v>
      </x:c>
      <x:c r="B13" s="4" t="str">
        <x:v>5 inbound sin TPV y GSYCJJ0ZMX outbound con TPV</x:v>
      </x:c>
      <x:c r="C13" s="4" t="str">
        <x:v>dim_merchant.sales_source</x:v>
      </x:c>
      <x:c r="D13" s="36" t="str">
        <x:v>No incluir en TPV nuevo Enterprise</x:v>
      </x:c>
    </x:row>
    <x:row r="14" ht="34" customHeight="1">
      <x:c r="A14" s="42" t="str">
        <x:v>Fecha de actualización</x:v>
      </x:c>
      <x:c r="B14" s="38" t="str">
        <x:v>09-sep-2026</x:v>
      </x:c>
      <x:c r="C14" s="38" t="str">
        <x:v>datos_actualizados_hasta</x:v>
      </x:c>
      <x:c r="D14" s="39" t="str">
        <x:v>Validar nuevamente antes de una presentación final si hubo cargas tardías</x:v>
      </x:c>
    </x:row>
  </x:sheetData>
  <x:mergeCells>
    <x:mergeCell ref="A1:D1"/>
  </x:mergeCells>
  <x:pageMargins left="0.7" right="0.7" top="0.75" bottom="0.75" header="0.3" footer="0.3"/>
</x:worksheet>
</file>