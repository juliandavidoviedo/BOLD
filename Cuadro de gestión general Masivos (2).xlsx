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ES ACTIVOS" sheetId="1" r:id="rId5"/>
    <sheet state="visible" name="Copia de CLIENTES ACTIVOS" sheetId="2" r:id="rId6"/>
    <sheet state="visible" name="CLIENTES A, nuevos" sheetId="3" r:id="rId7"/>
    <sheet state="visible" name="ESCALAMIENTOS GRAL" sheetId="4" r:id="rId8"/>
    <sheet state="visible" name="OPERACIONES - MASIVOS" sheetId="5" r:id="rId9"/>
    <sheet state="visible" name="Hoja 14" sheetId="6" r:id="rId10"/>
    <sheet state="visible" name="Hoja 13" sheetId="7" r:id="rId11"/>
    <sheet state="visible" name="iNCIDENCIAS" sheetId="8" r:id="rId12"/>
    <sheet state="visible" name="Tabla dinámica 1" sheetId="9" r:id="rId13"/>
    <sheet state="visible" name="MASIVOS" sheetId="10" r:id="rId14"/>
    <sheet state="visible" name="Hoja 7" sheetId="11" r:id="rId15"/>
    <sheet state="visible" name="Hoja 8" sheetId="12" r:id="rId16"/>
    <sheet state="visible" name="Comisiones creditos" sheetId="13" r:id="rId17"/>
    <sheet state="visible" name="D1" sheetId="14" r:id="rId18"/>
    <sheet state="visible" name="Cronograma" sheetId="15" r:id="rId19"/>
    <sheet state="visible" name="METAS" sheetId="16" r:id="rId20"/>
  </sheets>
  <definedNames>
    <definedName hidden="1" localSheetId="0" name="_xlnm._FilterDatabase">'CLIENTES ACTIVOS'!$A$1:$W$1291</definedName>
    <definedName hidden="1" localSheetId="1" name="_xlnm._FilterDatabase">'Copia de CLIENTES ACTIVOS'!$A$1:$W$1292</definedName>
    <definedName hidden="1" localSheetId="3" name="_xlnm._FilterDatabase">'ESCALAMIENTOS GRAL'!$B$1:$B$1049</definedName>
    <definedName hidden="1" localSheetId="1" name="Z_5D9E7831_1ABD_41AE_957B_68888FF3675C_.wvu.FilterData">'Copia de CLIENTES ACTIVOS'!$A$1:$AE$1374</definedName>
    <definedName hidden="1" localSheetId="0" name="Z_5D9E7831_1ABD_41AE_957B_68888FF3675C_.wvu.FilterData">'CLIENTES ACTIVOS'!$A$1:$AE$1373</definedName>
    <definedName hidden="1" localSheetId="1" name="Z_D70BEF0D_5FD9_4706_8B67_F16959E26C2D_.wvu.FilterData">'Copia de CLIENTES ACTIVOS'!$A$1:$W$1374</definedName>
    <definedName hidden="1" localSheetId="0" name="Z_D70BEF0D_5FD9_4706_8B67_F16959E26C2D_.wvu.FilterData">'CLIENTES ACTIVOS'!$A$1:$W$1373</definedName>
    <definedName hidden="1" localSheetId="1" name="Z_57BDE3D8_3301_41A3_9AF5_D6EECF3386D1_.wvu.FilterData">'Copia de CLIENTES ACTIVOS'!$A$1:$W$184</definedName>
    <definedName hidden="1" localSheetId="0" name="Z_57BDE3D8_3301_41A3_9AF5_D6EECF3386D1_.wvu.FilterData">'CLIENTES ACTIVOS'!$A$1:$W$184</definedName>
    <definedName hidden="1" localSheetId="1" name="Z_155AD284_E958_47A7_8DBD_81D62394346E_.wvu.FilterData">'Copia de CLIENTES ACTIVOS'!$A$1:$W$49</definedName>
    <definedName hidden="1" localSheetId="0" name="Z_155AD284_E958_47A7_8DBD_81D62394346E_.wvu.FilterData">'CLIENTES ACTIVOS'!$A$1:$W$49</definedName>
  </definedNames>
  <calcPr/>
  <customWorkbookViews>
    <customWorkbookView activeSheetId="0" maximized="1" windowHeight="0" windowWidth="0" guid="{5D9E7831-1ABD-41AE-957B-68888FF3675C}" name="Michell"/>
    <customWorkbookView activeSheetId="0" maximized="1" windowHeight="0" windowWidth="0" guid="{D70BEF0D-5FD9-4706-8B67-F16959E26C2D}" name="luis"/>
    <customWorkbookView activeSheetId="0" maximized="1" windowHeight="0" windowWidth="0" guid="{57BDE3D8-3301-41A3-9AF5-D6EECF3386D1}" name="Jhona Moreno"/>
    <customWorkbookView activeSheetId="0" maximized="1" windowHeight="0" windowWidth="0" guid="{155AD284-E958-47A7-8DBD-81D62394346E}" name="Filtro 1"/>
  </customWorkbookViews>
  <pivotCaches>
    <pivotCache cacheId="0" r:id="rId21"/>
    <pivotCache cacheId="1" r:id="rId22"/>
  </pivotCaches>
</workbook>
</file>

<file path=xl/sharedStrings.xml><?xml version="1.0" encoding="utf-8"?>
<sst xmlns="http://schemas.openxmlformats.org/spreadsheetml/2006/main" count="22869" uniqueCount="3905">
  <si>
    <t>Ejecutivo</t>
  </si>
  <si>
    <t xml:space="preserve">Nombre Cliente </t>
  </si>
  <si>
    <t>Merchant ID</t>
  </si>
  <si>
    <t>Creado en CRM</t>
  </si>
  <si>
    <t>Área</t>
  </si>
  <si>
    <t xml:space="preserve">Mes Año
</t>
  </si>
  <si>
    <t>Fecha de activacion</t>
  </si>
  <si>
    <t>Mes</t>
  </si>
  <si>
    <t>Año</t>
  </si>
  <si>
    <t>ORIGEN del Cliente</t>
  </si>
  <si>
    <t>Si es referido Correo electronico De quien refiere de no ser asi dejar N/A</t>
  </si>
  <si>
    <t>Custodio</t>
  </si>
  <si>
    <t>Nombre cliente</t>
  </si>
  <si>
    <t>TPV Potencial en MIllones</t>
  </si>
  <si>
    <t>Tarifa Aplicada</t>
  </si>
  <si>
    <t>DATAFONOS</t>
  </si>
  <si>
    <t>QR-LINK-BOTON</t>
  </si>
  <si>
    <t>Merchant</t>
  </si>
  <si>
    <t>CONTRATOS FRAUDE</t>
  </si>
  <si>
    <t>Fecha incidente</t>
  </si>
  <si>
    <t xml:space="preserve">CONTRATOS </t>
  </si>
  <si>
    <t>TPV M0</t>
  </si>
  <si>
    <t>Fecha de reporte</t>
  </si>
  <si>
    <t>TPV M1</t>
  </si>
  <si>
    <t>TPV M2</t>
  </si>
  <si>
    <t>TPV M3</t>
  </si>
  <si>
    <t>Incidente</t>
  </si>
  <si>
    <t>PROMEDIO TPV</t>
  </si>
  <si>
    <t>Encargado</t>
  </si>
  <si>
    <t>Fecha solución</t>
  </si>
  <si>
    <t>Se entrega a CS</t>
  </si>
  <si>
    <t>KAM que recibe Comercio</t>
  </si>
  <si>
    <t>Valor</t>
  </si>
  <si>
    <t>Formato entrega de comercios</t>
  </si>
  <si>
    <t>Observación</t>
  </si>
  <si>
    <t>Estado</t>
  </si>
  <si>
    <t>jhonatan.torres@bold.co</t>
  </si>
  <si>
    <t>Ferrelectric El Proveedor</t>
  </si>
  <si>
    <t>OTT8ZA91GS</t>
  </si>
  <si>
    <t>Categoria</t>
  </si>
  <si>
    <t>Si</t>
  </si>
  <si>
    <t>Producto pagos</t>
  </si>
  <si>
    <t>C. Camilo Casas</t>
  </si>
  <si>
    <t>POSTOBON</t>
  </si>
  <si>
    <t>Postobon</t>
  </si>
  <si>
    <t>UKH72XS44S</t>
  </si>
  <si>
    <t>ENERO</t>
  </si>
  <si>
    <t>SI</t>
  </si>
  <si>
    <t>luis.castellar@bold.co</t>
  </si>
  <si>
    <t>2,19 +300</t>
  </si>
  <si>
    <t>TX rechazadas</t>
  </si>
  <si>
    <t>Leidy Rodriguez Raul Navarrete</t>
  </si>
  <si>
    <t>02/20/2026</t>
  </si>
  <si>
    <t xml:space="preserve">PENDIENTE CERTIFICADO DE COBRO </t>
  </si>
  <si>
    <t>Resuelto</t>
  </si>
  <si>
    <t>Pagos rechazados/no abonados/descontados</t>
  </si>
  <si>
    <t>MKT</t>
  </si>
  <si>
    <t>Juan Camilo Salgado</t>
  </si>
  <si>
    <t>--</t>
  </si>
  <si>
    <t>Peticion</t>
  </si>
  <si>
    <t>Laura Londoño</t>
  </si>
  <si>
    <t xml:space="preserve">Peticion de Pieza grafica para incentivar recudo digital. </t>
  </si>
  <si>
    <t>Pendiente</t>
  </si>
  <si>
    <t>Solicitud pieza grafica</t>
  </si>
  <si>
    <t>Leidy Rodriguez</t>
  </si>
  <si>
    <t>/después de validar la transacción T4RRHIMENLZ por valor de $391.458 del pasado 17/01/2026, te confirmamos que no tenemos abono en nuestra cuenta. Como muestra en tu aplicación, la transacción no fue exitosa. En el caso de que tu cliente final insista en que tiene el descuento, es necesario que él o ella solicite a su banco un certificado del cobro de esta misma con fecha posterior al 27/01/2026 para poder escalar el caso con la entidad financiera.</t>
  </si>
  <si>
    <t>juan.salgado@bold.co</t>
  </si>
  <si>
    <t>JANGUEO CARTAGENA</t>
  </si>
  <si>
    <t>LWU5FIZZPX</t>
  </si>
  <si>
    <t xml:space="preserve">Incidencias </t>
  </si>
  <si>
    <t>después de validar la transacción TOB09WUQ3T3 por valor de $442.250 del pasado 06/01/2026, te confirmamos que sí tenemos un abono. Hoy se solicitó un cambio de estado y podrás ver la modificación desde tu aplicación, así como el abono de la venta, en 1 día hábil en tu Saldo de Ventas Bold.</t>
  </si>
  <si>
    <t>Estefanía.torres@bold.co</t>
  </si>
  <si>
    <t>2,19+$300</t>
  </si>
  <si>
    <t>QBLW9W0FGB</t>
  </si>
  <si>
    <t>NOVIEMBRE</t>
  </si>
  <si>
    <t>Pendientes</t>
  </si>
  <si>
    <t>jhonatan.moreno@bold.co</t>
  </si>
  <si>
    <t>Majestic burgers</t>
  </si>
  <si>
    <t>7IW47CWHLA</t>
  </si>
  <si>
    <t>DICIEMBRE</t>
  </si>
  <si>
    <t>Incidencias</t>
  </si>
  <si>
    <t>PENDIENTE CERTIFICADO DE COBRO / y info  deTRX</t>
  </si>
  <si>
    <t>Referido Outbound</t>
  </si>
  <si>
    <t>jaime.barrios@bold.co</t>
  </si>
  <si>
    <t xml:space="preserve">Si </t>
  </si>
  <si>
    <t>caribean team</t>
  </si>
  <si>
    <t>PM6BZ0OM41</t>
  </si>
  <si>
    <t>te confirmamos que sí tenemos un abono. Hoy 29 de enero  se solicitó un cambio de estado y podrás ver la modificación desde tu aplicación, así como el abono de la venta, en 1 día hábil en tu Saldo de Ventas Bold.</t>
  </si>
  <si>
    <t>Tolifruver</t>
  </si>
  <si>
    <t>V2D10H30A6</t>
  </si>
  <si>
    <t>Cliente Propio</t>
  </si>
  <si>
    <t>2,39 + 300</t>
  </si>
  <si>
    <t>consignación entre cuentas ACH 7 Linda lamentamos las molestias generadas, te confirmamos que en efecto la transferencia dispersada por $1.882.032,00 el 18 de diciembre 2025 que ingreso a tu cuenta el 22 de diciembre del 2025 se compone de las transacciones TCXESFK250I, T0YGLC83436, TXN10CNJM2Q.</t>
  </si>
  <si>
    <t>angel.lesmes@bold.co</t>
  </si>
  <si>
    <t>Producto cuenta</t>
  </si>
  <si>
    <t>Jeyson Salazar</t>
  </si>
  <si>
    <t>Coopicredito</t>
  </si>
  <si>
    <t>Manns Design</t>
  </si>
  <si>
    <t>NAKCEJYG9R</t>
  </si>
  <si>
    <t>W9Y4L8F4N2</t>
  </si>
  <si>
    <t>Cuenta Bold</t>
  </si>
  <si>
    <t xml:space="preserve">Jesus Marrugo </t>
  </si>
  <si>
    <t>Cliente al intentar crear un usuario de consultas en su Cuenta Bold, arroja un error, está en revisión por parte del equipo de Banking</t>
  </si>
  <si>
    <t>CJZ9L7O0SB</t>
  </si>
  <si>
    <t>2,89+300</t>
  </si>
  <si>
    <t>Falla QR</t>
  </si>
  <si>
    <t>Carlos Manrique</t>
  </si>
  <si>
    <t>Se evidencia que las txs por QR no le estamos cobrando la comisión, es una falla en la API de Pagos, Producto está revisando la solución pronta.</t>
  </si>
  <si>
    <t>Tecnologia</t>
  </si>
  <si>
    <t>Solicitudes a Producto</t>
  </si>
  <si>
    <t>Lina Toquica</t>
  </si>
  <si>
    <t>Se evidencia diferencias en la longitud de caracteres en el campo "REALIZADO POR" de la estructura de Cierre de Turno, está ciendo revisada por el equipo de TI.</t>
  </si>
  <si>
    <t>Macro pollos</t>
  </si>
  <si>
    <t>AYILZWWK0P</t>
  </si>
  <si>
    <t>andres.cardozo@bold.co</t>
  </si>
  <si>
    <t>2,29+300</t>
  </si>
  <si>
    <t>después de validar la transacción TW4G4MSHDCK por valor de $915.000 del pasado 20/01/2026, te confirmamos que sí tenemos un abono. Hoy se solicitó un cambio de estado y podrás ver la modificación desde tu aplicación, así como el abono de la venta, en 1 día hábil en tu Saldo de Ventas Bold.</t>
  </si>
  <si>
    <t>luis.corredor@bold.co</t>
  </si>
  <si>
    <t>Sofiian Cedritos</t>
  </si>
  <si>
    <t>ARYDJSNS2X</t>
  </si>
  <si>
    <t xml:space="preserve">Bayron Romero </t>
  </si>
  <si>
    <t>QR presenta novedad se coloca valor X aparece otro valor en  el app  del cliente  al momento de scanear usuario salo0520sebas@gmail.com</t>
  </si>
  <si>
    <t>Problemas de plataforma</t>
  </si>
  <si>
    <t>SE3RYFGAJY</t>
  </si>
  <si>
    <t>después de validar la transacción TRRNTDA5IQ5 por valor de $1.658.000 del pasado 20/01/2026, te confirmamos que sí tenemos un abono. Hoy se solicitó un cambio de estado y podrás ver la modificación desde tu aplicación, así como el abono de la venta, en 1 día hábil en tu Saldo de Ventas Bold.</t>
  </si>
  <si>
    <t>Veolia</t>
  </si>
  <si>
    <t>D9BBCAUZRK</t>
  </si>
  <si>
    <t>después de validar la transacción TSQN2T5WZFI por valor de $245.000 del pasado 20/01/2026, te confirmamos que sí tenemos un abono. Hoy se solicitó un cambio de estado y podrás ver la modificación desde tu aplicación, así como el abono de la venta, en 1 día hábil en tu Saldo de Ventas Bold.</t>
  </si>
  <si>
    <t>lorena.oviedo@bold.co</t>
  </si>
  <si>
    <t>DKFDV7RLFX</t>
  </si>
  <si>
    <t>DECORADOS Y ACABADOS CERMAMICOS</t>
  </si>
  <si>
    <t>después de validar la transacción TJ5OTA5TFIR por valor de $2.315.000 del pasado 20/01/2026, te confirmamos que sí tenemos un abono. Hoy se solicitó un cambio de estado y podrás ver la modificación desde tu aplicación, así como el abono de la venta, en 1 día hábil en tu Saldo de Ventas Bold.</t>
  </si>
  <si>
    <t>MLSOQIAORD</t>
  </si>
  <si>
    <t>No</t>
  </si>
  <si>
    <t xml:space="preserve">PENDIENTE CERTIFICADO DE COBRO / ID TRANSACCIÓN </t>
  </si>
  <si>
    <t>BEYROUTH 93</t>
  </si>
  <si>
    <t>ZBFT9JBRNT</t>
  </si>
  <si>
    <t>margareth.arias@bold.co</t>
  </si>
  <si>
    <t>después de validar la transacción TC6H5UF8V7B por valor de $101.100 del pasado 20/01/2026, te confirmamos que sí tenemos un abono. Hoy se solicitó un cambio de estado y podrás ver la modificación desde tu aplicación, así como el abono de la venta, en 1 día hábil en tu Saldo de Ventas Bold.</t>
  </si>
  <si>
    <t>CASSARENA</t>
  </si>
  <si>
    <t>W06BXLMD3C</t>
  </si>
  <si>
    <t>después de validar la transacción TPN2EQAQ91K por valor de $155.100 del pasado 15/01/2026, te confirmamos que sí tenemos un abono. Hoy se solicitó un cambio de estado y podrás ver la modificación desde tu aplicación, así como el abono de la venta, en 1 día hábil en tu Saldo de Ventas Bold.</t>
  </si>
  <si>
    <t>2,19+300</t>
  </si>
  <si>
    <t>Z2LOEMM4GD</t>
  </si>
  <si>
    <t>ALFAPARF</t>
  </si>
  <si>
    <t>VOG2HUW5VO</t>
  </si>
  <si>
    <t>Respecto a la consulta realizada el día 23/01/2026, te comentamos que para el comercio Z2LOEMM4GD no se logra localizar una transacción por valor de $1.274.749 del pasado 31/12/2025 tal como muestra el comprobante enviado.
Agradecemos nos envíes el ID de la transacción, adicionalmente en el caso de que tu cliente final insista en que tiene el descuento, es necesario que él o ella solicite a su banco un certificado del cobro de esta misma con fecha posterior al 27/01/2026 para poder escalar el caso con la entidad financiera.</t>
  </si>
  <si>
    <t>Surubi Food</t>
  </si>
  <si>
    <t>Q7VR1248VT</t>
  </si>
  <si>
    <t>VIFU5YJBTM</t>
  </si>
  <si>
    <t>DICEMBRE</t>
  </si>
  <si>
    <t>Error ingreso App</t>
  </si>
  <si>
    <t>Bayron Steven</t>
  </si>
  <si>
    <t>Transportador:  App no le permite el ingreso  correctamente</t>
  </si>
  <si>
    <t>Errores o Fallas cuenta BOLD</t>
  </si>
  <si>
    <t>TOM95X6WAO</t>
  </si>
  <si>
    <t>Miguel Burger</t>
  </si>
  <si>
    <t>después de validar la transacción TYK4V5G3OL7 por valor de $249.900 del pasado 20/01/2026, te confirmamos que sí tenemos un abono. Hoy se solicitó un cambio de estado y podrás ver la modificación desde tu aplicación, así como el abono de la venta, en 1 día hábil en tu Saldo de Ventas Bold.</t>
  </si>
  <si>
    <t>DQDQKMENXA</t>
  </si>
  <si>
    <t>PROYECTO</t>
  </si>
  <si>
    <t>2,09+$100</t>
  </si>
  <si>
    <t>Bayron Romero</t>
  </si>
  <si>
    <t>RAZON SOCIAL</t>
  </si>
  <si>
    <t>Canal  de escalamiento informa que sin certificado  de cobro logran encontrar TRX revisar link de Slack</t>
  </si>
  <si>
    <t>MERCHANT-ID</t>
  </si>
  <si>
    <t>Restaurante Musashi</t>
  </si>
  <si>
    <t>PRICIN ASIGNADO</t>
  </si>
  <si>
    <t>QKCESKPA91</t>
  </si>
  <si>
    <t>IMPUESTOS DesMarcados</t>
  </si>
  <si>
    <t>QR Agregador ON?</t>
  </si>
  <si>
    <t>PRODUCTOS OFF</t>
  </si>
  <si>
    <t>COMENTARIOS-NOVEDAD</t>
  </si>
  <si>
    <t>NIT</t>
  </si>
  <si>
    <t>DIRECCION</t>
  </si>
  <si>
    <t>Leidy rogriguez</t>
  </si>
  <si>
    <t>ENCARGADO</t>
  </si>
  <si>
    <t>2,19% + $300</t>
  </si>
  <si>
    <t>TELEFONO</t>
  </si>
  <si>
    <t>Se reversa transacción al pagador</t>
  </si>
  <si>
    <t># CUENTA INSCRITA</t>
  </si>
  <si>
    <t>IMPLEMENTACION</t>
  </si>
  <si>
    <t>YE6RMJFK6K</t>
  </si>
  <si>
    <t xml:space="preserve">Colanta </t>
  </si>
  <si>
    <t>Colanta</t>
  </si>
  <si>
    <t>VY6VES3Z9R</t>
  </si>
  <si>
    <t>GASEOSAS LUX</t>
  </si>
  <si>
    <t>FEBRERO</t>
  </si>
  <si>
    <t xml:space="preserve">Artesanal </t>
  </si>
  <si>
    <t xml:space="preserve">Leidy Rodriguez </t>
  </si>
  <si>
    <t>YEY17SS4UP</t>
  </si>
  <si>
    <t xml:space="preserve">se cambia de estado TRX y se abona el dinero el dia 20  de febrero al cuenta </t>
  </si>
  <si>
    <t>luis.correa@bold.co</t>
  </si>
  <si>
    <t>C. Camilo Giraldo</t>
  </si>
  <si>
    <t>Nequi, Efectivo</t>
  </si>
  <si>
    <t>incidencias</t>
  </si>
  <si>
    <t>POSTOBON CALLE 80 BOGOTA / Km 0 + 435 Mts Punta Redonda Vía Siberia / CALLE 80</t>
  </si>
  <si>
    <t>MARIA CAMILA ALVAREZ</t>
  </si>
  <si>
    <t xml:space="preserve"> la transacción no fue exitosa. En el caso de que tu cliente final insista en que tiene el descuento, es necesario que él o ella solicite a su banco un certificado del cobro de esta misma con fecha posterior al 19/02/2026 para poder escalar el caso con la entidad financiera.</t>
  </si>
  <si>
    <t>24156243887 / BANCOLOMBIA</t>
  </si>
  <si>
    <t>Almacén Y Taller Todo Nissan Ayt Sas</t>
  </si>
  <si>
    <t>VTCXH9AYXO</t>
  </si>
  <si>
    <t>LINK-QR</t>
  </si>
  <si>
    <t xml:space="preserve">PLANTA SEVILLANA BOGOTA LUX SUR </t>
  </si>
  <si>
    <t>24500017464 / BANCOLOMBIA</t>
  </si>
  <si>
    <t>ya encontraron el abono. El 19 de febrero se cambia el estado y 20 Febrero  se abona dinero cuenta COLANTA</t>
  </si>
  <si>
    <t>GASEOSAS LUX SAS</t>
  </si>
  <si>
    <t>AVENIDA - CALLE 9 # 50 - 85 SAN RAFAEL /</t>
  </si>
  <si>
    <t>95632881 / BANCO DE BOGOTA</t>
  </si>
  <si>
    <t>cristian.baquero@bold.co</t>
  </si>
  <si>
    <t>Acabados dyp</t>
  </si>
  <si>
    <t>CGTPT8L3DG</t>
  </si>
  <si>
    <t>Hoy se solicitó un cambio de estado y podrás ver la modificación desde tu aplicación, así como el abono de la venta, en 1 día hábil en tu Saldo de Ventas Bold.</t>
  </si>
  <si>
    <t xml:space="preserve">SE3RYFGAJY </t>
  </si>
  <si>
    <t xml:space="preserve">transferencia interbancaria </t>
  </si>
  <si>
    <t>AC. 17 #39 / ZONA INDUSTRIAL</t>
  </si>
  <si>
    <t>Dukari</t>
  </si>
  <si>
    <t>CBL16SJULR</t>
  </si>
  <si>
    <t>POSTOBON SA</t>
  </si>
  <si>
    <t xml:space="preserve">6RIMATJBDJ </t>
  </si>
  <si>
    <t>te confirmamos que sí tenemos un abono. Hoy se solicitó un cambio de estado y podrás ver la modificación desde tu aplicación, así como el abono de la venta, en 1 día hábil en tu Saldo de Ventas Bold.</t>
  </si>
  <si>
    <t>CALLE 62 #44-77 AUTOPISTA SUR / POSTOBON ITAGUI</t>
  </si>
  <si>
    <t>2,59% + $900 (solo Link)</t>
  </si>
  <si>
    <t>26833507931/ BANCOLOMBIA</t>
  </si>
  <si>
    <t>4VETEWDH1L</t>
  </si>
  <si>
    <t>Lebog</t>
  </si>
  <si>
    <t>EO5ZB49DG2</t>
  </si>
  <si>
    <t>JUNIO</t>
  </si>
  <si>
    <t>CALLE 52 # 47-42, Edificio Coltejer / POSTOBON BELLO</t>
  </si>
  <si>
    <t>10032775656/ BANCOLOMBIA</t>
  </si>
  <si>
    <t>Leidy rodriguez</t>
  </si>
  <si>
    <t xml:space="preserve"> 6085Z6TTB7 </t>
  </si>
  <si>
    <t xml:space="preserve">LINK DE APGO </t>
  </si>
  <si>
    <t>Calle 52 # 47 - 42 / EDIFICIO COLTEJER  / USUARIOS DOSQUEBRADAS/</t>
  </si>
  <si>
    <t>72501305555/ BANCOLOMBIA</t>
  </si>
  <si>
    <t>SEDES. YUMBO-ZARSAL-BUGA-BUENAVENTURA-POPAYAN-JAMUNDI</t>
  </si>
  <si>
    <t>245000182697 / BANCOLOMBIA</t>
  </si>
  <si>
    <t>053AM2S3L4</t>
  </si>
  <si>
    <t xml:space="preserve">Cucuta - Pamplona  santander </t>
  </si>
  <si>
    <t>Foodology</t>
  </si>
  <si>
    <t>24500003179 / BANCOLOMBIA</t>
  </si>
  <si>
    <t>OFC2I4Z2PO</t>
  </si>
  <si>
    <t>cristian.casas@bold.co</t>
  </si>
  <si>
    <t>OCTUBRE</t>
  </si>
  <si>
    <t xml:space="preserve">Piedecuesta-bucaramanga-giron-florida blanca </t>
  </si>
  <si>
    <t>24500016809 /  BANCOLOMBIA</t>
  </si>
  <si>
    <t>se encuentra transacción  consignada por llave</t>
  </si>
  <si>
    <t>Dg. 21 #54-40, Zapatero, Cartagena de Indias, Provincia de Cartagena, Bolívar</t>
  </si>
  <si>
    <t>Medina Golden</t>
  </si>
  <si>
    <t>DUJE9XZH3Q</t>
  </si>
  <si>
    <t>200020364 / BANCOLOMBIA</t>
  </si>
  <si>
    <t>79GCNR6OJO</t>
  </si>
  <si>
    <t xml:space="preserve">MALAMBO BARRAQUILLA  </t>
  </si>
  <si>
    <t>24500010488 / BANCOLOMBIA</t>
  </si>
  <si>
    <t>R6S43QK37T</t>
  </si>
  <si>
    <t>Cra. 24a # 14-47, Villavicencio, Meta</t>
  </si>
  <si>
    <t>Beef PuraRaza</t>
  </si>
  <si>
    <t>NY6646ULTO</t>
  </si>
  <si>
    <t>24500003183 / BANCOLOMBIA</t>
  </si>
  <si>
    <t>PU7SF6NZY0</t>
  </si>
  <si>
    <t>Referido Spiders</t>
  </si>
  <si>
    <t>angie.rodriguez@bold.co</t>
  </si>
  <si>
    <t>40, Ibagué, Tolima</t>
  </si>
  <si>
    <t>24500003184 / BANCOLOMBIA</t>
  </si>
  <si>
    <t>CPKYDJ4IMOIJ</t>
  </si>
  <si>
    <t>Y5CUZZXX7J</t>
  </si>
  <si>
    <t>MARZO</t>
  </si>
  <si>
    <t>Valledupar</t>
  </si>
  <si>
    <t>24500003181 /BANCOLOMBIA</t>
  </si>
  <si>
    <t>LA FINCA DE RIGOLLANOGRANDE</t>
  </si>
  <si>
    <t>1AG1WY7CSP</t>
  </si>
  <si>
    <t>SCXKIXA5L6</t>
  </si>
  <si>
    <t>23-357, Cra 5 #23-135, Neiva, Huila</t>
  </si>
  <si>
    <t>8GCLJOWKQF</t>
  </si>
  <si>
    <t>Cra. 21a #28D-53, Comuna 4, Santa Marta, Magdalena</t>
  </si>
  <si>
    <t>sapena@postobon.com.co  -te confirmamos que no tenemos abono en nuestra cuenta. Como muestra en tu aplicación, la transacción no fue exitosa. En el caso de que tu cliente final insista en que tiene el descuento, es necesario que él o ella solicite a su banco un certificado del cobro de esta misma con fecha posterior al 06/04/2026 para poder escalar el caso con la entidad financiera.</t>
  </si>
  <si>
    <t>Falta certificado</t>
  </si>
  <si>
    <t>GLKD99RUI4</t>
  </si>
  <si>
    <t>Barrancabermeja / Gaseosas Lux Barranca</t>
  </si>
  <si>
    <t>GO RIGO GO PALMAS</t>
  </si>
  <si>
    <t>3F86R9UN91</t>
  </si>
  <si>
    <t>4KTN5UUBRO</t>
  </si>
  <si>
    <t>Duitama / Gaseosas Lux Duitama</t>
  </si>
  <si>
    <t>ABRIL</t>
  </si>
  <si>
    <t>14YAL4TC80</t>
  </si>
  <si>
    <t>aliviafara9@gmail.com  Respecto a tu consulta realizada el día 01/04/2026, después de validar la transacción TAVTEU2H6OY por valor de $800.000 del pasado 25/03/2026, te confirmamos que sí tenemos un abono. Hoy se solicitó un cambio de estado y podrás ver la modificación desde tu aplicación, así como el abono de la venta, en 1 día hábil en tu Saldo de Ventas Bold.</t>
  </si>
  <si>
    <t>sandra.robayo@bold.co</t>
  </si>
  <si>
    <t xml:space="preserve">Gaseosas Lux Monteria </t>
  </si>
  <si>
    <t>D8WWQSR8UA</t>
  </si>
  <si>
    <t>Zona cafe y pan</t>
  </si>
  <si>
    <t>C2T5G954F1</t>
  </si>
  <si>
    <t>Lux pasto</t>
  </si>
  <si>
    <t>Payouts no identificados</t>
  </si>
  <si>
    <t>2KU5V7TSPF</t>
  </si>
  <si>
    <t>nazareth.ruiz@bold.co</t>
  </si>
  <si>
    <t>Camilo Giraldo</t>
  </si>
  <si>
    <t xml:space="preserve">Chigorodo </t>
  </si>
  <si>
    <t xml:space="preserve">obocanegra@postobon.com.co Buenas tardes. Con respecto a su consulta sobre los depósitos de los días 09 y 10 de abril, le informo que los pagos ya han sido procesados y enviados desde nuestra plataforma.
La demora que se presenta actualmente en la recepción de los fondos se debe a los tiempos de procesamiento de los ciclos de ACH entre las entidades bancarias. Por este motivo, el dinero se verá reflejado en su cuenta de Bancolombia en el transcurso del día, dependiendo de los horarios de compensación de dicha red.
te confirmo que los envios fueron realizados a tiempo, pero por los tiempos de transferencia ACH hacia Bancolombia u otros bancos es la novedad presentada.
</t>
  </si>
  <si>
    <t>Otro</t>
  </si>
  <si>
    <t>Mi Tierra</t>
  </si>
  <si>
    <t>INVERSIONES TC SAS - TIENDAS CERCANAS</t>
  </si>
  <si>
    <t>T0EM6PSD79</t>
  </si>
  <si>
    <t>L7QZVRPNHB</t>
  </si>
  <si>
    <t>No aplica</t>
  </si>
  <si>
    <t>TODOS - APPI, MENOS PAGO EN EFECTIVO</t>
  </si>
  <si>
    <t>milton.ortiz@bold.co</t>
  </si>
  <si>
    <t>TIENDAS CERCANAS - PROYECTO KAREN</t>
  </si>
  <si>
    <t>KAREN GONZALEZ</t>
  </si>
  <si>
    <t>305 2566574</t>
  </si>
  <si>
    <t>COMPLETO</t>
  </si>
  <si>
    <t>mamaldonado@gascol.com.co: informa que se genero cobro doble por 113.000/R/ Respecto a la consulta realizada el día 23/04/2026, después de validar la transacción TZGPF5VKF1V - TSZA4GMPPVZ - TZ9V0SLX6OB- T0VNHT9FFXT - T56Z25OJ862 - TDFKFEN7ZQT - TLAUMR4XY70 - TQCE6T55C13, cada una por valor de $113.000por medio de pago QR del pasado 16/04/2026, te confirmamos que no tenemos abono en nuestra cuenta. Como muestra en tu aplicación, la transacción no fue exitosa.
Adicionalmente, te confirmamos que la transacción con ID: T4D3Z330654 , se encuentra aprobada y fue abonada a la cuenta del comercio.
Hola Michel ,
Respecto a la consulta realizada el día 23/04/2026, después de validar la transacción TZGPF5VKF1V - TSZA4GMPPVZ - TZ9V0SLX6OB- T0VNHT9FFXT - T56Z25OJ862 - TDFKFEN7ZQT - TLAUMR4XY70 - TQCE6T55C13, cada una por valor de $113.000por medio de pago QR del pasado 16/04/2026, te confirmamos que no tenemos abono en nuestra cuenta. Como muestra en tu aplicación, la transacción no fue exitosa.
Adicionalmente, te confirmamos que la transacción con ID: T4D3Z330654 , se encuentra aprobada y fue abonada a la cuenta del comercio.
En el caso de que tu cliente final insista en que tiene el descuento, es necesario que él o ella solicite a su banco un certificado del cobro de esta misma con fecha posterior al 27/04/2026 para poder escalar el caso con la entidad financiera.</t>
  </si>
  <si>
    <t>GRACIES</t>
  </si>
  <si>
    <t>PQFEX2AY4O</t>
  </si>
  <si>
    <t>COLANTA</t>
  </si>
  <si>
    <t>AGROCOLANTA</t>
  </si>
  <si>
    <t>PA80NXKNGV</t>
  </si>
  <si>
    <t>TX rechazadas, TX duplicadas</t>
  </si>
  <si>
    <t>jnavas@postobon.com.co: se busco la TRX y se pago el dia 20 con el Payout</t>
  </si>
  <si>
    <t>MAYO</t>
  </si>
  <si>
    <t>COLTOLIMA</t>
  </si>
  <si>
    <t>KUQFCYOJ5F</t>
  </si>
  <si>
    <t>jvergararodrigue@gmail.comil.com /r/Respecto a la consulta realizada el día 22/05/2026, después de validar la transacción T54GTGJY6XB - T43Q65GU48B por valor de $72.000 cada una a través de QR del pasado 08/05/2026, te confirmamos que no tenemos abono en nuestra cuenta. Como muestra en tu aplicación, la transacción no fue exitosa. En el caso de que tu cliente final insista en que tiene el descuento, es necesario que él o ella solicite a su banco un certificado del cobro de esta misma con fecha posterior al 25/05/2026 para poder escalar el caso con la entidad financiera.</t>
  </si>
  <si>
    <t xml:space="preserve">LIDER PROYECTO </t>
  </si>
  <si>
    <t>Orion Restrepo</t>
  </si>
  <si>
    <t xml:space="preserve">39269999155 -  DAVIVIENDA </t>
  </si>
  <si>
    <t xml:space="preserve">atmontoya@postobon.com.co  /R/  Respecto a la consulta realizada el día 11/05/2026, después de validar la transacción T43Q65GU48B por valor de $72.000 a través de QR del pasado 08/05/2026, te confirmamos que no tenemos abono en nuestra cuenta. Como muestra en tu aplicación, la transacción no fue exitosa. En el caso de que tu cliente final insista en que tiene el descuento, es necesario que él o ella solicite a su banco un certificado del cobro de esta misma con fecha posterior al 14/05/2026 para poder escalar el caso con la entidad financiera. </t>
  </si>
  <si>
    <t>X6YO81UJK6</t>
  </si>
  <si>
    <t xml:space="preserve">ANALISTA  CANAL TRADICIONAL </t>
  </si>
  <si>
    <t>Anni  Carolina Peña</t>
  </si>
  <si>
    <t>Veolia Archipiélago sas esp</t>
  </si>
  <si>
    <t>YO5Y2NTPRY</t>
  </si>
  <si>
    <r>
      <rPr>
        <rFont val="Arial"/>
        <color theme="1"/>
        <sz val="13.0"/>
      </rPr>
      <t>396270006440 -  DAVIVIENDA</t>
    </r>
    <r>
      <rPr>
        <rFont val="Arial"/>
        <color theme="1"/>
      </rPr>
      <t xml:space="preserve"> </t>
    </r>
  </si>
  <si>
    <t>RPNIJ33O92</t>
  </si>
  <si>
    <t>Leydy rodriguez</t>
  </si>
  <si>
    <t>edwar.sinisterra@bold.co</t>
  </si>
  <si>
    <t xml:space="preserve">ANALISTA COMERCIALIZADORAS </t>
  </si>
  <si>
    <t xml:space="preserve"> efrico@postobon.com.co   /R//  </t>
  </si>
  <si>
    <t>Nasly Gamboa</t>
  </si>
  <si>
    <t>1890447809 - DAVIVIENDA</t>
  </si>
  <si>
    <t>DATAFONO - LINK</t>
  </si>
  <si>
    <t>Revision</t>
  </si>
  <si>
    <t>Capy COLANTA</t>
  </si>
  <si>
    <t>65SK8AN59R</t>
  </si>
  <si>
    <t xml:space="preserve">Rosalba Sanchez </t>
  </si>
  <si>
    <t>CONCILIACIÓN CUENTAS BANCARIAS</t>
  </si>
  <si>
    <t>Yohana  Velasquez</t>
  </si>
  <si>
    <t xml:space="preserve"> 558246880 - BBVA</t>
  </si>
  <si>
    <t>1MEOXAZD4L</t>
  </si>
  <si>
    <t>COLANTA BASE</t>
  </si>
  <si>
    <t>ANALISTA MERCOLANTA</t>
  </si>
  <si>
    <t xml:space="preserve">Orion Restrepo </t>
  </si>
  <si>
    <r>
      <rPr>
        <rFont val="Arial"/>
      </rPr>
      <t xml:space="preserve">jjsanchez@postobon.com.co /R//  es TRX por llaves de Breve no por </t>
    </r>
    <r>
      <rPr>
        <rFont val="Arial"/>
        <color rgb="FF1155CC"/>
        <u/>
      </rPr>
      <t>Bold.co</t>
    </r>
  </si>
  <si>
    <t xml:space="preserve">2,19 + $300 </t>
  </si>
  <si>
    <t>SULICOR</t>
  </si>
  <si>
    <t>FUE3DBCUN3</t>
  </si>
  <si>
    <t>700 QR</t>
  </si>
  <si>
    <t xml:space="preserve">COORINADORA DEL PROYECTO </t>
  </si>
  <si>
    <t>Stephania Florez  Garzon</t>
  </si>
  <si>
    <t>VFS Colombia SAS</t>
  </si>
  <si>
    <t>7123971850 - BANCOLOMBIA</t>
  </si>
  <si>
    <t>W522Q392Y7</t>
  </si>
  <si>
    <t>QR</t>
  </si>
  <si>
    <t xml:space="preserve">Jaime  Andres Hortua </t>
  </si>
  <si>
    <t xml:space="preserve">Tatiana Arena  </t>
  </si>
  <si>
    <t xml:space="preserve">JEFE DE CARTETA </t>
  </si>
  <si>
    <t xml:space="preserve">Juan Villalobos </t>
  </si>
  <si>
    <t>PZKOSYJEEO</t>
  </si>
  <si>
    <t>TTB</t>
  </si>
  <si>
    <t>TTB SAS</t>
  </si>
  <si>
    <t>BTJHGRLYXZ</t>
  </si>
  <si>
    <t>Personalizado</t>
  </si>
  <si>
    <t>W636X85VHW</t>
  </si>
  <si>
    <t>Parqueaderos IDU - Terminales con Proccis</t>
  </si>
  <si>
    <t xml:space="preserve"> vanchris1401@gmail.com   /R//   Respecto a tu consulta realizada el día 22/05/2026, después de validar la transacción T2S752NHSVB por valor de $184.700 a través de QR del pasado 06/05/2026, te confirmamos que sí tenemos un abono. Hoy se solicitó un cambio de estado y podrás ver la modificación desde tu aplicación, así como el abono de la venta, en 1 día hábil en tu Saldo de Ventas Bold.
</t>
  </si>
  <si>
    <t>9I8LY96BBG</t>
  </si>
  <si>
    <t>H7H258JKKS</t>
  </si>
  <si>
    <t xml:space="preserve">Parqueaderos Terminal dentro de la terminal de transporte </t>
  </si>
  <si>
    <t>German Summa</t>
  </si>
  <si>
    <t>3NQ4U0QUHW</t>
  </si>
  <si>
    <t>0NAMJ65HII</t>
  </si>
  <si>
    <t>Tasa de Uso - pendientes de las APIS</t>
  </si>
  <si>
    <t>W7NPE2OB3Q</t>
  </si>
  <si>
    <t xml:space="preserve">cbarajas@postobon.com.co   //R//  Respecto a tu consulta realizada el día 20/05/2026, después de validar la transacción TET17X46HQB por valor de $495.278 a través de QR del pasado 09/05/2026, te confirmamos que sí tenemos un abono. Hoy se solicitó un cambio de estado y podrás ver la modificación desde tu aplicación, así como el abono de la venta, en 1 día hábil en tu Saldo de Ventas Bold.
</t>
  </si>
  <si>
    <t>Zona de Parqueo Pago - GRUPO ZPP-silice</t>
  </si>
  <si>
    <t>5602GZ54UZ</t>
  </si>
  <si>
    <t>Terminal de Transporte SA - SAlitre (Proccis)</t>
  </si>
  <si>
    <t>Combos cosmicos portal 80</t>
  </si>
  <si>
    <t>OFZJDWZPTJ</t>
  </si>
  <si>
    <t>JA82FIY0Z4</t>
  </si>
  <si>
    <t>Parqueaderos DADEP - Proccis</t>
  </si>
  <si>
    <t>9QZSA4AZC9</t>
  </si>
  <si>
    <t>Inmobiliario  otro negocio por implementar</t>
  </si>
  <si>
    <t xml:space="preserve">jcrodriguezc@postobon.com.co   //R//  Respecto a tu consulta realizada el día 20/05/2026, después de validar la transacción TKE3QPMIDPJ por valor de $100.000 a través de QR del pasado 08/05/2026, te confirmamos que sí tenemos un abono. Hoy se solicitó un cambio de estado y podrás ver la modificación desde tu aplicación, así como el abono de la venta, en 1 día hábil en tu Saldo de Ventas Bold. Si tienes alguna duda adicional, estamos atentos para ayudarte.
</t>
  </si>
  <si>
    <t>TP4M14EW7G</t>
  </si>
  <si>
    <t>Atractiva Calzados</t>
  </si>
  <si>
    <t>TP4LNEUN1M</t>
  </si>
  <si>
    <t>Zona de Parqueo Pago TTSA - ZPP SILICE</t>
  </si>
  <si>
    <t xml:space="preserve">BROT -   Santa marta </t>
  </si>
  <si>
    <t>GKPL7TUHPY</t>
  </si>
  <si>
    <t>HH innovación y fabricación</t>
  </si>
  <si>
    <t>0KN0WI1S9F</t>
  </si>
  <si>
    <t>BROT  - Bogota</t>
  </si>
  <si>
    <t>8H88FI19GO</t>
  </si>
  <si>
    <t>jcrodriguezc@postobon.com.co   //R//  Respecto a tu consulta realizada el día 22/05/2026, después de validar la transacción T4PJE5PF03Y por valor de $634.000 a través de QR del pasado 25/03/2026, te confirmamos que sí tenemos un abono. Hoy se solicitó un cambio de estado y podrás ver la modificación desde tu aplicación, así como el abono de la venta, en 1 día hábil en tu Saldo de Ventas Bold.</t>
  </si>
  <si>
    <t xml:space="preserve">2,59 + $300 </t>
  </si>
  <si>
    <t>TZA2JMQCEUK - TDC36KG21JB - TWOECYY0OOW - TPH4U47CZ69</t>
  </si>
  <si>
    <t>La meca</t>
  </si>
  <si>
    <t>ATLO1FBHKN</t>
  </si>
  <si>
    <t>ypenao@postobon.com.co  //R// Respecto a la consulta realizada el día 19/05/2026, después de validar la transacción TZA2JMQCEUK - TDC36KG21JB - TWOECYY0OOW por valor de $810.750 cada una a través de QR del pasado 08/05/2026, te confirmamos que no tenemos abono en nuestra cuenta. Como muestra tu aplicación, la transacción no fue exitosa. En el caso de que tu cliente final insista en que tiene el descuento, es necesario que él o ella solicite a su banco un certificado del cobro de esta misma con fecha posterior al 21/05/2026 para poder escalar el caso con la entidad financiera.
Solo evidenciamos un abono y es de la venta aprobada TPH4U47CZ69, la cual fue abonada con éxito a la cuenta que tienes registrada.
Esperamos que esta información te haya sido de ayuda.</t>
  </si>
  <si>
    <t>PM Burger Boliva</t>
  </si>
  <si>
    <t xml:space="preserve"> TKPXMWJHW98 - TCTLJY4ISWZ</t>
  </si>
  <si>
    <t>OQ7TIDV5MD</t>
  </si>
  <si>
    <t>lrojas@postobon.com.co</t>
  </si>
  <si>
    <t>Bacanal</t>
  </si>
  <si>
    <t>372E652JMS</t>
  </si>
  <si>
    <t>JULIO</t>
  </si>
  <si>
    <t>Pablo y Maria Burger Brothers</t>
  </si>
  <si>
    <t>GQVPXX6V8G</t>
  </si>
  <si>
    <t>TJMW56ZV0YX</t>
  </si>
  <si>
    <t>T88N5LDLQUJ</t>
  </si>
  <si>
    <t>La Ruana</t>
  </si>
  <si>
    <t>SJN7XJ8236</t>
  </si>
  <si>
    <t>TU6YLCJKGOR</t>
  </si>
  <si>
    <t>TMH8CJ8IJ0Q - TIYR44OC49X</t>
  </si>
  <si>
    <t>CONSTRUCERAMICAS COLOMBIA SAS</t>
  </si>
  <si>
    <t>45E8YNVYMM</t>
  </si>
  <si>
    <t>Referido Inbound</t>
  </si>
  <si>
    <t>ana.reyes@bold.co</t>
  </si>
  <si>
    <t>TTN1MKMXTUD</t>
  </si>
  <si>
    <t>Scarpy Portal 80</t>
  </si>
  <si>
    <t>5AVCGZK2P8</t>
  </si>
  <si>
    <t>AMC Odontologia</t>
  </si>
  <si>
    <t>442EGE688O</t>
  </si>
  <si>
    <t>Felipe Rodriguez</t>
  </si>
  <si>
    <t>2.29%</t>
  </si>
  <si>
    <t>Se envian a validar los datafonos en cuanto a datos a ilimitados, Felipe informa que todas las sim de estos equiupos son movistar y tienen plan ilimtado</t>
  </si>
  <si>
    <t>9AR1MMWV5A</t>
  </si>
  <si>
    <t>Ichiraku Chia</t>
  </si>
  <si>
    <t>TXFEH92VFO</t>
  </si>
  <si>
    <t xml:space="preserve">Jorge marin </t>
  </si>
  <si>
    <t>Perros JR</t>
  </si>
  <si>
    <t>VPRNTGJCB2</t>
  </si>
  <si>
    <t>a el usuario heydervale@gmail.com no le estaba llegando mensaje para ca,bio de contraseña</t>
  </si>
  <si>
    <t>Ingreso a plataforma</t>
  </si>
  <si>
    <t>2,09%+$100</t>
  </si>
  <si>
    <t>0JO6SWOPF5</t>
  </si>
  <si>
    <t>john lancheros</t>
  </si>
  <si>
    <t>Se eliminan efectivo y nequi</t>
  </si>
  <si>
    <t>SNM2QGYKAJ</t>
  </si>
  <si>
    <t>Onboarding - Registro</t>
  </si>
  <si>
    <t>Nuevo comercio de postobon en verificacion, se íde activar, logra quedar activo el mismo dia</t>
  </si>
  <si>
    <t>VI2AZEVQ73</t>
  </si>
  <si>
    <t>Impuestos</t>
  </si>
  <si>
    <t>David Rodriguez</t>
  </si>
  <si>
    <t>Se envia proyecto tienda cerkna a marcar en impuestos como los demas de POSTOBON</t>
  </si>
  <si>
    <t>Errores tributarios</t>
  </si>
  <si>
    <t xml:space="preserve">Aroma Resto Bar SAS  </t>
  </si>
  <si>
    <t>WZGSPR0JXV</t>
  </si>
  <si>
    <t>TODOS LOS MERCHANT</t>
  </si>
  <si>
    <t>Error en reporteria</t>
  </si>
  <si>
    <t>Be Romero</t>
  </si>
  <si>
    <t>todos los merchant estan presentando error al generar, cuando se soluciono se observa cambios en el modelo de reportes, por lo cual se solicta volver al modelo anterior ya que no logran conciliar asi</t>
  </si>
  <si>
    <t>Ricasole</t>
  </si>
  <si>
    <t>X4JIGATJGL</t>
  </si>
  <si>
    <t>Error en reportes</t>
  </si>
  <si>
    <t>2,19 + 300</t>
  </si>
  <si>
    <t>Ililaserdent</t>
  </si>
  <si>
    <t>H4DQ3W9NLM</t>
  </si>
  <si>
    <t>Lu Sanchez</t>
  </si>
  <si>
    <t>tuvimos intermitencia en *mayo 30 23:48 - 2 jun 9:33*. // postobon nos solicita la devolucion de estos impuestos o retenciones generados para no tener quiza un error en el momento de la liquidacion de comision.</t>
  </si>
  <si>
    <t>2,19 % + $ 300</t>
  </si>
  <si>
    <t>Thai Station</t>
  </si>
  <si>
    <t>4SFPMWKA6T</t>
  </si>
  <si>
    <t>Andres espitia</t>
  </si>
  <si>
    <t>eran TRx de otra fecha se valida y llega al payout siguiente</t>
  </si>
  <si>
    <t>Payout</t>
  </si>
  <si>
    <t>Imporcepo</t>
  </si>
  <si>
    <t>VFR0TAG2F7</t>
  </si>
  <si>
    <t>T4SVFAGV630</t>
  </si>
  <si>
    <t>2,59+300</t>
  </si>
  <si>
    <t>Monalisa</t>
  </si>
  <si>
    <t>2XGLJL6ASW</t>
  </si>
  <si>
    <t>TH7MNM667IZ</t>
  </si>
  <si>
    <t>Ichiraku Norte</t>
  </si>
  <si>
    <t>5LSE5CTE6X</t>
  </si>
  <si>
    <t>TMG1RJVA4R0, TVF3GIGHZVI, T99KDKLN86W</t>
  </si>
  <si>
    <t>Emme cafam floresta</t>
  </si>
  <si>
    <t>RMJJCNLKKI</t>
  </si>
  <si>
    <t>T7AAQJ8F0AR</t>
  </si>
  <si>
    <t>TIMIB612IH8</t>
  </si>
  <si>
    <t>Emme ensueno</t>
  </si>
  <si>
    <t>O63GT7UONQ</t>
  </si>
  <si>
    <t>TCZWEGT34MM, TGDO4LRCA91, T3F6S461JQD</t>
  </si>
  <si>
    <t>TOTAL SERVICE</t>
  </si>
  <si>
    <t>9D25IUH6ZU</t>
  </si>
  <si>
    <t>TQ74M6YGHOB</t>
  </si>
  <si>
    <t>AGOSTO</t>
  </si>
  <si>
    <t>La Bendita</t>
  </si>
  <si>
    <t>RA4XAW89EA</t>
  </si>
  <si>
    <t>15 /8/2026</t>
  </si>
  <si>
    <t>se solicita certificado de la trx</t>
  </si>
  <si>
    <t>paula.ruiz@bold.co</t>
  </si>
  <si>
    <t>Isla Corona (arrecife)</t>
  </si>
  <si>
    <t>V7F11RKN8F</t>
  </si>
  <si>
    <t>no se encontro el abono</t>
  </si>
  <si>
    <t>TURV1HEZ141</t>
  </si>
  <si>
    <t>wcar</t>
  </si>
  <si>
    <t>9Q9H9V0QE5</t>
  </si>
  <si>
    <t>TWFVI1LGUU7</t>
  </si>
  <si>
    <t>Mrscreativo</t>
  </si>
  <si>
    <t>VFP4AM2X8R</t>
  </si>
  <si>
    <t>SI ESTA EN UN DIA HABIL ESTARA EN TU CUENTA</t>
  </si>
  <si>
    <t>TEMQTGDV7RU</t>
  </si>
  <si>
    <t>RAMGUIFLEX</t>
  </si>
  <si>
    <t>XBJD6EJPEE</t>
  </si>
  <si>
    <t>#INC: 01697</t>
  </si>
  <si>
    <t>1.60%</t>
  </si>
  <si>
    <t>SUBWAY</t>
  </si>
  <si>
    <t>https://bold.enterprise.slack.com/archives/C0BTH0X900J</t>
  </si>
  <si>
    <t>5LEB6JQ3ZX</t>
  </si>
  <si>
    <t>Urban</t>
  </si>
  <si>
    <t>X243MWK7PT</t>
  </si>
  <si>
    <t>Tortas del Gordo</t>
  </si>
  <si>
    <t>C6WTZMVXUJ</t>
  </si>
  <si>
    <t>se recibieron 21 correos con informe de las plantas afectadas  mas de 350 trx afectadas / El dia 31 cambian de estado todos los retenidos y se envia un comunicado a todas las cajas a nivel nacional</t>
  </si>
  <si>
    <t>Fallas QR</t>
  </si>
  <si>
    <t>Seoul medicina estetica</t>
  </si>
  <si>
    <t>J141IRHCAT</t>
  </si>
  <si>
    <t>se envian usuario y contraseñas de usuario limitados ttb</t>
  </si>
  <si>
    <t>LinkCo Marketing</t>
  </si>
  <si>
    <t>XRDVP47X28</t>
  </si>
  <si>
    <t>ITLEVEL1-26048</t>
  </si>
  <si>
    <t>fue error del QR se estaba llendo el dinero aCF</t>
  </si>
  <si>
    <t>Bel Skin SAS</t>
  </si>
  <si>
    <t>6FYGDXFONI</t>
  </si>
  <si>
    <t>Aldemar jerez</t>
  </si>
  <si>
    <t xml:space="preserve">Quality Tires </t>
  </si>
  <si>
    <t>KYQDQ9DDUT</t>
  </si>
  <si>
    <t>se estaba llendo el dinero a cuenta Cf, se corrige y envia el dinero a cuenta bbva</t>
  </si>
  <si>
    <t>william mosquera</t>
  </si>
  <si>
    <t>Ichiraku Medellin</t>
  </si>
  <si>
    <t>ASKFYM2VN1</t>
  </si>
  <si>
    <t>faltaba dinero en el Payout del dia, el dia viernes 4 de sep. dan a respuesta</t>
  </si>
  <si>
    <t>Usuario nonpodia ingresar</t>
  </si>
  <si>
    <t>Ichiraku Candelaria</t>
  </si>
  <si>
    <t>8Y1CCKGDWM</t>
  </si>
  <si>
    <t>Isabel osorio</t>
  </si>
  <si>
    <t>no puede generar el mes de julio, Piix informa que esun error con varios usuarios aun no pueden, se solicita  ajuan carlos generarlo con la nueva reporteria, quedamos qtentos</t>
  </si>
  <si>
    <t>Rogelio Red Tacos</t>
  </si>
  <si>
    <t>CR64Q2ZH6L</t>
  </si>
  <si>
    <t>Sara lopez</t>
  </si>
  <si>
    <t>os  comercios fueron marcados como regimen SPECIAL_TAX_REGIMEN_NO_ICA,</t>
  </si>
  <si>
    <t>1,99 + 100</t>
  </si>
  <si>
    <t>ACTION BLACK</t>
  </si>
  <si>
    <t>GEDYCRICWZ</t>
  </si>
  <si>
    <t>Conectividad - Datos</t>
  </si>
  <si>
    <t>Jorgue Marin</t>
  </si>
  <si>
    <t>Equipo no contaba con datos</t>
  </si>
  <si>
    <t>Datos - Internet - Conectividad</t>
  </si>
  <si>
    <t>Hello Park</t>
  </si>
  <si>
    <t>DF5AYBNCG7</t>
  </si>
  <si>
    <t>David Rodriguez informa viejo Camilo, estuvimos revisando y de nuestro lado estamos ok. Puedes revisar en la tab de reterenta en backoffice.</t>
  </si>
  <si>
    <t>Hotel Tequendama Medellin</t>
  </si>
  <si>
    <t>5OCMIYC9E1</t>
  </si>
  <si>
    <t>5/8/0206</t>
  </si>
  <si>
    <t>full</t>
  </si>
  <si>
    <t>Aldemar Jerez</t>
  </si>
  <si>
    <t>El dinero de estaba llendo a cuenta CF, al dinal erika transfirio los fondos y asumio el4x1000</t>
  </si>
  <si>
    <t>Rodamientos CJR</t>
  </si>
  <si>
    <t>853AVNZ579</t>
  </si>
  <si>
    <t>2,59 + 300</t>
  </si>
  <si>
    <t>No permitia crear el usuario, se manda a liberar correo e intentarlo de nuevo</t>
  </si>
  <si>
    <t>Grupo 360</t>
  </si>
  <si>
    <t>DTFL3QWOCZ</t>
  </si>
  <si>
    <t>La TRRx no salio de cuenta deposito, fue TRX por llave</t>
  </si>
  <si>
    <t>Tatiana tovar</t>
  </si>
  <si>
    <t>Ferreteria luis penagos</t>
  </si>
  <si>
    <t>01AVRUSPXN</t>
  </si>
  <si>
    <t>Se envian a validar los datafonos en cuanto a datos a ilimitados, nos responde Felipe que los unicos que admiten plan ilimitados son Sim movistar, por el momento estan con el plan mas alto los claro</t>
  </si>
  <si>
    <t>Selva nevada</t>
  </si>
  <si>
    <t>PS1W9XB6FQ</t>
  </si>
  <si>
    <t>POLLO ANDINO</t>
  </si>
  <si>
    <t>Pollo Andino</t>
  </si>
  <si>
    <t>DM4WDP0K9Y</t>
  </si>
  <si>
    <t>Sara Medina</t>
  </si>
  <si>
    <t>Se envia a Desactivar efectivo yNequi</t>
  </si>
  <si>
    <t>Ferricentro</t>
  </si>
  <si>
    <t>GNC0EBFLKR</t>
  </si>
  <si>
    <t xml:space="preserve">Oporto Pollo </t>
  </si>
  <si>
    <t>RLDMWCDBC9</t>
  </si>
  <si>
    <t>diego Cruz</t>
  </si>
  <si>
    <t>Nicolas.velandia@bold.co</t>
  </si>
  <si>
    <t>Nit: 800090890  Nutrimenti S.A.S.</t>
  </si>
  <si>
    <t>SEPTIEMBRE</t>
  </si>
  <si>
    <t>Cindid Daza</t>
  </si>
  <si>
    <t>se estaba creando un nuevo merchant para postobon, pero desistieron por temas de ellos internos, por lo cual se manda a eliminar y liberar el correo para futuro registro</t>
  </si>
  <si>
    <t>KSP SEALS AND PARTS</t>
  </si>
  <si>
    <t>M4LOYUCSQI</t>
  </si>
  <si>
    <t>RISK</t>
  </si>
  <si>
    <t>Bloqueo</t>
  </si>
  <si>
    <t xml:space="preserve">2.29 + 300 </t>
  </si>
  <si>
    <t>jhonathan rojas</t>
  </si>
  <si>
    <t>Se bloquearon los comercios de colanta, por que estaban cambiando combres de comercio interna mente</t>
  </si>
  <si>
    <t xml:space="preserve">Pink key </t>
  </si>
  <si>
    <t>TXEIYCNRVA</t>
  </si>
  <si>
    <t>TODOS POSTOBON</t>
  </si>
  <si>
    <t>erroe en reporteria</t>
  </si>
  <si>
    <t>alejandro vivas</t>
  </si>
  <si>
    <t>Error en reporteria solo de link de pago ( sesoluciona enviando a postobon a el nuevo medio de reporteria)</t>
  </si>
  <si>
    <t xml:space="preserve">2.19 + 200 </t>
  </si>
  <si>
    <t>Bestseller</t>
  </si>
  <si>
    <t>KNJ3NC4FSQ</t>
  </si>
  <si>
    <t>Suplantacionde comercios</t>
  </si>
  <si>
    <t>Alex ospina</t>
  </si>
  <si>
    <t>2.19</t>
  </si>
  <si>
    <t>Estaban suplantando a TTB, Se genera la detención del comercio 8811JX0BJJ que era desde donde estaban generando los QR</t>
  </si>
  <si>
    <t>RESTAURANTES LA PAMPA PARRILLA</t>
  </si>
  <si>
    <t>NW6BWOKGG9</t>
  </si>
  <si>
    <t>Error de seguridad</t>
  </si>
  <si>
    <t>1,99+300</t>
  </si>
  <si>
    <t xml:space="preserve">David aparicio </t>
  </si>
  <si>
    <t>Repuestos rimar</t>
  </si>
  <si>
    <t>BE6TICAMHK</t>
  </si>
  <si>
    <t>novedad que presenta KIbana</t>
  </si>
  <si>
    <t>Carlos manrrique</t>
  </si>
  <si>
    <t>se presenta novedad en QR cambio de nombre</t>
  </si>
  <si>
    <t>Monkey Burger</t>
  </si>
  <si>
    <t>EOEZSU8XRB</t>
  </si>
  <si>
    <t xml:space="preserve">Cobro no realizado </t>
  </si>
  <si>
    <t>Al Alma café</t>
  </si>
  <si>
    <t>51C9TI7TZK</t>
  </si>
  <si>
    <t>algunos datafonos no aparecen en el reporte</t>
  </si>
  <si>
    <t>Suzuki Suba</t>
  </si>
  <si>
    <t>LIJXVKVO17</t>
  </si>
  <si>
    <t>Carlos Ibanez</t>
  </si>
  <si>
    <t>informan que se desconto doble al cliente</t>
  </si>
  <si>
    <t>CX</t>
  </si>
  <si>
    <t>BROT</t>
  </si>
  <si>
    <t>Oben</t>
  </si>
  <si>
    <t>E273MPSWXT</t>
  </si>
  <si>
    <t>INTERNET</t>
  </si>
  <si>
    <t>revisión internet  para datafonos</t>
  </si>
  <si>
    <t>Perros JR Colina</t>
  </si>
  <si>
    <t>6I3LZUJUWN</t>
  </si>
  <si>
    <t>Sulicor</t>
  </si>
  <si>
    <t>Jorge marin</t>
  </si>
  <si>
    <t xml:space="preserve">novedad al crear usuario </t>
  </si>
  <si>
    <t>2,15+200</t>
  </si>
  <si>
    <t>/</t>
  </si>
  <si>
    <t>Perros JR PLaza de las Américas</t>
  </si>
  <si>
    <t>Y9EAD1AQFT</t>
  </si>
  <si>
    <t>TX duplicadas</t>
  </si>
  <si>
    <t>cliente informa que se realizo doble cobro</t>
  </si>
  <si>
    <t xml:space="preserve">cliente informa que se realizo doble cobro </t>
  </si>
  <si>
    <t>Hamburguesas el Clasico</t>
  </si>
  <si>
    <t>DUYXVP38CP</t>
  </si>
  <si>
    <t xml:space="preserve">faltante en abono </t>
  </si>
  <si>
    <t>Comercializadora Master Speed</t>
  </si>
  <si>
    <t>VAT892C3ON</t>
  </si>
  <si>
    <t>activación de productos</t>
  </si>
  <si>
    <t>Falla QR, Bloqueo</t>
  </si>
  <si>
    <t>Inversiones mac</t>
  </si>
  <si>
    <t>App no muestra aplicativos</t>
  </si>
  <si>
    <t>QSARDOURO6</t>
  </si>
  <si>
    <t>2,05 + 300</t>
  </si>
  <si>
    <t>cliente informa que se realizo descuento  pero no aparece como exitoso App bold</t>
  </si>
  <si>
    <t>old west</t>
  </si>
  <si>
    <t>TDC2305JOZ</t>
  </si>
  <si>
    <t>Clínica urgencia la merced</t>
  </si>
  <si>
    <t>WMRIIM7K4Z</t>
  </si>
  <si>
    <t xml:space="preserve">incidencias  </t>
  </si>
  <si>
    <t xml:space="preserve">adjuntan certificación transaccion que aparece no exitosa </t>
  </si>
  <si>
    <t xml:space="preserve"> SEPTIEMBRE </t>
  </si>
  <si>
    <t>TX rechazadas, Payouts no identificados</t>
  </si>
  <si>
    <t>Erika Buenas tardes, realizando la validación de transacción la cual trae comprobante se encuentra rechazada y las otras no encontramos información.</t>
  </si>
  <si>
    <t>https://serviciosfintech.slack.com/archives/C01723PHESD/p1789400128050019</t>
  </si>
  <si>
    <t>Placita Chia</t>
  </si>
  <si>
    <t>4WTLVLJXJF</t>
  </si>
  <si>
    <t>Al carbon Asados</t>
  </si>
  <si>
    <t>0TEW8HKHV6</t>
  </si>
  <si>
    <t>sergio.londono@bold.co</t>
  </si>
  <si>
    <t>Nissan y Camperos Sas</t>
  </si>
  <si>
    <t>7IVV66QYI8</t>
  </si>
  <si>
    <t>https://serviciosfintech.slack.com/archives/C08C96P4P6G/p1789402880037109</t>
  </si>
  <si>
    <t>Nissan y Camperos 2</t>
  </si>
  <si>
    <t>IEMW4LE86N</t>
  </si>
  <si>
    <t>Alpez Chalet</t>
  </si>
  <si>
    <t>EW1ZAS7596</t>
  </si>
  <si>
    <t>2.89% + 300</t>
  </si>
  <si>
    <t>31/09/2026</t>
  </si>
  <si>
    <t>Morgan Holding sas</t>
  </si>
  <si>
    <t>CVL2GHGJAR</t>
  </si>
  <si>
    <t>Camila mavesoy</t>
  </si>
  <si>
    <t>1.99</t>
  </si>
  <si>
    <t>N/A</t>
  </si>
  <si>
    <t>Equipo, revisando los pagos se han rechazado por topes de Bogotá (Es la cuenta que ellos tienen registrada), estoy en llamada con Postobón y Cris Casas, revisando la situación porque tenemos que hacer primero cambio de representante y luego cambio de la cuenta a la que ellos quieren. (editado)</t>
  </si>
  <si>
    <t xml:space="preserve"> Ahabah Agro SAS</t>
  </si>
  <si>
    <t>UV3ALWE7CY</t>
  </si>
  <si>
    <t>Queja</t>
  </si>
  <si>
    <t>https://serviciosfintech.slack.com/archives/C01723PHESD/p1789400580487679</t>
  </si>
  <si>
    <t>Sakura</t>
  </si>
  <si>
    <t>9UFTZQFXAR</t>
  </si>
  <si>
    <t>2,09+$200</t>
  </si>
  <si>
    <t>Repuestos Cronos</t>
  </si>
  <si>
    <t>6KU8U4VM5V</t>
  </si>
  <si>
    <t>2.19 + 300</t>
  </si>
  <si>
    <t>Jorge Marin</t>
  </si>
  <si>
    <t>VALIDACIÓN consignación  Estaba revisando un poco mas a detalle la transacción, pero encontre que la razón por la cual el merchant no ve este movimiento, es porque esa transacción XEJ5RO1SEQ nunca se completo y fue rechazada un minuto después, por lo cual el dinero nunca salió de la cuenta de origen.</t>
  </si>
  <si>
    <t xml:space="preserve">Clinica de los sentidos </t>
  </si>
  <si>
    <t>WB4OKYDHNE</t>
  </si>
  <si>
    <t>https://serviciosfintech.slack.com/archives/C01723PHESD/p1789170699014439?thread_ts=1789169260.771229&amp;cid=C01723PHESD</t>
  </si>
  <si>
    <t>1.60</t>
  </si>
  <si>
    <t>Inversiones hermanos la verde</t>
  </si>
  <si>
    <t>GV0QJTPVZ1</t>
  </si>
  <si>
    <t>Sergio.londono@bold.co</t>
  </si>
  <si>
    <t>Bocatto prendas de vestir</t>
  </si>
  <si>
    <t>SCAWNGR2IL</t>
  </si>
  <si>
    <t>Caninos y Felinos Sas</t>
  </si>
  <si>
    <t>AX9T161Y4S</t>
  </si>
  <si>
    <t>Interlujos</t>
  </si>
  <si>
    <t>CND6HA1NA6</t>
  </si>
  <si>
    <t xml:space="preserve">Be Romero </t>
  </si>
  <si>
    <t>Cambio de numero  - estas solicitudes requieren ingresar por soporte ya que requieren verificaciones de seguridad</t>
  </si>
  <si>
    <t>Solicitudes Certificados/Documentos</t>
  </si>
  <si>
    <t>https://serviciosfintech.slack.com/archives/C01723PHESD/p1789412808012719</t>
  </si>
  <si>
    <t>Inversiones Servi piscinas</t>
  </si>
  <si>
    <t>SSZU60WPCW</t>
  </si>
  <si>
    <t>diana.velasquez@bold.co</t>
  </si>
  <si>
    <t>2,09+$300</t>
  </si>
  <si>
    <t>HOLDING CHRISTIANS SAS</t>
  </si>
  <si>
    <t>406Y8PD56V</t>
  </si>
  <si>
    <t>Legal</t>
  </si>
  <si>
    <t>2,29 + 300</t>
  </si>
  <si>
    <t>Sofian</t>
  </si>
  <si>
    <t>WZB1XJK6TH</t>
  </si>
  <si>
    <t>Aumento cupo  - Estas son las restricciones de montos actuales configuradas para este MID GLKD99RUI4 ¿Me confirmas para que metodo de pago estas solicitando el aumento del tope? y de cuanto es el monto?</t>
  </si>
  <si>
    <t>https://serviciosfintech.slack.com/archives/C01723PHESD/p1789414175710909</t>
  </si>
  <si>
    <t>jeyson.salazar@bold.co</t>
  </si>
  <si>
    <t>Consultorio Dr. Hernando Acosta</t>
  </si>
  <si>
    <t>NTETF401BR</t>
  </si>
  <si>
    <t>Sili Dubai - MODISH MERCH SAS</t>
  </si>
  <si>
    <t>KW9GACVMP5</t>
  </si>
  <si>
    <t>ZEMBA --  horus</t>
  </si>
  <si>
    <t>VQRYIAQ295</t>
  </si>
  <si>
    <t>Peticion, Datos / Internet</t>
  </si>
  <si>
    <t>Jula Medina</t>
  </si>
  <si>
    <t>internet TTB - N860WN25879 Se solicita ajuste de datos radicado 16571320, el día de mañana después de las 8 de la mañana puede reiniciar el datafono y ya contara con datos.</t>
  </si>
  <si>
    <t>ZEMBA EVENTOS --  horus</t>
  </si>
  <si>
    <t>4ENPV06ZDW</t>
  </si>
  <si>
    <t>https://serviciosfintech.slack.com/archives/C01B379NVLY/p1789148954354169?thread_ts=1789148879.280829&amp;cid=C01B379NVLY</t>
  </si>
  <si>
    <t>Clandestino Club</t>
  </si>
  <si>
    <t>HC04720X8P</t>
  </si>
  <si>
    <t>Octava Club</t>
  </si>
  <si>
    <t>EGQV5KCAAS</t>
  </si>
  <si>
    <t>Vallemotos</t>
  </si>
  <si>
    <t>474N8BHMFV</t>
  </si>
  <si>
    <t>16/0972026</t>
  </si>
  <si>
    <t>Informe no descarga Buenas tardes @Cristian Casas Pérez en el #inc-01725 informan que: Se valida que en las ultimas 8 hrs ya no presento el error de "Connect failed to setup a session". Se inician validaciones a nivel de datos para verificar completitud
Confirmame si ya logran generar el reporte</t>
  </si>
  <si>
    <t>Edemfold</t>
  </si>
  <si>
    <t>S1S7P4JDHR</t>
  </si>
  <si>
    <t>https://serviciosfintech.slack.com/archives/C01723PHESD/p1789570277844509</t>
  </si>
  <si>
    <t>2,29 +300</t>
  </si>
  <si>
    <t>Punto Gres la 61</t>
  </si>
  <si>
    <t>TRTJ8DJ57M</t>
  </si>
  <si>
    <t>Bellness</t>
  </si>
  <si>
    <t>FKMC7BETA8</t>
  </si>
  <si>
    <t>Al carbon Asados Dos</t>
  </si>
  <si>
    <t>2UFGI0LHAX</t>
  </si>
  <si>
    <t>Montenegro Bake House</t>
  </si>
  <si>
    <t>DG6BVXAQH8</t>
  </si>
  <si>
    <t>Tulum Mexican Soul</t>
  </si>
  <si>
    <t>3TXC9VG7FV</t>
  </si>
  <si>
    <t>Supralab Sas</t>
  </si>
  <si>
    <t>SY1YYTRC0Y</t>
  </si>
  <si>
    <t>2,09 +$300</t>
  </si>
  <si>
    <t>SERVIAUTECH ORIENTE SAS</t>
  </si>
  <si>
    <t>VEA7T9WL4K</t>
  </si>
  <si>
    <t>Pet shop by catdog</t>
  </si>
  <si>
    <t>3PN7ULDLIH</t>
  </si>
  <si>
    <t>Catdog Sas</t>
  </si>
  <si>
    <t>WQN3AJB7PG</t>
  </si>
  <si>
    <t>METROVISUAL OPTICA</t>
  </si>
  <si>
    <t>JFHU3WAT2P</t>
  </si>
  <si>
    <t xml:space="preserve">Perangamo comida tipica </t>
  </si>
  <si>
    <t>LPAZEG6367</t>
  </si>
  <si>
    <t>2.19 + $300</t>
  </si>
  <si>
    <t>Mundo Magico</t>
  </si>
  <si>
    <t>HAOF6M74TS</t>
  </si>
  <si>
    <t>Expresion Perfumees</t>
  </si>
  <si>
    <t>MUHXIAA2LJ</t>
  </si>
  <si>
    <t>Royal Zona T</t>
  </si>
  <si>
    <r>
      <rPr>
        <rFont val="Slack-Lato, Slack-Fractions, appleLogo, sans-serif"/>
        <color rgb="FF1D1C1D"/>
        <sz val="11.0"/>
      </rPr>
      <t>8JZRU8B1W8</t>
    </r>
  </si>
  <si>
    <t>CTS Royal</t>
  </si>
  <si>
    <t>NVKIC7RMN6</t>
  </si>
  <si>
    <t>Inversiones Dorado Pet</t>
  </si>
  <si>
    <t>DT95NWLF0W</t>
  </si>
  <si>
    <t>Al Cielo cafe</t>
  </si>
  <si>
    <r>
      <rPr>
        <rFont val="Slack-Lato, Slack-Fractions, appleLogo, sans-serif"/>
        <color rgb="FF1D1C1D"/>
        <sz val="11.0"/>
      </rPr>
      <t>K7I85PGW9S</t>
    </r>
  </si>
  <si>
    <t>Datos / Internet</t>
  </si>
  <si>
    <t>Dogkat</t>
  </si>
  <si>
    <t xml:space="preserve">Jorge Orlando </t>
  </si>
  <si>
    <t>YO31XBWO4W</t>
  </si>
  <si>
    <t>internet calle 88 configuración APN</t>
  </si>
  <si>
    <t>https://serviciosfintech.slack.com/archives/C01B379NVLY/p1789576836735979</t>
  </si>
  <si>
    <t>1,89 + $300</t>
  </si>
  <si>
    <t>Caanrola sas</t>
  </si>
  <si>
    <r>
      <rPr>
        <rFont val="Roboto"/>
        <color rgb="FF000000"/>
        <sz val="9.0"/>
      </rPr>
      <t>K5GYX70JTS</t>
    </r>
  </si>
  <si>
    <t>PUPPY EXPORT</t>
  </si>
  <si>
    <t>WRYOYRFZSZ</t>
  </si>
  <si>
    <t>2.09 + 100</t>
  </si>
  <si>
    <t xml:space="preserve">SEPTIEMBRE </t>
  </si>
  <si>
    <t>internet  providencia - sim de este datafono es movistar, por lo cual cuenta con datos ilimitados, por favor validar que tenga configurado el roaming y apn de movistar como en este video:</t>
  </si>
  <si>
    <t>T.P.O Repuestos</t>
  </si>
  <si>
    <t>5XYDH2JZL3</t>
  </si>
  <si>
    <t>https://serviciosfintech.slack.com/archives/C01B379NVLY/p1789577426652689</t>
  </si>
  <si>
    <t>Dose IPS</t>
  </si>
  <si>
    <r>
      <rPr>
        <rFont val="Montserrat, sans-serif"/>
        <color rgb="FF000000"/>
        <sz val="11.0"/>
      </rPr>
      <t>Q7I2FZUXD6</t>
    </r>
  </si>
  <si>
    <t>Diver sas</t>
  </si>
  <si>
    <r>
      <rPr>
        <rFont val="Montserrat, sans-serif"/>
        <color rgb="FF000000"/>
        <sz val="11.0"/>
      </rPr>
      <t>HRU4BP5J2B</t>
    </r>
  </si>
  <si>
    <t>Tejo Pachangero</t>
  </si>
  <si>
    <r>
      <rPr>
        <rFont val="Slack-Lato, Slack-Fractions, appleLogo, sans-serif"/>
        <color rgb="FF1D1C1D"/>
        <sz val="11.0"/>
      </rPr>
      <t>OCFOMHHMK4</t>
    </r>
  </si>
  <si>
    <t>Hola, el datafono N860WN01371 cuentan con sim movistar, la cual tiene datos ilimtiados, por favor configurar el apn y roaming como el video adjunto.</t>
  </si>
  <si>
    <t>https://serviciosfintech.slack.com/archives/C01B379NVLY/p1789578350830189</t>
  </si>
  <si>
    <t>Global electric</t>
  </si>
  <si>
    <t>2PFILDW8FW</t>
  </si>
  <si>
    <t>Oporto Portugues</t>
  </si>
  <si>
    <t>8XBU3FH6EK</t>
  </si>
  <si>
    <t>Bel Skin</t>
  </si>
  <si>
    <t>no hubo respuesta</t>
  </si>
  <si>
    <t>IP6QHHVJB7</t>
  </si>
  <si>
    <t>No hubo respuesta</t>
  </si>
  <si>
    <t>https://serviciosfintech.slack.com/archives/C01B379NVLY/p1789580923278159</t>
  </si>
  <si>
    <t>Roll Wok</t>
  </si>
  <si>
    <t>MORLCRCGUS</t>
  </si>
  <si>
    <t>La gaira gourmet</t>
  </si>
  <si>
    <t>VE5O1Z61GP</t>
  </si>
  <si>
    <t xml:space="preserve">William Mosquera </t>
  </si>
  <si>
    <t xml:space="preserve">El datafono N860WN22750 es sim claro, y cuenta tmabien con datos como se evidencia en la foto adjunta, te envio tambien el video de configuracion de apn y roaming de ese operado no hubo respiesta </t>
  </si>
  <si>
    <t>Dog UI</t>
  </si>
  <si>
    <t>BQ8G7BUZMH</t>
  </si>
  <si>
    <t>https://serviciosfintech.slack.com/archives/C01723PHESD/p1789662882980169</t>
  </si>
  <si>
    <t>Fonfaber</t>
  </si>
  <si>
    <t>HP65NMLJ5R</t>
  </si>
  <si>
    <t>willian mosquera</t>
  </si>
  <si>
    <t>Surtiplaza del Valle</t>
  </si>
  <si>
    <t>VV4KJIR0CW</t>
  </si>
  <si>
    <t>17/0872026</t>
  </si>
  <si>
    <t>Api preferencias de cobro TTB Espero que te encuentres bien, evidencio que el datafono estaba desactualizado, ya lo actualizaron y le reconoció la señal de la sim, recientemente se proceso ventas con la nueva versión y conectado a la red de la sim.</t>
  </si>
  <si>
    <t>https://serviciosfintech.slack.com/archives/C01B379NVLY/p1789666124155859?thread_ts=1789666089.154819&amp;cid=C01B379NVLY</t>
  </si>
  <si>
    <t>Organic domicilios</t>
  </si>
  <si>
    <t>5KX1YO3QJG</t>
  </si>
  <si>
    <t>2,09+200</t>
  </si>
  <si>
    <t>INMOBILIARIA DYR</t>
  </si>
  <si>
    <t>DHH2J48WCG</t>
  </si>
  <si>
    <t>2,19 + $300</t>
  </si>
  <si>
    <t>Inacsa</t>
  </si>
  <si>
    <t>LLP4WIPHW2</t>
  </si>
  <si>
    <t xml:space="preserve">Jenifer Cifuentes </t>
  </si>
  <si>
    <t>Mexicano MX</t>
  </si>
  <si>
    <t>0EZS9P5UEL</t>
  </si>
  <si>
    <t>SUPLANTACIÓN Equipo validamos hoy  con el equipo de disputas @Lorena Vargas y Bancolombia no nos ha dado rta sobre el reverso de la trxs. Una vez tengamos rta Lorena nos confirma. Gracias:thankyou:</t>
  </si>
  <si>
    <t>https://serviciosfintech.slack.com/archives/C04PDHFRRRQ/p1784135440879489</t>
  </si>
  <si>
    <t>El palacio de la gallina</t>
  </si>
  <si>
    <t>PLIKHGX8U1</t>
  </si>
  <si>
    <t>2.39%</t>
  </si>
  <si>
    <t>US AND THEM</t>
  </si>
  <si>
    <t>1ANNN2IHO5</t>
  </si>
  <si>
    <t>Cupcasess</t>
  </si>
  <si>
    <t>CNDPCZRDO8</t>
  </si>
  <si>
    <t>Camilo Casas</t>
  </si>
  <si>
    <t>Chicken Wings</t>
  </si>
  <si>
    <t>L7NZS6DKHO</t>
  </si>
  <si>
    <t>18/9/0206</t>
  </si>
  <si>
    <t>ccasa.per@hotmail.com</t>
  </si>
  <si>
    <t>https://serviciosfintech.slack.com/archives/C01723PHESD/p1789688170797929</t>
  </si>
  <si>
    <t>Colsih SAS</t>
  </si>
  <si>
    <t>XOQZV9A531</t>
  </si>
  <si>
    <t>LIMCA SAS</t>
  </si>
  <si>
    <t>A4XVEUHQVI</t>
  </si>
  <si>
    <t xml:space="preserve">William Espitia </t>
  </si>
  <si>
    <t>Pago Impuestos BROT se realiza reunión y capacitacion para pago impuestos</t>
  </si>
  <si>
    <t>https://serviciosfintech.slack.com/archives/C08C96P4P6G/p1790010368938509</t>
  </si>
  <si>
    <t>Gim Santa Cristina de Toscana</t>
  </si>
  <si>
    <t>L813L1GMU3</t>
  </si>
  <si>
    <t>Comercializadora Espitia y Gonzalez</t>
  </si>
  <si>
    <t>IKA4RZIXJI</t>
  </si>
  <si>
    <t xml:space="preserve">SEPTIEMBRE  </t>
  </si>
  <si>
    <t xml:space="preserve">integración de datafono </t>
  </si>
  <si>
    <t>Tier 2</t>
  </si>
  <si>
    <t>https://serviciosfintech.slack.com/archives/C01723PHESD/p1790011139287619</t>
  </si>
  <si>
    <t>DULCINEA</t>
  </si>
  <si>
    <t>K71VV0GWQ8</t>
  </si>
  <si>
    <t>2.15%</t>
  </si>
  <si>
    <t>La pampa</t>
  </si>
  <si>
    <t>OM16N4A2JD</t>
  </si>
  <si>
    <t xml:space="preserve">Ipoconsumo </t>
  </si>
  <si>
    <t>UB5RU3HC0T</t>
  </si>
  <si>
    <t>https://serviciosfintech.slack.com/archives/C01723PHESD/p1790013617716169</t>
  </si>
  <si>
    <t>BVUEV5DWJX</t>
  </si>
  <si>
    <t>RQM6IVGR66</t>
  </si>
  <si>
    <t xml:space="preserve">Sta barbara carulla prsenta novedad  en internet </t>
  </si>
  <si>
    <t>https://serviciosfintech.slack.com/archives/C01B379NVLY/p1790023163490429</t>
  </si>
  <si>
    <t>CY1JZLWIUV</t>
  </si>
  <si>
    <t>Z7VNSZI3VA</t>
  </si>
  <si>
    <t>9WMBMNL9ON</t>
  </si>
  <si>
    <t xml:space="preserve">cardio infantil 161 fallas de internet </t>
  </si>
  <si>
    <t>https://serviciosfintech.slack.com/archives/C01B379NVLY/p1790024039449909</t>
  </si>
  <si>
    <t>LORX7DRS1H</t>
  </si>
  <si>
    <t>D7E7DR34AP</t>
  </si>
  <si>
    <t xml:space="preserve">postobon </t>
  </si>
  <si>
    <t xml:space="preserve">incidencias postobon </t>
  </si>
  <si>
    <t xml:space="preserve"> LB1804</t>
  </si>
  <si>
    <t>Yakitori Salitre Plaza</t>
  </si>
  <si>
    <t>VDVRX8O7OS</t>
  </si>
  <si>
    <t>sneyder gantiva</t>
  </si>
  <si>
    <t xml:space="preserve">TPS8LTJWA31 aprobada  - TBDGSI2HAA3 rechazada </t>
  </si>
  <si>
    <t>Full tasa</t>
  </si>
  <si>
    <t>molarte@postobon.com.co</t>
  </si>
  <si>
    <t xml:space="preserve">JUAN CARLOS </t>
  </si>
  <si>
    <t>ORGANIC NAILS KENNEDY</t>
  </si>
  <si>
    <t>01MEF6AR94</t>
  </si>
  <si>
    <t xml:space="preserve">POSTOBON </t>
  </si>
  <si>
    <t xml:space="preserve">AGOSTO </t>
  </si>
  <si>
    <t xml:space="preserve">Trx no encontrada no documentos no id trx </t>
  </si>
  <si>
    <t>2,19 $ 300</t>
  </si>
  <si>
    <t>jfserna@gaslux.com.co</t>
  </si>
  <si>
    <t>Perfumes y Marcas</t>
  </si>
  <si>
    <t xml:space="preserve">GT0DLVLS7I  </t>
  </si>
  <si>
    <t>1.40</t>
  </si>
  <si>
    <t xml:space="preserve">BROT </t>
  </si>
  <si>
    <t>El Mejor Perfume</t>
  </si>
  <si>
    <t>2F5YN1FOTB</t>
  </si>
  <si>
    <t>Aumento de topes brot</t>
  </si>
  <si>
    <t>https://serviciosfintech.slack.com/archives/C08C96P4P6G/p1790092105459749</t>
  </si>
  <si>
    <t>Santa Mati</t>
  </si>
  <si>
    <t xml:space="preserve">D8VNOI7YEN </t>
  </si>
  <si>
    <t>1,29D 1,39C</t>
  </si>
  <si>
    <t>Perfulinio</t>
  </si>
  <si>
    <t>DC0ZTGJ5SJ</t>
  </si>
  <si>
    <t>La bendita</t>
  </si>
  <si>
    <t>EUZMRCPII9</t>
  </si>
  <si>
    <t xml:space="preserve">TRX fantasma no aparece tampoco como cobro no realizado </t>
  </si>
  <si>
    <t>https://serviciosfintech.slack.com/archives/C01723PHESD/p1790111659579589</t>
  </si>
  <si>
    <t>Isla Corona</t>
  </si>
  <si>
    <t>ZF4V7DHS8T</t>
  </si>
  <si>
    <t>CDA Entretenimiento</t>
  </si>
  <si>
    <t>SLNJBDABNI</t>
  </si>
  <si>
    <t>08/28/2026</t>
  </si>
  <si>
    <t>DIBUFALA</t>
  </si>
  <si>
    <t>G9VF8ZC6IL</t>
  </si>
  <si>
    <t>TC7JIOUIQ42 aprobado  - TARELPP9M5G rechazado</t>
  </si>
  <si>
    <t>faortizo@postobon.com.co</t>
  </si>
  <si>
    <t>Tir 3</t>
  </si>
  <si>
    <t>Consultorio Dr Barbosa</t>
  </si>
  <si>
    <t xml:space="preserve">incidencias </t>
  </si>
  <si>
    <t>N8B8AE3WL3</t>
  </si>
  <si>
    <t>TJF0OUR0RWY</t>
  </si>
  <si>
    <t>jriascos@postobon.com.co</t>
  </si>
  <si>
    <t>Al carbon asados</t>
  </si>
  <si>
    <t>HEI8FXQGXP</t>
  </si>
  <si>
    <t>T3MNTDNTXEX no realizzado   - T7Y8KE6N8RG exitoso  NOVEDAD BOLD ZONA 1869</t>
  </si>
  <si>
    <t>https://serviciosfintech.slack.com/archives/C01723PHESD/p1790116667364899</t>
  </si>
  <si>
    <t>Al carbon asados 2</t>
  </si>
  <si>
    <t>5V8I97F3ZJ</t>
  </si>
  <si>
    <t>Asarte</t>
  </si>
  <si>
    <t xml:space="preserve">SSMH6MRZQ8 </t>
  </si>
  <si>
    <t>Cosiaca Conejera</t>
  </si>
  <si>
    <t xml:space="preserve">W8SYO4KSFE </t>
  </si>
  <si>
    <t>Sneyder  gantiva</t>
  </si>
  <si>
    <t>TL1O2BE8HWZ  aprobada   - T0FWE21I1N2 rechazada</t>
  </si>
  <si>
    <t>09/22/2026</t>
  </si>
  <si>
    <t>Pound Cajica</t>
  </si>
  <si>
    <t xml:space="preserve">2VNX7TIZ4C </t>
  </si>
  <si>
    <t>Brayan Schoonewolff Velandia</t>
  </si>
  <si>
    <t>Datafono recaudo presenta descuento pero la trx venta no realizada</t>
  </si>
  <si>
    <t>https://serviciosfintech.slack.com/archives/C01723PHESD/p1790119463651209</t>
  </si>
  <si>
    <t>PARROQUIA NUESTRA SEÑORA DE GUADALUPE</t>
  </si>
  <si>
    <t>IZGE7YG9FM</t>
  </si>
  <si>
    <t>Martin y Franco sas</t>
  </si>
  <si>
    <t>ROG5UPI5T7</t>
  </si>
  <si>
    <t xml:space="preserve"> PA80NXKNGV</t>
  </si>
  <si>
    <t>1,99D 2,09C</t>
  </si>
  <si>
    <t>Toro Mccoy</t>
  </si>
  <si>
    <t>DKTAQN1C29</t>
  </si>
  <si>
    <r>
      <rPr>
        <rFont val="Slack-Lato, Slack-Fractions, appleLogo, sans-serif"/>
        <color rgb="FF1D1C1D"/>
        <sz val="11.0"/>
      </rPr>
      <t>8JZRU8B1W8</t>
    </r>
  </si>
  <si>
    <t>lu sanchez</t>
  </si>
  <si>
    <t>$1.564.690,20.</t>
  </si>
  <si>
    <t>VJ5Q1B0V7O</t>
  </si>
  <si>
    <t>Rete IVA en el Merchant ID PA80NXKNGV</t>
  </si>
  <si>
    <t>https://serviciosfintech.slack.com/archives/C01723PHESD/p1790120460279219</t>
  </si>
  <si>
    <t>L6BVL5HXU9</t>
  </si>
  <si>
    <t>K1DLG7D97D</t>
  </si>
  <si>
    <t>https://serviciosfintech.slack.com/archives/C06KLRPL6QH/p1790172704978049</t>
  </si>
  <si>
    <t>EL Tablazo Parrilla Picnic</t>
  </si>
  <si>
    <r>
      <rPr>
        <rFont val="Slack-Lato, Slack-Fractions, appleLogo, sans-serif"/>
        <color rgb="FF1D1C1D"/>
        <sz val="11.0"/>
      </rPr>
      <t>K7I85PGW9S</t>
    </r>
  </si>
  <si>
    <t>9O12Z2PZ6P</t>
  </si>
  <si>
    <t>2 smart pro</t>
  </si>
  <si>
    <t>sergio</t>
  </si>
  <si>
    <t>Fabio y CIa Ltda</t>
  </si>
  <si>
    <t>YN3ACD5PD3</t>
  </si>
  <si>
    <t>2.09 + 300</t>
  </si>
  <si>
    <t>se presenta una diferencia de $47.310,00</t>
  </si>
  <si>
    <t>GOBAL REPUESTOS SAS</t>
  </si>
  <si>
    <t>https://serviciosfintech.slack.com/archives/C01723PHESD/p1790121247876749</t>
  </si>
  <si>
    <t>4OUU92V2IH</t>
  </si>
  <si>
    <r>
      <rPr>
        <rFont val="Roboto"/>
        <color rgb="FF000000"/>
        <sz val="9.0"/>
      </rPr>
      <t>K5GYX70JTS</t>
    </r>
  </si>
  <si>
    <t>Tir 1</t>
  </si>
  <si>
    <t>WINGSTOP</t>
  </si>
  <si>
    <t>C7CZE3UDYT</t>
  </si>
  <si>
    <t>TIER 2</t>
  </si>
  <si>
    <t>IMPORTADORA ALDIFOR LTDA</t>
  </si>
  <si>
    <t>TC1BY7XUDU</t>
  </si>
  <si>
    <t>, generando una diferencia de $412.517,00,</t>
  </si>
  <si>
    <t>wilber.blanco@bold.co</t>
  </si>
  <si>
    <t>COZZARELLI</t>
  </si>
  <si>
    <t xml:space="preserve">35ADTAVTO2 </t>
  </si>
  <si>
    <t>https://serviciosfintech.slack.com/archives/C01723PHESD/p1790121842437889</t>
  </si>
  <si>
    <t>Tier 1</t>
  </si>
  <si>
    <t xml:space="preserve">PIERRE DE FERMAT </t>
  </si>
  <si>
    <t>GGHW96IS9D</t>
  </si>
  <si>
    <r>
      <rPr>
        <rFont val="Montserrat, sans-serif"/>
        <color rgb="FF000000"/>
        <sz val="11.0"/>
      </rPr>
      <t>Q7I2FZUXD6</t>
    </r>
  </si>
  <si>
    <t>Tier 5 (20-40 MM)</t>
  </si>
  <si>
    <t>XZHSHXRE4S</t>
  </si>
  <si>
    <r>
      <rPr>
        <rFont val="Montserrat, sans-serif"/>
        <color rgb="FF000000"/>
        <sz val="11.0"/>
      </rPr>
      <t>HRU4BP5J2B</t>
    </r>
  </si>
  <si>
    <t>BISONTALAS</t>
  </si>
  <si>
    <t>229KR1G0RT</t>
  </si>
  <si>
    <r>
      <rPr>
        <rFont val="Slack-Lato, Slack-Fractions, appleLogo, sans-serif"/>
        <color rgb="FF1D1C1D"/>
        <sz val="11.0"/>
      </rPr>
      <t>OCFOMHHMK4</t>
    </r>
  </si>
  <si>
    <t>IPS CLINICA RENACER</t>
  </si>
  <si>
    <t>EX8W73VG49</t>
  </si>
  <si>
    <t>CPMP1VXX4CQC</t>
  </si>
  <si>
    <t>2,69+300</t>
  </si>
  <si>
    <t>https://serviciosfintech.slack.com/archives/C01723PHESD/p1790122794960099</t>
  </si>
  <si>
    <t>ACTION BLACK SABANETA</t>
  </si>
  <si>
    <t>T9DL59GL38</t>
  </si>
  <si>
    <t>2,09+100</t>
  </si>
  <si>
    <t>GALEON MEDELLIN</t>
  </si>
  <si>
    <t>OESA1BOU43</t>
  </si>
  <si>
    <t>2,09+300</t>
  </si>
  <si>
    <t>Total Food sas</t>
  </si>
  <si>
    <t>0ZF2MHXLRU</t>
  </si>
  <si>
    <t>Danilo Cardenas</t>
  </si>
  <si>
    <t>1CLQGUSN3C</t>
  </si>
  <si>
    <t>CERKANA</t>
  </si>
  <si>
    <t>https://serviciosfintech.slack.com/archives/C01723PHESD/p1790123427823319</t>
  </si>
  <si>
    <t>Red y mar 2 sede</t>
  </si>
  <si>
    <t>C8NQGR07D1</t>
  </si>
  <si>
    <t>edinson.rodriguez@bold.co</t>
  </si>
  <si>
    <t>MARY AND GEORGE</t>
  </si>
  <si>
    <t>HH01V1HBP0</t>
  </si>
  <si>
    <t>CARVAUTOS</t>
  </si>
  <si>
    <t>83A7RLGNLT</t>
  </si>
  <si>
    <t xml:space="preserve">be romero </t>
  </si>
  <si>
    <t>se presenta novedad en la conexión con el datafono</t>
  </si>
  <si>
    <t>https://serviciosfintech.slack.com/archives/C01723PHESD/p1789776314856499</t>
  </si>
  <si>
    <t>CDA MOTO SUR</t>
  </si>
  <si>
    <t>HH2T6QC6Q9</t>
  </si>
  <si>
    <t>2,99 + 300</t>
  </si>
  <si>
    <t>Asaderos Alcaravan SAS</t>
  </si>
  <si>
    <t>LFXSO532ZU</t>
  </si>
  <si>
    <t>Pagos por lote heramientas inactivas</t>
  </si>
  <si>
    <t>https://serviciosfintech.slack.com/archives/C08C96P4P6G/p1790186382077009</t>
  </si>
  <si>
    <t>DG FOOD</t>
  </si>
  <si>
    <t>4XMUU38HTL</t>
  </si>
  <si>
    <t>MAGISTRALVET</t>
  </si>
  <si>
    <t>RYDUSOUCDX</t>
  </si>
  <si>
    <t>#</t>
  </si>
  <si>
    <t>TIPO DE DOCUMENTO</t>
  </si>
  <si>
    <t># DE DOCUMENTO</t>
  </si>
  <si>
    <t>Ejecutivo que realiza la ACTIVACIÓN</t>
  </si>
  <si>
    <t>Fecha de ACTIVACIÓN</t>
  </si>
  <si>
    <t>BGBKG6TM1S</t>
  </si>
  <si>
    <t>CC</t>
  </si>
  <si>
    <t>LATIENDA PASION</t>
  </si>
  <si>
    <t>CVLA3JII4V</t>
  </si>
  <si>
    <t>FERRETERÍA PUNTO DE LAS HERRAMIENTAS</t>
  </si>
  <si>
    <t>5MC2J22O1W</t>
  </si>
  <si>
    <t>Jhonatan.moreno@bold.co</t>
  </si>
  <si>
    <t>2WZ9UO778I</t>
  </si>
  <si>
    <t>Tennis pro</t>
  </si>
  <si>
    <t>NXTBV69O3O</t>
  </si>
  <si>
    <t>YQV101FLPR</t>
  </si>
  <si>
    <t>LBPEPJ7MSE</t>
  </si>
  <si>
    <t>5QI9HHZ4V3</t>
  </si>
  <si>
    <t xml:space="preserve">merchant informe novedad usuario </t>
  </si>
  <si>
    <t>https://serviciosfintech.slack.com/archives/C01723PHESD/p1790269110276459</t>
  </si>
  <si>
    <t>7IPCV8YYHF</t>
  </si>
  <si>
    <t>AB5GBIOYD3</t>
  </si>
  <si>
    <t>D3G5KP2NFQ</t>
  </si>
  <si>
    <t>A51QMI6IBF</t>
  </si>
  <si>
    <t>MPCK701TYS</t>
  </si>
  <si>
    <t>Tennis pro Col</t>
  </si>
  <si>
    <t>UJSUPIWL3E</t>
  </si>
  <si>
    <t>JZ148KPFMY</t>
  </si>
  <si>
    <t>KFFXQCGZG5</t>
  </si>
  <si>
    <t>96EWQ42R93</t>
  </si>
  <si>
    <t>BEW2I4H9RP</t>
  </si>
  <si>
    <t>M A LA CELOSA VIP</t>
  </si>
  <si>
    <t>PXK8I4FX3Z</t>
  </si>
  <si>
    <t>5TUC1DCSBP</t>
  </si>
  <si>
    <t>95W4VLFD9Y</t>
  </si>
  <si>
    <t>Jorge cariillo</t>
  </si>
  <si>
    <t xml:space="preserve">CERKANA </t>
  </si>
  <si>
    <t>FYDA0BGYE4</t>
  </si>
  <si>
    <t>https://serviciosfintech.slack.com/archives/C01723PHESD/p1790270929575469</t>
  </si>
  <si>
    <t>LFDZFTTZLO</t>
  </si>
  <si>
    <t>BOH0HKMSL4</t>
  </si>
  <si>
    <t>CHULAS Y CUATES</t>
  </si>
  <si>
    <t>KTKDKCXIDE</t>
  </si>
  <si>
    <t>VKWHD8HZE1</t>
  </si>
  <si>
    <t>2R8RGWWOMC</t>
  </si>
  <si>
    <t>KHIXVEXUMF</t>
  </si>
  <si>
    <t>SX4JRDVAJZ</t>
  </si>
  <si>
    <t>GCL9QILUYZ</t>
  </si>
  <si>
    <t>N1NX0ZWWAT</t>
  </si>
  <si>
    <t>CASA CELOSA RESTAURANTE</t>
  </si>
  <si>
    <t>KYZZSID3UX</t>
  </si>
  <si>
    <t>NUDIHSMBGQ</t>
  </si>
  <si>
    <t>YZX67PVJW9</t>
  </si>
  <si>
    <t>felipe rodriguez</t>
  </si>
  <si>
    <t>D9V03JR2ZD</t>
  </si>
  <si>
    <t>Fallas internet santa marta</t>
  </si>
  <si>
    <t>FTOMBEEHYB</t>
  </si>
  <si>
    <t>https://serviciosfintech.slack.com/archives/C01B379NVLY/p1790265772858019?thread_ts=1789842383.100139&amp;cid=C01B379NVLY</t>
  </si>
  <si>
    <t>DIVERPOOL</t>
  </si>
  <si>
    <t>8N5RTVHHZR</t>
  </si>
  <si>
    <t>XGRNCNJGOE</t>
  </si>
  <si>
    <t>R239QM2VYQ</t>
  </si>
  <si>
    <t>N9PB8NVKQM</t>
  </si>
  <si>
    <t>JUCRR02AEE</t>
  </si>
  <si>
    <t>IF8XRHO9G6</t>
  </si>
  <si>
    <t>TRACTOCHEVROLET LTDA</t>
  </si>
  <si>
    <t>F7QL1WZPVT</t>
  </si>
  <si>
    <t>F57RJD9OVF</t>
  </si>
  <si>
    <t>XC65UZGWJY</t>
  </si>
  <si>
    <t>4MPT1SLMS3</t>
  </si>
  <si>
    <t>2.39 + 300</t>
  </si>
  <si>
    <t>SV5KWH58CI</t>
  </si>
  <si>
    <t xml:space="preserve">LTC </t>
  </si>
  <si>
    <t>I57EKLASQV</t>
  </si>
  <si>
    <t>3FZ0MNAA85</t>
  </si>
  <si>
    <t>A0D9XCC4N6</t>
  </si>
  <si>
    <t xml:space="preserve">Sneider Gantiva </t>
  </si>
  <si>
    <t>T7Y8KE6N8RG  Aprobada - T3MNTDNTXEX Aprobada  informa Sneider Gantiva informa que las dos estan aprobadas.</t>
  </si>
  <si>
    <t>PPG19HFA5W</t>
  </si>
  <si>
    <t>2.19% + 300</t>
  </si>
  <si>
    <t>IFRP2GYUCE</t>
  </si>
  <si>
    <t xml:space="preserve">Otto Quintana Peluqueria </t>
  </si>
  <si>
    <t>EQ1FF9TFUL</t>
  </si>
  <si>
    <t>LCGIWU03L8</t>
  </si>
  <si>
    <t>ΤΡΥJB5A08TR - CNP2SPXLSHTLW - CNPL8913GSTBP</t>
  </si>
  <si>
    <t>GRK5QJK7JS</t>
  </si>
  <si>
    <t>ALEJANDRO VIVAS</t>
  </si>
  <si>
    <t>73MM2Y780E</t>
  </si>
  <si>
    <t>tienen problemas para ubicar las transacciones  que se pagan mediante link de pago en el informe, LA SOLUCION FUE CAMBIARLOS A LA NUEVA REPORTERIA</t>
  </si>
  <si>
    <t>Tier 3</t>
  </si>
  <si>
    <t>RO96KXLTT0</t>
  </si>
  <si>
    <t>https://serviciosfintech.slack.com/archives/C01723PHESD/p1788567874148839</t>
  </si>
  <si>
    <t>53ZV791KK1</t>
  </si>
  <si>
    <t>Vehicentro</t>
  </si>
  <si>
    <t>CPQECMCO40</t>
  </si>
  <si>
    <t>KCXJZFI2VR</t>
  </si>
  <si>
    <t>ZQZQP1TCOJ</t>
  </si>
  <si>
    <t>DT58OB5FPQ</t>
  </si>
  <si>
    <t>Hanashi suhi</t>
  </si>
  <si>
    <t>IAZJ7KWK1J</t>
  </si>
  <si>
    <t>TODOS</t>
  </si>
  <si>
    <t>CARLOS MANRRIQUE</t>
  </si>
  <si>
    <t>el Qr Pro Bre-b esta presentando noivedad en todos los merchant, sale en el nombre QR MILLOS,  Carlos manrrique corrige</t>
  </si>
  <si>
    <t>MQEQP3RBZT</t>
  </si>
  <si>
    <t>julieth.ariza@bold.co</t>
  </si>
  <si>
    <t>New Anchor</t>
  </si>
  <si>
    <t>ECWQ4PEU2I</t>
  </si>
  <si>
    <t>CYZKKNPIZJ</t>
  </si>
  <si>
    <t>CA6LUZC555</t>
  </si>
  <si>
    <t>OLZX9OSJ67</t>
  </si>
  <si>
    <t>2,09 + 300</t>
  </si>
  <si>
    <t>William mosquera</t>
  </si>
  <si>
    <t>TKKAVW4PJV</t>
  </si>
  <si>
    <t>los comercios de colanta, al intentar generar un cobro les sale que no tienen productos asignados, al validar el BO veo que tiene varios ítem desactivado,  solicitamos urgente que se actualice el estado de estos productos a como estaban relacionados, sin nequi ni efectivo</t>
  </si>
  <si>
    <t>https://serviciosfintech.slack.com/archives/C01723PHESD/p1789045708226229</t>
  </si>
  <si>
    <t>C53T5DQ0R0</t>
  </si>
  <si>
    <t>El alicate</t>
  </si>
  <si>
    <t>B2WHNBYAV3</t>
  </si>
  <si>
    <t>david.buitrago@bold.co</t>
  </si>
  <si>
    <t>39HYZYQBCS</t>
  </si>
  <si>
    <t>alex.gil@bold.co</t>
  </si>
  <si>
    <t>M7R9I5QC6W</t>
  </si>
  <si>
    <t>I2XA569TPV</t>
  </si>
  <si>
    <t>XYMYGJ0ITX</t>
  </si>
  <si>
    <t>3OO2I3IBML</t>
  </si>
  <si>
    <t>X7XFPKY050</t>
  </si>
  <si>
    <t>A2 DETAILING</t>
  </si>
  <si>
    <t>R25DPY8HP2</t>
  </si>
  <si>
    <t>VREV4EOJAK</t>
  </si>
  <si>
    <t>erly.vargas@bold.co</t>
  </si>
  <si>
    <t>ASQB1CW9LD</t>
  </si>
  <si>
    <t>TIER1</t>
  </si>
  <si>
    <t>el merchant de COLANTA - VY6VES3Z9R, quien solicita apagar la opcion de pago por datafono, quiere decir que solo debería tener Qr pro brebe y link de pago.</t>
  </si>
  <si>
    <t>https://serviciosfintech.slack.com/archives/C01723PHESD/p1789595857414089</t>
  </si>
  <si>
    <t>TOURS GUATAVITA</t>
  </si>
  <si>
    <t>YZ7HVB46KO</t>
  </si>
  <si>
    <t>freddy.villanueva@bold.co</t>
  </si>
  <si>
    <t>10BM9VXQVG</t>
  </si>
  <si>
    <t>KDQ9GU1JJ8</t>
  </si>
  <si>
    <t>TIER 1</t>
  </si>
  <si>
    <t>67K9HVZ2NA</t>
  </si>
  <si>
    <t>LATIENDA PASION POR LA MODA</t>
  </si>
  <si>
    <t>DH7VRCIY40</t>
  </si>
  <si>
    <t>EI6EXSQY04</t>
  </si>
  <si>
    <t>D5ZH3RZRUY</t>
  </si>
  <si>
    <t>HRZHA4SMZC</t>
  </si>
  <si>
    <t>TIER 3</t>
  </si>
  <si>
    <t>56BYX939V2</t>
  </si>
  <si>
    <t>Y9UOIVK38F</t>
  </si>
  <si>
    <t>ARC</t>
  </si>
  <si>
    <t>NJK5NOUQ3O</t>
  </si>
  <si>
    <t>edisson.ayala@bold.co</t>
  </si>
  <si>
    <t>VWS7DLNEBB</t>
  </si>
  <si>
    <t>catalina.londono@bold.co</t>
  </si>
  <si>
    <t>N62U9HVFF6</t>
  </si>
  <si>
    <t>diana.rodriguez@bold.co</t>
  </si>
  <si>
    <t xml:space="preserve">PA80NXKNGV </t>
  </si>
  <si>
    <t>8DMTBK1W7Q</t>
  </si>
  <si>
    <t>TAKE ADS</t>
  </si>
  <si>
    <t>Felipe rodriguez</t>
  </si>
  <si>
    <t>T1JHCQT537</t>
  </si>
  <si>
    <t>6CZX8O15BT</t>
  </si>
  <si>
    <t>COLANTA - PA80NXKNGV quienes nos informan que en este momento tienen errores de colectividad y procesamiento en todos sus dispositivos</t>
  </si>
  <si>
    <t>xiomara.pineda@bold.co</t>
  </si>
  <si>
    <t>2Q374JFGOU</t>
  </si>
  <si>
    <t>https://serviciosfintech.slack.com/archives/C01723PHESD/p1789660443120149</t>
  </si>
  <si>
    <t>andres.bolanos@bold.co</t>
  </si>
  <si>
    <t>E4N1GF28V2</t>
  </si>
  <si>
    <t>pilar.amaya@bold.co</t>
  </si>
  <si>
    <t>XP49BHOYIZ</t>
  </si>
  <si>
    <t>ana.torres@bold.co</t>
  </si>
  <si>
    <t>GRIFERÍAS FP</t>
  </si>
  <si>
    <t>SACI6WI49T</t>
  </si>
  <si>
    <t>TMEFKX54YW</t>
  </si>
  <si>
    <t>nohora.marzola@bold.co</t>
  </si>
  <si>
    <t>07JGC7N573</t>
  </si>
  <si>
    <t>jhonatan.miranda@bold.co</t>
  </si>
  <si>
    <t>364IFJ0KJ0</t>
  </si>
  <si>
    <t>viviana.roman@bold.co</t>
  </si>
  <si>
    <t>E6D99PZ39N</t>
  </si>
  <si>
    <t>OCULTO NOGAL</t>
  </si>
  <si>
    <t>FKJX4NTQ9B</t>
  </si>
  <si>
    <t>O7E3FDTTRK</t>
  </si>
  <si>
    <t>B314HHF2GP</t>
  </si>
  <si>
    <t>ELRKWP5N03</t>
  </si>
  <si>
    <t>TTB nos informan que en este momento tienen errores de colectividad y procesamiento en todos sus dispositivos</t>
  </si>
  <si>
    <t>C5Z5R8DFCL</t>
  </si>
  <si>
    <t>M36H0SD4ZM</t>
  </si>
  <si>
    <t>AS0QNUV4YO</t>
  </si>
  <si>
    <t>ALMA FLOREZ</t>
  </si>
  <si>
    <t>74CDJBSINH</t>
  </si>
  <si>
    <t>AGROCOLANTA SOLICITA subir los topes por tarjeta a 50 millones -110 millones</t>
  </si>
  <si>
    <t>PF6KDB9E4S</t>
  </si>
  <si>
    <t>https://serviciosfintech.slack.com/archives/C01723PHESD/p1789683578394909</t>
  </si>
  <si>
    <t>55KVWQMS70</t>
  </si>
  <si>
    <t>claudia.romero@bold.co</t>
  </si>
  <si>
    <t>5VHX9ONTCS</t>
  </si>
  <si>
    <t>WT0KEUX9PV</t>
  </si>
  <si>
    <t>FBKV42BLHH</t>
  </si>
  <si>
    <t>sebastian.matthaus@bold.co</t>
  </si>
  <si>
    <t>MK04P4VVXM</t>
  </si>
  <si>
    <t>HF284JGTQS</t>
  </si>
  <si>
    <t xml:space="preserve">LA RUANA EVENTOS 
</t>
  </si>
  <si>
    <t>OULGO9BL18</t>
  </si>
  <si>
    <t>9W51BTCJXQ</t>
  </si>
  <si>
    <t>J4GOW94UA5</t>
  </si>
  <si>
    <t>KMZKO5A9TC</t>
  </si>
  <si>
    <t>INCIDENCIAS</t>
  </si>
  <si>
    <t>te confirmamos que sí tenemos un abono. Hoy se solicitó un cambio de estado y podrás ver la modificación desde tu aplicación, así como el abono de la venta, en 1 día hábil en tu Saldo de Ventas Bold</t>
  </si>
  <si>
    <t>R4H9OHF68U</t>
  </si>
  <si>
    <t>LINK DE INCIDENCIAS</t>
  </si>
  <si>
    <t>43111801</t>
  </si>
  <si>
    <t>juan.olarte@bold.co</t>
  </si>
  <si>
    <t>MARMOLEOS</t>
  </si>
  <si>
    <t>NDV9Z2XVAL</t>
  </si>
  <si>
    <t>UT7GID5KO8</t>
  </si>
  <si>
    <t>0ATHDV5HJG</t>
  </si>
  <si>
    <t>El dia 28/8/2026 Esta venta  se encuentra en estado aprobada y fue abonada a tu cuenta.</t>
  </si>
  <si>
    <t>M60342CC0N</t>
  </si>
  <si>
    <t>41621134</t>
  </si>
  <si>
    <t>F2QWCZAYS1</t>
  </si>
  <si>
    <t>80149352</t>
  </si>
  <si>
    <t>YUM YUM MARKET</t>
  </si>
  <si>
    <t>Z7NFNEBF61</t>
  </si>
  <si>
    <t>6EJQC9HPJ3</t>
  </si>
  <si>
    <t>72046283</t>
  </si>
  <si>
    <t>X9Z0YGEO01</t>
  </si>
  <si>
    <t>93296210</t>
  </si>
  <si>
    <t>YQGDZR8S4O</t>
  </si>
  <si>
    <t>18417683</t>
  </si>
  <si>
    <t>GJIRNM7WB3</t>
  </si>
  <si>
    <t>Como muestra en tu aplicación, la transacción no fue exitosa. ( esta por el mismo valor de ese dia si fue aprobada TJEVEKRV1ZA)</t>
  </si>
  <si>
    <t>80275593</t>
  </si>
  <si>
    <t>ALTA GAMA DENTAL SAS</t>
  </si>
  <si>
    <t>2XZCFXDNNR</t>
  </si>
  <si>
    <t>ZWCQJ5QTCO</t>
  </si>
  <si>
    <t>FQBYSU2YCV</t>
  </si>
  <si>
    <t>43105027</t>
  </si>
  <si>
    <t>EJACCIZF8Z</t>
  </si>
  <si>
    <t>0C0XOP1SPP</t>
  </si>
  <si>
    <t>harold.montenegro@bold.co</t>
  </si>
  <si>
    <t>UHT0KE9BYE</t>
  </si>
  <si>
    <t>diana.lopez@bold.co</t>
  </si>
  <si>
    <t>007ZCN72T9</t>
  </si>
  <si>
    <t>TRUMA</t>
  </si>
  <si>
    <t>OVFO5WY7T8</t>
  </si>
  <si>
    <t>0SNB18VV5N</t>
  </si>
  <si>
    <t>3FYFN0GLIG</t>
  </si>
  <si>
    <t>P451TOFAQ6</t>
  </si>
  <si>
    <t>Mary Coskis</t>
  </si>
  <si>
    <t>QJGJF0KSC9</t>
  </si>
  <si>
    <t xml:space="preserve">EW68KAEQCV </t>
  </si>
  <si>
    <t>Certificado del cobro de esta misma con fecha posterior al 17/09/2026 para poder escalar el caso con la entidad financiera.</t>
  </si>
  <si>
    <t>E34S5Y1IJ3</t>
  </si>
  <si>
    <t>B0CKR5HU8C</t>
  </si>
  <si>
    <t>R2BWFBJS7A</t>
  </si>
  <si>
    <t>Senzi</t>
  </si>
  <si>
    <t xml:space="preserve">X0ZL1NG88D </t>
  </si>
  <si>
    <t>F7FFIOIC5L</t>
  </si>
  <si>
    <t>3RTLO9YSA8</t>
  </si>
  <si>
    <t>QNJRK7P5IE</t>
  </si>
  <si>
    <t>Luxe Aventuras Américas SAS</t>
  </si>
  <si>
    <t>NMML3SQ8A3</t>
  </si>
  <si>
    <t xml:space="preserve">NEWPARSSXZ </t>
  </si>
  <si>
    <t>GSNEJMYDH8</t>
  </si>
  <si>
    <t>ONVMTZ3UU3</t>
  </si>
  <si>
    <t>QAIEBN8BJZ</t>
  </si>
  <si>
    <t>SonrisasImparaBLESS</t>
  </si>
  <si>
    <t xml:space="preserve">VDZODDQKY1 </t>
  </si>
  <si>
    <t>FXSIVM0KKC</t>
  </si>
  <si>
    <t>4JF8VIZSZC</t>
  </si>
  <si>
    <t>diana.aguirre@bold.co</t>
  </si>
  <si>
    <t>RT6MQ8ZP70</t>
  </si>
  <si>
    <t>OZ6PMK180A</t>
  </si>
  <si>
    <t>La Artesa Panaderia</t>
  </si>
  <si>
    <t>DY3Q75DUKX</t>
  </si>
  <si>
    <t>Y81VZGVMM4</t>
  </si>
  <si>
    <t>Z3C6TXV5UQ</t>
  </si>
  <si>
    <t>M4VF6ORBY6</t>
  </si>
  <si>
    <t>paula.londono@bold.co</t>
  </si>
  <si>
    <t>BTNNM0C2JE</t>
  </si>
  <si>
    <t>SABOR SALVAJE SAS</t>
  </si>
  <si>
    <t>4NQAGUKT6Z</t>
  </si>
  <si>
    <t>WPQPG6AJUN</t>
  </si>
  <si>
    <t>BJOD61K3LZ</t>
  </si>
  <si>
    <t>0TYYHKUHP8</t>
  </si>
  <si>
    <t>1TZPXSCAW9</t>
  </si>
  <si>
    <t>RAFAEL NAVARRO BY SANDRA BOTERO</t>
  </si>
  <si>
    <t>FFDNLSZYJZ</t>
  </si>
  <si>
    <t>AVFPZGR497</t>
  </si>
  <si>
    <t>AKYRQVNJP4</t>
  </si>
  <si>
    <t>W0KI6T6CAC</t>
  </si>
  <si>
    <t>CCT2NJJLG8</t>
  </si>
  <si>
    <t>BICICLETAS JUANFE SAS</t>
  </si>
  <si>
    <t>YZFBORJ7AU</t>
  </si>
  <si>
    <t>2KYEXILWP9</t>
  </si>
  <si>
    <t>TL8C104L29</t>
  </si>
  <si>
    <t>3LFMNSDMDQ</t>
  </si>
  <si>
    <t>camilo.rodriguez@bold.co</t>
  </si>
  <si>
    <t>Billares europa</t>
  </si>
  <si>
    <t>3P1V9O5BD8</t>
  </si>
  <si>
    <t>Y8SCE9O0XJ</t>
  </si>
  <si>
    <t>H1HL6LBM7L</t>
  </si>
  <si>
    <t>maurico.herrera@bold.co</t>
  </si>
  <si>
    <t>4WZ93LQE5J</t>
  </si>
  <si>
    <t>FQLTRDMNR1</t>
  </si>
  <si>
    <t>neidy.sepulveda@bold.co</t>
  </si>
  <si>
    <t>4CKTSEVUUS</t>
  </si>
  <si>
    <t>MBTAWWLIOK</t>
  </si>
  <si>
    <t>Impogreen SAS</t>
  </si>
  <si>
    <t>7MPXFVM7JO</t>
  </si>
  <si>
    <t>BANT42QC0A</t>
  </si>
  <si>
    <t>92GIRR0SRC</t>
  </si>
  <si>
    <t>LV9FCEB4D7</t>
  </si>
  <si>
    <t>Gran Rodeo Parrilla SAS</t>
  </si>
  <si>
    <t>3FZ1B5J8RP</t>
  </si>
  <si>
    <t>E03U6YRQF8</t>
  </si>
  <si>
    <t>9DOMLBHO2J</t>
  </si>
  <si>
    <t>carolina.diaz@bold.co</t>
  </si>
  <si>
    <t>QAYWUVJ6IF</t>
  </si>
  <si>
    <t>TIER_CUSTOM_209D_219C</t>
  </si>
  <si>
    <t>ZH3HA47CM1</t>
  </si>
  <si>
    <t>Parque Kyqa Mhuysqa</t>
  </si>
  <si>
    <t>66X883KUVY</t>
  </si>
  <si>
    <t>IQ7I95U1VL</t>
  </si>
  <si>
    <t>XD2OQHKWIC</t>
  </si>
  <si>
    <t>XTWZUTQUO1</t>
  </si>
  <si>
    <t>7OILRTJXDS</t>
  </si>
  <si>
    <t>C8YR4Q9NS4</t>
  </si>
  <si>
    <t xml:space="preserve">Juan Carlos Gonzalez </t>
  </si>
  <si>
    <t>2EN0WTURUG</t>
  </si>
  <si>
    <t>QFB07ZV8GV</t>
  </si>
  <si>
    <t>R403O03P54</t>
  </si>
  <si>
    <t>Q597QN9M85</t>
  </si>
  <si>
    <t>KNSRAGEKVQ</t>
  </si>
  <si>
    <t>Tier Custom (1,59D 1,69C Online)</t>
  </si>
  <si>
    <t>WS16W6RZ9X</t>
  </si>
  <si>
    <t>carolina.reyes@bold.co</t>
  </si>
  <si>
    <t>FLEKSI</t>
  </si>
  <si>
    <t>DFBCE8VHYQ</t>
  </si>
  <si>
    <t>JC19TDEONP</t>
  </si>
  <si>
    <t>6ATTBJKOAA</t>
  </si>
  <si>
    <t>5YYB30H3ZE</t>
  </si>
  <si>
    <t>PAXLJDPDPK</t>
  </si>
  <si>
    <t>tr rechazadas</t>
  </si>
  <si>
    <t>Datos agotados</t>
  </si>
  <si>
    <t>Edificio QO97</t>
  </si>
  <si>
    <t>RG58NMTSWL</t>
  </si>
  <si>
    <t>PJRQR3FM2X</t>
  </si>
  <si>
    <t>Error Reporting o API</t>
  </si>
  <si>
    <t>doble cobro</t>
  </si>
  <si>
    <t>93N7SAGDT9</t>
  </si>
  <si>
    <t>contraseña o correo</t>
  </si>
  <si>
    <t xml:space="preserve">impuestos </t>
  </si>
  <si>
    <t>Z3TIAXD3BP</t>
  </si>
  <si>
    <t>pricing</t>
  </si>
  <si>
    <t>APN</t>
  </si>
  <si>
    <t>1IOK8M0I1O</t>
  </si>
  <si>
    <t>usuarios</t>
  </si>
  <si>
    <t>EGLO</t>
  </si>
  <si>
    <t>YYE8V45QL9</t>
  </si>
  <si>
    <t>Activar Productos</t>
  </si>
  <si>
    <t>JCUTFONNF3</t>
  </si>
  <si>
    <t>Reportes TRX bancarias</t>
  </si>
  <si>
    <t>SGAL2C7RAN</t>
  </si>
  <si>
    <t>Tier custom Custom New (1,89D 1,99C)</t>
  </si>
  <si>
    <t>YJIK6VMIU2</t>
  </si>
  <si>
    <t>Z783F3OS3R</t>
  </si>
  <si>
    <t>LUZ MERY RODRIGUEZ LA CHAROLA PIZZAS Y PASTAS</t>
  </si>
  <si>
    <t>S648ARY3VI</t>
  </si>
  <si>
    <t>H36DBBKT4X</t>
  </si>
  <si>
    <t>RR89Q6PMQM</t>
  </si>
  <si>
    <t>VDNPY7CFTC</t>
  </si>
  <si>
    <t>NYUEWP3MAY</t>
  </si>
  <si>
    <t>FD6HI4RAL9</t>
  </si>
  <si>
    <t>ASOVEM</t>
  </si>
  <si>
    <t>O4ECFI3ZLH</t>
  </si>
  <si>
    <t>VL99ZH3XZX</t>
  </si>
  <si>
    <t>GLZ4AZEBRW</t>
  </si>
  <si>
    <t>TIR 3</t>
  </si>
  <si>
    <t>YVW000RO61</t>
  </si>
  <si>
    <t>Mer cast Sas</t>
  </si>
  <si>
    <t>3YDM0K3QZ9</t>
  </si>
  <si>
    <t>CSU7QQ0Y0E</t>
  </si>
  <si>
    <t>M70KX2JFLS</t>
  </si>
  <si>
    <t>VOPOWAF486</t>
  </si>
  <si>
    <t>Q13KEZDAAD</t>
  </si>
  <si>
    <t xml:space="preserve">Gafas y Gafas </t>
  </si>
  <si>
    <t>MBNVZPS1O3</t>
  </si>
  <si>
    <t>T1UGHRQURD</t>
  </si>
  <si>
    <t>GJOVU7E7B9</t>
  </si>
  <si>
    <t>IHVTYVC8EU</t>
  </si>
  <si>
    <t>PFH41DP6KF</t>
  </si>
  <si>
    <t>Espectro Gafas y Gafas</t>
  </si>
  <si>
    <t>6PXEWOQHPM</t>
  </si>
  <si>
    <t>AJPS5M7MPA</t>
  </si>
  <si>
    <t>B9VDSSTK25</t>
  </si>
  <si>
    <t>jorge.saldana@bold.co</t>
  </si>
  <si>
    <t>7R2HJW0QXI</t>
  </si>
  <si>
    <t>ENVQ1TNW9V</t>
  </si>
  <si>
    <t>andres.atehortua@bold.co</t>
  </si>
  <si>
    <t xml:space="preserve">MOLDURAS Y MOLDURAS </t>
  </si>
  <si>
    <t>R3C9CE5HM0</t>
  </si>
  <si>
    <t>9E92O2E1L7</t>
  </si>
  <si>
    <t>W5J7NRVBSR</t>
  </si>
  <si>
    <t>OU92VWUWUM</t>
  </si>
  <si>
    <t>YL5WQQJVH7</t>
  </si>
  <si>
    <t>heidy.bernal@bold.co</t>
  </si>
  <si>
    <t>7EPUP3JG3J</t>
  </si>
  <si>
    <t xml:space="preserve">CLINICA INSER CARIBE </t>
  </si>
  <si>
    <t>EVV0G08MJG</t>
  </si>
  <si>
    <t>YBQG6375MI</t>
  </si>
  <si>
    <t>SD2OPE2NAV</t>
  </si>
  <si>
    <t>CUSTOM (1,59D 1,69C) Online</t>
  </si>
  <si>
    <t>8ME458AW8X</t>
  </si>
  <si>
    <t xml:space="preserve">ROSTRO IDEAL </t>
  </si>
  <si>
    <t>MS0BDTKZ48</t>
  </si>
  <si>
    <t>I2WW9S757B</t>
  </si>
  <si>
    <t>TOQVPYR10Y</t>
  </si>
  <si>
    <t>5UV6CB71KG</t>
  </si>
  <si>
    <t>YALT80SEEL</t>
  </si>
  <si>
    <t>AUTOALEMAN</t>
  </si>
  <si>
    <t>GSVNEUN5CO</t>
  </si>
  <si>
    <t>7PZL2GECU7</t>
  </si>
  <si>
    <t>EXPMF3O8L7</t>
  </si>
  <si>
    <t>F9QLSW0I9K</t>
  </si>
  <si>
    <t>3VKSE11YHA</t>
  </si>
  <si>
    <t>FBP8FAF4LU</t>
  </si>
  <si>
    <t>QLMKPTQYND</t>
  </si>
  <si>
    <t>5H91JVCI4I</t>
  </si>
  <si>
    <t>DUYAFWOAHF</t>
  </si>
  <si>
    <t>BGDA1VQOLZ</t>
  </si>
  <si>
    <t>PQ79P030S3</t>
  </si>
  <si>
    <t>IU6UYT0F2R</t>
  </si>
  <si>
    <t>MBOEC3LM9T</t>
  </si>
  <si>
    <t>IYLEF8V0A8</t>
  </si>
  <si>
    <t>WYH0PABNIX</t>
  </si>
  <si>
    <t>EDS PUMA MUZU</t>
  </si>
  <si>
    <t>NHQ6FWLJ48</t>
  </si>
  <si>
    <t>NUULKRPJ5S</t>
  </si>
  <si>
    <t>mauricio.herrera@bold.co</t>
  </si>
  <si>
    <t>NPW2XMRR5X</t>
  </si>
  <si>
    <t>80BQZE0D25</t>
  </si>
  <si>
    <t>55J5DANVAC</t>
  </si>
  <si>
    <t>UPVAJ2VXQW</t>
  </si>
  <si>
    <t>HACHE Y HACHE</t>
  </si>
  <si>
    <t>DWY3E3F1Q1</t>
  </si>
  <si>
    <t>CMR0LVZG2N</t>
  </si>
  <si>
    <t>I29QYFQ4ET</t>
  </si>
  <si>
    <t>ECRMWNW6EF</t>
  </si>
  <si>
    <t>RESTAURANTE DANIEL</t>
  </si>
  <si>
    <t>LTQ33BSP2Y</t>
  </si>
  <si>
    <t>VXLLIOJ2GW</t>
  </si>
  <si>
    <t>U0XSBDLZY4</t>
  </si>
  <si>
    <t>6X5N1HN62I</t>
  </si>
  <si>
    <t>PCQGHVWGOC</t>
  </si>
  <si>
    <t>R002W22S69</t>
  </si>
  <si>
    <t>ACTION BLACK CALI</t>
  </si>
  <si>
    <t>IVZQLBP967</t>
  </si>
  <si>
    <t>Q9WSSJY11U</t>
  </si>
  <si>
    <t>0QR9JQGVSG</t>
  </si>
  <si>
    <t>HMNQ8BVCHL</t>
  </si>
  <si>
    <t>F172R38WS1</t>
  </si>
  <si>
    <t>CRAFT BEER STORE</t>
  </si>
  <si>
    <t>4G2R3UDHYB</t>
  </si>
  <si>
    <t>VUB51DM3YA</t>
  </si>
  <si>
    <t>EE6PDW13J9</t>
  </si>
  <si>
    <t>QDDA2LK781</t>
  </si>
  <si>
    <t>00HW77NRS5</t>
  </si>
  <si>
    <t>DIGITAL GENIUS SAS</t>
  </si>
  <si>
    <t>Y8ISTSYHXD</t>
  </si>
  <si>
    <t>3ALKBOT764</t>
  </si>
  <si>
    <t>BV99844MRM</t>
  </si>
  <si>
    <t>LA TRATTORIA DEL CENTRO</t>
  </si>
  <si>
    <t>WNKIQY97WR</t>
  </si>
  <si>
    <t>XPSQMRFDO2</t>
  </si>
  <si>
    <t>WU01YET852</t>
  </si>
  <si>
    <t>A7SQJCFOVD</t>
  </si>
  <si>
    <t>JCDXV56PQK</t>
  </si>
  <si>
    <t>2F2N70O5YQ</t>
  </si>
  <si>
    <t>O0S5WUNYC8</t>
  </si>
  <si>
    <t>EVEQZDPLI1</t>
  </si>
  <si>
    <t>David E</t>
  </si>
  <si>
    <t>C05CU7TG2D</t>
  </si>
  <si>
    <t xml:space="preserve">9K5LWTR3BZ </t>
  </si>
  <si>
    <t>D1M2I453V0</t>
  </si>
  <si>
    <t>FFWHUK99M5</t>
  </si>
  <si>
    <t>NTOSH3NXDU</t>
  </si>
  <si>
    <t>Electric Bike  Tecnology</t>
  </si>
  <si>
    <t>jenny.baron@bold.co</t>
  </si>
  <si>
    <t xml:space="preserve">3ZCIU49Y0I </t>
  </si>
  <si>
    <t>SV0T4GXT53</t>
  </si>
  <si>
    <t>YN7EZYE28V</t>
  </si>
  <si>
    <t>NOMADA ELECTRIC J&amp;D</t>
  </si>
  <si>
    <t>XYPULLLRMG</t>
  </si>
  <si>
    <t>RGZLCYP40L</t>
  </si>
  <si>
    <t>sebastian.taborda@bold.co</t>
  </si>
  <si>
    <t>V7VAFB0YZ2</t>
  </si>
  <si>
    <t>WDM7GDZIR5</t>
  </si>
  <si>
    <t>CMRA9VKL11</t>
  </si>
  <si>
    <t>CARLOS RODRIGUEZ ETERNITY JOYAS</t>
  </si>
  <si>
    <t>JDRGMC969F</t>
  </si>
  <si>
    <t>HK3J9D8L2Q</t>
  </si>
  <si>
    <t>IV8EVNOLPH</t>
  </si>
  <si>
    <t>LKBJTJE46I</t>
  </si>
  <si>
    <t>QMABJD8D9S</t>
  </si>
  <si>
    <t>Toro Mccoy Villa del rio sas</t>
  </si>
  <si>
    <t>JPJ2SOS1T3</t>
  </si>
  <si>
    <t>YL6AHCIGLF</t>
  </si>
  <si>
    <t>MFZ783NUPW</t>
  </si>
  <si>
    <t>OWHTIQU66B</t>
  </si>
  <si>
    <t>J5QH7MHVYD</t>
  </si>
  <si>
    <t>Gokela Aeropuerto Cartagena</t>
  </si>
  <si>
    <t>F39MWUVSU1</t>
  </si>
  <si>
    <t xml:space="preserve">BRG10VQYIX </t>
  </si>
  <si>
    <t>nicolas.moreno@bold.co</t>
  </si>
  <si>
    <t>OQSGCM8U5P</t>
  </si>
  <si>
    <t>C5HW3WIE4Z</t>
  </si>
  <si>
    <t>2PPCRU1V31</t>
  </si>
  <si>
    <t>karen.garcia@bold.co</t>
  </si>
  <si>
    <t>TIER_CUSTOM_219D_229C</t>
  </si>
  <si>
    <t>MXSCBD7043</t>
  </si>
  <si>
    <t>RBHA6XWQQR</t>
  </si>
  <si>
    <t>Restaurante La Empírica</t>
  </si>
  <si>
    <t>ROGJZY1D9S</t>
  </si>
  <si>
    <t>SOE6R3DI8T</t>
  </si>
  <si>
    <t>RBT0JYQMQV</t>
  </si>
  <si>
    <t>X1OR4AGV0E</t>
  </si>
  <si>
    <t>22U2CK38YL</t>
  </si>
  <si>
    <t>OPS509OS4W</t>
  </si>
  <si>
    <t>0KHOGAT8VD</t>
  </si>
  <si>
    <t>VIJSSQNLWV</t>
  </si>
  <si>
    <t>Credito</t>
  </si>
  <si>
    <t>6EM50ML8MP</t>
  </si>
  <si>
    <t>J7BXVN4BSY</t>
  </si>
  <si>
    <t>6HHIKV8L6B</t>
  </si>
  <si>
    <t>anthonellaboutique</t>
  </si>
  <si>
    <t>2QRTOPNGF5</t>
  </si>
  <si>
    <t>GTXZNZLTZJ</t>
  </si>
  <si>
    <t>WCYRT230MR</t>
  </si>
  <si>
    <t>F14F30ZWZG</t>
  </si>
  <si>
    <t>6AWOULU6WW</t>
  </si>
  <si>
    <t>A4HPYPTCHA</t>
  </si>
  <si>
    <t>9UZWI8OILG</t>
  </si>
  <si>
    <t>Cubanita</t>
  </si>
  <si>
    <t>WB25M7WCWI</t>
  </si>
  <si>
    <t>VL1PHZNV1U</t>
  </si>
  <si>
    <t>AG072F69LL</t>
  </si>
  <si>
    <t>0K38JOTZ07</t>
  </si>
  <si>
    <t>9FOHU5OPJO</t>
  </si>
  <si>
    <t>CNFMMPYTSI</t>
  </si>
  <si>
    <t>IH2SOG9PUF</t>
  </si>
  <si>
    <t>La Gran Llanera Internacional JR SAS</t>
  </si>
  <si>
    <t>X3W73CIR3Y</t>
  </si>
  <si>
    <t>PHS27340BC</t>
  </si>
  <si>
    <t>6GH5U0X2O5</t>
  </si>
  <si>
    <t>ABX8FE4BLW</t>
  </si>
  <si>
    <t>junio</t>
  </si>
  <si>
    <t>PT1K22T9J1</t>
  </si>
  <si>
    <t>CASA HACIENDA DE FAGUA LTDA</t>
  </si>
  <si>
    <t>7KHUBEH9LO</t>
  </si>
  <si>
    <t>CGC8UG9CHB</t>
  </si>
  <si>
    <t>RLL6TOBOED</t>
  </si>
  <si>
    <t>BR7O488AUL</t>
  </si>
  <si>
    <t>La Fogata Grill Burguer</t>
  </si>
  <si>
    <t>U1A1QSW4GJ</t>
  </si>
  <si>
    <t>21EUY09EZ4</t>
  </si>
  <si>
    <t>ICBEVJORDP</t>
  </si>
  <si>
    <t>C24B768HJ0</t>
  </si>
  <si>
    <t>S9PTMEKRYV</t>
  </si>
  <si>
    <t>TST2WTPW6V</t>
  </si>
  <si>
    <t>Tecniruedas de Colombia sas</t>
  </si>
  <si>
    <t>EFOQ8CCKPY</t>
  </si>
  <si>
    <t>CINAK5N1MV</t>
  </si>
  <si>
    <t>WKV9Q4NLVW</t>
  </si>
  <si>
    <t>jorge.amaya@bold.co</t>
  </si>
  <si>
    <t>1,79+100</t>
  </si>
  <si>
    <t>NPN7YBWGK5</t>
  </si>
  <si>
    <t>3ODGLUFW0P</t>
  </si>
  <si>
    <t>Camila Rodriguez (Oculto Park Way)</t>
  </si>
  <si>
    <t>91A6TB2NBM</t>
  </si>
  <si>
    <t>6B519EHX7S</t>
  </si>
  <si>
    <t>J56OXVEAJH</t>
  </si>
  <si>
    <t>UBPHRKQD6Y</t>
  </si>
  <si>
    <t>QMS8MW2ZRY</t>
  </si>
  <si>
    <t>Carol Rodriguez (San Felipe)</t>
  </si>
  <si>
    <t>4AC8NDZA5V</t>
  </si>
  <si>
    <t>HMHZS0JXQF</t>
  </si>
  <si>
    <t>LAQDJXM55W</t>
  </si>
  <si>
    <t>K8PBQVIS1F</t>
  </si>
  <si>
    <t>CYT3EZX5IS</t>
  </si>
  <si>
    <t>ALPHA SOFIT CLUB</t>
  </si>
  <si>
    <t>K36GYD4164</t>
  </si>
  <si>
    <t>U3GC8GS5VM</t>
  </si>
  <si>
    <t>M7YCX7M68K</t>
  </si>
  <si>
    <t>FQG8KXL05M</t>
  </si>
  <si>
    <t>Custom (1,59D 1,69C) Online</t>
  </si>
  <si>
    <t>F1LNVGRECK</t>
  </si>
  <si>
    <t>CEUZ DENTAL GROUP DR CHACON</t>
  </si>
  <si>
    <t>MMRG6YXOU4</t>
  </si>
  <si>
    <t>XHZZWO5B5V</t>
  </si>
  <si>
    <t>06INTAJXU4</t>
  </si>
  <si>
    <t>EVTEVD2PWV</t>
  </si>
  <si>
    <t>cesar.giraldo@bold.co</t>
  </si>
  <si>
    <t>JNS3PRUFSP</t>
  </si>
  <si>
    <t>9OE64DQYSX</t>
  </si>
  <si>
    <t>LocalPayment</t>
  </si>
  <si>
    <t>E8UVOV8XDI</t>
  </si>
  <si>
    <t>7GCO0MH4Z8</t>
  </si>
  <si>
    <t>VM2OC0OFC7</t>
  </si>
  <si>
    <t>LI87U1V929</t>
  </si>
  <si>
    <t>PFSVR1R8UW</t>
  </si>
  <si>
    <t>Toppings</t>
  </si>
  <si>
    <t>DUF2TXPFNF</t>
  </si>
  <si>
    <t>407PTNVTRN</t>
  </si>
  <si>
    <t>CMKOOCVKE4</t>
  </si>
  <si>
    <t>WEST LAKE COLOMBIA</t>
  </si>
  <si>
    <t>3HPX7YLL8C</t>
  </si>
  <si>
    <t>JXT71AEGWK</t>
  </si>
  <si>
    <t>GR1AN9CY8S</t>
  </si>
  <si>
    <t>ZQYE71NN20</t>
  </si>
  <si>
    <t>OT7AUDKR0Q</t>
  </si>
  <si>
    <t>BCRIM5UB6H</t>
  </si>
  <si>
    <t>DC47ZPR3FW</t>
  </si>
  <si>
    <t>Muma Catering</t>
  </si>
  <si>
    <t>URYAXEG6S5</t>
  </si>
  <si>
    <t>3X4LMKE8LL</t>
  </si>
  <si>
    <t>PVSDGONWZB</t>
  </si>
  <si>
    <t>QHRSB9U28B</t>
  </si>
  <si>
    <t>9S0VTKV9B7</t>
  </si>
  <si>
    <t>AMD FASHION</t>
  </si>
  <si>
    <t>OXBRC940XA</t>
  </si>
  <si>
    <t>Q5YAJB0SS0</t>
  </si>
  <si>
    <t>F274U0D8LH</t>
  </si>
  <si>
    <t>XL8J2P41DI</t>
  </si>
  <si>
    <t>LGLSRK6XGZ</t>
  </si>
  <si>
    <t>LDCRZVC8ZT</t>
  </si>
  <si>
    <t>KADOMA</t>
  </si>
  <si>
    <t>4ZLX7A7XRE</t>
  </si>
  <si>
    <t>UPCMFKXB8F</t>
  </si>
  <si>
    <t>Pilas con el datáfono</t>
  </si>
  <si>
    <t>MT30XQ4N8H</t>
  </si>
  <si>
    <t>07B2HUVM7F</t>
  </si>
  <si>
    <t>QNGLM6PJ4H</t>
  </si>
  <si>
    <t>L5OWEEVY8G</t>
  </si>
  <si>
    <t>diana.vasquez@bold.co</t>
  </si>
  <si>
    <t>ICVO325LL7</t>
  </si>
  <si>
    <t xml:space="preserve">OJITOS CAFE </t>
  </si>
  <si>
    <t>GV7I0RPB7J</t>
  </si>
  <si>
    <t>PKP7ICTAKD</t>
  </si>
  <si>
    <t>87GEQGRTUB</t>
  </si>
  <si>
    <t>SLU6VKDP6P</t>
  </si>
  <si>
    <t>YBLSMM9U5F</t>
  </si>
  <si>
    <t xml:space="preserve">DISTRINORTE </t>
  </si>
  <si>
    <t>IJKO9SIFT7</t>
  </si>
  <si>
    <t>4282SS5UTC</t>
  </si>
  <si>
    <t>O7KUL973QG</t>
  </si>
  <si>
    <t>32AHS8GDKQ</t>
  </si>
  <si>
    <t>V3PDJREA5P</t>
  </si>
  <si>
    <t>EVQYBXMDYY</t>
  </si>
  <si>
    <t xml:space="preserve">YAM TRAVEL SAS </t>
  </si>
  <si>
    <t>PJZ0OF6BPU</t>
  </si>
  <si>
    <t>HJP8S3381T</t>
  </si>
  <si>
    <t>AD1YBMH277</t>
  </si>
  <si>
    <t>XBQOBRVR8W</t>
  </si>
  <si>
    <t>IZLRYYEL8Z</t>
  </si>
  <si>
    <t>healthatom</t>
  </si>
  <si>
    <t>61A3NP0BSD</t>
  </si>
  <si>
    <t>QDZZ8WM6GR</t>
  </si>
  <si>
    <t>VU4IIRHS8W</t>
  </si>
  <si>
    <t>YMYTAZRGRL</t>
  </si>
  <si>
    <t>Caffa Andes ML</t>
  </si>
  <si>
    <t>AQ664HB04K</t>
  </si>
  <si>
    <t>XWDF5IALMX</t>
  </si>
  <si>
    <t>NLEPB1BQEZ</t>
  </si>
  <si>
    <t>custom New (1,89D 199C) online</t>
  </si>
  <si>
    <t>5N80W95AME</t>
  </si>
  <si>
    <t>CALENTADORES LURE</t>
  </si>
  <si>
    <t>45BGD7J8P6</t>
  </si>
  <si>
    <t>PY6L10QVLS</t>
  </si>
  <si>
    <t>VR7PEYLLOO</t>
  </si>
  <si>
    <t>UW4QQVJHRP</t>
  </si>
  <si>
    <t>2KZIAUWNWC</t>
  </si>
  <si>
    <t>ZIPPER BOLSOS DE ENVIGADO</t>
  </si>
  <si>
    <t>2T7EB5U57A</t>
  </si>
  <si>
    <t>QTIRD08QG9</t>
  </si>
  <si>
    <t>WKCXCW1GD0</t>
  </si>
  <si>
    <t>F5I5SL2890</t>
  </si>
  <si>
    <t>1UW879TOR7</t>
  </si>
  <si>
    <t>95OQPRLFSF</t>
  </si>
  <si>
    <t>SHULACES</t>
  </si>
  <si>
    <t>ILGQPA8S6B</t>
  </si>
  <si>
    <t>YQXOIBMKQJ</t>
  </si>
  <si>
    <t>8YTERQQ6ZG</t>
  </si>
  <si>
    <t>22CTCHV46Y</t>
  </si>
  <si>
    <t>EYUUFZAJFE</t>
  </si>
  <si>
    <t>Espejos KYM LA 56</t>
  </si>
  <si>
    <t>HB0EBXBBAD</t>
  </si>
  <si>
    <t>MSKIQ38SIG</t>
  </si>
  <si>
    <t>QF5UEQTKXU</t>
  </si>
  <si>
    <t>4ULC5FOEZ4</t>
  </si>
  <si>
    <t>BHVWTFIYPX</t>
  </si>
  <si>
    <t>TEYUNA TOURS</t>
  </si>
  <si>
    <t>KE8ZIN4VCU</t>
  </si>
  <si>
    <t>L8SK44HBJ3</t>
  </si>
  <si>
    <t>4Q1WPIQFDI</t>
  </si>
  <si>
    <t>X7B2ID0X60</t>
  </si>
  <si>
    <t>Custom (1,89D 1,99C) Online</t>
  </si>
  <si>
    <t>HO7RLKDRLF</t>
  </si>
  <si>
    <t>0ISTC22YF7</t>
  </si>
  <si>
    <t>VT3GP32QPS</t>
  </si>
  <si>
    <t>VSLF4PZFUL</t>
  </si>
  <si>
    <t>MERKATODO EXPRESS</t>
  </si>
  <si>
    <t>S3TUG8USND</t>
  </si>
  <si>
    <t>41HTEIHSJK</t>
  </si>
  <si>
    <t>7LOZW6JQP8</t>
  </si>
  <si>
    <t>PXX69CSMMX</t>
  </si>
  <si>
    <t>27568RHV6J</t>
  </si>
  <si>
    <t>1,99%+100</t>
  </si>
  <si>
    <t>FRH7VSLC7T</t>
  </si>
  <si>
    <t>25S37U3CNA</t>
  </si>
  <si>
    <t>TOGZAEVZ0K</t>
  </si>
  <si>
    <t>N2GQ9FBCPT</t>
  </si>
  <si>
    <t>lina.montes@bold.co</t>
  </si>
  <si>
    <t>OCTAVIO GONZALEZ (TENDENCIA AUTOMOTRIZ)</t>
  </si>
  <si>
    <t>IP6B6BJZFG</t>
  </si>
  <si>
    <t>G5NUJRAR52</t>
  </si>
  <si>
    <t>286Z87LVL9</t>
  </si>
  <si>
    <t>G9Y4QNP9B2</t>
  </si>
  <si>
    <t>DV3S3OIJ69</t>
  </si>
  <si>
    <t>MDA8ABOS71</t>
  </si>
  <si>
    <t>6WU1KFZ1WD</t>
  </si>
  <si>
    <t xml:space="preserve">SERVI VITAL </t>
  </si>
  <si>
    <t>585CKXOEHH</t>
  </si>
  <si>
    <t>NDZEMIXFQA</t>
  </si>
  <si>
    <t>CHORIDANI</t>
  </si>
  <si>
    <t>3A8THTN1V1</t>
  </si>
  <si>
    <t>ATENEA DISCOTECA LA 70</t>
  </si>
  <si>
    <t>8QPPF0HDTM</t>
  </si>
  <si>
    <t>VALENTINA BAKERY SAS</t>
  </si>
  <si>
    <t>Y51X9ZXUBQ</t>
  </si>
  <si>
    <t>MADERPOL</t>
  </si>
  <si>
    <t>740VURENST</t>
  </si>
  <si>
    <t>EME PANADERIA / EL PORTAL</t>
  </si>
  <si>
    <t>MNH2MMC2PG</t>
  </si>
  <si>
    <t>1.99+ 100</t>
  </si>
  <si>
    <t>LJMZ</t>
  </si>
  <si>
    <t>CGWP4CIWOU</t>
  </si>
  <si>
    <t>CENTRO AUTOMOTRIZ MD</t>
  </si>
  <si>
    <t>R5OS7JTHRP</t>
  </si>
  <si>
    <t>JRR BOUTIQUE MEDELLIN</t>
  </si>
  <si>
    <t>4Q89TZE17W</t>
  </si>
  <si>
    <t xml:space="preserve">Merchant </t>
  </si>
  <si>
    <t>Junio</t>
  </si>
  <si>
    <t>B BLOOMSHELL</t>
  </si>
  <si>
    <t>4U2PBVJ8MG</t>
  </si>
  <si>
    <t>SBMHCCWQOD</t>
  </si>
  <si>
    <t>ALEJANDRA PERAFAN</t>
  </si>
  <si>
    <t>12W9QWJ0AD</t>
  </si>
  <si>
    <t xml:space="preserve">MARGARITA MEJIA </t>
  </si>
  <si>
    <t>TGVHP5DJUW</t>
  </si>
  <si>
    <t>INVERSIONES AQP SAS</t>
  </si>
  <si>
    <t>HGTUGRRMC7</t>
  </si>
  <si>
    <t xml:space="preserve">MEDELLIN SMILES </t>
  </si>
  <si>
    <t>Q00E42T5BG</t>
  </si>
  <si>
    <t>Fundación Zenshin</t>
  </si>
  <si>
    <t>S45WI2P3PU</t>
  </si>
  <si>
    <t>ESPUMAS ORION</t>
  </si>
  <si>
    <t>KOXP2GPY67</t>
  </si>
  <si>
    <t>JPEZTF4D9T</t>
  </si>
  <si>
    <t>LABORATORIO DE INVERSIONES</t>
  </si>
  <si>
    <t>VYOPP1UEE0</t>
  </si>
  <si>
    <t>Custom (1,79D 1,89C)</t>
  </si>
  <si>
    <t xml:space="preserve">CENTRO DE MASCOTAS </t>
  </si>
  <si>
    <t>YH6MNSMOCU</t>
  </si>
  <si>
    <t>RUTA 69</t>
  </si>
  <si>
    <t>DQVG17TMVT</t>
  </si>
  <si>
    <t xml:space="preserve">AVICOLA TRIPLE A </t>
  </si>
  <si>
    <t>MU1SJI0JVJ</t>
  </si>
  <si>
    <t xml:space="preserve">Tier 2 </t>
  </si>
  <si>
    <t>APDM</t>
  </si>
  <si>
    <t>JZGDHJERP2</t>
  </si>
  <si>
    <t>WONDER</t>
  </si>
  <si>
    <t>YLJ2OWQ6SE</t>
  </si>
  <si>
    <t>LA PLAZA</t>
  </si>
  <si>
    <t>3ZZBS64K77</t>
  </si>
  <si>
    <t>DOLCES ANTOJOS</t>
  </si>
  <si>
    <t>ULW6NOJ2CL</t>
  </si>
  <si>
    <t>MARIA FERNANDA ORTIZ</t>
  </si>
  <si>
    <t>IC5BLZ29AH</t>
  </si>
  <si>
    <t>RECOJO</t>
  </si>
  <si>
    <t>DRHVXUE43I</t>
  </si>
  <si>
    <t xml:space="preserve">Clinica Antiguo Country SAS </t>
  </si>
  <si>
    <t>YH6KEGXOD3</t>
  </si>
  <si>
    <t>EVALUA SALUD</t>
  </si>
  <si>
    <t>PTIL2TESWK</t>
  </si>
  <si>
    <t>BOSI</t>
  </si>
  <si>
    <t>NJJOTXHLUT</t>
  </si>
  <si>
    <t>CLIENTE</t>
  </si>
  <si>
    <t>MERCHANT</t>
  </si>
  <si>
    <t xml:space="preserve">COMENTARIO </t>
  </si>
  <si>
    <t>SMB</t>
  </si>
  <si>
    <t>PLURA</t>
  </si>
  <si>
    <t>TMN9H6OZ0F</t>
  </si>
  <si>
    <t>ABETO</t>
  </si>
  <si>
    <t>3GXPBCPH6H</t>
  </si>
  <si>
    <t>TOMASA BEATRIZ CESPEDES</t>
  </si>
  <si>
    <t>1V5FF0Y7VM</t>
  </si>
  <si>
    <t>ABBA CDA SAS</t>
  </si>
  <si>
    <t>3WG95A1UGJ</t>
  </si>
  <si>
    <t>Maria Alejandra Rodriguez</t>
  </si>
  <si>
    <t>Y2IGAKN48C</t>
  </si>
  <si>
    <t>Grupo La Santa</t>
  </si>
  <si>
    <t>5A870974PY</t>
  </si>
  <si>
    <t>1,99 + 0</t>
  </si>
  <si>
    <t>CORPORACIÓN GREMIAL DE BENEFICIO SOCIAL</t>
  </si>
  <si>
    <t>RJ4TEQTQK3</t>
  </si>
  <si>
    <t>MARGOTH VILLAMIL DE CAMPOS</t>
  </si>
  <si>
    <t>ZQ9F0AW4CB</t>
  </si>
  <si>
    <t>MILTON JAVIER CAMPOS VILLAMIL</t>
  </si>
  <si>
    <t>531UJD08AK</t>
  </si>
  <si>
    <t>SANTIAGO CAMPOS CIFUENTES</t>
  </si>
  <si>
    <t>GHBX5J15OR</t>
  </si>
  <si>
    <t>ANA SOFIA PORRAS CRUZ</t>
  </si>
  <si>
    <t>X311YG19JO</t>
  </si>
  <si>
    <t>ADRIAN SORAYA CRUZ GIRALDO</t>
  </si>
  <si>
    <t>WYBMBFJ517</t>
  </si>
  <si>
    <t>NICOLAS RODRIGUEZ GIRALDO</t>
  </si>
  <si>
    <t>UQGBVLWHNZ</t>
  </si>
  <si>
    <t>-</t>
  </si>
  <si>
    <t>EXECUTIVE STRATEGIC BUSSINES</t>
  </si>
  <si>
    <t>NOMBRE COMERCIAL</t>
  </si>
  <si>
    <t>RAZÓN SOCIAL</t>
  </si>
  <si>
    <t>PRINCING 0</t>
  </si>
  <si>
    <t>OBJETO SOCIAL</t>
  </si>
  <si>
    <t>CIUDAD PRINCIPAL</t>
  </si>
  <si>
    <t>EPIC</t>
  </si>
  <si>
    <t>SERE PAN Y CAFE</t>
  </si>
  <si>
    <t>OLFFHQR5A3</t>
  </si>
  <si>
    <t>REPRESENTANTE LEGAL</t>
  </si>
  <si>
    <t>CONTACTO</t>
  </si>
  <si>
    <t>TELÉFONO</t>
  </si>
  <si>
    <t>CORREO</t>
  </si>
  <si>
    <t>EJECUTIVO - OTRO CANAL</t>
  </si>
  <si>
    <t>1,99 +$100</t>
  </si>
  <si>
    <t>LUIS CORREDOR</t>
  </si>
  <si>
    <t>4/72</t>
  </si>
  <si>
    <t>SERVICIOS POSTALES NACIONALES S.A.</t>
  </si>
  <si>
    <t>900062917-9</t>
  </si>
  <si>
    <t>Servicios de correo y mensajería expresa</t>
  </si>
  <si>
    <t>BOGOTÁ</t>
  </si>
  <si>
    <t>INTEGRIM SAS - PRINCIPAL</t>
  </si>
  <si>
    <t xml:space="preserve">FQSBCG07LU </t>
  </si>
  <si>
    <t>SÍ ESTÁ</t>
  </si>
  <si>
    <t>ALGARRA</t>
  </si>
  <si>
    <t>GLORIA COLOMBIA S.A.S.</t>
  </si>
  <si>
    <t>830507278-9</t>
  </si>
  <si>
    <t>Procesamiento de leche y derivados lácteos</t>
  </si>
  <si>
    <t>COGUA (CUND.)</t>
  </si>
  <si>
    <t>TIER_CUSTOM_199_249_0</t>
  </si>
  <si>
    <t>JORGE EDUARDO RODRIGUEZ</t>
  </si>
  <si>
    <t>INTEGRIM SAS - BOGOTA</t>
  </si>
  <si>
    <t xml:space="preserve">D891Y7RKCC </t>
  </si>
  <si>
    <t>INTEGRIM SAS - BAQ</t>
  </si>
  <si>
    <t xml:space="preserve">G1AEO6732N </t>
  </si>
  <si>
    <t>INTEGRIM SAS - CALI</t>
  </si>
  <si>
    <t xml:space="preserve">1OFI1RCK0G </t>
  </si>
  <si>
    <t>Suma total</t>
  </si>
  <si>
    <t>ASMEDIC  COMPCASA</t>
  </si>
  <si>
    <t>NQVGOKR95V</t>
  </si>
  <si>
    <t xml:space="preserve">TIER 2 </t>
  </si>
  <si>
    <t>FR PRODUCCIONES</t>
  </si>
  <si>
    <t>VHK2UKV53B</t>
  </si>
  <si>
    <t>COUNTA de EXECUTIVE STRATEGIC BUSSINES</t>
  </si>
  <si>
    <t>Custom New (2,09D 2,19C) Sin fee</t>
  </si>
  <si>
    <t>BIG COLA</t>
  </si>
  <si>
    <t>AJECONTROL S.A.</t>
  </si>
  <si>
    <t xml:space="preserve">ALINA REPOSTERIA </t>
  </si>
  <si>
    <t>830081407-1</t>
  </si>
  <si>
    <t>OKADKYEPQB</t>
  </si>
  <si>
    <t>Elaboración de bebidas no alcohólicas</t>
  </si>
  <si>
    <t>FUNZA (CUND.)</t>
  </si>
  <si>
    <t>AUGUSTO MAYORGA</t>
  </si>
  <si>
    <t>SERGIO LONDOÑO</t>
  </si>
  <si>
    <t>CINE COLOMBIA</t>
  </si>
  <si>
    <t>CINE COLOMBIA S.A.S.</t>
  </si>
  <si>
    <t>890900076-0</t>
  </si>
  <si>
    <t>Exhibición de películas y gestión de teatros</t>
  </si>
  <si>
    <t>Mis Carnes Parrilla</t>
  </si>
  <si>
    <t>5RWPJKS60Q</t>
  </si>
  <si>
    <t>MUNIR FAHLAH ALTAHONA</t>
  </si>
  <si>
    <t>CORBETA</t>
  </si>
  <si>
    <t>COLOMBIANA DE COMERCIO S.A.</t>
  </si>
  <si>
    <t>890900943-1</t>
  </si>
  <si>
    <t>Comercio al por mayor y retail (Alkosto/Ktronix)</t>
  </si>
  <si>
    <t>MEDELLÍN</t>
  </si>
  <si>
    <t>MANUEL SANTIAGO MEJÍA</t>
  </si>
  <si>
    <t>JEYSON SALAZAR</t>
  </si>
  <si>
    <t>Tarifa 1.90 y 1.99</t>
  </si>
  <si>
    <t>DISLICORES</t>
  </si>
  <si>
    <t>DISTRIBUIDORA DE VINOS Y LICORES S.A.S.</t>
  </si>
  <si>
    <t>890916575-4</t>
  </si>
  <si>
    <t>Comercialización de vinos y licores</t>
  </si>
  <si>
    <t>LUZ MARÍA GONZÁLEZ</t>
  </si>
  <si>
    <t>LZOL8WQC5T</t>
  </si>
  <si>
    <t>DOMESA</t>
  </si>
  <si>
    <t>DOMESA COLOMBIA S.A.S.</t>
  </si>
  <si>
    <t>830053811-1</t>
  </si>
  <si>
    <t>Mensajería, logística y servicios postales</t>
  </si>
  <si>
    <t>DONUCOL</t>
  </si>
  <si>
    <t>DONUCOL S.A.S.</t>
  </si>
  <si>
    <t>860508791-1</t>
  </si>
  <si>
    <t>Elaboración de donuts y servicios de café</t>
  </si>
  <si>
    <t>OTRO CANAL</t>
  </si>
  <si>
    <t>MIGUEL MERINO GORRITI</t>
  </si>
  <si>
    <t>B345I7Y21T</t>
  </si>
  <si>
    <t>INTERRAPIDISIMO</t>
  </si>
  <si>
    <t>INTER RAPIDÍSIMO S.A.</t>
  </si>
  <si>
    <t>800251569-7</t>
  </si>
  <si>
    <t>Transporte de carga masiva y mensajería</t>
  </si>
  <si>
    <t>NORMAN ALBERTO CHAPARRO</t>
  </si>
  <si>
    <t>4M2O6VLH9I</t>
  </si>
  <si>
    <t>JETSMART</t>
  </si>
  <si>
    <t>JETSMART COLOMBIA S.A.S.</t>
  </si>
  <si>
    <t>901526059 - 0</t>
  </si>
  <si>
    <t>Transporte aéreo comercial de pasajeros</t>
  </si>
  <si>
    <t>2JJFT1YI1D</t>
  </si>
  <si>
    <t>LATAM</t>
  </si>
  <si>
    <t>LATAM AIRLINES COLOMBIA S.A.</t>
  </si>
  <si>
    <t>890704196-6</t>
  </si>
  <si>
    <t>Transporte aéreo nacional e internacional</t>
  </si>
  <si>
    <t>LG</t>
  </si>
  <si>
    <t>LG ELECTRONICS COLOMBIA S.A.</t>
  </si>
  <si>
    <t>830013921-9</t>
  </si>
  <si>
    <t>Comercio de electrodomésticos y tecnología</t>
  </si>
  <si>
    <t>JVGLF7F4WH</t>
  </si>
  <si>
    <t>FRIMAC S.A</t>
  </si>
  <si>
    <t>800197456-2</t>
  </si>
  <si>
    <t>Transporte de carga por carretera</t>
  </si>
  <si>
    <t>MAC POLLO</t>
  </si>
  <si>
    <t>AVÍCOLA METROPOLITANA S.A.</t>
  </si>
  <si>
    <t>UP7X07KY9P</t>
  </si>
  <si>
    <t>890201881-4</t>
  </si>
  <si>
    <t>Procesamiento y comercialización de pollo</t>
  </si>
  <si>
    <t>BUCARAMANGA</t>
  </si>
  <si>
    <t>PANAMERICANA</t>
  </si>
  <si>
    <t>PANAMERICANA LIBRERÍA Y PAPELERÍA S.A.</t>
  </si>
  <si>
    <t>830037946 - 3</t>
  </si>
  <si>
    <t>Comercio de libros, útiles y tecnología</t>
  </si>
  <si>
    <t>VB1IU8K35P</t>
  </si>
  <si>
    <t>CARLOS FEDERICO RUIZ</t>
  </si>
  <si>
    <t>QUALA</t>
  </si>
  <si>
    <t>QUALA S.A.</t>
  </si>
  <si>
    <t>860074450 - 9</t>
  </si>
  <si>
    <t>Fabricación de productos de consumo masivo</t>
  </si>
  <si>
    <t>MICHAEL DE RHODES</t>
  </si>
  <si>
    <t>M7TSQ07RQC</t>
  </si>
  <si>
    <t>RAMO</t>
  </si>
  <si>
    <t>PRODUCTOS RAMO S.A.</t>
  </si>
  <si>
    <t>860003831-8</t>
  </si>
  <si>
    <t>Fabricación de ponqués y snacks</t>
  </si>
  <si>
    <t>MOSQUERA (CUND.)</t>
  </si>
  <si>
    <t>EOIJTLOCJ1</t>
  </si>
  <si>
    <t>BERNARDO SERNA GÁMEZ</t>
  </si>
  <si>
    <t>H2ENZD9KV7</t>
  </si>
  <si>
    <t>GRUPO</t>
  </si>
  <si>
    <t>0H2W4C9ZQC</t>
  </si>
  <si>
    <t>SIESA</t>
  </si>
  <si>
    <t>PROSALUD</t>
  </si>
  <si>
    <t>TP9X2KCMWS</t>
  </si>
  <si>
    <t>CROMANTIC</t>
  </si>
  <si>
    <t xml:space="preserve">Para piloto </t>
  </si>
  <si>
    <t>BLIND</t>
  </si>
  <si>
    <t>COLANTA POS</t>
  </si>
  <si>
    <t>BHNXRPS507</t>
  </si>
  <si>
    <t>Cerrado para OB</t>
  </si>
  <si>
    <t xml:space="preserve">CEBA </t>
  </si>
  <si>
    <t>Cerrado con OB</t>
  </si>
  <si>
    <t>MILLONARIOS</t>
  </si>
  <si>
    <t>MILLOS FC</t>
  </si>
  <si>
    <t xml:space="preserve">LINEA ESTETICA </t>
  </si>
  <si>
    <t>LINEA ESTETICA</t>
  </si>
  <si>
    <t>MESOFOOD</t>
  </si>
  <si>
    <t>OMA</t>
  </si>
  <si>
    <t>Perdido Int</t>
  </si>
  <si>
    <t>PRESTO</t>
  </si>
  <si>
    <t>QUEST</t>
  </si>
  <si>
    <t>MNFKER260S</t>
  </si>
  <si>
    <t>RICARONDO</t>
  </si>
  <si>
    <t>ALIMENTOS RICARONDO S.A.S.</t>
  </si>
  <si>
    <t>H4Y5AGH0FR</t>
  </si>
  <si>
    <t>890315688-6</t>
  </si>
  <si>
    <t>Fabricación de embutidos y productos cárnicos</t>
  </si>
  <si>
    <t>CALI</t>
  </si>
  <si>
    <t>RICARDO OREJUELA</t>
  </si>
  <si>
    <t>TIGO-MOVISTAR</t>
  </si>
  <si>
    <t>UNE EPM TELECOMUNICACIONES S.A.</t>
  </si>
  <si>
    <t>890905211-4</t>
  </si>
  <si>
    <t>Servicios de telefonía, datos y fibra óptica</t>
  </si>
  <si>
    <t>8GRBQHK7D2</t>
  </si>
  <si>
    <t>TOTTO</t>
  </si>
  <si>
    <t>NALSANI S.A.S.</t>
  </si>
  <si>
    <t>800051811-2</t>
  </si>
  <si>
    <t>Fabricación de maletines, ropa y accesorios</t>
  </si>
  <si>
    <t>JONATHAN BURSZTYN</t>
  </si>
  <si>
    <t>Y3INN0E4RT</t>
  </si>
  <si>
    <t>GRUPO LITORAL</t>
  </si>
  <si>
    <t>890926933-0</t>
  </si>
  <si>
    <t>Comercio al por mayor no especializado</t>
  </si>
  <si>
    <t>VIRGIN MOBILE</t>
  </si>
  <si>
    <t>XMMWK35GCB</t>
  </si>
  <si>
    <t>VIRGIN MOBILE COLOMBIA S.A.S.</t>
  </si>
  <si>
    <t>900420122 - 7</t>
  </si>
  <si>
    <t>Operador móvil virtual (telefonía)</t>
  </si>
  <si>
    <t xml:space="preserve">WOM </t>
  </si>
  <si>
    <t>PARTNERS TELECOM COLOMBIA S.A.S.</t>
  </si>
  <si>
    <t>901328718-4</t>
  </si>
  <si>
    <t>Operador de red de servicios móviles</t>
  </si>
  <si>
    <t>BDMS1J57N0</t>
  </si>
  <si>
    <t>ALPINA</t>
  </si>
  <si>
    <t>ALPINA PRODUCTOS ALIMENTICIOS S.A.S. BIC</t>
  </si>
  <si>
    <t>860025900-2</t>
  </si>
  <si>
    <t>Fabricación de alimentos y derivados lácteos</t>
  </si>
  <si>
    <t>SOPÓ (CUND.)</t>
  </si>
  <si>
    <t>ERNESTO FAJARDO PINTO</t>
  </si>
  <si>
    <t>2TLTH1KUEU</t>
  </si>
  <si>
    <t>AVIANCA</t>
  </si>
  <si>
    <t>AVIANCA S.A.</t>
  </si>
  <si>
    <t>890100577-6</t>
  </si>
  <si>
    <t>Transporte aéreo de pasajeros y carga</t>
  </si>
  <si>
    <t>A78Q2QG67N</t>
  </si>
  <si>
    <t>BIMBO</t>
  </si>
  <si>
    <t>BIMBO DE COLOMBIA S.A.</t>
  </si>
  <si>
    <t>830002366-0</t>
  </si>
  <si>
    <t>Fabricación de productos de panadería y bollería</t>
  </si>
  <si>
    <t>TENJO (CUND.)</t>
  </si>
  <si>
    <t>TATIANA ESTRADA</t>
  </si>
  <si>
    <t xml:space="preserve">CLARO </t>
  </si>
  <si>
    <t>COMUNICACIÓN CELULAR S.A. (COMCEL)</t>
  </si>
  <si>
    <t>800153993-7</t>
  </si>
  <si>
    <t>6GU5HGJRI2</t>
  </si>
  <si>
    <t>Servicios de telecomunicaciones móviles y fijas</t>
  </si>
  <si>
    <t>COCA COLA</t>
  </si>
  <si>
    <t>COCA-COLA FEMSA COLOMBIA S.A.S.</t>
  </si>
  <si>
    <t>890903955-4</t>
  </si>
  <si>
    <t>Embotellado y distribución de refrescos</t>
  </si>
  <si>
    <t>JOHANA CERPA BARRERA</t>
  </si>
  <si>
    <t>WA14MO4JV3</t>
  </si>
  <si>
    <t>COLOMBINA</t>
  </si>
  <si>
    <t>COLOMBINA S.A.</t>
  </si>
  <si>
    <t>890301884-5</t>
  </si>
  <si>
    <t>Fabricación de dulces, confites y alimentos</t>
  </si>
  <si>
    <t>TULUÁ (VALLE)</t>
  </si>
  <si>
    <t>CÉSAR CAICEDO JARAMILLO</t>
  </si>
  <si>
    <t>B2LSO7Y8ZJ</t>
  </si>
  <si>
    <t>24XH8NLNI0</t>
  </si>
  <si>
    <t>14NO6RIM7H</t>
  </si>
  <si>
    <t>Z94DMHO6O6</t>
  </si>
  <si>
    <t>SIH612NT9H</t>
  </si>
  <si>
    <t>910F7YIJ7U</t>
  </si>
  <si>
    <t>Mercapitall Full SAS</t>
  </si>
  <si>
    <t>8WVP5D0BZD</t>
  </si>
  <si>
    <t>karen.hurtado@bold.co</t>
  </si>
  <si>
    <t>PRESTANZA (Estracol SAS)</t>
  </si>
  <si>
    <t>87VZFGDL4L</t>
  </si>
  <si>
    <t>andrea.leon@bold.co</t>
  </si>
  <si>
    <t>1,89 + 300</t>
  </si>
  <si>
    <t>La Tuerk</t>
  </si>
  <si>
    <t>ZLLTGB15Y5</t>
  </si>
  <si>
    <t>DHL</t>
  </si>
  <si>
    <t>DHL EXPRESS COLOMBIA LTDA.</t>
  </si>
  <si>
    <t>860502609-4</t>
  </si>
  <si>
    <t>Logística y transporte internacional express</t>
  </si>
  <si>
    <t>Mercacentro SAS</t>
  </si>
  <si>
    <t>7AY5T2GM0Y</t>
  </si>
  <si>
    <t>DIAGEO</t>
  </si>
  <si>
    <t>DIAGEO COLOMBIA S.A.</t>
  </si>
  <si>
    <t>830006051-4</t>
  </si>
  <si>
    <t>Importación y distribución de licores premium</t>
  </si>
  <si>
    <t>CARLOS ALBERTO ORTIZ</t>
  </si>
  <si>
    <t>ENVIA</t>
  </si>
  <si>
    <t>ENVIA COLVANES S.A.S.</t>
  </si>
  <si>
    <t>800180126-5</t>
  </si>
  <si>
    <t>Transporte de carga y mensajería nacional</t>
  </si>
  <si>
    <t>HENRY CUEVAS GALVIS</t>
  </si>
  <si>
    <t>SYSCOM COLOMBIA SAS</t>
  </si>
  <si>
    <t>FQO5T5STT8</t>
  </si>
  <si>
    <t>Área incidencia</t>
  </si>
  <si>
    <t>Cantidad incidentes</t>
  </si>
  <si>
    <t>Cantidad TX</t>
  </si>
  <si>
    <t>camila.fierro@bold.co</t>
  </si>
  <si>
    <t>1.39 + 100</t>
  </si>
  <si>
    <t>queseria de mi sin ti</t>
  </si>
  <si>
    <t>PD7YUQJQ05</t>
  </si>
  <si>
    <t>Noviembre</t>
  </si>
  <si>
    <t>Pagos</t>
  </si>
  <si>
    <t>litz.cardona@bold.co</t>
  </si>
  <si>
    <t>Diciembre</t>
  </si>
  <si>
    <t>DON BENITEZ MEXICAN GRILL</t>
  </si>
  <si>
    <t>HWOENAJOCL</t>
  </si>
  <si>
    <t>1.89%</t>
  </si>
  <si>
    <t>Enero</t>
  </si>
  <si>
    <t>UFF NAILS</t>
  </si>
  <si>
    <t>A2AW5Y170B</t>
  </si>
  <si>
    <t>Cuenta</t>
  </si>
  <si>
    <t>Técnologia</t>
  </si>
  <si>
    <t>Febrero</t>
  </si>
  <si>
    <t>USAUTOS MANIZALES SAS</t>
  </si>
  <si>
    <t>O4JFCN2RFG</t>
  </si>
  <si>
    <t>INSTITUTO DE MEDICINA Y CIRUGIA DR FRANK LAMADRID SAS</t>
  </si>
  <si>
    <t>SU0A7X00QS</t>
  </si>
  <si>
    <t>CDA REDIMAX</t>
  </si>
  <si>
    <t>XTNQSECV0I</t>
  </si>
  <si>
    <t>FEMSA</t>
  </si>
  <si>
    <t>Operaciones industriales de bebidas y refrescos</t>
  </si>
  <si>
    <t>KOAJ BAQ</t>
  </si>
  <si>
    <t>4DY35RO1OQ</t>
  </si>
  <si>
    <t>JULIÁN CAVIEDES</t>
  </si>
  <si>
    <t>paola.casas@bold.co</t>
  </si>
  <si>
    <t>HUEVOS KIKES</t>
  </si>
  <si>
    <t>INCUBADORA SANTANDER S.A.</t>
  </si>
  <si>
    <t>Tier 3 promo abril cuenta Bold</t>
  </si>
  <si>
    <t>890200735-3</t>
  </si>
  <si>
    <t>Producción y comercialización de huevos</t>
  </si>
  <si>
    <t>JUAN FELIPE MONTOYA</t>
  </si>
  <si>
    <t>SH&amp;S DENTAL SAS - GRUPO BOCANOVA</t>
  </si>
  <si>
    <t>XOCXLVKVT4</t>
  </si>
  <si>
    <t>JUAN VALDEZ</t>
  </si>
  <si>
    <t>PROMOTORA DE CAFÉ COLOMBIA S.A.S.</t>
  </si>
  <si>
    <t>830112398-4</t>
  </si>
  <si>
    <t>Comercio minorista de café y productos derivados</t>
  </si>
  <si>
    <t>CAMILA ESCOBAR CORREDOR</t>
  </si>
  <si>
    <t>angie.ospina@bold.co</t>
  </si>
  <si>
    <t>2.09 con cuenta Bold</t>
  </si>
  <si>
    <t>MAC CENTER</t>
  </si>
  <si>
    <t>B&amp;M ASOCIADOS S.A.S.</t>
  </si>
  <si>
    <t>900252339-1</t>
  </si>
  <si>
    <t>Distribuidor autorizado de productos Apple</t>
  </si>
  <si>
    <t>JUANPA JOBS</t>
  </si>
  <si>
    <t>1Y3ZZ3TJJX</t>
  </si>
  <si>
    <t xml:space="preserve">PRICE SHOES </t>
  </si>
  <si>
    <t>2KD2HH3EBI</t>
  </si>
  <si>
    <t xml:space="preserve">NATALIA MONTOYA </t>
  </si>
  <si>
    <t>4WY58WZGER</t>
  </si>
  <si>
    <t>NATURAL LIGHT</t>
  </si>
  <si>
    <t>CUUWRAI7KI</t>
  </si>
  <si>
    <t xml:space="preserve">TIER_CUSTOM_185
</t>
  </si>
  <si>
    <t>2CBW1QUL90</t>
  </si>
  <si>
    <t>IU98G70UIT</t>
  </si>
  <si>
    <t>US9V3G0PKD</t>
  </si>
  <si>
    <t>Q0UH254NTT</t>
  </si>
  <si>
    <t>MILLONARIOS FC</t>
  </si>
  <si>
    <t>AZUL Y BLANCO MILLONARIOS F.C. S.A.</t>
  </si>
  <si>
    <t>900428324-4</t>
  </si>
  <si>
    <t>Deporte profesional y gestión de club de fútbol</t>
  </si>
  <si>
    <t>CQT8FDYSFN</t>
  </si>
  <si>
    <t>PARMALAT</t>
  </si>
  <si>
    <t>PARMALAT COLOMBIA LTDA.</t>
  </si>
  <si>
    <t>830011028-5</t>
  </si>
  <si>
    <t>CHÍA (CUND.)</t>
  </si>
  <si>
    <t>LAURENT COHEN</t>
  </si>
  <si>
    <t>PEPSICO</t>
  </si>
  <si>
    <t>PEPSICO ALIMENTOS COLOMBIA S.A.S.</t>
  </si>
  <si>
    <t>800048810-7</t>
  </si>
  <si>
    <t>Fabricación de snacks y bebidas (Fritolay)</t>
  </si>
  <si>
    <t>SANTOS ALONSO MARTÍNEZ</t>
  </si>
  <si>
    <t>T0NCW47DSD</t>
  </si>
  <si>
    <t>QUICK</t>
  </si>
  <si>
    <t>QUICK SERVICES S.A.S.</t>
  </si>
  <si>
    <t>900244364-7</t>
  </si>
  <si>
    <t>Prestación de servicios logísticos y tecnología</t>
  </si>
  <si>
    <t>CARLOS JULIÁN CAVIEDES</t>
  </si>
  <si>
    <t xml:space="preserve">SAMSUNG </t>
  </si>
  <si>
    <t>IH3ZMDXY21</t>
  </si>
  <si>
    <t>SAMSUNG ELECTRONICS COLOMBIA S.A.</t>
  </si>
  <si>
    <t>830027915-0</t>
  </si>
  <si>
    <t>Importación y venta de tecnología</t>
  </si>
  <si>
    <t>SERVIENTREGA</t>
  </si>
  <si>
    <t>SERVIENTREGA S.A.</t>
  </si>
  <si>
    <t>860512330-3</t>
  </si>
  <si>
    <t>Mensajería especializada y logística masiva</t>
  </si>
  <si>
    <t>LUZ MARY GUERRERO</t>
  </si>
  <si>
    <t>B7PF7R4V97</t>
  </si>
  <si>
    <t>TCC</t>
  </si>
  <si>
    <t>TRANSPORTADORA COMERCIAL COLOMBIA S.A.</t>
  </si>
  <si>
    <t>890903047-9</t>
  </si>
  <si>
    <t>Soluciones logísticas y transporte de mercancía</t>
  </si>
  <si>
    <t>Comisiones</t>
  </si>
  <si>
    <t>FKQX5FENOV</t>
  </si>
  <si>
    <t xml:space="preserve">WINGO </t>
  </si>
  <si>
    <t>AERO REPUBLICA S.A.</t>
  </si>
  <si>
    <t>800198665-2</t>
  </si>
  <si>
    <t>Transporte aéreo bajo modelo de bajo costo</t>
  </si>
  <si>
    <t>X Millon</t>
  </si>
  <si>
    <t xml:space="preserve">Componentes </t>
  </si>
  <si>
    <t>089CXLK1HN</t>
  </si>
  <si>
    <t>Tarjeta</t>
  </si>
  <si>
    <t>ALQUERIA</t>
  </si>
  <si>
    <t>PRODUCTOS NATURALES DE LA SABANA S.A.S.</t>
  </si>
  <si>
    <t>860038252-9</t>
  </si>
  <si>
    <t xml:space="preserve">CREDITO </t>
  </si>
  <si>
    <t>CARLOS ENRIQUE CAVALIER</t>
  </si>
  <si>
    <t>META</t>
  </si>
  <si>
    <t>Elizabeth Garzón</t>
  </si>
  <si>
    <t>MILLONES</t>
  </si>
  <si>
    <t>NTR</t>
  </si>
  <si>
    <t xml:space="preserve">Net reveneu </t>
  </si>
  <si>
    <t>Pago X Millon</t>
  </si>
  <si>
    <t xml:space="preserve">Cost Comision </t>
  </si>
  <si>
    <t>VTRUIKLVGI</t>
  </si>
  <si>
    <t>ARTURO CALLE</t>
  </si>
  <si>
    <t>COMERCIALIZADORA ARTURO CALLE S.A.S.</t>
  </si>
  <si>
    <t>900342297-2</t>
  </si>
  <si>
    <t xml:space="preserve">Fabricación de calzado y ropa </t>
  </si>
  <si>
    <t>CARLOS ARTURO CALLE</t>
  </si>
  <si>
    <t>ATLETICO NACIONAL</t>
  </si>
  <si>
    <t>ATLETICO NACIONAL SA</t>
  </si>
  <si>
    <t>R0RWXD90UE</t>
  </si>
  <si>
    <t>900464187-4</t>
  </si>
  <si>
    <t>Club deportivo</t>
  </si>
  <si>
    <t>MEDELLIN</t>
  </si>
  <si>
    <t>OFFCORSS</t>
  </si>
  <si>
    <t>C.I HERMECO SAS</t>
  </si>
  <si>
    <t>Fabricación de calzado y ropa para niños</t>
  </si>
  <si>
    <t>YANET DE JESUS LONDOÑO</t>
  </si>
  <si>
    <t>Lo tiene radicado Valentina Monsalve / Online Sales</t>
  </si>
  <si>
    <t>3PQ4GUJGBE</t>
  </si>
  <si>
    <t>META UND</t>
  </si>
  <si>
    <t>MILLONES Com</t>
  </si>
  <si>
    <t>CUEROS VELEZ</t>
  </si>
  <si>
    <t>CUEROS VELEZ S.A.S.</t>
  </si>
  <si>
    <t>800191700-8</t>
  </si>
  <si>
    <t>JUAN RAÚL VELEZ</t>
  </si>
  <si>
    <t>COMODIN</t>
  </si>
  <si>
    <t xml:space="preserve">Proyeccion costo ejecutvio </t>
  </si>
  <si>
    <t xml:space="preserve">Ntr mes </t>
  </si>
  <si>
    <t>Meta mes</t>
  </si>
  <si>
    <t>Reveneu Mes</t>
  </si>
  <si>
    <t>COORDINADORA</t>
  </si>
  <si>
    <t>COORDINADORA MERCANTIL S.A.</t>
  </si>
  <si>
    <t>Reveneu año</t>
  </si>
  <si>
    <t>890900316-7</t>
  </si>
  <si>
    <t>HWLYBE7T4U</t>
  </si>
  <si>
    <t>Transporte de carga y logística de paquetes</t>
  </si>
  <si>
    <t xml:space="preserve">Payback estimado </t>
  </si>
  <si>
    <t>MARÍA ELENA OBITO</t>
  </si>
  <si>
    <t>Con comision 100%</t>
  </si>
  <si>
    <t>Lo Tiene Eddie Enterprise</t>
  </si>
  <si>
    <t>mes</t>
  </si>
  <si>
    <t>DEP MEDELLN</t>
  </si>
  <si>
    <t>EL EQUIPO DEL PUEBLO S.A.</t>
  </si>
  <si>
    <t>890901378-5</t>
  </si>
  <si>
    <t>Actividades de clubes deportivos profesionales</t>
  </si>
  <si>
    <t>4OCVESHSCL</t>
  </si>
  <si>
    <t>GASEOSAS POOL</t>
  </si>
  <si>
    <t>DRINKS DE COLOMBIA S.A.S.</t>
  </si>
  <si>
    <t>900810414-6</t>
  </si>
  <si>
    <t>Producción bebidas no alcoholicas agua y gaseosas</t>
  </si>
  <si>
    <t>JOSÉ LUIS CALDERÓN</t>
  </si>
  <si>
    <t>GEF / P. BLANCO</t>
  </si>
  <si>
    <t>CRYSTAL S.A.S.</t>
  </si>
  <si>
    <t>890901672-5</t>
  </si>
  <si>
    <t>AHZX3JJB3E</t>
  </si>
  <si>
    <t>JUAN ESTEBAN VALENCIA</t>
  </si>
  <si>
    <t>año</t>
  </si>
  <si>
    <t>Lo tiene radicado Carolina Estupiñan / SMB Sales</t>
  </si>
  <si>
    <t xml:space="preserve">Ponderado porcentual comisional </t>
  </si>
  <si>
    <t>GRUPO NUTRESA</t>
  </si>
  <si>
    <t>GRUPO NUTRESA S.A.</t>
  </si>
  <si>
    <t>890901662-8</t>
  </si>
  <si>
    <t>Procesamientos de alimentos carnicos, bebidas, helados, pastas</t>
  </si>
  <si>
    <t>CARLOS IGNACIO GALLEGO</t>
  </si>
  <si>
    <t>Viviana Sepulveda</t>
  </si>
  <si>
    <t>lvsepulveda@serviciosnutresa.com</t>
  </si>
  <si>
    <t xml:space="preserve">TICKET CREDITO </t>
  </si>
  <si>
    <t>Oper pormedio</t>
  </si>
  <si>
    <t>9AU879MZ4Y</t>
  </si>
  <si>
    <t>LEONISA</t>
  </si>
  <si>
    <t>C.I. LEONISA S.A.S.</t>
  </si>
  <si>
    <t>901093142-3</t>
  </si>
  <si>
    <t>DIEGO JOAQUÍN URREA</t>
  </si>
  <si>
    <t>MINISO</t>
  </si>
  <si>
    <t>MINISO COLOMBIA SAS</t>
  </si>
  <si>
    <t>901137699-5</t>
  </si>
  <si>
    <t>Comercializador retail de bienes</t>
  </si>
  <si>
    <t>PZGZ2JRJUZ</t>
  </si>
  <si>
    <t>Tarjeta #</t>
  </si>
  <si>
    <t>DANIEL RODRIGUEZ DÍAZ</t>
  </si>
  <si>
    <t>Lo está trabajando JuanCa</t>
  </si>
  <si>
    <t>NESTLE</t>
  </si>
  <si>
    <t>NESTLÉ DE COLOMBIA S.A.</t>
  </si>
  <si>
    <t># Millones</t>
  </si>
  <si>
    <t>860002130-1</t>
  </si>
  <si>
    <t>UNID</t>
  </si>
  <si>
    <t>FELIPE SILVA</t>
  </si>
  <si>
    <t>Cupo Medio</t>
  </si>
  <si>
    <t>O95TN1ICSX</t>
  </si>
  <si>
    <t>NUTRESA</t>
  </si>
  <si>
    <t>COMPAÑÍA NACIONAL DE CHOCOLATES S.A.S.</t>
  </si>
  <si>
    <t>890900313-0</t>
  </si>
  <si>
    <t>JUAN PABLO CANO</t>
  </si>
  <si>
    <t>COMPAÑIA DE GALLETAS NOEL SAS</t>
  </si>
  <si>
    <t>811014994-9</t>
  </si>
  <si>
    <t>KKJ57127F6</t>
  </si>
  <si>
    <t>ALBERTO HOYOS LOPERA</t>
  </si>
  <si>
    <t>Caso</t>
  </si>
  <si>
    <t>Millones desembolsados</t>
  </si>
  <si>
    <t>Operaciones</t>
  </si>
  <si>
    <t>6AEWA5HUR4</t>
  </si>
  <si>
    <t>SATENA</t>
  </si>
  <si>
    <t>SERVICIO AEREO A TERRITORIOS NACIONALES</t>
  </si>
  <si>
    <t>899999043-4</t>
  </si>
  <si>
    <t>Transporte aéreo regional de pasajeros</t>
  </si>
  <si>
    <t>SUPERRICAS</t>
  </si>
  <si>
    <t>PRODUCTOS ALIMENTICIOS SUPERRICAS S.A.S.</t>
  </si>
  <si>
    <t>860032227-7</t>
  </si>
  <si>
    <t>Fabricación de pasabocas y snacks salados</t>
  </si>
  <si>
    <t>ALPHA FIT CLUB</t>
  </si>
  <si>
    <t>AMANDA LUZ SILVA</t>
  </si>
  <si>
    <t>OPY9JS2VVI</t>
  </si>
  <si>
    <t>TRENDY BY SHOP</t>
  </si>
  <si>
    <t>3QY6ZHRJIG</t>
  </si>
  <si>
    <t>TRENDY</t>
  </si>
  <si>
    <t>901374981-3</t>
  </si>
  <si>
    <t>Comercializador de cosmesticos</t>
  </si>
  <si>
    <t>DUMVF79F5D</t>
  </si>
  <si>
    <t>MARIA CAMILA ORREGO</t>
  </si>
  <si>
    <t>Lead radicado con SMB Mauricio Herrera</t>
  </si>
  <si>
    <t>TQ TECNOQUIMICAS</t>
  </si>
  <si>
    <t>TECNOQUÍMICAS S.A.</t>
  </si>
  <si>
    <t>9MULE2NM3S</t>
  </si>
  <si>
    <t>890300294-1</t>
  </si>
  <si>
    <t>Producción farmacéutica y consumo masivo</t>
  </si>
  <si>
    <t>JUAN MANUEL BARBERI</t>
  </si>
  <si>
    <t>HUBS</t>
  </si>
  <si>
    <t>FAMILIA</t>
  </si>
  <si>
    <t>811042978-1</t>
  </si>
  <si>
    <t>Comercializador de bienes para aseo personal y hogar</t>
  </si>
  <si>
    <t>Cliente referido con contactos por Jefe Katerine, contactos ya no corresponden a funcionarios de Familia. 05/03</t>
  </si>
  <si>
    <t>GUARAGNA SAS</t>
  </si>
  <si>
    <t>6RGKVIRZMS</t>
  </si>
  <si>
    <t>BAVARIA</t>
  </si>
  <si>
    <t>860005224-6</t>
  </si>
  <si>
    <t>Productor y comercializador de bebidads</t>
  </si>
  <si>
    <t>BOGOTA</t>
  </si>
  <si>
    <t>Lo tiene radicado Daniela Espinosa / SMB</t>
  </si>
  <si>
    <t>hector.causil@bold.co</t>
  </si>
  <si>
    <t>CHEVIGNON- AMERICANINO- NAFNAF</t>
  </si>
  <si>
    <t>COMODIN SAS</t>
  </si>
  <si>
    <t>Especial 1,99%</t>
  </si>
  <si>
    <t>800069933-6</t>
  </si>
  <si>
    <t xml:space="preserve">Revisando nuevos contactos - 6046048891 consultado en Informa Colombia </t>
  </si>
  <si>
    <t>impuestos@gco.com.co</t>
  </si>
  <si>
    <t>TENNIS</t>
  </si>
  <si>
    <t>91VNMYGF0X</t>
  </si>
  <si>
    <t>TENIS</t>
  </si>
  <si>
    <t xml:space="preserve">Pago comision </t>
  </si>
  <si>
    <t>890920043-3</t>
  </si>
  <si>
    <t>Lo tiene radicado Karen Bedoya / Online Sales</t>
  </si>
  <si>
    <t>AGUA BENDITA</t>
  </si>
  <si>
    <t>811044893-1</t>
  </si>
  <si>
    <t>Fabricación de vestidos de baño</t>
  </si>
  <si>
    <t>STUDIO F Y ELA</t>
  </si>
  <si>
    <t>STF GROUP</t>
  </si>
  <si>
    <t>805003626-4</t>
  </si>
  <si>
    <t>CAMILO VANEGAS URIBE</t>
  </si>
  <si>
    <t>6ZQ2SP7XJD</t>
  </si>
  <si>
    <t>CARLOS ALBERTO ACOSTA</t>
  </si>
  <si>
    <t>servicioalcliente@studiof.com.co</t>
  </si>
  <si>
    <t xml:space="preserve">Diferencia </t>
  </si>
  <si>
    <t>FULL 80S BOGOTA SAS</t>
  </si>
  <si>
    <t>358T6AUH70</t>
  </si>
  <si>
    <t>JUAN SALGADO</t>
  </si>
  <si>
    <t>Desembolso M</t>
  </si>
  <si>
    <t>ARA</t>
  </si>
  <si>
    <t>Pague por Millon</t>
  </si>
  <si>
    <t>ARROZ DIANA</t>
  </si>
  <si>
    <t>DICORP S.A.S.</t>
  </si>
  <si>
    <t>MERCAR FRUTAS Y VERDURAS</t>
  </si>
  <si>
    <t>890101780-1</t>
  </si>
  <si>
    <t>CWQSMKP3GO</t>
  </si>
  <si>
    <t>Trilla, empaque y comercio de arroz y granos</t>
  </si>
  <si>
    <t xml:space="preserve">BOMBAS CLAUDIA </t>
  </si>
  <si>
    <t>2.09 + 100 CON TARIFA INTERNACIONAL (T6)</t>
  </si>
  <si>
    <t>Acelerador</t>
  </si>
  <si>
    <t>CASA LUKER</t>
  </si>
  <si>
    <t>LUKER S.A.</t>
  </si>
  <si>
    <t xml:space="preserve">Credito </t>
  </si>
  <si>
    <t xml:space="preserve">UP STAGE </t>
  </si>
  <si>
    <t>890800071-3</t>
  </si>
  <si>
    <t>B4JLDVXLPL</t>
  </si>
  <si>
    <t>Procesamiento de cacao, café y derivados</t>
  </si>
  <si>
    <t>MANIZALES</t>
  </si>
  <si>
    <t xml:space="preserve">igual o mayo </t>
  </si>
  <si>
    <t>4 Oper</t>
  </si>
  <si>
    <t>6 Oper</t>
  </si>
  <si>
    <t xml:space="preserve">Acelerador </t>
  </si>
  <si>
    <t>EPSON</t>
  </si>
  <si>
    <t>EPSON COLOMBIA S.A.S.</t>
  </si>
  <si>
    <t>830004577-9</t>
  </si>
  <si>
    <t>Comercio de equipos informáticos y periféricos</t>
  </si>
  <si>
    <t>FERNANDO BOTERO (AUTOPLUS)</t>
  </si>
  <si>
    <t>47X52ZO722</t>
  </si>
  <si>
    <t>SONRIA</t>
  </si>
  <si>
    <t>SONRÍA CLÍNICAS DENTALES S.A.S.</t>
  </si>
  <si>
    <t>830003540-3</t>
  </si>
  <si>
    <t>Prestación de servicios de salud oral</t>
  </si>
  <si>
    <t>TERMINAL TRS BOGOTA</t>
  </si>
  <si>
    <t>TERMINAL DE TRANSPORTE S.A.</t>
  </si>
  <si>
    <t>860029020-0</t>
  </si>
  <si>
    <t>Administración de terminales de transporte</t>
  </si>
  <si>
    <t xml:space="preserve">TERRA BIOHOTEL MEDELLIN </t>
  </si>
  <si>
    <t>R721FQZ7DK</t>
  </si>
  <si>
    <t>CUSTOM_159D_169C</t>
  </si>
  <si>
    <t xml:space="preserve">TODO MAS KOTAS </t>
  </si>
  <si>
    <t>4J12VSHD29</t>
  </si>
  <si>
    <t>MUNDIASTUR</t>
  </si>
  <si>
    <t>L0ZR7N7PXN</t>
  </si>
  <si>
    <t xml:space="preserve">RESTAURANTE HOTEL </t>
  </si>
  <si>
    <t>LRQSMJBJJQ</t>
  </si>
  <si>
    <t xml:space="preserve">CALLEJERO RESTAURANTE </t>
  </si>
  <si>
    <t>PSW0Z9K5RJ</t>
  </si>
  <si>
    <t>Jhon.chaux@bold.co</t>
  </si>
  <si>
    <t>Dra Wendy Aldana Medicina Estetica</t>
  </si>
  <si>
    <t>ERS5T5MTUX</t>
  </si>
  <si>
    <t>tasa full</t>
  </si>
  <si>
    <t>LULO CAFE BAR</t>
  </si>
  <si>
    <t>YQX6DC5V48</t>
  </si>
  <si>
    <t>1,99% + $300</t>
  </si>
  <si>
    <t>si</t>
  </si>
  <si>
    <t>Luna Reina</t>
  </si>
  <si>
    <t>003Y23QUEM</t>
  </si>
  <si>
    <t>Los Caminos De La Vida Bar</t>
  </si>
  <si>
    <t>JAEJ6L6OIB</t>
  </si>
  <si>
    <t xml:space="preserve">Tier 2 C Bold </t>
  </si>
  <si>
    <t>La Juma Barr</t>
  </si>
  <si>
    <t>QKCKZ15FX3</t>
  </si>
  <si>
    <t>MARIA EUGENIA OCHOA</t>
  </si>
  <si>
    <t>3J7EGAHD7N</t>
  </si>
  <si>
    <t xml:space="preserve">Tier 3 </t>
  </si>
  <si>
    <t>JUAN ALBERTO ARANGO</t>
  </si>
  <si>
    <t>TFOBBEOF3W</t>
  </si>
  <si>
    <t>ALDEA ASIÁTICA</t>
  </si>
  <si>
    <t>5QZ21EGNSP</t>
  </si>
  <si>
    <t xml:space="preserve">GRACE OBANDO </t>
  </si>
  <si>
    <t>RTQI781C8O</t>
  </si>
  <si>
    <t xml:space="preserve">RAMONA LUCIA BERMUDEZ </t>
  </si>
  <si>
    <t>W13THZG45R</t>
  </si>
  <si>
    <t>GRUPO ESS SAS</t>
  </si>
  <si>
    <t>2BOI5HNF34</t>
  </si>
  <si>
    <t>Custom (1,99D 2,09C)</t>
  </si>
  <si>
    <t>INVERSIONES SERVIMARCAS  SAS</t>
  </si>
  <si>
    <t>S7M0M7J1Z3</t>
  </si>
  <si>
    <t>Custom 1,85 (Enterprise)</t>
  </si>
  <si>
    <t>PINTURAS DUROCOLOR</t>
  </si>
  <si>
    <t>KLYQSAM2TD</t>
  </si>
  <si>
    <t>Custom 1,79 (Enterprise)</t>
  </si>
  <si>
    <t>Agroindustriales Cañaveralejo</t>
  </si>
  <si>
    <t>0IKNB5FI29</t>
  </si>
  <si>
    <t>Custom (1,29D 1,39C)</t>
  </si>
  <si>
    <t>COUNTRY PET</t>
  </si>
  <si>
    <t>N4RS4STGVY</t>
  </si>
  <si>
    <t>Clinica Veterinaria El Poblado Sas</t>
  </si>
  <si>
    <t>D3XQWB2UZ9</t>
  </si>
  <si>
    <t>LAMOSAN COLOMBIA</t>
  </si>
  <si>
    <t>YEFXU8YLHI</t>
  </si>
  <si>
    <t>ANGÉLICA APARICIO</t>
  </si>
  <si>
    <t>7AXN2DC6GE</t>
  </si>
  <si>
    <t>Unicomfort</t>
  </si>
  <si>
    <t>R81A7GRZ6C</t>
  </si>
  <si>
    <t>2.19% + $300</t>
  </si>
  <si>
    <t>ATLANTIDA TIENDA VIRTUAL</t>
  </si>
  <si>
    <t>6I30XOEHEA</t>
  </si>
  <si>
    <t>VIVARIUM MUEBLES SUIZOS</t>
  </si>
  <si>
    <t>73PXJN5E48</t>
  </si>
  <si>
    <t>GS MODULAR SAS</t>
  </si>
  <si>
    <t>WOXUFI3LZ7</t>
  </si>
  <si>
    <t>DERMOSALUD</t>
  </si>
  <si>
    <t>ND1WP999J8</t>
  </si>
  <si>
    <t>Tier: INTERNACIONAL_189</t>
  </si>
  <si>
    <t>ANTONIO LEON</t>
  </si>
  <si>
    <t>T4NBWTJTQ5</t>
  </si>
  <si>
    <t xml:space="preserve">HUACATAY </t>
  </si>
  <si>
    <t>S76EWCLAMT</t>
  </si>
  <si>
    <t xml:space="preserve">OPTICA ALEMANA </t>
  </si>
  <si>
    <t>WUUAG0DR0R</t>
  </si>
  <si>
    <t xml:space="preserve">Volandoalto SAS Wiki </t>
  </si>
  <si>
    <t>DVOBZ41GMM</t>
  </si>
  <si>
    <t>(Custom (1,79D 1,89C))</t>
  </si>
  <si>
    <t>Tueme SAS</t>
  </si>
  <si>
    <t>B4OSMWIS06</t>
  </si>
  <si>
    <t>Custom (1,69D 1,79C)</t>
  </si>
  <si>
    <t>DONATTO</t>
  </si>
  <si>
    <t>GU03WSXCWY</t>
  </si>
  <si>
    <t>TUSOATYA</t>
  </si>
  <si>
    <t>HASVC9ZZWE</t>
  </si>
  <si>
    <t>CHINAMOTOS COLOMBIA SAS</t>
  </si>
  <si>
    <t>W5IKU7WZ23</t>
  </si>
  <si>
    <t>Tier 2 Cuenta Bold</t>
  </si>
  <si>
    <t>Julio</t>
  </si>
  <si>
    <t>GRUPO TERRAZA PANCE CARUZO</t>
  </si>
  <si>
    <t>D30RAOBDYD</t>
  </si>
  <si>
    <t>agosto</t>
  </si>
  <si>
    <t>septiembre</t>
  </si>
  <si>
    <t>Promedios base</t>
  </si>
  <si>
    <t>Valor venta</t>
  </si>
  <si>
    <t>% Participacion</t>
  </si>
  <si>
    <t>DELICIAS KRUSTY</t>
  </si>
  <si>
    <t>XORVRQ2DVI</t>
  </si>
  <si>
    <t>AIRLAINS</t>
  </si>
  <si>
    <t>Tramplestore</t>
  </si>
  <si>
    <t>SJ8GT6BS5BI</t>
  </si>
  <si>
    <t>EXECUTIVE SAS</t>
  </si>
  <si>
    <t>CP10CGI5N2</t>
  </si>
  <si>
    <t>AMEX</t>
  </si>
  <si>
    <t>BIGPASS</t>
  </si>
  <si>
    <t>BIHAO COMIDA DE ORIGEN</t>
  </si>
  <si>
    <t>3EG5C4Y4JH</t>
  </si>
  <si>
    <t>CODENSA</t>
  </si>
  <si>
    <t xml:space="preserve">El Kiosco Santa Bárbara </t>
  </si>
  <si>
    <t>OJZAYC0F07</t>
  </si>
  <si>
    <t>CUSTOM_189_ESP_0.</t>
  </si>
  <si>
    <t>pendientes</t>
  </si>
  <si>
    <t>COMPENSAR</t>
  </si>
  <si>
    <t>petcol</t>
  </si>
  <si>
    <t>U7PBCXK0B4</t>
  </si>
  <si>
    <t>Custom (1,89 2,89) Sin Fee</t>
  </si>
  <si>
    <t>Firmado</t>
  </si>
  <si>
    <t>DAVIPLATA</t>
  </si>
  <si>
    <t>SANTIAGO DUQUE MUÑOZ</t>
  </si>
  <si>
    <t>Q5QOOTXAQI</t>
  </si>
  <si>
    <t xml:space="preserve">pendiente </t>
  </si>
  <si>
    <t xml:space="preserve">OFFRELE PERFUME </t>
  </si>
  <si>
    <t>V0TH082JDO</t>
  </si>
  <si>
    <t>DINNERS</t>
  </si>
  <si>
    <t>EL KIOSCO</t>
  </si>
  <si>
    <t>1ZVXQNS3P9</t>
  </si>
  <si>
    <t>MASTERCARD</t>
  </si>
  <si>
    <t>El Kiosco</t>
  </si>
  <si>
    <t>KEB28UFQ0S</t>
  </si>
  <si>
    <t>PASARELA</t>
  </si>
  <si>
    <t xml:space="preserve">Movimiento Político Fuerza Mi Patria </t>
  </si>
  <si>
    <t>RNV06OWOVD</t>
  </si>
  <si>
    <t>tir 1</t>
  </si>
  <si>
    <t>PEDRO MORENO MANRIQUE</t>
  </si>
  <si>
    <t>LS8XZDVV3U</t>
  </si>
  <si>
    <t>Custom (1,79D 1,89C)|</t>
  </si>
  <si>
    <t>Romil de Colombia</t>
  </si>
  <si>
    <t>YXYOI7DX7G</t>
  </si>
  <si>
    <t>SODEXO</t>
  </si>
  <si>
    <t>Qr 1.5%</t>
  </si>
  <si>
    <t>Kiosco Vivenza</t>
  </si>
  <si>
    <t>JGI6A0HKSW</t>
  </si>
  <si>
    <t>pendiente</t>
  </si>
  <si>
    <t>VISA</t>
  </si>
  <si>
    <t>HOPES AND DREAMS KINDERGARTEN</t>
  </si>
  <si>
    <t>WV1C99X4AX</t>
  </si>
  <si>
    <t>TIER_CUSTOM_169D_179C</t>
  </si>
  <si>
    <t>JUAN ANDRES WILCHES (Broasted Chicken Express)</t>
  </si>
  <si>
    <t>8FNT1GVW3A</t>
  </si>
  <si>
    <t>COMODATO 5 SMART PRO</t>
  </si>
  <si>
    <t>FRIDA FUSION PARQUE LLERAS</t>
  </si>
  <si>
    <t xml:space="preserve">TDC2305JOZ </t>
  </si>
  <si>
    <t xml:space="preserve">Ticket promedio </t>
  </si>
  <si>
    <t>La fogata</t>
  </si>
  <si>
    <t>H1FWPB3ZP9</t>
  </si>
  <si>
    <t>Piloto</t>
  </si>
  <si>
    <t>TPV TOTAL M PROM</t>
  </si>
  <si>
    <t>SIMONA MODA</t>
  </si>
  <si>
    <t>GY8EFUMLS5</t>
  </si>
  <si>
    <t xml:space="preserve">TIER 3 </t>
  </si>
  <si>
    <t>BURBUJAS CAN SPA (STEPHANNY NUÑEZ)</t>
  </si>
  <si>
    <t>0KJYTFRMZQ</t>
  </si>
  <si>
    <t xml:space="preserve">Ticket Total </t>
  </si>
  <si>
    <t>CARLOS SERNA (DON GIL)</t>
  </si>
  <si>
    <t>V4RF7J67E7</t>
  </si>
  <si>
    <t xml:space="preserve">QR 1.2% </t>
  </si>
  <si>
    <t>PILOTO</t>
  </si>
  <si>
    <t xml:space="preserve">VITA SALUD </t>
  </si>
  <si>
    <t>8FPZUOKPC1</t>
  </si>
  <si>
    <t>YSRMC9IOP0</t>
  </si>
  <si>
    <t>T7RQQTUSSC</t>
  </si>
  <si>
    <t>62YA1882JU</t>
  </si>
  <si>
    <t>UFVXZVG0L1</t>
  </si>
  <si>
    <t xml:space="preserve">LA FLEUR ANGGELO BERMUDEZ </t>
  </si>
  <si>
    <t>U4XIWRS5T2</t>
  </si>
  <si>
    <t>9P2HPMR919</t>
  </si>
  <si>
    <t>LEKAXDYC73</t>
  </si>
  <si>
    <t>E5V4YVQQWU</t>
  </si>
  <si>
    <t xml:space="preserve">DRA LAURA GALLEGO </t>
  </si>
  <si>
    <t>83VC5VF3A5</t>
  </si>
  <si>
    <t>1QTGLUUFQQ</t>
  </si>
  <si>
    <t>PROBIENESTAR SAS</t>
  </si>
  <si>
    <t>IF80459HP6</t>
  </si>
  <si>
    <t>TIER_CUSTOM_189D_199C_ONLINE</t>
  </si>
  <si>
    <t>Xoxial Beach Club</t>
  </si>
  <si>
    <t xml:space="preserve">W8YLXHJW6Z </t>
  </si>
  <si>
    <t>TIER_6</t>
  </si>
  <si>
    <t>DRA LAURA MONTENEGRO</t>
  </si>
  <si>
    <t>OL676RGVVL</t>
  </si>
  <si>
    <t xml:space="preserve">VITAL ATHLETIC LAB </t>
  </si>
  <si>
    <t>UPW0QAVTNC</t>
  </si>
  <si>
    <t>3NWY8DQKOB</t>
  </si>
  <si>
    <t>KTHMT2DK2B</t>
  </si>
  <si>
    <t>SAMSKARA BIENESTAR</t>
  </si>
  <si>
    <t>196Z05FUIU</t>
  </si>
  <si>
    <t xml:space="preserve">LAVANDERIA CLEANER </t>
  </si>
  <si>
    <t>EUCIBHOXJB</t>
  </si>
  <si>
    <t>A&amp;R ADVANCE SAS</t>
  </si>
  <si>
    <t>CQBSYE4IH6</t>
  </si>
  <si>
    <t>Colombia</t>
  </si>
  <si>
    <t>PAENF9FCOP</t>
  </si>
  <si>
    <t xml:space="preserve">Pagare </t>
  </si>
  <si>
    <t>XR214CTIXJ</t>
  </si>
  <si>
    <t>Grupo Drogas</t>
  </si>
  <si>
    <t>DL5FI485NM</t>
  </si>
  <si>
    <t>2,35 - 2,55 (Sin Fee)</t>
  </si>
  <si>
    <t>COMODATO 12 SMART PRO</t>
  </si>
  <si>
    <t>WOLVESMENT SAS</t>
  </si>
  <si>
    <t>11YZUVM3SR</t>
  </si>
  <si>
    <t>ELEKTRON INGENIERIA SAS</t>
  </si>
  <si>
    <t>11GOWINWQ0</t>
  </si>
  <si>
    <t>OMAR CASTRO VARELA</t>
  </si>
  <si>
    <t>RULCPSP0MP</t>
  </si>
  <si>
    <t>J.A.R CORP SAS</t>
  </si>
  <si>
    <t>5714SXTLQZ</t>
  </si>
  <si>
    <t>MARIA ANGELICA FUENTES (LAS CACERES)</t>
  </si>
  <si>
    <t>13VV9DB1MQ</t>
  </si>
  <si>
    <t>TIER_CUSTOM_179D_189C</t>
  </si>
  <si>
    <t>PILOTO (PAGARE)</t>
  </si>
  <si>
    <t xml:space="preserve">NIPONAUTOS </t>
  </si>
  <si>
    <t>ZN83JPOUUN</t>
  </si>
  <si>
    <t>DOCTOR ESCALANTE SAS</t>
  </si>
  <si>
    <t>X3DWEP3OKB</t>
  </si>
  <si>
    <t>firmado</t>
  </si>
  <si>
    <t xml:space="preserve">BOTON DE PAGOS - Luis penagos </t>
  </si>
  <si>
    <t>Tiercustom169d179c</t>
  </si>
  <si>
    <t>CDA Alamos</t>
  </si>
  <si>
    <t>OTS82Z04R4</t>
  </si>
  <si>
    <t>INVERSIOENS MULTICENTRO SAS</t>
  </si>
  <si>
    <t>6NQ89YE8TU</t>
  </si>
  <si>
    <t>TIER_CUSTOM_199_299_0</t>
  </si>
  <si>
    <t>PILOTO POR 8 DIAS</t>
  </si>
  <si>
    <t>DISLECTURA</t>
  </si>
  <si>
    <t>90J97XKBXW</t>
  </si>
  <si>
    <t>JUAN PABLO GARCIA (mundofarma)</t>
  </si>
  <si>
    <t>JU4G6BJVIS</t>
  </si>
  <si>
    <t>PUBLIMPRESOS JM SAS</t>
  </si>
  <si>
    <t>TZLKOTA1AE</t>
  </si>
  <si>
    <t>PILOTO (OCTUBRE) DESPUES DE ELLO SE DEFINE TARIFA</t>
  </si>
  <si>
    <t>SANDRA VARGAS (spa 127)</t>
  </si>
  <si>
    <t>R2N05BY7AB</t>
  </si>
  <si>
    <t>INVERSIONES MAYA FUENTES SAS</t>
  </si>
  <si>
    <t>PGTZJY5J4P</t>
  </si>
  <si>
    <t>PILOTO (OCY Y NOV) DESPUES DE ELLO CALCULAR TARIFA</t>
  </si>
  <si>
    <t>LA PLAZA BY BARBACOA MX</t>
  </si>
  <si>
    <t>ZDXLV9AMTE</t>
  </si>
  <si>
    <t xml:space="preserve">Custom </t>
  </si>
  <si>
    <t>En firma</t>
  </si>
  <si>
    <t>Bastardo rooftop</t>
  </si>
  <si>
    <t>CTFHVIDNVP</t>
  </si>
  <si>
    <t xml:space="preserve">Heladeria la 75 </t>
  </si>
  <si>
    <t>K7P25XJVMW</t>
  </si>
  <si>
    <t>1,69% + 300</t>
  </si>
  <si>
    <t>Valentina Davila Gutierrez (UMMU)</t>
  </si>
  <si>
    <t>ZM2J9QBNVI</t>
  </si>
  <si>
    <t>SkyMotion Bogotá</t>
  </si>
  <si>
    <t>KT1ET4QU9T</t>
  </si>
  <si>
    <t>Custom (1,59D 1,69C)</t>
  </si>
  <si>
    <t>SkyMotion Medellín</t>
  </si>
  <si>
    <t>V8M5L36WB4</t>
  </si>
  <si>
    <t>DREAMER</t>
  </si>
  <si>
    <t>HIS2R4ND6H</t>
  </si>
  <si>
    <t xml:space="preserve">Custom (1,90 2,99) Sin Fee </t>
  </si>
  <si>
    <t>TRO SAS</t>
  </si>
  <si>
    <t>MSXV99VUSN</t>
  </si>
  <si>
    <t>El Don Restaurantes 94</t>
  </si>
  <si>
    <t>SUJCRFJTJA</t>
  </si>
  <si>
    <t>JHAIR OCAMPO RODRIGUEZ</t>
  </si>
  <si>
    <t>KLZO48Y554</t>
  </si>
  <si>
    <t xml:space="preserve">RODRIGO CORREA </t>
  </si>
  <si>
    <t>6X57YG6RZF</t>
  </si>
  <si>
    <t>DANIELA BOHORQUEZ ANGULO</t>
  </si>
  <si>
    <t>ECIA4CLAJJ</t>
  </si>
  <si>
    <t>(1,79D 1,89C)</t>
  </si>
  <si>
    <t>CLINICA LA CAROLINA SAS</t>
  </si>
  <si>
    <t>8YMM3DE9Z2</t>
  </si>
  <si>
    <t>piloto</t>
  </si>
  <si>
    <t>CERVECERIA GIGANTE</t>
  </si>
  <si>
    <t>T1BU3UOPBQ</t>
  </si>
  <si>
    <t>Sur alpine</t>
  </si>
  <si>
    <t>VZZYM4BTZY</t>
  </si>
  <si>
    <t>Custom (1,79, 1,99) Sin Fee</t>
  </si>
  <si>
    <t>FUDNESS</t>
  </si>
  <si>
    <t>8WNLOT9FK7</t>
  </si>
  <si>
    <t>1,99%+$300</t>
  </si>
  <si>
    <t>INSTA360</t>
  </si>
  <si>
    <t>NWZY1TPIKP</t>
  </si>
  <si>
    <t>BIN COLOMBIA</t>
  </si>
  <si>
    <t>A2VJM9RERP</t>
  </si>
  <si>
    <t xml:space="preserve">TIER 1 </t>
  </si>
  <si>
    <t>LA ELITE RACING / LA ELITE SHOP</t>
  </si>
  <si>
    <t>5VKH2PKXNG</t>
  </si>
  <si>
    <t>LA CIMA ECOHOTEL</t>
  </si>
  <si>
    <t>N02G7KLNYT</t>
  </si>
  <si>
    <t>1,79 + 450</t>
  </si>
  <si>
    <t>CRECIMIENTO GASTRONOMICO SAS</t>
  </si>
  <si>
    <t>N07GQS37FI</t>
  </si>
  <si>
    <t>david.martinez@bold.co</t>
  </si>
  <si>
    <t>LA POPULAR</t>
  </si>
  <si>
    <t>44PEA1BW6Z</t>
  </si>
  <si>
    <t>Custom (1,99 2,99) Sin Fee</t>
  </si>
  <si>
    <t>PERTENECE AL GRUPO LA SANTA</t>
  </si>
  <si>
    <t xml:space="preserve">DRA MARTHA ZAPATA </t>
  </si>
  <si>
    <t>VBGMW8ZLXF</t>
  </si>
  <si>
    <t xml:space="preserve">DRA MARIA JULIANA VILLAFANE </t>
  </si>
  <si>
    <t>S55SXF1AZ6</t>
  </si>
  <si>
    <t>KENDALL SA</t>
  </si>
  <si>
    <t>0V4ARRC5YA</t>
  </si>
  <si>
    <t>Especial 1.99</t>
  </si>
  <si>
    <t>AMASA PANADERIA</t>
  </si>
  <si>
    <t>S30RO1V8BT</t>
  </si>
  <si>
    <t>Custom New (1,89D 1,99C) Online</t>
  </si>
  <si>
    <t>AMASA CAFE BRUNCH</t>
  </si>
  <si>
    <t>7YF1T0BH2P</t>
  </si>
  <si>
    <t xml:space="preserve">DR HERNAN LINARES </t>
  </si>
  <si>
    <t>07GNCHCJ2I</t>
  </si>
  <si>
    <t>VIOLETA GONZALEZ  (MAJA LEATHER)</t>
  </si>
  <si>
    <t>63L0UWEFYX</t>
  </si>
  <si>
    <r>
      <rPr>
        <rFont val="Arial"/>
        <b/>
        <color theme="1"/>
      </rPr>
      <t>Centro de abastos</t>
    </r>
    <r>
      <rPr>
        <rFont val="Arial"/>
        <color theme="1"/>
      </rPr>
      <t xml:space="preserve"> agropecuarios sas </t>
    </r>
  </si>
  <si>
    <t>85UXV3E9XQ</t>
  </si>
  <si>
    <t>1.49%</t>
  </si>
  <si>
    <t>pendiente firma</t>
  </si>
  <si>
    <t>Almacora</t>
  </si>
  <si>
    <t>EHLPF2CO1D</t>
  </si>
  <si>
    <t>1,89+$100</t>
  </si>
  <si>
    <t>Mediempresas Sas</t>
  </si>
  <si>
    <t>KFM998HAD4</t>
  </si>
  <si>
    <t>TIER_2</t>
  </si>
  <si>
    <t>Onfly Sas</t>
  </si>
  <si>
    <t>LQVMXKKLF2</t>
  </si>
  <si>
    <t xml:space="preserve">SPECIALIST DENTAL MONICA GALLEGO </t>
  </si>
  <si>
    <t>DLTMKQDWW4</t>
  </si>
  <si>
    <t xml:space="preserve">DR JUAN CAMILO VALDERRAMA </t>
  </si>
  <si>
    <t>G8IVYPH9DY</t>
  </si>
  <si>
    <t>SERVITECA RICAURTE (ENRIQUE RUIZ)</t>
  </si>
  <si>
    <t>FODNLW9RH6</t>
  </si>
  <si>
    <t>El Chuzo del Jefe</t>
  </si>
  <si>
    <t>HCOU342YJ7</t>
  </si>
  <si>
    <t>Glamour Spa Bq</t>
  </si>
  <si>
    <t>11PBFRH8I7</t>
  </si>
  <si>
    <t xml:space="preserve">DRA NATALIA BIANCHA </t>
  </si>
  <si>
    <t>B1HF0RE187</t>
  </si>
  <si>
    <t>Fruver Del Campo</t>
  </si>
  <si>
    <t>DYMAG15BTB</t>
  </si>
  <si>
    <t>1,59+200</t>
  </si>
  <si>
    <t xml:space="preserve">PENDIENTE FIRMA </t>
  </si>
  <si>
    <t xml:space="preserve">REALIZA TU BELLEZA COSMETICOS Y ACCESORIOS </t>
  </si>
  <si>
    <t>KYI7OUXO7L</t>
  </si>
  <si>
    <t>1,79 + 100</t>
  </si>
  <si>
    <t xml:space="preserve">MERCASOCIAL VERBENAL </t>
  </si>
  <si>
    <t>RB2S3P1M91</t>
  </si>
  <si>
    <t xml:space="preserve">LA PALMA EXPRESS </t>
  </si>
  <si>
    <t>YZ0S7NEFQH</t>
  </si>
  <si>
    <t>DOMINGO</t>
  </si>
  <si>
    <t>COMERCIALIZADORA MERCASOCIAL SAS</t>
  </si>
  <si>
    <t>0NGT73F49C</t>
  </si>
  <si>
    <t>LUNES</t>
  </si>
  <si>
    <t>MARTES</t>
  </si>
  <si>
    <t>MIÉRCOLES</t>
  </si>
  <si>
    <t>JUEVES</t>
  </si>
  <si>
    <t>VIERNES</t>
  </si>
  <si>
    <t>SÁBADO</t>
  </si>
  <si>
    <t>LIFECOOL</t>
  </si>
  <si>
    <t>E2PO25HTHG</t>
  </si>
  <si>
    <t>domingo</t>
  </si>
  <si>
    <t xml:space="preserve">lunes </t>
  </si>
  <si>
    <t>martes</t>
  </si>
  <si>
    <t>Minca</t>
  </si>
  <si>
    <t xml:space="preserve">PSTOBON </t>
  </si>
  <si>
    <t xml:space="preserve">DR HERNANDO GARCIA </t>
  </si>
  <si>
    <t>REBYLFC628</t>
  </si>
  <si>
    <t>CHALBER 360 SAS</t>
  </si>
  <si>
    <t>3YKFGJD7VU</t>
  </si>
  <si>
    <t>Camilo</t>
  </si>
  <si>
    <t>ITAGUI</t>
  </si>
  <si>
    <t xml:space="preserve">C RIO  - DR OSCAR ALVAREZ </t>
  </si>
  <si>
    <t>P87LVUWKEJ</t>
  </si>
  <si>
    <t xml:space="preserve">  Casas</t>
  </si>
  <si>
    <t>Villeta</t>
  </si>
  <si>
    <t>Mesa</t>
  </si>
  <si>
    <t>Madrid</t>
  </si>
  <si>
    <t>Corporaciones jhl sas</t>
  </si>
  <si>
    <t>IGY7KXNK9I</t>
  </si>
  <si>
    <t>Edén Perfume Atelier</t>
  </si>
  <si>
    <t>KAJMTHDZSQ</t>
  </si>
  <si>
    <t>veterika sas</t>
  </si>
  <si>
    <t>LKLMODISWE</t>
  </si>
  <si>
    <t>Casas</t>
  </si>
  <si>
    <t xml:space="preserve">THE JUNGLE IN THE CITY </t>
  </si>
  <si>
    <t>7FVEF1E4RX</t>
  </si>
  <si>
    <t>1.69 1,79 CUENTA BOLD</t>
  </si>
  <si>
    <t>Antioquia</t>
  </si>
  <si>
    <t>AcceNorte SAS</t>
  </si>
  <si>
    <t>082PDRU1HA</t>
  </si>
  <si>
    <t>En firmas</t>
  </si>
  <si>
    <t>JOYROOM</t>
  </si>
  <si>
    <t>UFC37FOT0M</t>
  </si>
  <si>
    <t>COOPICREDITO</t>
  </si>
  <si>
    <t>TIER 3 PROMO ABRIL</t>
  </si>
  <si>
    <t>BELAH BEAUTY</t>
  </si>
  <si>
    <t>6S915KUGYJ</t>
  </si>
  <si>
    <t>Mundial de Mercancías Sas</t>
  </si>
  <si>
    <t>SCX610BE0J</t>
  </si>
  <si>
    <t>Distrito Cafetero</t>
  </si>
  <si>
    <t>61MCDS1R29</t>
  </si>
  <si>
    <t>Big Center</t>
  </si>
  <si>
    <t>H59G7DNR2H</t>
  </si>
  <si>
    <t>Artiq</t>
  </si>
  <si>
    <t>IRRNTIHZMO</t>
  </si>
  <si>
    <t xml:space="preserve">GVS COLOMBIA S.A.S </t>
  </si>
  <si>
    <t>DXB74LTUKS</t>
  </si>
  <si>
    <t>DON TELMO SAS</t>
  </si>
  <si>
    <t>TIER_CUSTOM_189_289_0</t>
  </si>
  <si>
    <t>Firmado por parte del cliente</t>
  </si>
  <si>
    <r>
      <t xml:space="preserve">            </t>
    </r>
    <r>
      <rPr>
        <rFont val="Arial"/>
        <b/>
        <color rgb="FFFFFFFF"/>
      </rPr>
      <t xml:space="preserve">CORREO </t>
    </r>
  </si>
  <si>
    <t xml:space="preserve">N8M11DIJBM </t>
  </si>
  <si>
    <t>Itagui</t>
  </si>
  <si>
    <r>
      <rPr>
        <rFont val="Arial"/>
        <color theme="1"/>
      </rPr>
      <t xml:space="preserve">            </t>
    </r>
    <r>
      <rPr>
        <rFont val="Arial"/>
        <b/>
        <color rgb="FFFFFFFF"/>
      </rPr>
      <t xml:space="preserve">CORREO </t>
    </r>
  </si>
  <si>
    <t>INVERSIONES MURALLA SAS</t>
  </si>
  <si>
    <t xml:space="preserve">Acomp. Ruta postobon </t>
  </si>
  <si>
    <t>Rio negro</t>
  </si>
  <si>
    <t>Malambo</t>
  </si>
  <si>
    <r>
      <t xml:space="preserve">                       </t>
    </r>
    <r>
      <rPr>
        <rFont val="Arial"/>
        <b/>
        <color rgb="FFFFFFFF"/>
      </rPr>
      <t xml:space="preserve">CORREO </t>
    </r>
  </si>
  <si>
    <t>INGATUU</t>
  </si>
  <si>
    <t>CA680FDX9X</t>
  </si>
  <si>
    <t xml:space="preserve">siberia </t>
  </si>
  <si>
    <t>sevillana</t>
  </si>
  <si>
    <t>COMPU-CELL ACCESORIOS Y SERVICIOS</t>
  </si>
  <si>
    <t>B3CGWZEWBN</t>
  </si>
  <si>
    <t>BRISKET CASA DE ASADOS</t>
  </si>
  <si>
    <t>VIXHJJEMZ7</t>
  </si>
  <si>
    <t>ESPECIAL_199</t>
  </si>
  <si>
    <t>EJ2NY7GONS</t>
  </si>
  <si>
    <t>VJDN3PEQ0Y</t>
  </si>
  <si>
    <t>5MVZKZU5UF</t>
  </si>
  <si>
    <t>Y6N2N1TSYL</t>
  </si>
  <si>
    <t>EL POTRERO (LUIS ALBERTO BENAVIDES)</t>
  </si>
  <si>
    <t>J5M9NKV32G</t>
  </si>
  <si>
    <t>2.09 MID MARKET ENTERPRISE (CUS)</t>
  </si>
  <si>
    <t>PARRILLA OCHENTERA EVENTOS</t>
  </si>
  <si>
    <t>262S28BEHK</t>
  </si>
  <si>
    <t>ANDIVISIÓN SAS</t>
  </si>
  <si>
    <t>ROZXO501XY</t>
  </si>
  <si>
    <t>TIER 2 (Otros bancos)</t>
  </si>
  <si>
    <t>RICARDO ANDRES PERALTA (COCHEROS UNILAGO)</t>
  </si>
  <si>
    <t>1GTRDXRHI2</t>
  </si>
  <si>
    <t>La Dorada</t>
  </si>
  <si>
    <t>Mariquita</t>
  </si>
  <si>
    <t xml:space="preserve">KARAOKE NOA NOA </t>
  </si>
  <si>
    <t>5OXC3XBO5N</t>
  </si>
  <si>
    <t>Villavicencio</t>
  </si>
  <si>
    <t>SEBASTIAN LOPEZ CASTAÑEDA (SMILE WELL)</t>
  </si>
  <si>
    <t>R5XV9OBP2E</t>
  </si>
  <si>
    <t>Zipaquira</t>
  </si>
  <si>
    <t>Fusagasuga</t>
  </si>
  <si>
    <t>Caqueza</t>
  </si>
  <si>
    <t>Ricaute</t>
  </si>
  <si>
    <t>Ibague</t>
  </si>
  <si>
    <t>Licores medellin</t>
  </si>
  <si>
    <t>Y4NUR5PZZ9</t>
  </si>
  <si>
    <t>Granada</t>
  </si>
  <si>
    <t xml:space="preserve">Restaurante la CIma </t>
  </si>
  <si>
    <t>N5Z0P5IQER</t>
  </si>
  <si>
    <t xml:space="preserve">DRA GAIL CLAVIJO </t>
  </si>
  <si>
    <t>F4X2N844RR</t>
  </si>
  <si>
    <t>Medellin</t>
  </si>
  <si>
    <t>Sabaneta</t>
  </si>
  <si>
    <t>IPHONE SHOP BOGOTA</t>
  </si>
  <si>
    <t>M81R4U9V3O</t>
  </si>
  <si>
    <t xml:space="preserve"> Tier: TIER_6</t>
  </si>
  <si>
    <t>CHEERS PIZZERIA (LA RECAUDADORA SAS)</t>
  </si>
  <si>
    <t>GT87Q3S089</t>
  </si>
  <si>
    <t>TIER 1.69 SIN FEE CUENTA BOLD</t>
  </si>
  <si>
    <t>PILOTO DIC</t>
  </si>
  <si>
    <t>MASTER SUSHI (CAROLA CACEROLA)</t>
  </si>
  <si>
    <t>ZJB0QY1TJP</t>
  </si>
  <si>
    <t xml:space="preserve">Juank </t>
  </si>
  <si>
    <t xml:space="preserve">OLIVA SAS </t>
  </si>
  <si>
    <t>90TV5D0IRF</t>
  </si>
  <si>
    <t>Bogota</t>
  </si>
  <si>
    <t xml:space="preserve">TIER 1.79+300 CUENTA BOLD </t>
  </si>
  <si>
    <t xml:space="preserve">ALEX LOZANO </t>
  </si>
  <si>
    <t>TO56GMUSGQ</t>
  </si>
  <si>
    <t>Capacitaciones Na</t>
  </si>
  <si>
    <t>HMC CENTROLAB</t>
  </si>
  <si>
    <t>ZQ1V82QHGK</t>
  </si>
  <si>
    <t>Barranquilla</t>
  </si>
  <si>
    <t>Custom (1,89D 1,99C)+ $300</t>
  </si>
  <si>
    <t>CENTROLAB SAS</t>
  </si>
  <si>
    <t>MPED10T5NP</t>
  </si>
  <si>
    <t xml:space="preserve">JUANK VENTURA </t>
  </si>
  <si>
    <t>RY5LWOQ7MX</t>
  </si>
  <si>
    <t xml:space="preserve">1,69 + 100 Pesos </t>
  </si>
  <si>
    <t xml:space="preserve">PILOTO DIC </t>
  </si>
  <si>
    <t xml:space="preserve">JUANK CAOBOS </t>
  </si>
  <si>
    <t>IEX7KI2FG5</t>
  </si>
  <si>
    <t>Santa Marta</t>
  </si>
  <si>
    <t>Aracataca</t>
  </si>
  <si>
    <t>RUTH MARINA GOMEZ (DON FRIJOLES)</t>
  </si>
  <si>
    <t>XV8DY11RFI</t>
  </si>
  <si>
    <t>Bosconia</t>
  </si>
  <si>
    <t xml:space="preserve">1.69+300 CUENTA BOLD </t>
  </si>
  <si>
    <t xml:space="preserve">PROYECTOS ORGANIZACIONALES </t>
  </si>
  <si>
    <t>Fonseca</t>
  </si>
  <si>
    <t>TOKXAUSOWY</t>
  </si>
  <si>
    <t>Maicao</t>
  </si>
  <si>
    <t>Riohacha</t>
  </si>
  <si>
    <t xml:space="preserve">DRA JULIANA ASTUDILLO </t>
  </si>
  <si>
    <t>98OCV2C88Y</t>
  </si>
  <si>
    <t>Saldaña</t>
  </si>
  <si>
    <t>Neiva</t>
  </si>
  <si>
    <t xml:space="preserve">Garzon </t>
  </si>
  <si>
    <t>HOTEL SANTELMO CALI</t>
  </si>
  <si>
    <t>QAZSR9K337</t>
  </si>
  <si>
    <t>Florencia</t>
  </si>
  <si>
    <t>RAVAL ROOFTOP</t>
  </si>
  <si>
    <t>H7NKU2BEFN</t>
  </si>
  <si>
    <t>INTELVIR SAS</t>
  </si>
  <si>
    <t>528HHQPHT6</t>
  </si>
  <si>
    <t>ESPECIAL_199 (Cuenta Bold</t>
  </si>
  <si>
    <t>,</t>
  </si>
  <si>
    <t>INTELVIR LA 33 MEDELLÍN</t>
  </si>
  <si>
    <t>41KVZBW31U</t>
  </si>
  <si>
    <t>INTELVIR PLAZAS VERDES</t>
  </si>
  <si>
    <t>OOY1OLJ0KP</t>
  </si>
  <si>
    <t>INTELVIR CHIPICHAPE CALI</t>
  </si>
  <si>
    <t>OXY5DK9QNJ</t>
  </si>
  <si>
    <t>MASG SAS</t>
  </si>
  <si>
    <t>4JCBKIIMNP</t>
  </si>
  <si>
    <t>Tier: CUSTOM_189_ESP_0.</t>
  </si>
  <si>
    <t xml:space="preserve">ARCAICOS ESTD 2018 </t>
  </si>
  <si>
    <t>Y0FYYVCHZ8</t>
  </si>
  <si>
    <t xml:space="preserve">PROPUESTA Clientes contrato de suministro </t>
  </si>
  <si>
    <t>Negocio de Maria Renata</t>
  </si>
  <si>
    <t>PAFIH4ZNF3</t>
  </si>
  <si>
    <t>Cali</t>
  </si>
  <si>
    <t>Bucaramanga</t>
  </si>
  <si>
    <t>Cucuta</t>
  </si>
  <si>
    <t>WIKI</t>
  </si>
  <si>
    <t>4G7VI55ANW</t>
  </si>
  <si>
    <t>(Custom (1,79D 1,89C))  CUENTA BOLD</t>
  </si>
  <si>
    <t>UrbanRock</t>
  </si>
  <si>
    <t>NHQEBTPL15</t>
  </si>
  <si>
    <t>Chalber 360 SAS (vecinos Market)</t>
  </si>
  <si>
    <t>1Y02YXHIBZ</t>
  </si>
  <si>
    <t xml:space="preserve">  Custom New (2,09D 2,19C) Sin Fee</t>
  </si>
  <si>
    <t>Negocio de juguetes Buffalo E Innovación Sas</t>
  </si>
  <si>
    <t>5SY8CJIY6Y</t>
  </si>
  <si>
    <t>Ocaña</t>
  </si>
  <si>
    <t>THE BODY SHOP (Bogotá)</t>
  </si>
  <si>
    <t>Aguachica</t>
  </si>
  <si>
    <t>El Banco</t>
  </si>
  <si>
    <t>Magangue</t>
  </si>
  <si>
    <t>Sincelejo</t>
  </si>
  <si>
    <t>desplazamiento</t>
  </si>
  <si>
    <t>1,50% (iva incluido)</t>
  </si>
  <si>
    <t>Puertoberrio</t>
  </si>
  <si>
    <t>Barrancabermeja</t>
  </si>
  <si>
    <t>Pinchote</t>
  </si>
  <si>
    <t>THE BODY SHOP (Villavicencio)</t>
  </si>
  <si>
    <t>retorno</t>
  </si>
  <si>
    <t>Pasto</t>
  </si>
  <si>
    <t>Ipiales</t>
  </si>
  <si>
    <t>Tumaco</t>
  </si>
  <si>
    <t>AGUA SIEMBRA</t>
  </si>
  <si>
    <t>Chiquinquira</t>
  </si>
  <si>
    <t>NHJFNUL6XW</t>
  </si>
  <si>
    <t>Barbosa</t>
  </si>
  <si>
    <t xml:space="preserve">CAULE </t>
  </si>
  <si>
    <t>QJEQ2ESHIN</t>
  </si>
  <si>
    <t>Classic Chía</t>
  </si>
  <si>
    <t>4LOVNJKW4J</t>
  </si>
  <si>
    <t>tier 3</t>
  </si>
  <si>
    <t>Classic</t>
  </si>
  <si>
    <t>P8EN863PED</t>
  </si>
  <si>
    <t>Comercializadora csf sas (Grupo Empresarial Guia Cereza)</t>
  </si>
  <si>
    <t>Z7UATHPIYK</t>
  </si>
  <si>
    <t>Custom (1,59D 1,69C)+$300</t>
  </si>
  <si>
    <t>Guia Cereza (Grupo Empresarial Guia Cereza)</t>
  </si>
  <si>
    <t>QYXT2ZSX7F</t>
  </si>
  <si>
    <t>Cereza Media (Grupo Empresarial Guia Cereza)</t>
  </si>
  <si>
    <t>7L431N50AP</t>
  </si>
  <si>
    <t>La celosa cantina</t>
  </si>
  <si>
    <t>TIVLBZXYXT</t>
  </si>
  <si>
    <t xml:space="preserve">pendiente firma </t>
  </si>
  <si>
    <t>Ucayali SAS</t>
  </si>
  <si>
    <t>T4SK9FQB1U</t>
  </si>
  <si>
    <r>
      <rPr>
        <rFont val="Arial"/>
        <b/>
        <color theme="1"/>
      </rPr>
      <t>Centro de abastos</t>
    </r>
    <r>
      <rPr>
        <rFont val="Arial"/>
        <color theme="1"/>
      </rPr>
      <t xml:space="preserve"> agropecuarios sas </t>
    </r>
  </si>
  <si>
    <t xml:space="preserve">Pincar Sta SAS </t>
  </si>
  <si>
    <t>FVIW7MZRDS</t>
  </si>
  <si>
    <t>Tier: TIER_6</t>
  </si>
  <si>
    <t xml:space="preserve">TOWS GALLERY </t>
  </si>
  <si>
    <t>OBYX1IJOFU</t>
  </si>
  <si>
    <t>TIER 3 CUENTA BOLD</t>
  </si>
  <si>
    <t>Tier: TIER_CUSTOM_185.</t>
  </si>
  <si>
    <t>BIOTICKETS SAS</t>
  </si>
  <si>
    <t>OMW0ZBLIKS</t>
  </si>
  <si>
    <t xml:space="preserve">Custom 1.69 1.79 </t>
  </si>
  <si>
    <t xml:space="preserve">JUAN LADINO ACERO (EL CANTINAZO) </t>
  </si>
  <si>
    <t>TRFFUSAKKM</t>
  </si>
  <si>
    <t>Custom New (1,89D 1,99C)</t>
  </si>
  <si>
    <t>Angie Tatiana Pardo Martinez</t>
  </si>
  <si>
    <t>Q5W9JNH16E</t>
  </si>
  <si>
    <t>Nicolas Martinez SABAI ACAI</t>
  </si>
  <si>
    <t>FVAG3UOMNR</t>
  </si>
  <si>
    <t>AR Factory</t>
  </si>
  <si>
    <t>7BVZBXN09Y</t>
  </si>
  <si>
    <t>COOPICRÉDITO</t>
  </si>
  <si>
    <t>Caucasia</t>
  </si>
  <si>
    <t>Monteria</t>
  </si>
  <si>
    <t>TIER_CUSTOM_235_255_0 (Otros Bancos D+1)</t>
  </si>
  <si>
    <t>Stf Antioquia</t>
  </si>
  <si>
    <t>Chigorodo</t>
  </si>
  <si>
    <t>COOPICRÉDITO - DROGUERIA Y PERFUMERIA ARLEY</t>
  </si>
  <si>
    <t>Tunja</t>
  </si>
  <si>
    <t>Duitama</t>
  </si>
  <si>
    <t>Yopal</t>
  </si>
  <si>
    <t>COOPICRÉDITO - FARMA DIANA DROGUERÍA</t>
  </si>
  <si>
    <t>IU8DZOUOF3</t>
  </si>
  <si>
    <t>1,59D 1,69C) Online</t>
  </si>
  <si>
    <t>V20PGF8M0Q</t>
  </si>
  <si>
    <t>Custom (1,49, 1,59) Sin Fee</t>
  </si>
  <si>
    <t>3SQNBLP4ZN</t>
  </si>
  <si>
    <t>1.89 CON TARIFA INTERNACIONAL (CUS)</t>
  </si>
  <si>
    <t>Piloto unicamente QR PRO</t>
  </si>
  <si>
    <t>357UG2FGC4</t>
  </si>
  <si>
    <t>18PWNELARR</t>
  </si>
  <si>
    <t>S</t>
  </si>
  <si>
    <t>0HBIQ98NSJ</t>
  </si>
  <si>
    <t>P6H3L536A4</t>
  </si>
  <si>
    <t>1.8%</t>
  </si>
  <si>
    <t>B2QWLHXHFP</t>
  </si>
  <si>
    <t>YJ3CBFXC3L</t>
  </si>
  <si>
    <t>Tier_5_100K</t>
  </si>
  <si>
    <t>Funza</t>
  </si>
  <si>
    <t>UCUDV76JWM</t>
  </si>
  <si>
    <t>IORS8SL4BF</t>
  </si>
  <si>
    <t>Únicamente utilizará link de pagos</t>
  </si>
  <si>
    <t>N96PAGVDTN</t>
  </si>
  <si>
    <t>Únicamente utilizará link de pagos y Pasarela de pagos</t>
  </si>
  <si>
    <t>YTUPLKW0MR</t>
  </si>
  <si>
    <t xml:space="preserve">Bonos </t>
  </si>
  <si>
    <t>Custom New (1,89D 1,99C) + $300</t>
  </si>
  <si>
    <t>Piloto 1 mes</t>
  </si>
  <si>
    <t>SAB</t>
  </si>
  <si>
    <t>TTB PERSONALIZADA</t>
  </si>
  <si>
    <t>San Andres</t>
  </si>
  <si>
    <t>MED</t>
  </si>
  <si>
    <t>Bog recap planta.</t>
  </si>
  <si>
    <t>Pruebas integracion</t>
  </si>
  <si>
    <t>OTQRWPMPDG</t>
  </si>
  <si>
    <t>COOPICRÉDITO - DROGUERIA CRUZ AZUL CHICO NAVARRA</t>
  </si>
  <si>
    <t>COOPICRÉDITO - SFARMA DROGUERIAS</t>
  </si>
  <si>
    <t>COOPICRÉDITO - FARMACIAS PREMIUM</t>
  </si>
  <si>
    <t>COOPICRÉDITO - FARMAPRECIOS 7 BOGOTA</t>
  </si>
  <si>
    <t xml:space="preserve">GL9K47JWUP    </t>
  </si>
  <si>
    <t>184YC0SQY7</t>
  </si>
  <si>
    <t>COOPICRÉDITO - DROGUERIA BRISAS DEL LLANO</t>
  </si>
  <si>
    <t>COOPICRÉDITO - DROGUERIAS ALFA TOCANCIPA</t>
  </si>
  <si>
    <t>COOPICRÉDITO - DROGUERÍA PAN DE VIDA</t>
  </si>
  <si>
    <t>6D0LT40ZFY</t>
  </si>
  <si>
    <t>ESPECIAL 1,99</t>
  </si>
  <si>
    <t>K5VVO0MRHK</t>
  </si>
  <si>
    <t>9XXFG0I6J5</t>
  </si>
  <si>
    <t>FAU23KUYJ3</t>
  </si>
  <si>
    <t>UBGI6N3TSP</t>
  </si>
  <si>
    <t>HI5EWYFEPF</t>
  </si>
  <si>
    <t>POLLO ANDINO Bogota</t>
  </si>
  <si>
    <t>TMQD2WP962</t>
  </si>
  <si>
    <t>[11:35]</t>
  </si>
  <si>
    <t>Especial</t>
  </si>
  <si>
    <t>ZIPA</t>
  </si>
  <si>
    <t>IBAGUE</t>
  </si>
  <si>
    <t>Piloto 15 días</t>
  </si>
  <si>
    <t>GL9K47JWUP</t>
  </si>
  <si>
    <t>6VM4KMXPWE</t>
  </si>
  <si>
    <t>COOPICRÉDITO - DROGUERIA SUPERTIENDA LA EMBAJADA</t>
  </si>
  <si>
    <t>COOPICRÉDITO - FARMALKOSTO BOSQUES</t>
  </si>
  <si>
    <t>MIERCOLES</t>
  </si>
  <si>
    <t>COOPICRÉDITO - DROGUERIA AVENIDA 54</t>
  </si>
  <si>
    <t>COOPICRÉDITO - ELDORADO SUCURSAL 4 COLINA</t>
  </si>
  <si>
    <t>6TQBZ5GGED</t>
  </si>
  <si>
    <t>TIER_CUSTOM_179</t>
  </si>
  <si>
    <t>Ref JuanCa</t>
  </si>
  <si>
    <t>QPIJ3X5KML</t>
  </si>
  <si>
    <t>TIER_CUSTOM_189_289_</t>
  </si>
  <si>
    <t>Cliente solo para comisiones</t>
  </si>
  <si>
    <t>OTRA IMPLE/APOYO</t>
  </si>
  <si>
    <t>PENGUIN</t>
  </si>
  <si>
    <t>SABADO</t>
  </si>
  <si>
    <t>BALJN7UVGZ</t>
  </si>
  <si>
    <t>COOPICRÉDITO - DROGUERIA PROMEDIC C.H.</t>
  </si>
  <si>
    <t xml:space="preserve">Especial </t>
  </si>
  <si>
    <t>KHMKJJ98KM</t>
  </si>
  <si>
    <t>0JZIQD3YRK</t>
  </si>
  <si>
    <t>COOPICRÉDITO - FARMAGOMEZR1 (PRINCIPAL)</t>
  </si>
  <si>
    <t>COOPICRÉDITO - FARMAGOMEZR2 (MOSQUERA)</t>
  </si>
  <si>
    <t>COOPICRÉDITO - FARMAGOMEZR4 (BOLIVIA)</t>
  </si>
  <si>
    <t>COOPICRÉDITO - SUPERTIENDA DROGUERÍA MERCASALUD</t>
  </si>
  <si>
    <t>COOPICRÉDITO - DROGUERIA AV LA ESPERANZA</t>
  </si>
  <si>
    <t>COOPICRÉDITO - SUPERTIENDA Y DROGUERÍA MERCASALUD EXPRESS</t>
  </si>
  <si>
    <t xml:space="preserve">COOPICRÉDITO - DROGUERIA MINIMARKET WIN </t>
  </si>
  <si>
    <t>COOPICRÉDITO - DROGUERÍA SAN RAFAEL DJ 2</t>
  </si>
  <si>
    <t>COOPICRÉDITO - DROGUERIA SAN RAFAEL DJ</t>
  </si>
  <si>
    <t>DZ8H5FJGX2</t>
  </si>
  <si>
    <t>A2XLVF5GL5</t>
  </si>
  <si>
    <t>COOPICRÉDITO - PHARMA BOGOTA 2</t>
  </si>
  <si>
    <t>COOPICRÉDITO - PHARMA BOGOTA 4</t>
  </si>
  <si>
    <t>COOPICRÉDITO - PHARMA BOGOTA</t>
  </si>
  <si>
    <t>“</t>
  </si>
  <si>
    <t>COOPICRÉDITO - DROGUERIA BELÉN DE UMBRÍA</t>
  </si>
  <si>
    <t xml:space="preserve">Me a pagar </t>
  </si>
  <si>
    <t>octubre</t>
  </si>
  <si>
    <t>noviembre</t>
  </si>
  <si>
    <t>diciembre</t>
  </si>
  <si>
    <t>enero</t>
  </si>
  <si>
    <t>febrero</t>
  </si>
  <si>
    <t>COOPICRÉDITO - DROGUERIA SOCIAL BOGOTA</t>
  </si>
  <si>
    <t>marzo</t>
  </si>
  <si>
    <t>abril</t>
  </si>
  <si>
    <t>mayo</t>
  </si>
  <si>
    <t>julio</t>
  </si>
  <si>
    <t xml:space="preserve">TPV </t>
  </si>
  <si>
    <t xml:space="preserve">junio </t>
  </si>
  <si>
    <t>mes de cliente</t>
  </si>
  <si>
    <t>m0</t>
  </si>
  <si>
    <t>m1</t>
  </si>
  <si>
    <t xml:space="preserve">mayo </t>
  </si>
  <si>
    <t>m2</t>
  </si>
  <si>
    <t>COOPICRÉDITO - DROGUERIA SOCIAL BOGOTA 3</t>
  </si>
  <si>
    <t>m3</t>
  </si>
  <si>
    <t xml:space="preserve">marzo </t>
  </si>
  <si>
    <t>m4</t>
  </si>
  <si>
    <t xml:space="preserve">febrero </t>
  </si>
  <si>
    <t>m5</t>
  </si>
  <si>
    <t xml:space="preserve">enero </t>
  </si>
  <si>
    <t>COOPICRÉDITO - DROGUERIA SOCIAL BOGOTA 2</t>
  </si>
  <si>
    <t>R y M</t>
  </si>
  <si>
    <t>COOPICRÉDITO - DROGUERIA GIRALDO</t>
  </si>
  <si>
    <t>COOPICRÉDITO - DROGUERIA JYS LA ESMERALDA</t>
  </si>
  <si>
    <t>Abril</t>
  </si>
  <si>
    <t>Mayo</t>
  </si>
  <si>
    <t>COOPICRÉDITO - DROGUERIA ECOAMERICA</t>
  </si>
  <si>
    <t>Agosto</t>
  </si>
  <si>
    <t>COOPICRÉDITO - DROGUERIA CENTRAL DE LA 49</t>
  </si>
  <si>
    <t>COOPICRÉDITO - DROGUERIAS PREMIUM ALMIRANTE</t>
  </si>
  <si>
    <t>TOTAL META TPV</t>
  </si>
  <si>
    <t>COOPICRÉDITO - DROGUERIAS PREMIUM UNICENTRO</t>
  </si>
  <si>
    <t>COOPICRÉDITO - DROGUERIAS PREMIUM PRIMAVERA</t>
  </si>
  <si>
    <t>META NTR VARIACIÓN CURVA</t>
  </si>
  <si>
    <t>M0 = 100M</t>
  </si>
  <si>
    <t>TIER_CUSTOM_209D_219C_0</t>
  </si>
  <si>
    <t xml:space="preserve">SI PILOTO / QR AGREGADOR </t>
  </si>
  <si>
    <t>COOPICRÉDITO - DROGUERIA FARMAMEDHY</t>
  </si>
  <si>
    <t>COOPICRÉDITO - ELDORADO SUCURSAL 1 PUENTE LARGO</t>
  </si>
  <si>
    <t xml:space="preserve">NTR Objetivo Promedio </t>
  </si>
  <si>
    <t>COOPICRÉDITO - ELDORADO SUCURSAL 6 LAS VILLAS</t>
  </si>
  <si>
    <t>Red y Mar Unicentro</t>
  </si>
  <si>
    <t>COOPICRÉDITO - ELDORADO SUCURSAL 5 ENTRE RÍOS</t>
  </si>
  <si>
    <t xml:space="preserve">META IMPLEMENTADORES </t>
  </si>
  <si>
    <t xml:space="preserve">COLNATA </t>
  </si>
  <si>
    <t>Adicional implementan META</t>
  </si>
  <si>
    <t>COOPICRÉDITO - DROGUERÍA LAS PALMAS JJ 2.0</t>
  </si>
  <si>
    <t>META CUALITATIVA 40% DE LA META:</t>
  </si>
  <si>
    <t>iMPLEMENTACION  Malambo al 100%</t>
  </si>
  <si>
    <t>iMPLEMENTACION  MERCOLANTA SEDE</t>
  </si>
  <si>
    <t>IMPLEMENTACIONES AGOSTO OK 100%</t>
  </si>
  <si>
    <t xml:space="preserve">META CUANTITATIVA 60% DE LA META: </t>
  </si>
  <si>
    <t xml:space="preserve">m0 </t>
  </si>
  <si>
    <t>COOPICRÉDITO - DROGUERÍA ECOHUMANA J.R</t>
  </si>
  <si>
    <t>COSTO QR $60</t>
  </si>
  <si>
    <t>CRISTIAN</t>
  </si>
  <si>
    <t>NTR PARA LIQUIDAR AGOSTO</t>
  </si>
  <si>
    <t>COLANTA %1 QR</t>
  </si>
  <si>
    <t>COOPICRÉDITO - DROGUERÍA ECOHUMANA</t>
  </si>
  <si>
    <t>JULIO .98% NTR</t>
  </si>
  <si>
    <t>AGOSTO NR META</t>
  </si>
  <si>
    <t>TPV</t>
  </si>
  <si>
    <t>NR</t>
  </si>
  <si>
    <t>COOPICRÉDITO - DROGUERÍA ECOHUMANA R.C</t>
  </si>
  <si>
    <t>POSTOBON 600 FEE</t>
  </si>
  <si>
    <t>COOPICRÉDITO - DROGUERÍA MARANTA</t>
  </si>
  <si>
    <t>JULIO .16% NTR</t>
  </si>
  <si>
    <t>COOPICRÉDITO - DROGUERÍA CAPINORTE 1</t>
  </si>
  <si>
    <t>SULICOR 700 FEE</t>
  </si>
  <si>
    <t>JULIO .26% NTR</t>
  </si>
  <si>
    <t>COOPICRÉDITO - DROGUERÍA CAPINORTE 2</t>
  </si>
  <si>
    <t>TTB Personalizada</t>
  </si>
  <si>
    <t>JULIO 2,33% NTR</t>
  </si>
  <si>
    <t xml:space="preserve">CAMILO </t>
  </si>
  <si>
    <t>Cliente únicamente utilizará botón de pagos</t>
  </si>
  <si>
    <t xml:space="preserve">Gratin Burger </t>
  </si>
  <si>
    <t>Tarjeta de crédito por $20M</t>
  </si>
  <si>
    <t>4551U8VX6I</t>
  </si>
  <si>
    <t>1,5% QR BOLD</t>
  </si>
  <si>
    <t>COOPICRÉDITO - DROGUERIAS PREMIER DE COLOMBIA</t>
  </si>
  <si>
    <t xml:space="preserve">MASIVOS PARA LIQUIDAR </t>
  </si>
  <si>
    <t>COOPICRÉDITO - DROGUERIAS PREMIER DE COLOMBIA # 2</t>
  </si>
  <si>
    <t>COOPICRÉDITO - DROGUERIA LA PROMESA LA</t>
  </si>
  <si>
    <t>XIE3ZA3Y14</t>
  </si>
  <si>
    <t>COOPICRÉDITO - DROGUERIA LA PROMESA LA #2</t>
  </si>
  <si>
    <t>Sulicor sas</t>
  </si>
  <si>
    <t>COOPICRÉDITO - DROGUERÍA ABUFAMA</t>
  </si>
  <si>
    <t>28GWMOLAAV</t>
  </si>
  <si>
    <t>COOPICRÉDITO - DROGUERÍA ABUFAMA 2</t>
  </si>
  <si>
    <t>COOPICRÉDITO - DROGUERÍA ABUFAMA 3</t>
  </si>
  <si>
    <t>COOPICRÉDITO - DROGUERIA FARMAZUR PLU</t>
  </si>
  <si>
    <t>COOPICRÉDITO - DROGUERIA EL GALEANO DE FLORIDA</t>
  </si>
  <si>
    <t>COOPICRÉDITO - DROGUERIA FARMAMEDIC BOSA #2</t>
  </si>
  <si>
    <t xml:space="preserve">Duro color 7 de agosto </t>
  </si>
  <si>
    <t>COOPICRÉDITO - DROGUERIA FARMAMEDIC BOSA #5</t>
  </si>
  <si>
    <t>COOPICRÉDITO - FARMAMEDIC BOSA</t>
  </si>
  <si>
    <t>COOPICRÉDITO - DROGUERIA FARMAMEDIC BOSA #4</t>
  </si>
  <si>
    <t>Petcol</t>
  </si>
  <si>
    <t>COOPICRÉDITO - DROGUERIA FARMAMEDIC BOSA #3</t>
  </si>
  <si>
    <t>COOPICRÉDITO - MI SALUD DEL VALLE</t>
  </si>
  <si>
    <t>MIS CARNES PARRILLA</t>
  </si>
  <si>
    <t>COOPICRÉDITO - DROGUERIA PROSALUD CABECERA</t>
  </si>
  <si>
    <t>COOPICRÉDITO - FARMAPRECIOS 1 BOGOTA</t>
  </si>
  <si>
    <t>COOPICRÉDITO - FARMAPRECIOS 6 VILLAPINZON</t>
  </si>
  <si>
    <t>COOPICRÉDITO - FARMAPRECIOS 3 VILLAPINZON</t>
  </si>
  <si>
    <t>COOPICRÉDITO - FARMAPRECIOS 2 CHOCONTA</t>
  </si>
  <si>
    <t>COOPICRÉDITO - FARMAPRECIOS 5 BOGOTA</t>
  </si>
  <si>
    <t>COOPICRÉDITO - FARMAPRECIOS 8 CAJICA</t>
  </si>
  <si>
    <t>COOPICRÉDITO - FARMAPRECIOS 4 VILLAPINZON</t>
  </si>
  <si>
    <t>COOPICRÉDITO - DROGUERÍA VERSALLES CENTRO</t>
  </si>
  <si>
    <t>COOPICRÉDITO - DROGUERIA CAFIOCCIDENTE</t>
  </si>
  <si>
    <t>COOPICRÉDITO - DROGUERIA ÚNICA</t>
  </si>
  <si>
    <t>COOPICRÉDITO - DROGUERIA AMIGA</t>
  </si>
  <si>
    <t>COOPICRÉDITO - DROGUERÍA PHARMA EXITO DOS</t>
  </si>
  <si>
    <t xml:space="preserve">COOPICRÉDITO - FARMACENTER GAITÁN </t>
  </si>
  <si>
    <t>COOPICRÉDITO - DROGUERÍA TEJARES</t>
  </si>
  <si>
    <t>COOPICRÉDITO - DROGUERÍA EMI</t>
  </si>
  <si>
    <t>1QI7WEHDJF</t>
  </si>
  <si>
    <t xml:space="preserve">Penguin Random House </t>
  </si>
  <si>
    <t>COOPICRÉDITO - DROGUERÍA ALMIRANTE COLÓN</t>
  </si>
  <si>
    <t>COOPICRÉDITO - ASFARMA 2</t>
  </si>
  <si>
    <t>COOPICRÉDITO - DROGUERÍA OCCIDENTAL DEL QUINDIO</t>
  </si>
  <si>
    <t>COOPICRÉDITO - FARMACENTER ROSITA</t>
  </si>
  <si>
    <t>COOPICRÉDITO - FARMACENTER DROGUERÍA LA COLOMBIANA</t>
  </si>
  <si>
    <t>COOPICRÉDITO - DROGUERIA TITTO.DRUG.STORE</t>
  </si>
  <si>
    <t>COOPICRÉDITO - DROGUERÍA ESTERO</t>
  </si>
  <si>
    <t>COOPICRÉDITO - FARMACENTER GALAN</t>
  </si>
  <si>
    <t>COOPICRÉDITO - FARMACENTER HECAM</t>
  </si>
  <si>
    <t>COOPICRÉDITO - FARMACENTER HECAR</t>
  </si>
  <si>
    <t>COOPICRÉDITO - FARMA UNIÓN DE LA 21</t>
  </si>
  <si>
    <t>COOPICRÉDITO - DROGUERÍA SALUD SOCIAL</t>
  </si>
  <si>
    <t>COOPICRÉDITO - DROG PUERTAS DEL SOL JD</t>
  </si>
  <si>
    <t>COOPICRÉDITO - SALUD SOCIAL JK</t>
  </si>
  <si>
    <t>Carnes La Suiza</t>
  </si>
  <si>
    <t>COOPICRÉDITO - NEGOCIO DE ISABEL CRISTINA</t>
  </si>
  <si>
    <t>COOPICRÉDITO - DROGUERÍA LA CASCADA 2 LA ESPERANZA</t>
  </si>
  <si>
    <t>COOPICRÉDITO - NEGOCIO DE SANDRA ROCIO</t>
  </si>
  <si>
    <t>TIER_3 (BOLD D+1)</t>
  </si>
  <si>
    <t>COOPICRÉDITO - Negocio de Eliana Maria</t>
  </si>
  <si>
    <t>COOPICRÉDITO - Droguería principal mystic 3</t>
  </si>
  <si>
    <t>COOPICRÉDITO - Farmacenter Jerchrias</t>
  </si>
  <si>
    <t>COOPICRÉDITO - DROGUERÍA SHALOM.s</t>
  </si>
  <si>
    <t>COOPICRÉDITO - Droguería más salud 2</t>
  </si>
  <si>
    <t>COOPICRÉDITO - Droguerias Mas Salud</t>
  </si>
  <si>
    <t>COOPICRÉDITO - Droguería don pedro</t>
  </si>
  <si>
    <t>COOPICRÉDITO - Hiperdrogueria Salud Minuto</t>
  </si>
  <si>
    <t>COOPICRÉDITO - DROGUERÍA CARU</t>
  </si>
  <si>
    <t>COOPICRÉDITO - Drogueria sansalud</t>
  </si>
  <si>
    <t>COOPICRÉDITO - DROGUERÍA El CUYABRITO</t>
  </si>
  <si>
    <t>COOPICRÉDITO - DROGUERÍA COMERCIAL CURRULAO</t>
  </si>
  <si>
    <t>COOPICRÉDITO - COMERCIAL CURRULAO3</t>
  </si>
  <si>
    <t>COOPICRÉDITO - Droguería nueva vital bello</t>
  </si>
  <si>
    <t>COOPICRÉDITO - DROGUERIA DAVIVIR</t>
  </si>
  <si>
    <t>COOPICRÉDITO - DROGUERIA PUNTO ECONOMICA Y MINIMARKET</t>
  </si>
  <si>
    <t>COOPICRÉDITO - PROFARMACIA JM</t>
  </si>
  <si>
    <t xml:space="preserve">COOPICRÉDITO - Droguerías CARDIOREBAJAS </t>
  </si>
  <si>
    <t xml:space="preserve">COOPICRÉDITO - Droguería CARDIOREBAJAS 2 </t>
  </si>
  <si>
    <t>COOPICRÉDITO - Farmacenter Siglo XXI Nemocón</t>
  </si>
  <si>
    <t xml:space="preserve">COOPICRÉDITO - DROGUERÍA SUPER ALKOSTO </t>
  </si>
  <si>
    <t>COOPICRÉDITO - DROGUERIA FARMADESCUENTOS 2</t>
  </si>
  <si>
    <t>COOPICRÉDITO - Droguería PharmaFast</t>
  </si>
  <si>
    <t>ZFG45L94QY</t>
  </si>
  <si>
    <t>Personalizado LIWA</t>
  </si>
  <si>
    <t>COOPICRÉDITO - DROGUERIAS SANSALUD SAN PEDRO DE URABA</t>
  </si>
  <si>
    <t>COOPICRÉDITO - DROGUERIAS SANSALUD ARBOLETES</t>
  </si>
  <si>
    <t>COOPICRÉDITO - Drogueria Megadescuentos</t>
  </si>
  <si>
    <t>COOPICRÉDITO - Drogueria Megadescuentos dos</t>
  </si>
  <si>
    <t>COOPICRÉDITO - Droguería Tivoli</t>
  </si>
  <si>
    <t>COOPICRÉDITO - DROGUERÍA TIVOLI DOS</t>
  </si>
  <si>
    <t>COOPICRÉDITO - Droguería Vicfarma</t>
  </si>
  <si>
    <t>COOPICRÉDITO - Droguería Lozber Medical</t>
  </si>
  <si>
    <t>COOPICRÉDITO - Droguería Disalud</t>
  </si>
  <si>
    <t>COOPICRÉDITO - Drogueria la 54 S</t>
  </si>
  <si>
    <t>COOPICRÉDITO - MEJORA TU SALUD</t>
  </si>
  <si>
    <t>COOPICRÉDITO - FARMASALUD LA VEONTICUATRO</t>
  </si>
  <si>
    <t>COOPICRÉDITO - SU DROGUERIA</t>
  </si>
  <si>
    <t>COOPICRÉDITO - DROGUERÍA FARMADESCUENTOS TRES</t>
  </si>
  <si>
    <t xml:space="preserve">COOPICRÉDITO - DROGUERÍA GRANADOS PLAZA </t>
  </si>
  <si>
    <t xml:space="preserve">COOPICRÉDITO - Droguería Inmar Salud SAS </t>
  </si>
  <si>
    <t>COOPICRÉDITO - Droguería Drogas azteca</t>
  </si>
  <si>
    <t>COOPICRÉDITO - Droguerías globalpharma Lc</t>
  </si>
  <si>
    <t>COOPICRÉDITO - Droguerias Globalpharma</t>
  </si>
  <si>
    <t>COOPICRÉDITO - DROGUERIA CALATRAVA</t>
  </si>
  <si>
    <t>COOPICRÉDITO - DROG.COSMO SALUD</t>
  </si>
  <si>
    <t>COOPICRÉDITO - DROG.GRANFER</t>
  </si>
  <si>
    <t>COOPICRÉDITO - FARMACENTER LAS VILLAS</t>
  </si>
  <si>
    <t>COOPICRÉDITO - DROGUERIA LA COLINA</t>
  </si>
  <si>
    <t>COOPICRÉDITO - DROGUERIA LINDARAJA</t>
  </si>
  <si>
    <t>COOPICRÉDITO - FARMACENTER SHAIO</t>
  </si>
  <si>
    <t>JXACX8T0TG</t>
  </si>
  <si>
    <t>Servioptica sas</t>
  </si>
  <si>
    <t>costoumer</t>
  </si>
  <si>
    <t>Piloto reciprocidad.</t>
  </si>
  <si>
    <t>COOPICRÉDITO - Seven farma droguería</t>
  </si>
  <si>
    <t>COOPICRÉDITO - DROGUERIA COFAMIL</t>
  </si>
  <si>
    <t>COOPICRÉDITO - FULL DROGUERIAS</t>
  </si>
  <si>
    <t>COOPICRÉDITO - DROGUERIA MAXIDESCUENTOS DE LA 81 SUC II</t>
  </si>
  <si>
    <t>COOPICRÉDITO - DROG.MAXIDESCUENTOS LA 81</t>
  </si>
  <si>
    <t>COOPICRÉDITO - DROG.TAYAZAL</t>
  </si>
  <si>
    <t>COOPICRÉDITO - FARMAHORRO</t>
  </si>
  <si>
    <t>COOPICRÉDITO - DROG. AUXIFARMA</t>
  </si>
  <si>
    <t xml:space="preserve">COOPICRÉDITO - AUXIFARMA DELICIAS </t>
  </si>
  <si>
    <t>COOPICRÉDITO - AUXIFARMA MARSELLA</t>
  </si>
  <si>
    <t>COOPICRÉDITO - AUXIFARMA TEJAR</t>
  </si>
  <si>
    <t>COOPICRÉDITO - DROGUERIA UNIFAMILIAR DE TOCANCIPA</t>
  </si>
  <si>
    <t>COOPICRÉDITO - Droguería farmily</t>
  </si>
  <si>
    <t>COOPICRÉDITO - Droguería Salud UnoA</t>
  </si>
  <si>
    <t>COOPICRÉDITO - Droguería Nueva Vida</t>
  </si>
  <si>
    <t>COOPICRÉDITO - Drogas Carlos Holmes</t>
  </si>
  <si>
    <t>COOPICRÉDITO - DROGUERIA LA CAPSULA DE VIDA</t>
  </si>
  <si>
    <t>COOPICRÉDITO - DROGUERIA LA CAPSULA DE VIDA LOPEZ</t>
  </si>
  <si>
    <t>COOPICRÉDITO - DROGUERIA LA CAPSULA DE VIDA PORVENIR</t>
  </si>
  <si>
    <t>COOPICRÉDITO - Droguería primitivo</t>
  </si>
  <si>
    <t>COOPICRÉDITO - DROGUERIAS MEDISUR II</t>
  </si>
  <si>
    <t>COOPICRÉDITO - ETICFARMA</t>
  </si>
  <si>
    <t>COOPICRÉDITO - RESTAURANTE LAS DELICIAS DE OLI</t>
  </si>
  <si>
    <t>COOPICRÉDITO - Servifarma bosques</t>
  </si>
  <si>
    <t>COOPICRÉDITO - Droguería Edison Farma</t>
  </si>
  <si>
    <t>COOPICRÉDITO - Negocio de Edison Fernando</t>
  </si>
  <si>
    <t>COOPICRÉDITO - La Capilla Drogueria</t>
  </si>
  <si>
    <t>COOPICRÉDITO - FARMA PRADERA</t>
  </si>
  <si>
    <t>COOPICRÉDITO - Drogreria y perfumeria San roque</t>
  </si>
  <si>
    <t>COOPICRÉDITO - DROGUERIA SOLSALUD.AS</t>
  </si>
  <si>
    <t>COOPICRÉDITO - DROGUERIA Y MINIMARKET SOLSALUD.AS</t>
  </si>
  <si>
    <t>COOPICRÉDITO - DROGUERIA Y MINIMARKET SOLSALUD.AS 140</t>
  </si>
  <si>
    <t>COOPICRÉDITO - DROGUERIA PUNTO ESPECIAL</t>
  </si>
  <si>
    <t>COOPICRÉDITO - DROG. PUNTO ESPECIAL PLUS</t>
  </si>
  <si>
    <t>COOPICRÉDITO - DROG.PUNTO ESPECIAL LIFE</t>
  </si>
  <si>
    <t>COOPICRÉDITO - DROGUERIA FARMAMEDIC BOSA NOVA</t>
  </si>
  <si>
    <t>COOPICRÉDITO - Farmacia Zuluar</t>
  </si>
  <si>
    <t>COOPICRÉDITO - DROG.MODELO NORTE 1</t>
  </si>
  <si>
    <t>COOPICRÉDITO - DROGUERIA KALA</t>
  </si>
  <si>
    <t>COOPICRÉDITO - FARMACAMPINA DROGUERIA</t>
  </si>
  <si>
    <t>COOPICRÉDITO - DROG. OLAM</t>
  </si>
  <si>
    <t>COOPICRÉDITO - DROG. OLAM SAN DIEGO</t>
  </si>
  <si>
    <t>COOPICRÉDITO - DROGUERIA OLAM SANTA HELENA</t>
  </si>
  <si>
    <t>COOPICRÉDITO - DROGUERIAS OLAM SAN PEDRO</t>
  </si>
  <si>
    <t>COOPICRÉDITO - DROGUERIAS OLAM LA FINCA</t>
  </si>
  <si>
    <t xml:space="preserve">COOPICRÉDITO - DROGUERIAS OLAM EBENEZER </t>
  </si>
  <si>
    <t>COOPICRÉDITO - DROGUERIA CANO PRINCIPAL</t>
  </si>
  <si>
    <t>COOPICRÉDITO - DROGUERIA CANO SUC # 2</t>
  </si>
  <si>
    <t>COOPICRÉDITO - DROGUERIA CANO SUC # 3</t>
  </si>
  <si>
    <t>COOPICRÉDITO - DROG. FARMAVITAL SUCURSAL 1</t>
  </si>
  <si>
    <t>COOPICRÉDITO - DROGUERIA Y MINIMARKET FARMAVITAL</t>
  </si>
  <si>
    <t>COOPICRÉDITO - DROG. HIPERDROGUERIA ÁNGEL</t>
  </si>
  <si>
    <t>COOPICRÉDITO - DROG. HIPERDROGUERIA ÁNGEL DOS</t>
  </si>
  <si>
    <t>COOPICRÉDITO - DROGUERIA UNIDAD MEDICA ASIST. ECOMED</t>
  </si>
  <si>
    <t>COOPICRÉDITO - DROGUERIA Y MINIMARKET LA 93</t>
  </si>
  <si>
    <t>COOPICRÉDITO - FARMAHOGAR CENTRAL</t>
  </si>
  <si>
    <t>COOPICRÉDITO - DROGUERIA PALERMO PLUS</t>
  </si>
  <si>
    <t>COOPICRÉDITO - DROGUERIA GUADALUPE PLUS</t>
  </si>
  <si>
    <t>COOPICRÉDITO - DROGUERIA Y PERFUMERIA N.S. DE GUAD</t>
  </si>
  <si>
    <t>COOPICRÉDITO - DROG.MAXIDROGAS EL PARQUE</t>
  </si>
  <si>
    <t>COOPICRÉDITO - MAXIDROGAS SANTA ANA</t>
  </si>
  <si>
    <t>COOPICRÉDITO - DROGUERIA GRANADOS PROVENZA</t>
  </si>
  <si>
    <t>COOPICRÉDITO - DROGUERIA UNISERVICIOS PRINC</t>
  </si>
  <si>
    <t>COOPICRÉDITO - DROGUERIA UNISERVICIOS SUC 1</t>
  </si>
  <si>
    <t>COOPICRÉDITO - DROGUERIA GRANADOS GUATIGUARA</t>
  </si>
  <si>
    <t>COOPICRÉDITO - DROGUERIA GRANADOS REPOSO</t>
  </si>
  <si>
    <t>COOPICRÉDITO - Droguería Dizfarma N. DOS</t>
  </si>
  <si>
    <t>COOPICRÉDITO - Droguería Ondama Puerto Nare</t>
  </si>
  <si>
    <t>COOPICRÉDITO - Droguería Ondama</t>
  </si>
  <si>
    <t>COOPICRÉDITO - Droguería lucifarma</t>
  </si>
  <si>
    <t>COOPICRÉDITO - Droguería Montenegro</t>
  </si>
  <si>
    <t>COOPICRÉDITO - Famidrogas el poblado</t>
  </si>
  <si>
    <t>COOPICRÉDITO - Droguería velvet</t>
  </si>
  <si>
    <t>COOPICRÉDITO - Droguería y Minimarket Colombia Vital Dos</t>
  </si>
  <si>
    <t>COOPICRÉDITO - Droguería San Juan</t>
  </si>
  <si>
    <t>COOPICRÉDITO - PHARMA EXPERTOS DROGUERÍA</t>
  </si>
  <si>
    <t>COOPICRÉDITO - Droguería Calimío</t>
  </si>
  <si>
    <t>GRATIN BURGER</t>
  </si>
  <si>
    <t>COOPICRÉDITO - Droguería Unicentro</t>
  </si>
  <si>
    <t>COOPICRÉDITO - Droguería santa Ana</t>
  </si>
  <si>
    <t>COOPICRÉDITO - farmacentermariajo</t>
  </si>
  <si>
    <t>COOPICRÉDITO - Droguería Andalucita</t>
  </si>
  <si>
    <t>COOPICRÉDITO - DROGUERIA DIDIER 2</t>
  </si>
  <si>
    <t>COOPICRÉDITO - Droguería farmacias su mejor remedio</t>
  </si>
  <si>
    <t>COOPICRÉDITO - Droguería farmacias su mejor remedio dos</t>
  </si>
  <si>
    <t>COOPICRÉDITO - Drogueria Alcosto 2</t>
  </si>
  <si>
    <t>COOPICRÉDITO - DROGUERIA PEREZ</t>
  </si>
  <si>
    <t>COOPICRÉDITO - DROGUERÍA CARLOS HOLGUIN</t>
  </si>
  <si>
    <t>COOPICRÉDITO - FARCOLD SALUD EL PRADO</t>
  </si>
  <si>
    <t>COOPICRÉDITO - Droguería dj farma</t>
  </si>
  <si>
    <t>COOPICRÉDITO - Droguería dj farma dos</t>
  </si>
  <si>
    <t>COOPICRÉDITO - DROGUERÍA MINIMARKET LEALFARMA</t>
  </si>
  <si>
    <t>COOPICRÉDITO - Droguería Copisalud el Carmen</t>
  </si>
  <si>
    <t>COOPICRÉDITO - Droguería Macarena de Fusa</t>
  </si>
  <si>
    <t>COOPICRÉDITO - Droguería Farmasalud DG</t>
  </si>
  <si>
    <t>COOPICRÉDITO - Droguería hospitalaria balmoral</t>
  </si>
  <si>
    <t>COOPICRÉDITO - Droguería FARMAPAEZ</t>
  </si>
  <si>
    <t xml:space="preserve">COOPICRÉDITO - Droguería F C Comunitaria </t>
  </si>
  <si>
    <t xml:space="preserve">COOPICRÉDITO - Bristol Plus droguería </t>
  </si>
  <si>
    <t>COOPICRÉDITO - Droguería Carvajal</t>
  </si>
  <si>
    <t>COOPICRÉDITO - Drogueria La Esperanza</t>
  </si>
  <si>
    <t>COOPICRÉDITO - Drogueria Mani</t>
  </si>
  <si>
    <t>COOPICRÉDITO - Drogueria Coopsalud</t>
  </si>
  <si>
    <t>COOPICRÉDITO - Drogueria Casanarena</t>
  </si>
  <si>
    <t>COOPICRÉDITO - Drogueria Centenario Tauramena</t>
  </si>
  <si>
    <t>COOPICRÉDITO - Drogueria Farmaoriente la 24</t>
  </si>
  <si>
    <t>COOPICRÉDITO - Drogueria Alfidrogas</t>
  </si>
  <si>
    <t>COOPICRÉDITO - HIPERDROGUERIA I</t>
  </si>
  <si>
    <t>COOPICRÉDITO - HIPERDROGUERIA II</t>
  </si>
  <si>
    <t>COOPICRÉDITO - DROGUERIA SAN ESTEBAN</t>
  </si>
  <si>
    <t>COOPICRÉDITO - Droguería pharmaceuticos</t>
  </si>
  <si>
    <t>COOPICRÉDITO - Farmacentral</t>
  </si>
  <si>
    <t>COOPICRÉDITO - Droguerías Servicoop del sur Eu</t>
  </si>
  <si>
    <t xml:space="preserve">COOPICRÉDITO - Droguería el Carmen </t>
  </si>
  <si>
    <t xml:space="preserve">COOPICRÉDITO - Droguería y cosméticos Vélez </t>
  </si>
  <si>
    <t>COOPICRÉDITO - Drogueria</t>
  </si>
  <si>
    <t>COOPICRÉDITO - DROGUERIA DEL NORTE</t>
  </si>
  <si>
    <t>COOPICRÉDITO - Negocio de GESE SAS</t>
  </si>
  <si>
    <t>COOPICRÉDITO - Droguería Yabur</t>
  </si>
  <si>
    <t>COOPICRÉDITO - Droguería Megafarma JC</t>
  </si>
  <si>
    <t>COOPICRÉDITO - Negocio de Luis Angel</t>
  </si>
  <si>
    <t>COOPICRÉDITO - DROGUERIA PIER SALUD</t>
  </si>
  <si>
    <t>COOPICRÉDITO - DROGUERÍA ARENALES</t>
  </si>
  <si>
    <t>COOPICRÉDITO - Drogueria Villa Pilar 2</t>
  </si>
  <si>
    <t>COOPICRÉDITO - Droguería Farma Hogar Guarne</t>
  </si>
  <si>
    <t xml:space="preserve">COOPICRÉDITO - Droguería Farmacenter Plan Salud </t>
  </si>
  <si>
    <t>COOPICRÉDITO - Droguería Única Portal</t>
  </si>
  <si>
    <t>COOPICRÉDITO - Droguerías Santafe</t>
  </si>
  <si>
    <t xml:space="preserve">COOPICRÉDITO - Drogueria Nueva Generacion </t>
  </si>
  <si>
    <t>COOPICRÉDITO - Droguería Nueva Generación dos</t>
  </si>
  <si>
    <t>COOPICRÉDITO - Drogueria Nueva Generación Tres</t>
  </si>
  <si>
    <t>COOPICRÉDITO - Drogueria Comunal Tocaima</t>
  </si>
  <si>
    <t>COOPICRÉDITO - Drogueria Maxifamiliar Agua de Dios</t>
  </si>
  <si>
    <t>COOPICRÉDITO - Drogueria Serví Max Villeta</t>
  </si>
  <si>
    <t>COOPICRÉDITO - Drogueria Pachon</t>
  </si>
  <si>
    <t>COOPICRÉDITO - FARMACENTER AURESPHARMA</t>
  </si>
  <si>
    <t>COOPICRÉDITO - FARMACENTER ECONOMIAURES</t>
  </si>
  <si>
    <t>COOPICRÉDITO - Drogueria Farmacenter La Fuente</t>
  </si>
  <si>
    <t>COOPICRÉDITO - Farmacenter los cipreses</t>
  </si>
  <si>
    <t>COOPICRÉDITO - Farmacenter el cuadrado</t>
  </si>
  <si>
    <t>COOPICRÉDITO - Drogueria Xivica Tres</t>
  </si>
  <si>
    <t>COOPICRÉDITO - Drogueria Xivica Dos</t>
  </si>
  <si>
    <t>COOPICRÉDITO - Droguería Xivica</t>
  </si>
  <si>
    <t>COOPICRÉDITO - Droguería principal mystic</t>
  </si>
  <si>
    <t>COOPICRÉDITO - Vallejo Marulanda Asociados SAS</t>
  </si>
  <si>
    <t>COOPICRÉDITO - SEDE BOLIVAR</t>
  </si>
  <si>
    <t xml:space="preserve">COOPICRÉDITO - Farmacia Terranova </t>
  </si>
  <si>
    <t>COOPICRÉDITO - DROGUERIA ORTOMEDICA HOSPITAL</t>
  </si>
  <si>
    <t>COOPICRÉDITO - DROGUERIA SAN JOSE LA ESPERANZA</t>
  </si>
  <si>
    <t xml:space="preserve">COOPICRÉDITO - Droguería Farmavillas SAS </t>
  </si>
  <si>
    <t>COOPICRÉDITO - Pharma Salud y Vida Farmacenter</t>
  </si>
  <si>
    <t>COOPICRÉDITO - En Familia Farmacenter</t>
  </si>
  <si>
    <t>COOPICRÉDITO - Boticario Farmacenter</t>
  </si>
  <si>
    <t>COOPICRÉDITO - DROGUERIA TEQUENDAMA</t>
  </si>
  <si>
    <t>COOPICRÉDITO - DROGUERIA LA ENFERMERA</t>
  </si>
  <si>
    <t xml:space="preserve">COOPICRÉDITO - DROGUERÍA FARMA DASAN </t>
  </si>
  <si>
    <t>COOPICRÉDITO - Droguería Granados Diamante</t>
  </si>
  <si>
    <t>COOPICRÉDITO - Drogueria y Perfumeria la Tora de la Novena</t>
  </si>
  <si>
    <t>COOPICRÉDITO - Drogueria Clara</t>
  </si>
  <si>
    <t>COOPICRÉDITO - PharmaWhite</t>
  </si>
  <si>
    <t>COOPICRÉDITO - Droguería Dispenfar</t>
  </si>
  <si>
    <t xml:space="preserve">COOPICRÉDITO - Droguería London B </t>
  </si>
  <si>
    <t>COOPICRÉDITO - Farmacia Terranova Dos</t>
  </si>
  <si>
    <t>COOPICRÉDITO - Farmacia y Droguería la Estación</t>
  </si>
  <si>
    <t xml:space="preserve">COOPICRÉDITO - GOLDEN CRUZ DROGUERÍA </t>
  </si>
  <si>
    <t xml:space="preserve">COOPICRÉDITO - BRISTOL PLUS droguería </t>
  </si>
  <si>
    <t xml:space="preserve">COOPICRÉDITO - Surtidrogas de Sucre </t>
  </si>
  <si>
    <t>COOPICRÉDITO - Drogueria Milan cinco</t>
  </si>
  <si>
    <t>COOPICRÉDITO - Drogueria Milan uno</t>
  </si>
  <si>
    <t>COOPICRÉDITO - Drogueria Milan mp</t>
  </si>
  <si>
    <t>COOPICRÉDITO - DROGUERIA SAN GIL 1</t>
  </si>
  <si>
    <t>COOPICRÉDITO - ALEXANDER FRANCO TORRADO</t>
  </si>
  <si>
    <t>COOPICRÉDITO - Clínica Veterinaria LOVET PETS</t>
  </si>
  <si>
    <t>COOPICRÉDITO - Droguería Andina CE</t>
  </si>
  <si>
    <t>COOPICRÉDITO - Drogueria granados la argentina</t>
  </si>
  <si>
    <t>COOPICRÉDITO - Drogueria Galerias</t>
  </si>
  <si>
    <t>COOPICRÉDITO - DROGUERIA DAVISER</t>
  </si>
  <si>
    <t>PG2F9L12RA</t>
  </si>
  <si>
    <t>S8GUEB2BOY</t>
  </si>
  <si>
    <t>ESPECIAL_199_QR_090</t>
  </si>
  <si>
    <t>COOPICRÉDITO - Negocio de JHON ALEXANDER ARCILA GOMEZ</t>
  </si>
  <si>
    <t>COOPICRÉDITO - SERVIFARMA</t>
  </si>
  <si>
    <t>COOPICRÉDITO - Droguería bosman</t>
  </si>
  <si>
    <t>COOPICRÉDITO - Droguería Granados Limoncito</t>
  </si>
  <si>
    <t>COOPICRÉDITO - Droguería Granados la octava</t>
  </si>
  <si>
    <t>COOPICRÉDITO - Droguería Super Andes</t>
  </si>
  <si>
    <t>COOPICRÉDITO - DROGUERÍA COLOMBIANA MISCELANEA</t>
  </si>
  <si>
    <t>COOPICRÉDITO - DROGAS REBARATAS DOS</t>
  </si>
  <si>
    <t>COOPICRÉDITO - Drogueria Surtimedics</t>
  </si>
  <si>
    <t>COOPICRÉDITO - DROGUERÍA FAR MARCE</t>
  </si>
  <si>
    <t>COOPICRÉDITO - AQUIMEDIC SAS</t>
  </si>
  <si>
    <t>COOPICRÉDITO - Droguería Shekiná</t>
  </si>
  <si>
    <t>COOPICRÉDITO - Tu Farmacia</t>
  </si>
  <si>
    <t>COOPICRÉDITO - Droguería Lituania</t>
  </si>
  <si>
    <t>COOPICRÉDITO - Drogueria Farmaventura</t>
  </si>
  <si>
    <t>COOPICRÉDITO - Drog Farmaventura J.D</t>
  </si>
  <si>
    <t>COOPICRÉDITO - Droguería Marcela G</t>
  </si>
  <si>
    <t xml:space="preserve">COOPICRÉDITO - Droguería Farmax </t>
  </si>
  <si>
    <t>COOPICRÉDITO - Droguería Lealfarma</t>
  </si>
  <si>
    <t>COOPICRÉDITO - Drogueria Edison del Rocio</t>
  </si>
  <si>
    <t>COOPICRÉDITO - Drogueria y Farmacia La Enfermera</t>
  </si>
  <si>
    <t>COOPICRÉDITO - DROGUERIA FAMIPLUS PORTO REAL</t>
  </si>
  <si>
    <t>COOPICRÉDITO - Droguería Famiplus</t>
  </si>
  <si>
    <t>COOPICRÉDITO - Drogueria la unión jp</t>
  </si>
  <si>
    <t>COOPICRÉDITO - Droguería Jhomar</t>
  </si>
  <si>
    <t>COOPICRÉDITO - Droguería Jhomar Dos</t>
  </si>
  <si>
    <t>COOPICRÉDITO - Droguería Rexal</t>
  </si>
  <si>
    <t>COOPICRÉDITO - Droguería Especial Ferias</t>
  </si>
  <si>
    <t>COOPICRÉDITO - Droguería Rexal Río negro</t>
  </si>
  <si>
    <t>COOPICRÉDITO - Droguerias</t>
  </si>
  <si>
    <t>COOPICRÉDITO - Droguerías maxi drogas Life</t>
  </si>
  <si>
    <t>COOPICRÉDITO - Droguería J y S</t>
  </si>
  <si>
    <t>COOPICRÉDITO - Drogueria Serrapharma</t>
  </si>
  <si>
    <t>COOPICRÉDITO - Droguería Pharmapuertos</t>
  </si>
  <si>
    <t>COOPICRÉDITO - Droguería Pharmavillas</t>
  </si>
  <si>
    <t>COOPICRÉDITO - Drogas Rebaratas</t>
  </si>
  <si>
    <t>COOPICRÉDITO - DROGUERIA LA 67 Medellín</t>
  </si>
  <si>
    <t>COOPICRÉDITO - Droguería Glucopharma SAS</t>
  </si>
  <si>
    <t>COOPICRÉDITO - Drogueria medical center</t>
  </si>
  <si>
    <t>COOPICRÉDITO - D. Medical Class</t>
  </si>
  <si>
    <t>COOPICRÉDITO - D. Medical uno</t>
  </si>
  <si>
    <t>COOPICRÉDITO - DROGUERÍA CIPRÉS 2</t>
  </si>
  <si>
    <t>COOPICRÉDITO - DROGUERÍA CIPRÉS UNO</t>
  </si>
  <si>
    <t>COOPICRÉDITO - DROGUERÍA CIPRÉS PLAZA</t>
  </si>
  <si>
    <t>COOPICRÉDITO - Droguería David DT</t>
  </si>
  <si>
    <t>COOPICRÉDITO - Glosar</t>
  </si>
  <si>
    <t>COOPICRÉDITO - Drogueria Yolivan</t>
  </si>
  <si>
    <t>COOPICRÉDITO - Droguería unidrogas la rebaja</t>
  </si>
  <si>
    <t>COOPICRÉDITO - Drogueria galvis b</t>
  </si>
  <si>
    <t>COOPICRÉDITO - hiperdrogueria III</t>
  </si>
  <si>
    <t>J7KC6JLFIJ</t>
  </si>
  <si>
    <t>JDJM6I19DG</t>
  </si>
  <si>
    <t>B3APEDXJ19</t>
  </si>
  <si>
    <t>2X0M0IQ8QP</t>
  </si>
  <si>
    <t xml:space="preserve">L21RHZKSPU </t>
  </si>
  <si>
    <t>6AAY9MVOLL</t>
  </si>
  <si>
    <t xml:space="preserve">NY7VJH13AT  </t>
  </si>
  <si>
    <t>Oasis</t>
  </si>
  <si>
    <t>COOPICRÉDITO - DROGUERÍA PRINCIPAL</t>
  </si>
  <si>
    <t>COOPICRÉDITO - Droguería Amarú</t>
  </si>
  <si>
    <t>COOPICRÉDITO - Droguería ahorro plus A y M</t>
  </si>
  <si>
    <t xml:space="preserve">COOPICRÉDITO - Drogueria Curamedix </t>
  </si>
  <si>
    <t>COOPICRÉDITO - Droguería Lijacá</t>
  </si>
  <si>
    <t>COOPICRÉDITO - ZEUS  SALADO</t>
  </si>
  <si>
    <t>COOPICRÉDITO - Interandina de Drogas</t>
  </si>
  <si>
    <t>COOPICRÉDITO - Drogas José Gregorio</t>
  </si>
  <si>
    <t>COOPICRÉDITO - DROGUERIA LOZANO 2</t>
  </si>
  <si>
    <t>COOPICRÉDITO - DROGUERIA DALTON</t>
  </si>
  <si>
    <t xml:space="preserve">COOPICRÉDITO - Yaquipharma </t>
  </si>
  <si>
    <t xml:space="preserve">COOPICRÉDITO - Drogueria Central </t>
  </si>
  <si>
    <t>COOPICRÉDITO - Drogueria hospitalaria</t>
  </si>
  <si>
    <t>COOPICRÉDITO - Drogueria Sanitos</t>
  </si>
  <si>
    <t>COOPICRÉDITO - Droguería Olin Farma JD</t>
  </si>
  <si>
    <t>COOPICRÉDITO - DROGUERIAS FAMILIARES No1</t>
  </si>
  <si>
    <t>COOPICRÉDITO - Sociedad Amigos del Progreso SAS</t>
  </si>
  <si>
    <t>COOPICRÉDITO - Droguería El poli</t>
  </si>
  <si>
    <t>COOPICRÉDITO - DROGUERÍA PREVESALUD</t>
  </si>
  <si>
    <t>M0ZCT4GSAT</t>
  </si>
  <si>
    <t>IX8YV49KVP</t>
  </si>
  <si>
    <t>45GXPINC22</t>
  </si>
  <si>
    <t>375N178LGP</t>
  </si>
  <si>
    <t>COOPICRÉDITO - FARMACIA MÉRIDA MA PLUS SAS</t>
  </si>
  <si>
    <t>COOPICRÉDITO - DROGUERIA CIUDAD GRANADA</t>
  </si>
  <si>
    <t>COOPICRÉDITO - Droguería Ciudad Granada J</t>
  </si>
  <si>
    <t>COOPICRÉDITO - DROGUERIA. PARAMEDICAL</t>
  </si>
  <si>
    <t>COOPICRÉDITO - Droguería Hiper Farma</t>
  </si>
  <si>
    <t>COOPICRÉDITO - DROGUERIA ARISALUD</t>
  </si>
  <si>
    <t>COOPICRÉDITO - DROGUERIA FAMIDROGAS</t>
  </si>
  <si>
    <t>COOPICRÉDITO - Droguería Superpharma el Carmen</t>
  </si>
  <si>
    <t>COOPICRÉDITO - Droguería farma sara dos</t>
  </si>
  <si>
    <t>COOPICRÉDITO - Drogueria F.R</t>
  </si>
  <si>
    <t>COOPICRÉDITO - drogueria y minimarket maxifamiliar del huila</t>
  </si>
  <si>
    <t>COOPICRÉDITO - FARMARED PLUS DROGUERIAS</t>
  </si>
  <si>
    <t>COOPICRÉDITO - Farmared plus #3</t>
  </si>
  <si>
    <t>COOPICRÉDITO - Farmared plus #4</t>
  </si>
  <si>
    <t>COOPICRÉDITO - DROGUERÍA MANTRA PHARMA</t>
  </si>
  <si>
    <t>COOPICRÉDITO - DROSALUD FRAILES SAS</t>
  </si>
  <si>
    <t>COOPICRÉDITO - Drogueria Horocary minimarket</t>
  </si>
  <si>
    <t>COOPICRÉDITO - Negocio de Inversiones Lesgu Sas</t>
  </si>
  <si>
    <t>COOPICRÉDITO - Droguería laboyana jr</t>
  </si>
  <si>
    <t>Colchones Pullman</t>
  </si>
  <si>
    <t>COOPICRÉDITO - Droguería Clubmed</t>
  </si>
  <si>
    <t>COOPICRÉDITO - DROGUERIA PELAEZ I</t>
  </si>
  <si>
    <t xml:space="preserve">COOPICRÉDITO - DROGUERIA PELAEZ DOS </t>
  </si>
  <si>
    <t>COOPICRÉDITO - Droguería CONDER</t>
  </si>
  <si>
    <t>COOPICRÉDITO - Droguería CONDER Dos</t>
  </si>
  <si>
    <t>COOPICRÉDITO - Droguería CONDER San Luis</t>
  </si>
  <si>
    <t>COOPICRÉDITO - Drogas Rebaratas tres</t>
  </si>
  <si>
    <t>COOPICRÉDITO - Droguería La Cumbre YCC</t>
  </si>
  <si>
    <t>COOPICRÉDITO - Drogueria Empresarial</t>
  </si>
  <si>
    <t>Leidy.nieto@bold.co</t>
  </si>
  <si>
    <t>EWTWVN69KQ</t>
  </si>
  <si>
    <t>TIER_CUSTOM_185</t>
  </si>
  <si>
    <t>ASZZBU56AH</t>
  </si>
  <si>
    <t>catherine.sanabria@bold.co</t>
  </si>
  <si>
    <t>P9GC4HYVRK</t>
  </si>
  <si>
    <t xml:space="preserve">TIER_CUSTOM_159D_169C </t>
  </si>
  <si>
    <t>Jhonatan.torres@bold.co</t>
  </si>
  <si>
    <t>26G3S5BZWO</t>
  </si>
  <si>
    <t>katherin.rodriguez@bold.co</t>
  </si>
  <si>
    <t>8W7JPIHAIU</t>
  </si>
  <si>
    <t>Personalizado fee pruebas</t>
  </si>
  <si>
    <t>Katherin.alvarez@bold.co</t>
  </si>
  <si>
    <t>67WI02YNYU</t>
  </si>
  <si>
    <t>Tier: TIER_CUSTOM_159D_169C_200.</t>
  </si>
  <si>
    <t>PAEBRSZMLG</t>
  </si>
  <si>
    <t>I0ODI75I3K</t>
  </si>
  <si>
    <t>SRZBUC3HX0</t>
  </si>
  <si>
    <t>EN6TFP2A3W</t>
  </si>
  <si>
    <t>L1WUFQT8OL</t>
  </si>
  <si>
    <t>KEYJH81DNM</t>
  </si>
  <si>
    <t>Pullman Calle 13</t>
  </si>
  <si>
    <t>5SFH0BWHTL</t>
  </si>
  <si>
    <t>T54OFOVLZL</t>
  </si>
  <si>
    <t>Pullman 146</t>
  </si>
  <si>
    <t>OP2OG1EGMY</t>
  </si>
  <si>
    <t>Pullman Itagüí</t>
  </si>
  <si>
    <t>U5EIQ7VKYV</t>
  </si>
  <si>
    <t>Pullman Centro Mayor</t>
  </si>
  <si>
    <t>QLXRKOJMXG</t>
  </si>
  <si>
    <t>FSOB29L6W3</t>
  </si>
  <si>
    <t>C6J924YEUI</t>
  </si>
  <si>
    <t>OVKEYI2H5J</t>
  </si>
  <si>
    <t>4BCKUI62SG</t>
  </si>
  <si>
    <t>LSK7A3MGK7</t>
  </si>
  <si>
    <t>R0XB6IBUQ5</t>
  </si>
  <si>
    <t>A626UNP1DD</t>
  </si>
  <si>
    <t>WQDOG6HNMU</t>
  </si>
  <si>
    <t>V9YXYF63XJ</t>
  </si>
  <si>
    <t>Carlos.perozo@bold.co</t>
  </si>
  <si>
    <t xml:space="preserve">Personalizado </t>
  </si>
  <si>
    <t>AB8CPRLS90</t>
  </si>
  <si>
    <t>OF1HFOJQH2</t>
  </si>
  <si>
    <t>TIER_1.</t>
  </si>
  <si>
    <t>Inversiones TC - TIENDAS CERKANA</t>
  </si>
  <si>
    <t>Camilo.reina@bold.co</t>
  </si>
  <si>
    <t>JUBNG8NZQN</t>
  </si>
  <si>
    <t>COOPICRÉDITO - Drogueria saludfarma dos</t>
  </si>
  <si>
    <t>HB7X2HBWHY</t>
  </si>
  <si>
    <t>COOPICRÉDITO - drogueria farmandia</t>
  </si>
  <si>
    <t>PX62QNE073</t>
  </si>
  <si>
    <t>COOPICRÉDITO - Negocio de dagoberto</t>
  </si>
  <si>
    <t>9VXFYFWUAN</t>
  </si>
  <si>
    <t>COOPICRÉDITO - Droguerías Mare</t>
  </si>
  <si>
    <t>GSYCJJ0ZMX</t>
  </si>
  <si>
    <t>COOPICRÉDITO - Droguería y Farmacia Central</t>
  </si>
  <si>
    <t>0XV9992C0O</t>
  </si>
  <si>
    <t>COOPICRÉDITO - Droguerías Farmanet</t>
  </si>
  <si>
    <t>2S3YFTIOWT</t>
  </si>
  <si>
    <t>COOPICRÉDITO - Drogueria Melcomia</t>
  </si>
  <si>
    <t>GHTNMF7727</t>
  </si>
  <si>
    <t>COOPICRÉDITO - Droguería Farma América</t>
  </si>
  <si>
    <t>TR2KLJUVZ6</t>
  </si>
  <si>
    <t>COOPICRÉDITO - Farmacenter mi farma</t>
  </si>
  <si>
    <t>75H2G3UNCN</t>
  </si>
  <si>
    <t>COOPICRÉDITO - FARMACENTER HEMERY</t>
  </si>
  <si>
    <t>LZ4FUN0WQD</t>
  </si>
  <si>
    <t>COOPICRÉDITO - SFARMA DROGUERIAS N 1 SPRINT</t>
  </si>
  <si>
    <t>VUSTI8DA46</t>
  </si>
  <si>
    <t>COOPICRÉDITO - SFARMA DROGUERIAS N 2 PATIO BONITO</t>
  </si>
  <si>
    <t>54LXJZBNZ9</t>
  </si>
  <si>
    <t>COOPICRÉDITO - SFARMA DROGUERIAS N 3 FUNZA</t>
  </si>
  <si>
    <t>XOP5AO97MP</t>
  </si>
  <si>
    <t>COOPICRÉDITO - SFARMA DROGUERIAS N 5 CIUDAD MONTES</t>
  </si>
  <si>
    <t>BVDN5HUB7R</t>
  </si>
  <si>
    <t>COOPICRÉDITO - SFARMA DROGUERIAS N 6 SAN CIPRIANO</t>
  </si>
  <si>
    <t>0BE18WOVV2</t>
  </si>
  <si>
    <t>COOPICRÉDITO - SFARMA DROGUERIAS N 7 SANTA LIBRADA</t>
  </si>
  <si>
    <t>NIV028B3MZ</t>
  </si>
  <si>
    <t>COOPICRÉDITO - SFARMA DROGUERIAS N 8 LA VICTORIA</t>
  </si>
  <si>
    <t>J7IML9IM9I</t>
  </si>
  <si>
    <t>COOPICRÉDITO - SFARMA DROGUERIAS N 9 ASUNCION</t>
  </si>
  <si>
    <t>3K2UR9MQ3O</t>
  </si>
  <si>
    <t>COOPICRÉDITO - SFARMA DROGUERIAS N 10 VILLA CLAUDIA</t>
  </si>
  <si>
    <t>VS2MRZDVZL</t>
  </si>
  <si>
    <t>COOPICRÉDITO - SFARMA DROGUERIAS N 11 GALERIAS</t>
  </si>
  <si>
    <t>9OYGZJX2JZ</t>
  </si>
  <si>
    <t>COOPICRÉDITO - SFARMA DROGUERIAS N 12 LA GLORIA</t>
  </si>
  <si>
    <t>IFZJ8WSLSE</t>
  </si>
  <si>
    <t>COOPICRÉDITO - SFARMA DROGUERIAS N 13 VERAGUAS</t>
  </si>
  <si>
    <t>AVGU6FEYZ7</t>
  </si>
  <si>
    <t>COOPICRÉDITO - SFARMA DROGUERIAS N 15 ALCALA</t>
  </si>
  <si>
    <t>NFBG4DGNTU</t>
  </si>
  <si>
    <t>COOPICRÉDITO - SFARMA DROGUERIAS N 16 MOLINOS</t>
  </si>
  <si>
    <t>NZ911L9FFZ</t>
  </si>
  <si>
    <t>COOPICRÉDITO - SFARMA DROGUERIAS N 17 BELEN</t>
  </si>
  <si>
    <t>HW9F3DLU6Y</t>
  </si>
  <si>
    <t>COOPICRÉDITO - SFARMA DROGUERIAS N 18 SOACHA</t>
  </si>
  <si>
    <t>X12JGJK6HD</t>
  </si>
  <si>
    <t>COOPICRÉDITO - SFARMA DROGUERIAS N 19 GRAN GRANADA</t>
  </si>
  <si>
    <t>6T666ZC1PC</t>
  </si>
  <si>
    <t>COOPICRÉDITO - SFARMA DROGUERIAS N 20 LUCERO</t>
  </si>
  <si>
    <t>ND9E9BVEFH</t>
  </si>
  <si>
    <t>COOPICRÉDITO - SFARMA DROGUERIAS N 21 TREBOLIS</t>
  </si>
  <si>
    <t>D3CSCWAZSN</t>
  </si>
  <si>
    <t>COOPICRÉDITO - SFARMA DROGUERIAS N 22 CEDRITOS</t>
  </si>
  <si>
    <t>OL7HSSUC3Q</t>
  </si>
  <si>
    <t>COOPICRÉDITO - SFARMA DROGUERIAS N 23 SAN CRISTOBAL</t>
  </si>
  <si>
    <t>3CH8FBJ9AN</t>
  </si>
  <si>
    <t>COOPICRÉDITO - SFARMA DROGUERIAS N 24 RESTREPO</t>
  </si>
  <si>
    <t>9O6561CJE9</t>
  </si>
  <si>
    <t>COOPICRÉDITO - SFARMA DROGUERIAS N 25 MONTERREY</t>
  </si>
  <si>
    <t>Z1OH7VNMNP</t>
  </si>
  <si>
    <t>COOPICRÉDITO - SFARMA DROGUERIAS N 26 MILANESA</t>
  </si>
  <si>
    <t>GH9NAMTKQE</t>
  </si>
  <si>
    <t>Colsitiendas Los libertadores</t>
  </si>
  <si>
    <t>COOPICRÉDITO - SFARMA DROGUERIAS N 27 FARMACENTER FUNZA</t>
  </si>
  <si>
    <t>8A1O5ELS22</t>
  </si>
  <si>
    <t>COOPICRÉDITO - SFARMA DROGUERIAS N 28 NORMANDIA</t>
  </si>
  <si>
    <t>R1MFU4VEUU</t>
  </si>
  <si>
    <t>Marketiendas Restrepo</t>
  </si>
  <si>
    <t>COOPICRÉDITO - SFARMA DROGUERIAS N 29 ZIPAQUIRA</t>
  </si>
  <si>
    <t>LNZJWX2CJM</t>
  </si>
  <si>
    <t>El secreto italiano</t>
  </si>
  <si>
    <t>COOPICRÉDITO - SFARMA DROGUERIAS N 30 SUBA</t>
  </si>
  <si>
    <t>RINNZMPT6N</t>
  </si>
  <si>
    <t>COOPICRÉDITO - SFARMA DROGUERIAS N 31 VICTORIA</t>
  </si>
  <si>
    <t>JWB364BYJT</t>
  </si>
  <si>
    <t>COOPICRÉDITO - SFARMA DROGUERIAS N 32 VICTORIA</t>
  </si>
  <si>
    <t>U215EU8J7D</t>
  </si>
  <si>
    <t>COOPICRÉDITO - SFARMA DROGUERIAS N 33 ENGATIVA</t>
  </si>
  <si>
    <t>J9QFIT63EE</t>
  </si>
  <si>
    <t>COOPICRÉDITO - SFARMA DROGUERIAS N 34 SAN TERESA</t>
  </si>
  <si>
    <t>91VH6IUNEA</t>
  </si>
  <si>
    <t>COOPICRÉDITO - SFARMA DROGUERIAS N 36 LA VICTORIA</t>
  </si>
  <si>
    <t>MLMHGPOYCP</t>
  </si>
  <si>
    <t>COOPICRÉDITO - SFARMA DROGUERIAS N 37 CASTILLA</t>
  </si>
  <si>
    <t>AKKHBLNCCA</t>
  </si>
  <si>
    <t>COOPICRÉDITO - SFARMA DROGUERIAS N 38 NIZA IX</t>
  </si>
  <si>
    <t>GHYHY5RPOS</t>
  </si>
  <si>
    <t>COOPICRÉDITO - SFARMA DROGUERIAS N 39 MADRID</t>
  </si>
  <si>
    <t>NFUSJ7NQ96</t>
  </si>
  <si>
    <t>COOPICRÉDITO - Droguería Farmacenter Yinimar</t>
  </si>
  <si>
    <t>XMABPI8SDB</t>
  </si>
  <si>
    <t>COOPICRÉDITO - FARMAPRECIOS 9 MACHETA</t>
  </si>
  <si>
    <t>O1ZWI9P1IS</t>
  </si>
  <si>
    <t>COOPICRÉDITO - FARMALKOSTO ALMENDROS</t>
  </si>
  <si>
    <t>1KQZPLFRVW</t>
  </si>
  <si>
    <t>COOPICRÉDITO - DROGUERIA BULEVAR NIZA</t>
  </si>
  <si>
    <t>VXJZXFZCK5</t>
  </si>
  <si>
    <t>COOPICRÉDITO - Drogueria Farmacenter Angel 2</t>
  </si>
  <si>
    <t>9JE4RMQTTQ</t>
  </si>
  <si>
    <t>COOPICRÉDITO - Drogueria Dalafarma</t>
  </si>
  <si>
    <t>FS9YLSJWLG</t>
  </si>
  <si>
    <t>COOPICRÉDITO - Droguerías Expreso</t>
  </si>
  <si>
    <t>JXLFJ824NO</t>
  </si>
  <si>
    <t>COOPICRÉDITO - Drogueria  villadela</t>
  </si>
  <si>
    <t>PL0B5ER5G3</t>
  </si>
  <si>
    <t>COOPICRÉDITO - Droguería Pharmalife Centro</t>
  </si>
  <si>
    <t>IDM1B3H7F5</t>
  </si>
  <si>
    <t>COOPICRÉDITO - Negocio de Mónica Yohana</t>
  </si>
  <si>
    <t>L7H1W2PHU6</t>
  </si>
  <si>
    <t xml:space="preserve">COOPICRÉDITO - Droguería San Antero </t>
  </si>
  <si>
    <t>0GRNI5F4QF</t>
  </si>
  <si>
    <t>COOPICRÉDITO - Negocio de Alfonso Rafael</t>
  </si>
  <si>
    <t>KSZEX7BW2B</t>
  </si>
  <si>
    <t>COOPICRÉDITO - DROGARCIA No4</t>
  </si>
  <si>
    <t>R4FNXSI23Y</t>
  </si>
  <si>
    <t>COOPICRÉDITO - MIL DROGAS DOS</t>
  </si>
  <si>
    <t>M28ST7P6ZS</t>
  </si>
  <si>
    <t>COOPICRÉDITO - DROGUERIA COLSANAR DEL NORTE</t>
  </si>
  <si>
    <t>BW2O3VIGL9</t>
  </si>
  <si>
    <t>COOPICRÉDITO - DROGUERIAS ALFA S UNO</t>
  </si>
  <si>
    <t>U69YEON51F</t>
  </si>
  <si>
    <t>COOPICRÉDITO - DROGUERIAS ALFA MILAN</t>
  </si>
  <si>
    <t>5SMNGBY745</t>
  </si>
  <si>
    <t>COOPICRÉDITO - DROGUERIAS ALFA PARQUE</t>
  </si>
  <si>
    <t>P220TCW2OW</t>
  </si>
  <si>
    <t>COOPICRÉDITO - DROGUERIAS ALFA PASEO REAL</t>
  </si>
  <si>
    <t>AKEADOJDYP</t>
  </si>
  <si>
    <t>COOPICRÉDITO - DROGUERIAS ALFA AVENIDA</t>
  </si>
  <si>
    <t>E61RH7TTAE</t>
  </si>
  <si>
    <t xml:space="preserve">COOPICRÉDITO - Droguería Gabysalud </t>
  </si>
  <si>
    <t>0QQ5L1BHF3</t>
  </si>
  <si>
    <t>COOPICRÉDITO - DROGUERIA Y VARIEDADES CINDY</t>
  </si>
  <si>
    <t>VCC4POVP5O</t>
  </si>
  <si>
    <t>COOPICRÉDITO - DROGUIVARIEDADES DANA</t>
  </si>
  <si>
    <t>9W60O036F3</t>
  </si>
  <si>
    <t>Sulicor Tolima</t>
  </si>
  <si>
    <t>COOPICRÉDITO - DROGUERIA Y VARIEDADES FARMADIAZ</t>
  </si>
  <si>
    <t>MGQW1WCZ5J</t>
  </si>
  <si>
    <t>COOPICRÉDITO - DROGUERÍA COLSALUD S.C</t>
  </si>
  <si>
    <t>TKXVIMFII0</t>
  </si>
  <si>
    <t>Hache De Hamburguesa</t>
  </si>
  <si>
    <t>COOPICRÉDITO - DROGUERÍA COLSALUD P.B</t>
  </si>
  <si>
    <t>GNYQ9JMQYA</t>
  </si>
  <si>
    <t>COOPICRÉDITO - DROGUERÍA LA CUARTA B</t>
  </si>
  <si>
    <t>0GDIBQPP50</t>
  </si>
  <si>
    <t>ONE MORE COLOMBIA</t>
  </si>
  <si>
    <t>COOPICRÉDITO - DROGUERÍA DIOSALUD RD</t>
  </si>
  <si>
    <t>Z472LRDO4K</t>
  </si>
  <si>
    <t>COOPICRÉDITO - DROGUERÍA DIOSALUD LOS ANGELES</t>
  </si>
  <si>
    <t>97B1X3AQSJ</t>
  </si>
  <si>
    <t>COOPICRÉDITO - DROGUERÍAS DIOSALUD</t>
  </si>
  <si>
    <t>9RDRW9GH0A</t>
  </si>
  <si>
    <t>COOPICRÉDITO - DROGUERÍA DIOSALUD RS</t>
  </si>
  <si>
    <t>FK9XQZ1MGR</t>
  </si>
  <si>
    <t>COOPICRÉDITO - DROGUERÍA Y PERFUMERÍA SANTANDER</t>
  </si>
  <si>
    <t>Q8BB6LMM80</t>
  </si>
  <si>
    <t>COOPICRÉDITO - Droguería Santa Pharma</t>
  </si>
  <si>
    <t>0IWY258WI1</t>
  </si>
  <si>
    <t>COOPICRÉDITO - DROGUERÍA PHARMASTIK</t>
  </si>
  <si>
    <t>6B3XY25IJE</t>
  </si>
  <si>
    <t>COOPICRÉDITO - DROGUERIA MICHEL</t>
  </si>
  <si>
    <t>4ET483LBS9</t>
  </si>
  <si>
    <t>COOPICRÉDITO - DROGUERIA DE LA 146</t>
  </si>
  <si>
    <t>UJ6IC6QYVU</t>
  </si>
  <si>
    <t>COOPICRÉDITO - DROGUERIA VICTORIA NORTE</t>
  </si>
  <si>
    <t>F4K0HCI3BX</t>
  </si>
  <si>
    <t>COOPICRÉDITO - DROGUERIA VICTORIA NORTE 2</t>
  </si>
  <si>
    <t>T035E5K6WQ</t>
  </si>
  <si>
    <t>COOPICRÉDITO - DROGUERIA CRUZ AZUL 104</t>
  </si>
  <si>
    <t>D7F22FG5QR</t>
  </si>
  <si>
    <t>COOPICRÉDITO - DROGUERIA CRUZ AZUL 93</t>
  </si>
  <si>
    <t>PADFDP07T</t>
  </si>
  <si>
    <t>COOPICRÉDITO - DROGUERIA ANDES FARMA</t>
  </si>
  <si>
    <t>FUGNVIJWU8</t>
  </si>
  <si>
    <t>COOPICRÉDITO - DROGUERIA CRUZ AZUL 133</t>
  </si>
  <si>
    <t>AJ5XQ8640E</t>
  </si>
  <si>
    <t>COOPICRÉDITO - Droguería Xiofarma jd</t>
  </si>
  <si>
    <t>4I2PD2J2SH</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</si>
</sst>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quot;-&quot;mmm&quot;-&quot;yyyy"/>
    <numFmt numFmtId="165" formatCode="mmmm"/>
    <numFmt numFmtId="166" formatCode="yyyy"/>
    <numFmt numFmtId="167" formatCode="[$ $]#,##0"/>
    <numFmt numFmtId="168" formatCode="d/M/yyyy"/>
    <numFmt numFmtId="169" formatCode="&quot;$&quot;#,##0"/>
    <numFmt numFmtId="170" formatCode="d/m/yyyy"/>
    <numFmt numFmtId="171" formatCode="dd/mm/yyyy"/>
    <numFmt numFmtId="172" formatCode="d.m"/>
    <numFmt numFmtId="173" formatCode="_-* #,##0_-;\-* #,##0_-;_-* &quot;-&quot;??_-;_-@"/>
    <numFmt numFmtId="174" formatCode="D/M/YYYY"/>
    <numFmt numFmtId="175" formatCode="0.0%"/>
    <numFmt numFmtId="176" formatCode="mmmm yyyy"/>
    <numFmt numFmtId="177" formatCode="[$$]#,##0"/>
  </numFmts>
  <fonts count="75">
    <font>
      <sz val="10.0"/>
      <color rgb="FF000000"/>
      <name val="Arial"/>
      <scheme val="minor"/>
    </font>
    <font>
      <sz val="11.0"/>
      <color theme="1"/>
      <name val="Montserrat"/>
    </font>
    <font>
      <b/>
      <color rgb="FFFFFFFF"/>
      <name val="Arial"/>
    </font>
    <font>
      <color theme="1"/>
      <name val="Arial"/>
      <scheme val="minor"/>
    </font>
    <font>
      <b/>
      <color theme="1"/>
      <name val="Arial"/>
    </font>
    <font>
      <sz val="11.0"/>
      <color rgb="FF000000"/>
      <name val="Montserrat"/>
    </font>
    <font>
      <color theme="1"/>
      <name val="Arial"/>
    </font>
    <font>
      <sz val="12.0"/>
      <color theme="1"/>
      <name val="Calibri"/>
    </font>
    <font>
      <color rgb="FF222222"/>
      <name val="Arial"/>
    </font>
    <font>
      <b/>
      <sz val="11.0"/>
      <color rgb="FFFFFFFF"/>
      <name val="Arial"/>
      <scheme val="minor"/>
    </font>
    <font>
      <b/>
      <sz val="11.0"/>
      <color theme="0"/>
      <name val="Arial"/>
      <scheme val="minor"/>
    </font>
    <font>
      <b/>
      <sz val="11.0"/>
      <color rgb="FF000000"/>
      <name val="Montserrat"/>
    </font>
    <font>
      <sz val="11.0"/>
      <color rgb="FF1D1C1D"/>
      <name val="Arial"/>
    </font>
    <font>
      <sz val="11.0"/>
      <color theme="1"/>
      <name val="Arial"/>
      <scheme val="minor"/>
    </font>
    <font>
      <sz val="10.0"/>
      <color rgb="FF1F1F1F"/>
      <name val="Arial"/>
      <scheme val="minor"/>
    </font>
    <font>
      <b/>
      <sz val="11.0"/>
      <color theme="1"/>
      <name val="Montserrat"/>
    </font>
    <font>
      <sz val="12.0"/>
      <color rgb="FF121E6C"/>
      <name val="Montserrat"/>
    </font>
    <font>
      <sz val="13.0"/>
      <color theme="1"/>
      <name val="Arial"/>
      <scheme val="minor"/>
    </font>
    <font>
      <sz val="11.0"/>
      <color rgb="FF1D1C1D"/>
      <name val="Slack-Lato"/>
    </font>
    <font>
      <u/>
      <color rgb="FF0000FF"/>
      <name val="Arial"/>
    </font>
    <font>
      <sz val="11.0"/>
      <color theme="1"/>
      <name val="Calibri"/>
    </font>
    <font>
      <sz val="11.0"/>
      <color rgb="FF222222"/>
      <name val="Google Sans"/>
    </font>
    <font>
      <color rgb="FFFF0000"/>
      <name val="Arial"/>
    </font>
    <font>
      <u/>
      <color rgb="FF1155CC"/>
      <name val="Arial"/>
    </font>
    <font>
      <sz val="10.0"/>
      <color rgb="FF000000"/>
      <name val="Arial"/>
    </font>
    <font>
      <u/>
      <color rgb="FF0000FF"/>
      <name val="Arial"/>
    </font>
    <font>
      <color rgb="FF000000"/>
      <name val="Arial"/>
    </font>
    <font>
      <u/>
      <color rgb="FF0000FF"/>
      <name val="Arial"/>
    </font>
    <font>
      <sz val="10.0"/>
      <color rgb="FF1D1C1D"/>
      <name val="Arial"/>
      <scheme val="minor"/>
    </font>
    <font>
      <sz val="11.0"/>
      <color rgb="FF1D1C1D"/>
      <name val="Arial"/>
      <scheme val="minor"/>
    </font>
    <font>
      <color theme="1"/>
      <name val="Montserrat"/>
    </font>
    <font>
      <sz val="10.0"/>
      <color rgb="FF000000"/>
      <name val="Montserrat"/>
    </font>
    <font>
      <sz val="10.0"/>
      <color theme="1"/>
      <name val="Arial"/>
    </font>
    <font>
      <sz val="10.0"/>
      <color rgb="FF222222"/>
      <name val="Arial"/>
    </font>
    <font>
      <sz val="11.0"/>
      <color rgb="FF222222"/>
      <name val="&quot;Google Sans&quot;"/>
    </font>
    <font>
      <sz val="9.0"/>
      <color rgb="FF000000"/>
      <name val="Arial"/>
    </font>
    <font>
      <b/>
      <sz val="10.0"/>
      <color rgb="FF000000"/>
      <name val="Arial"/>
    </font>
    <font>
      <sz val="9.0"/>
      <color rgb="FF000000"/>
      <name val="Montserrat"/>
    </font>
    <font>
      <u/>
      <color rgb="FF0000FF"/>
      <name val="Arial"/>
    </font>
    <font>
      <sz val="9.0"/>
      <color theme="1"/>
      <name val="Arial"/>
    </font>
    <font>
      <u/>
      <color rgb="FF0000FF"/>
      <name val="Arial"/>
    </font>
    <font>
      <color rgb="FFFF0000"/>
      <name val="Arial"/>
      <scheme val="minor"/>
    </font>
    <font>
      <b/>
      <color rgb="FF222222"/>
      <name val="Arial"/>
    </font>
    <font>
      <u/>
      <color rgb="FF0000FF"/>
      <name val="Arial"/>
    </font>
    <font>
      <u/>
      <color rgb="FF0000FF"/>
      <name val="Arial"/>
    </font>
    <font>
      <u/>
      <color rgb="FF0000FF"/>
      <name val="Arial"/>
    </font>
    <font>
      <color rgb="FF000000"/>
      <name val="Calibri"/>
    </font>
    <font>
      <u/>
      <color rgb="FF0000FF"/>
      <name val="Arial"/>
    </font>
    <font>
      <sz val="11.0"/>
      <color rgb="FF000000"/>
      <name val="Arial"/>
      <scheme val="minor"/>
    </font>
    <font>
      <b/>
      <color rgb="FF1F1F1F"/>
      <name val="Google Sans Text"/>
    </font>
    <font>
      <color rgb="FF1F1F1F"/>
      <name val="Google Sans Text"/>
    </font>
    <font>
      <color rgb="FF2F3237"/>
      <name val="Arial"/>
    </font>
    <font>
      <b/>
      <color theme="1"/>
      <name val="Arial"/>
      <scheme val="minor"/>
    </font>
    <font>
      <color rgb="FFFFFFFF"/>
      <name val="Arial"/>
      <scheme val="minor"/>
    </font>
    <font>
      <b/>
      <sz val="12.0"/>
      <color theme="1"/>
      <name val="Arial"/>
    </font>
    <font>
      <b/>
      <sz val="6.0"/>
      <color theme="1"/>
      <name val="Arial"/>
    </font>
    <font>
      <b/>
      <sz val="9.0"/>
      <color theme="1"/>
      <name val="Arial"/>
    </font>
    <font>
      <b/>
      <sz val="7.0"/>
      <color theme="1"/>
      <name val="Arial"/>
    </font>
    <font>
      <sz val="9.0"/>
      <color theme="1"/>
      <name val="Arial"/>
      <scheme val="minor"/>
    </font>
    <font/>
    <font>
      <sz val="6.0"/>
      <color rgb="FFFFFFFF"/>
      <name val="Arial"/>
    </font>
    <font>
      <b/>
      <sz val="7.0"/>
      <color rgb="FFFFFFFF"/>
      <name val="Arial"/>
    </font>
    <font>
      <b/>
      <sz val="9.0"/>
      <color rgb="FFFFFFFF"/>
      <name val="Arial"/>
    </font>
    <font>
      <b/>
      <sz val="8.0"/>
      <color theme="1"/>
      <name val="Arial"/>
    </font>
    <font>
      <color rgb="FF111E6C"/>
      <name val="Montserrat"/>
    </font>
    <font>
      <color rgb="FF1D1C1D"/>
      <name val="Arial"/>
      <scheme val="minor"/>
    </font>
    <font>
      <b/>
      <color rgb="FF000000"/>
      <name val="Arial"/>
    </font>
    <font>
      <b/>
      <sz val="10.0"/>
      <color theme="1"/>
      <name val="Arial"/>
    </font>
    <font>
      <b/>
      <sz val="12.0"/>
      <color rgb="FFFFFFFF"/>
      <name val="Montserrat"/>
    </font>
    <font>
      <sz val="12.0"/>
      <color theme="1"/>
      <name val="Montserrat"/>
    </font>
    <font>
      <b/>
      <sz val="12.0"/>
      <color theme="1"/>
      <name val="Montserrat"/>
    </font>
    <font>
      <b/>
      <sz val="14.0"/>
      <color rgb="FFFFFFFF"/>
      <name val="Montserrat"/>
    </font>
    <font>
      <sz val="12.0"/>
      <color rgb="FF000000"/>
      <name val="Montserrat"/>
    </font>
    <font>
      <b/>
      <i/>
      <color theme="1"/>
      <name val="Arial"/>
    </font>
    <font>
      <sz val="8.0"/>
      <color rgb="FF111E6C"/>
      <name val="Montserrat"/>
    </font>
  </fonts>
  <fills count="45">
    <fill>
      <patternFill patternType="none"/>
    </fill>
    <fill>
      <patternFill patternType="lightGray"/>
    </fill>
    <fill>
      <patternFill patternType="solid">
        <fgColor rgb="FFB7E1CD"/>
        <bgColor rgb="FFB7E1CD"/>
      </patternFill>
    </fill>
    <fill>
      <patternFill patternType="solid">
        <fgColor rgb="FF1155CC"/>
        <bgColor rgb="FF1155CC"/>
      </patternFill>
    </fill>
    <fill>
      <patternFill patternType="solid">
        <fgColor rgb="FFFFFFFF"/>
        <bgColor rgb="FFFFFFFF"/>
      </patternFill>
    </fill>
    <fill>
      <patternFill patternType="solid">
        <fgColor rgb="FF0B5394"/>
        <bgColor rgb="FF0B5394"/>
      </patternFill>
    </fill>
    <fill>
      <patternFill patternType="solid">
        <fgColor rgb="FFF3F3F3"/>
        <bgColor rgb="FFF3F3F3"/>
      </patternFill>
    </fill>
    <fill>
      <patternFill patternType="solid">
        <fgColor rgb="FF5A92AD"/>
        <bgColor rgb="FF5A92AD"/>
      </patternFill>
    </fill>
    <fill>
      <patternFill patternType="solid">
        <fgColor rgb="FFA5F3FF"/>
        <bgColor rgb="FFA5F3FF"/>
      </patternFill>
    </fill>
    <fill>
      <patternFill patternType="solid">
        <fgColor rgb="FF3D85C6"/>
        <bgColor rgb="FF3D85C6"/>
      </patternFill>
    </fill>
    <fill>
      <patternFill patternType="solid">
        <fgColor rgb="FF6AA84F"/>
        <bgColor rgb="FF6AA84F"/>
      </patternFill>
    </fill>
    <fill>
      <patternFill patternType="solid">
        <fgColor rgb="FF00FF00"/>
        <bgColor rgb="FF00FF00"/>
      </patternFill>
    </fill>
    <fill>
      <patternFill patternType="solid">
        <fgColor rgb="FF00FFFF"/>
        <bgColor rgb="FF00FFFF"/>
      </patternFill>
    </fill>
    <fill>
      <patternFill patternType="solid">
        <fgColor rgb="FFF8F8F8"/>
        <bgColor rgb="FFF8F8F8"/>
      </patternFill>
    </fill>
    <fill>
      <patternFill patternType="solid">
        <fgColor rgb="FF58BB8B"/>
        <bgColor rgb="FF58BB8B"/>
      </patternFill>
    </fill>
    <fill>
      <patternFill patternType="solid">
        <fgColor rgb="FF5CBD8D"/>
        <bgColor rgb="FF5CBD8D"/>
      </patternFill>
    </fill>
    <fill>
      <patternFill patternType="solid">
        <fgColor rgb="FF71C59C"/>
        <bgColor rgb="FF71C59C"/>
      </patternFill>
    </fill>
    <fill>
      <patternFill patternType="solid">
        <fgColor rgb="FFB4E4E8"/>
        <bgColor rgb="FFB4E4E8"/>
      </patternFill>
    </fill>
    <fill>
      <patternFill patternType="solid">
        <fgColor rgb="FFFFFF00"/>
        <bgColor rgb="FFFFFF00"/>
      </patternFill>
    </fill>
    <fill>
      <patternFill patternType="solid">
        <fgColor rgb="FFD9EAD3"/>
        <bgColor rgb="FFD9EAD3"/>
      </patternFill>
    </fill>
    <fill>
      <patternFill patternType="solid">
        <fgColor rgb="FFCFE2F3"/>
        <bgColor rgb="FFCFE2F3"/>
      </patternFill>
    </fill>
    <fill>
      <patternFill patternType="solid">
        <fgColor rgb="FF732F5F"/>
        <bgColor rgb="FF732F5F"/>
      </patternFill>
    </fill>
    <fill>
      <patternFill patternType="solid">
        <fgColor rgb="FF302468"/>
        <bgColor rgb="FF302468"/>
      </patternFill>
    </fill>
    <fill>
      <patternFill patternType="solid">
        <fgColor rgb="FFD43E51"/>
        <bgColor rgb="FFD43E51"/>
      </patternFill>
    </fill>
    <fill>
      <patternFill patternType="solid">
        <fgColor rgb="FFD9D2E9"/>
        <bgColor rgb="FFD9D2E9"/>
      </patternFill>
    </fill>
    <fill>
      <patternFill patternType="solid">
        <fgColor rgb="FFA2C4C9"/>
        <bgColor rgb="FFA2C4C9"/>
      </patternFill>
    </fill>
    <fill>
      <patternFill patternType="solid">
        <fgColor rgb="FFEAD1DC"/>
        <bgColor rgb="FFEAD1DC"/>
      </patternFill>
    </fill>
    <fill>
      <patternFill patternType="solid">
        <fgColor rgb="FFB6D7A8"/>
        <bgColor rgb="FFB6D7A8"/>
      </patternFill>
    </fill>
    <fill>
      <patternFill patternType="solid">
        <fgColor rgb="FF59BC8B"/>
        <bgColor rgb="FF59BC8B"/>
      </patternFill>
    </fill>
    <fill>
      <patternFill patternType="solid">
        <fgColor theme="0"/>
        <bgColor theme="0"/>
      </patternFill>
    </fill>
    <fill>
      <patternFill patternType="solid">
        <fgColor rgb="FFFF0000"/>
        <bgColor rgb="FFFF0000"/>
      </patternFill>
    </fill>
    <fill>
      <patternFill patternType="solid">
        <fgColor rgb="FF0000FF"/>
        <bgColor rgb="FF0000FF"/>
      </patternFill>
    </fill>
    <fill>
      <patternFill patternType="solid">
        <fgColor rgb="FFFF00FF"/>
        <bgColor rgb="FFFF00FF"/>
      </patternFill>
    </fill>
    <fill>
      <patternFill patternType="solid">
        <fgColor rgb="FFB7B7B7"/>
        <bgColor rgb="FFB7B7B7"/>
      </patternFill>
    </fill>
    <fill>
      <patternFill patternType="solid">
        <fgColor rgb="FFFF9900"/>
        <bgColor rgb="FFFF9900"/>
      </patternFill>
    </fill>
    <fill>
      <patternFill patternType="solid">
        <fgColor rgb="FFBF9000"/>
        <bgColor rgb="FFBF9000"/>
      </patternFill>
    </fill>
    <fill>
      <patternFill patternType="solid">
        <fgColor rgb="FF9FC5E8"/>
        <bgColor rgb="FF9FC5E8"/>
      </patternFill>
    </fill>
    <fill>
      <patternFill patternType="solid">
        <fgColor rgb="FFD9F1F3"/>
        <bgColor rgb="FFD9F1F3"/>
      </patternFill>
    </fill>
    <fill>
      <patternFill patternType="solid">
        <fgColor rgb="FF666666"/>
        <bgColor rgb="FF666666"/>
      </patternFill>
    </fill>
    <fill>
      <patternFill patternType="solid">
        <fgColor rgb="FFFCE5CD"/>
        <bgColor rgb="FFFCE5CD"/>
      </patternFill>
    </fill>
    <fill>
      <patternFill patternType="solid">
        <fgColor rgb="FFC9DAF8"/>
        <bgColor rgb="FFC9DAF8"/>
      </patternFill>
    </fill>
    <fill>
      <patternFill patternType="solid">
        <fgColor rgb="FF38761D"/>
        <bgColor rgb="FF38761D"/>
      </patternFill>
    </fill>
    <fill>
      <patternFill patternType="solid">
        <fgColor rgb="FFFFE599"/>
        <bgColor rgb="FFFFE599"/>
      </patternFill>
    </fill>
    <fill>
      <patternFill patternType="solid">
        <fgColor rgb="FF4A86E8"/>
        <bgColor rgb="FF4A86E8"/>
      </patternFill>
    </fill>
    <fill>
      <patternFill patternType="solid">
        <fgColor rgb="FFFFF2CC"/>
        <bgColor rgb="FFFFF2CC"/>
      </patternFill>
    </fill>
  </fills>
  <borders count="19">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FF00"/>
      </left>
      <right style="thin">
        <color rgb="FF000000"/>
      </right>
      <top style="thin">
        <color rgb="FF00FF00"/>
      </top>
      <bottom style="thin">
        <color rgb="FF00FF00"/>
      </bottom>
    </border>
    <border>
      <left style="thin">
        <color rgb="FF000000"/>
      </left>
      <right style="thin">
        <color rgb="FF000000"/>
      </right>
      <top style="thin">
        <color rgb="FF00FF00"/>
      </top>
      <bottom style="thin">
        <color rgb="FF00FF00"/>
      </bottom>
    </border>
    <border>
      <top style="thin">
        <color rgb="FF00FF00"/>
      </top>
      <bottom style="thin">
        <color rgb="FF00FF00"/>
      </bottom>
    </border>
    <border>
      <right style="thin">
        <color rgb="FF00FF00"/>
      </right>
      <top style="thin">
        <color rgb="FF00FF00"/>
      </top>
      <bottom style="thin">
        <color rgb="FF00FF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6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shrinkToFit="0" wrapText="1"/>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2" fillId="3" fontId="2" numFmtId="168" xfId="0" applyAlignment="1" applyBorder="1" applyFill="1" applyFont="1" applyNumberFormat="1">
      <alignment horizontal="center" shrinkToFit="0" wrapText="1"/>
    </xf>
    <xf borderId="1" fillId="2" fontId="1" numFmtId="167" xfId="0" applyAlignment="1" applyBorder="1" applyFill="1" applyFont="1" applyNumberFormat="1">
      <alignment horizontal="center" readingOrder="0" shrinkToFit="0" vertical="center" wrapText="1"/>
    </xf>
    <xf borderId="1" fillId="2" fontId="1" numFmtId="0" xfId="0" applyAlignment="1" applyBorder="1" applyFill="1" applyFont="1">
      <alignment horizontal="left" readingOrder="0" shrinkToFit="0" vertical="center" wrapText="0"/>
    </xf>
    <xf borderId="1" fillId="2" fontId="1" numFmtId="0" xfId="0" applyAlignment="1" applyBorder="1" applyFill="1" applyFont="1">
      <alignment horizontal="center" readingOrder="0" shrinkToFit="0" vertical="center" wrapText="0"/>
    </xf>
    <xf borderId="2" fillId="3" fontId="2" numFmtId="49" xfId="0" applyAlignment="1" applyBorder="1" applyFill="1" applyFont="1" applyNumberFormat="1">
      <alignment horizontal="center" shrinkToFit="0" wrapText="1"/>
    </xf>
    <xf borderId="1" fillId="2" fontId="1" numFmtId="167" xfId="0" applyAlignment="1" applyBorder="1" applyFill="1" applyFont="1" applyNumberFormat="1">
      <alignment horizontal="center" readingOrder="0" shrinkToFit="0" vertical="center" wrapText="1"/>
    </xf>
    <xf borderId="2" fillId="3" fontId="2" numFmtId="169" xfId="0" applyAlignment="1" applyBorder="1" applyFill="1" applyFont="1" applyNumberFormat="1">
      <alignment horizontal="center" shrinkToFit="0" wrapText="1"/>
    </xf>
    <xf borderId="0" fillId="0" fontId="3" numFmtId="0" xfId="0" applyAlignment="1" applyFont="1">
      <alignment horizontal="center"/>
    </xf>
    <xf borderId="2" fillId="0" fontId="4" numFmtId="0" xfId="0" applyAlignment="1" applyBorder="1" applyFont="1">
      <alignment horizontal="center" shrinkToFit="0" wrapText="1"/>
    </xf>
    <xf borderId="0" fillId="0" fontId="3" numFmtId="0" xfId="0" applyAlignment="1" applyFont="1">
      <alignment readingOrder="0"/>
    </xf>
    <xf borderId="0" fillId="4" fontId="5" numFmtId="0" xfId="0" applyAlignment="1" applyFill="1" applyFont="1">
      <alignment readingOrder="0"/>
    </xf>
    <xf borderId="2" fillId="0" fontId="6" numFmtId="0" xfId="0" applyBorder="1" applyFont="1"/>
    <xf borderId="0" fillId="4" fontId="6" numFmtId="0" xfId="0" applyFill="1" applyFont="1"/>
    <xf borderId="0" fillId="0" fontId="6" numFmtId="0" xfId="0" applyFont="1"/>
    <xf borderId="2" fillId="0" fontId="6" numFmtId="0" xfId="0" applyAlignment="1" applyBorder="1" applyFont="1">
      <alignment vertical="bottom"/>
    </xf>
    <xf borderId="0" fillId="0" fontId="3" numFmtId="164" xfId="0" applyFont="1" applyNumberFormat="1"/>
    <xf borderId="2" fillId="0" fontId="6" numFmtId="0" xfId="0" applyAlignment="1" applyBorder="1" applyFont="1">
      <alignment readingOrder="0" vertical="bottom"/>
    </xf>
    <xf borderId="0" fillId="4" fontId="3" numFmtId="164" xfId="0" applyAlignment="1" applyFill="1" applyFont="1" applyNumberFormat="1">
      <alignment horizontal="center" readingOrder="0"/>
    </xf>
    <xf borderId="2" fillId="0" fontId="6" numFmtId="168" xfId="0" applyAlignment="1" applyBorder="1" applyFont="1" applyNumberFormat="1">
      <alignment vertical="bottom"/>
    </xf>
    <xf borderId="0" fillId="4" fontId="6" numFmtId="165" xfId="0" applyAlignment="1" applyFill="1" applyFont="1" applyNumberFormat="1">
      <alignment horizontal="center" readingOrder="0" vertical="center"/>
    </xf>
    <xf borderId="2" fillId="0" fontId="6" numFmtId="168" xfId="0" applyAlignment="1" applyBorder="1" applyFont="1" applyNumberFormat="1">
      <alignment horizontal="right" vertical="bottom"/>
    </xf>
    <xf borderId="0" fillId="4" fontId="6" numFmtId="166" xfId="0" applyAlignment="1" applyFill="1" applyFont="1" applyNumberFormat="1">
      <alignment horizontal="center" readingOrder="0" vertical="center"/>
    </xf>
    <xf borderId="0" fillId="0" fontId="3" numFmtId="167" xfId="0" applyAlignment="1" applyFont="1" applyNumberFormat="1">
      <alignment readingOrder="0"/>
    </xf>
    <xf borderId="2" fillId="0" fontId="6" numFmtId="49" xfId="0" applyAlignment="1" applyBorder="1" applyFont="1" applyNumberFormat="1">
      <alignment vertical="bottom"/>
    </xf>
    <xf borderId="0" fillId="0" fontId="3" numFmtId="0" xfId="0" applyAlignment="1" applyFont="1">
      <alignment horizontal="left" readingOrder="0" shrinkToFit="0" wrapText="0"/>
    </xf>
    <xf borderId="2" fillId="0" fontId="7" numFmtId="170" xfId="0" applyAlignment="1" applyBorder="1" applyFont="1" applyNumberFormat="1">
      <alignment horizontal="right" vertical="bottom"/>
    </xf>
    <xf borderId="0" fillId="0" fontId="3" numFmtId="0" xfId="0" applyFont="1"/>
    <xf borderId="2" fillId="0" fontId="6" numFmtId="0" xfId="0" applyAlignment="1" applyBorder="1" applyFont="1">
      <alignment horizontal="right" vertical="bottom"/>
    </xf>
    <xf borderId="2" fillId="0" fontId="6" numFmtId="169" xfId="0" applyAlignment="1" applyBorder="1" applyFont="1" applyNumberFormat="1">
      <alignment horizontal="right" vertical="bottom"/>
    </xf>
    <xf borderId="0" fillId="0" fontId="6" numFmtId="0" xfId="0" applyAlignment="1" applyFont="1">
      <alignment vertical="bottom"/>
    </xf>
    <xf borderId="0" fillId="0" fontId="3" numFmtId="167" xfId="0" applyAlignment="1" applyFont="1" applyNumberFormat="1">
      <alignment readingOrder="0"/>
    </xf>
    <xf borderId="0" fillId="0" fontId="3" numFmtId="167" xfId="0" applyFont="1" applyNumberFormat="1"/>
    <xf borderId="0" fillId="4" fontId="8" numFmtId="0" xfId="0" applyAlignment="1" applyFill="1" applyFont="1">
      <alignment readingOrder="0"/>
    </xf>
    <xf borderId="0" fillId="4" fontId="1" numFmtId="0" xfId="0" applyAlignment="1" applyFill="1" applyFont="1">
      <alignment vertical="bottom"/>
    </xf>
    <xf borderId="2" fillId="0" fontId="6" numFmtId="169" xfId="0" applyAlignment="1" applyBorder="1" applyFont="1" applyNumberFormat="1">
      <alignment vertical="bottom"/>
    </xf>
    <xf borderId="2" fillId="0" fontId="6" numFmtId="168" xfId="0" applyAlignment="1" applyBorder="1" applyFont="1" applyNumberFormat="1">
      <alignment readingOrder="0" vertical="bottom"/>
    </xf>
    <xf borderId="2" fillId="5" fontId="9" numFmtId="0" xfId="0" applyAlignment="1" applyBorder="1" applyFill="1" applyFont="1">
      <alignment horizontal="center" readingOrder="0"/>
    </xf>
    <xf borderId="2" fillId="5" fontId="10" numFmtId="0" xfId="0" applyAlignment="1" applyBorder="1" applyFill="1" applyFont="1">
      <alignment horizontal="center" readingOrder="0"/>
    </xf>
    <xf borderId="2" fillId="5" fontId="9" numFmtId="0" xfId="0" applyAlignment="1" applyBorder="1" applyFill="1" applyFont="1">
      <alignment horizontal="center" readingOrder="0" shrinkToFit="0" wrapText="1"/>
    </xf>
    <xf borderId="2" fillId="0" fontId="3" numFmtId="0" xfId="0" applyAlignment="1" applyBorder="1" applyFont="1">
      <alignment horizontal="center"/>
    </xf>
    <xf borderId="2" fillId="6" fontId="6" numFmtId="0" xfId="0" applyAlignment="1" applyBorder="1" applyFill="1" applyFont="1">
      <alignment vertical="bottom"/>
    </xf>
    <xf borderId="2" fillId="4" fontId="5" numFmtId="0" xfId="0" applyAlignment="1" applyBorder="1" applyFill="1" applyFont="1">
      <alignment readingOrder="0"/>
    </xf>
    <xf borderId="2" fillId="4" fontId="11" numFmtId="0" xfId="0" applyAlignment="1" applyBorder="1" applyFill="1" applyFont="1">
      <alignment readingOrder="0"/>
    </xf>
    <xf borderId="2" fillId="0" fontId="1" numFmtId="0" xfId="0" applyAlignment="1" applyBorder="1" applyFont="1">
      <alignment readingOrder="0"/>
    </xf>
    <xf borderId="2" fillId="7" fontId="11" numFmtId="0" xfId="0" applyAlignment="1" applyBorder="1" applyFill="1" applyFont="1">
      <alignment readingOrder="0"/>
    </xf>
    <xf borderId="0" fillId="4" fontId="3" numFmtId="0" xfId="0" applyAlignment="1" applyFill="1" applyFont="1">
      <alignment readingOrder="0"/>
    </xf>
    <xf borderId="0" fillId="4" fontId="12" numFmtId="0" xfId="0" applyAlignment="1" applyFill="1" applyFont="1">
      <alignment horizontal="left" readingOrder="0"/>
    </xf>
    <xf borderId="2" fillId="8" fontId="11" numFmtId="0" xfId="0" applyAlignment="1" applyBorder="1" applyFill="1" applyFont="1">
      <alignment readingOrder="0"/>
    </xf>
    <xf borderId="0" fillId="4" fontId="6" numFmtId="0" xfId="0" applyAlignment="1" applyFill="1" applyFont="1">
      <alignment vertical="bottom"/>
    </xf>
    <xf borderId="0" fillId="4" fontId="8" numFmtId="0" xfId="0" applyAlignment="1" applyFill="1" applyFont="1">
      <alignment vertical="bottom"/>
    </xf>
    <xf borderId="3" fillId="0" fontId="6" numFmtId="0" xfId="0" applyAlignment="1" applyBorder="1" applyFont="1">
      <alignment vertical="bottom"/>
    </xf>
    <xf borderId="2" fillId="0" fontId="13" numFmtId="0" xfId="0" applyAlignment="1" applyBorder="1" applyFont="1">
      <alignment readingOrder="0"/>
    </xf>
    <xf borderId="0" fillId="4" fontId="14" numFmtId="0" xfId="0" applyAlignment="1" applyFill="1" applyFont="1">
      <alignment readingOrder="0"/>
    </xf>
    <xf borderId="3" fillId="6" fontId="6" numFmtId="0" xfId="0" applyAlignment="1" applyBorder="1" applyFill="1" applyFont="1">
      <alignment vertical="bottom"/>
    </xf>
    <xf borderId="3" fillId="0" fontId="6" numFmtId="168" xfId="0" applyAlignment="1" applyBorder="1" applyFont="1" applyNumberFormat="1">
      <alignment vertical="bottom"/>
    </xf>
    <xf borderId="2" fillId="0" fontId="3" numFmtId="0" xfId="0" applyAlignment="1" applyBorder="1" applyFont="1">
      <alignment readingOrder="0"/>
    </xf>
    <xf borderId="3" fillId="0" fontId="6" numFmtId="168" xfId="0" applyAlignment="1" applyBorder="1" applyFont="1" applyNumberFormat="1">
      <alignment horizontal="right" vertical="bottom"/>
    </xf>
    <xf borderId="0" fillId="0" fontId="3" numFmtId="10" xfId="0" applyAlignment="1" applyFont="1" applyNumberFormat="1">
      <alignment horizontal="left" readingOrder="0" shrinkToFit="0" wrapText="0"/>
    </xf>
    <xf borderId="3" fillId="0" fontId="6" numFmtId="0" xfId="0" applyAlignment="1" applyBorder="1" applyFont="1">
      <alignment readingOrder="0" vertical="bottom"/>
    </xf>
    <xf borderId="2" fillId="9" fontId="15" numFmtId="0" xfId="0" applyAlignment="1" applyBorder="1" applyFill="1" applyFont="1">
      <alignment readingOrder="0"/>
    </xf>
    <xf borderId="3" fillId="0" fontId="6" numFmtId="49" xfId="0" applyAlignment="1" applyBorder="1" applyFont="1" applyNumberFormat="1">
      <alignment vertical="bottom"/>
    </xf>
    <xf borderId="3" fillId="0" fontId="6" numFmtId="169" xfId="0" applyAlignment="1" applyBorder="1" applyFont="1" applyNumberFormat="1">
      <alignment horizontal="right" vertical="bottom"/>
    </xf>
    <xf borderId="4" fillId="0" fontId="6" numFmtId="0" xfId="0" applyAlignment="1" applyBorder="1" applyFont="1">
      <alignment vertical="bottom"/>
    </xf>
    <xf borderId="5" fillId="0" fontId="6" numFmtId="0" xfId="0" applyAlignment="1" applyBorder="1" applyFont="1">
      <alignment vertical="bottom"/>
    </xf>
    <xf borderId="5" fillId="0" fontId="6" numFmtId="168" xfId="0" applyAlignment="1" applyBorder="1" applyFont="1" applyNumberFormat="1">
      <alignment vertical="bottom"/>
    </xf>
    <xf borderId="5" fillId="0" fontId="6" numFmtId="169" xfId="0" applyAlignment="1" applyBorder="1" applyFont="1" applyNumberFormat="1">
      <alignment vertical="bottom"/>
    </xf>
    <xf borderId="6" fillId="0" fontId="6" numFmtId="0" xfId="0" applyAlignment="1" applyBorder="1" applyFont="1">
      <alignment vertical="bottom"/>
    </xf>
    <xf borderId="7" fillId="0" fontId="6" numFmtId="0" xfId="0" applyAlignment="1" applyBorder="1" applyFont="1">
      <alignment vertical="bottom"/>
    </xf>
    <xf borderId="8" fillId="0" fontId="6" numFmtId="0" xfId="0" applyAlignment="1" applyBorder="1" applyFont="1">
      <alignment vertical="bottom"/>
    </xf>
    <xf borderId="8" fillId="0" fontId="6" numFmtId="168" xfId="0" applyAlignment="1" applyBorder="1" applyFont="1" applyNumberFormat="1">
      <alignment horizontal="right" vertical="bottom"/>
    </xf>
    <xf borderId="8" fillId="0" fontId="6" numFmtId="0" xfId="0" applyAlignment="1" applyBorder="1" applyFont="1">
      <alignment readingOrder="0" vertical="bottom"/>
    </xf>
    <xf borderId="8" fillId="0" fontId="6" numFmtId="0" xfId="0" applyAlignment="1" applyBorder="1" applyFont="1">
      <alignment horizontal="right" vertical="bottom"/>
    </xf>
    <xf borderId="8" fillId="0" fontId="6" numFmtId="169" xfId="0" applyAlignment="1" applyBorder="1" applyFont="1" applyNumberFormat="1">
      <alignment horizontal="right" vertical="bottom"/>
    </xf>
    <xf borderId="0" fillId="0" fontId="3" numFmtId="0" xfId="0" applyAlignment="1" applyFont="1">
      <alignment horizontal="left" shrinkToFit="0" wrapText="0"/>
    </xf>
    <xf borderId="0" fillId="4" fontId="16" numFmtId="0" xfId="0" applyAlignment="1" applyFill="1" applyFont="1">
      <alignment vertical="bottom"/>
    </xf>
    <xf borderId="0" fillId="4" fontId="11" numFmtId="0" xfId="0" applyAlignment="1" applyFill="1" applyFont="1">
      <alignment readingOrder="0"/>
    </xf>
    <xf borderId="0" fillId="4" fontId="8" numFmtId="171" xfId="0" applyAlignment="1" applyFill="1" applyFont="1" applyNumberFormat="1">
      <alignment horizontal="right" vertical="bottom"/>
    </xf>
    <xf borderId="2" fillId="10" fontId="11" numFmtId="0" xfId="0" applyAlignment="1" applyBorder="1" applyFill="1" applyFont="1">
      <alignment readingOrder="0"/>
    </xf>
    <xf borderId="0" fillId="0" fontId="6" numFmtId="170" xfId="0" applyAlignment="1" applyFont="1" applyNumberFormat="1">
      <alignment horizontal="right" vertical="bottom"/>
    </xf>
    <xf borderId="0" fillId="11" fontId="5" numFmtId="0" xfId="0" applyAlignment="1" applyFill="1" applyFont="1">
      <alignment readingOrder="0"/>
    </xf>
    <xf borderId="0" fillId="6" fontId="3" numFmtId="0" xfId="0" applyAlignment="1" applyFill="1" applyFont="1">
      <alignment readingOrder="0"/>
    </xf>
    <xf borderId="0" fillId="0" fontId="17" numFmtId="0" xfId="0" applyAlignment="1" applyFont="1">
      <alignment readingOrder="0"/>
    </xf>
    <xf borderId="0" fillId="0" fontId="17" numFmtId="0" xfId="0" applyAlignment="1" applyFont="1">
      <alignment horizontal="center" readingOrder="0"/>
    </xf>
    <xf borderId="0" fillId="0" fontId="3" numFmtId="167" xfId="0" applyFont="1" applyNumberFormat="1"/>
    <xf borderId="0" fillId="0" fontId="3" numFmtId="0" xfId="0" applyAlignment="1" applyFont="1">
      <alignment horizontal="center" readingOrder="0"/>
    </xf>
    <xf borderId="0" fillId="4" fontId="18" numFmtId="0" xfId="0" applyAlignment="1" applyFill="1" applyFont="1">
      <alignment readingOrder="0"/>
    </xf>
    <xf borderId="0" fillId="0" fontId="3" numFmtId="0" xfId="0" applyAlignment="1" applyFont="1">
      <alignment readingOrder="0"/>
    </xf>
    <xf borderId="0" fillId="4" fontId="18" numFmtId="0" xfId="0" applyAlignment="1" applyFill="1" applyFont="1">
      <alignment readingOrder="0"/>
    </xf>
    <xf borderId="2" fillId="0" fontId="19" numFmtId="0" xfId="0" applyAlignment="1" applyBorder="1" applyFont="1">
      <alignment vertical="bottom"/>
    </xf>
    <xf borderId="0" fillId="4" fontId="20" numFmtId="0" xfId="0" applyAlignment="1" applyFill="1" applyFont="1">
      <alignment vertical="bottom"/>
    </xf>
    <xf borderId="0" fillId="12" fontId="3" numFmtId="0" xfId="0" applyAlignment="1" applyFill="1" applyFont="1">
      <alignment readingOrder="0"/>
    </xf>
    <xf borderId="2" fillId="0" fontId="6" numFmtId="170" xfId="0" applyAlignment="1" applyBorder="1" applyFont="1" applyNumberFormat="1">
      <alignment horizontal="right" vertical="bottom"/>
    </xf>
    <xf borderId="0" fillId="0" fontId="20" numFmtId="169" xfId="0" applyAlignment="1" applyFont="1" applyNumberFormat="1">
      <alignment horizontal="right" vertical="bottom"/>
    </xf>
    <xf borderId="2" fillId="0" fontId="1" numFmtId="0" xfId="0" applyAlignment="1" applyBorder="1" applyFont="1">
      <alignment vertical="bottom"/>
    </xf>
    <xf borderId="0" fillId="4" fontId="21" numFmtId="0" xfId="0" applyAlignment="1" applyFill="1" applyFont="1">
      <alignment vertical="bottom"/>
    </xf>
    <xf borderId="2" fillId="0" fontId="6" numFmtId="0" xfId="0" applyAlignment="1" applyBorder="1" applyFont="1">
      <alignment readingOrder="0" vertical="bottom"/>
    </xf>
    <xf borderId="2" fillId="0" fontId="6" numFmtId="169" xfId="0" applyAlignment="1" applyBorder="1" applyFont="1" applyNumberFormat="1">
      <alignment readingOrder="0" vertical="bottom"/>
    </xf>
    <xf borderId="8" fillId="0" fontId="6" numFmtId="0" xfId="0" applyAlignment="1" applyBorder="1" applyFont="1">
      <alignment vertical="bottom"/>
    </xf>
    <xf borderId="2" fillId="0" fontId="6" numFmtId="0" xfId="0" applyAlignment="1" applyBorder="1" applyFont="1">
      <alignment vertical="bottom"/>
    </xf>
    <xf borderId="8" fillId="0" fontId="6" numFmtId="0" xfId="0" applyAlignment="1" applyBorder="1" applyFont="1">
      <alignment horizontal="right" vertical="bottom"/>
    </xf>
    <xf borderId="8" fillId="0" fontId="6" numFmtId="169" xfId="0" applyAlignment="1" applyBorder="1" applyFont="1" applyNumberFormat="1">
      <alignment vertical="bottom"/>
    </xf>
    <xf borderId="0" fillId="0" fontId="4" numFmtId="0" xfId="0" applyAlignment="1" applyFont="1">
      <alignment vertical="bottom"/>
    </xf>
    <xf borderId="2" fillId="0" fontId="6" numFmtId="0" xfId="0" applyAlignment="1" applyBorder="1" applyFont="1">
      <alignment horizontal="right" vertical="bottom"/>
    </xf>
    <xf borderId="0" fillId="0" fontId="6" numFmtId="0" xfId="0" applyAlignment="1" applyFont="1">
      <alignment vertical="bottom"/>
    </xf>
    <xf borderId="0" fillId="0" fontId="3" numFmtId="0" xfId="0" applyAlignment="1" applyFont="1">
      <alignment horizontal="center" readingOrder="0" shrinkToFit="0" vertical="center" wrapText="1"/>
    </xf>
    <xf borderId="0" fillId="4" fontId="8" numFmtId="169" xfId="0" applyAlignment="1" applyFill="1" applyFont="1" applyNumberFormat="1">
      <alignment horizontal="right" vertical="bottom"/>
    </xf>
    <xf borderId="2" fillId="0" fontId="22" numFmtId="0" xfId="0" applyAlignment="1" applyBorder="1" applyFont="1">
      <alignment vertical="bottom"/>
    </xf>
    <xf borderId="0" fillId="13" fontId="18" numFmtId="0" xfId="0" applyAlignment="1" applyFill="1" applyFont="1">
      <alignment horizontal="left" readingOrder="0"/>
    </xf>
    <xf borderId="2" fillId="0" fontId="23" numFmtId="0" xfId="0" applyAlignment="1" applyBorder="1" applyFont="1">
      <alignment vertical="bottom"/>
    </xf>
    <xf borderId="0" fillId="4" fontId="12" numFmtId="0" xfId="0" applyAlignment="1" applyFill="1" applyFont="1">
      <alignment horizontal="left" readingOrder="0"/>
    </xf>
    <xf borderId="2" fillId="0" fontId="6" numFmtId="170" xfId="0" applyAlignment="1" applyBorder="1" applyFont="1" applyNumberFormat="1">
      <alignment readingOrder="0" vertical="bottom"/>
    </xf>
    <xf borderId="0" fillId="4" fontId="18" numFmtId="0" xfId="0" applyAlignment="1" applyFill="1" applyFont="1">
      <alignment horizontal="left" readingOrder="0"/>
    </xf>
    <xf borderId="0" fillId="0" fontId="3" numFmtId="169" xfId="0" applyAlignment="1" applyFont="1" applyNumberFormat="1">
      <alignment readingOrder="0"/>
    </xf>
    <xf borderId="0" fillId="0" fontId="3" numFmtId="172" xfId="0" applyAlignment="1" applyFont="1" applyNumberFormat="1">
      <alignment horizontal="left" readingOrder="0" shrinkToFit="0" wrapText="0"/>
    </xf>
    <xf borderId="2" fillId="0" fontId="7" numFmtId="170" xfId="0" applyAlignment="1" applyBorder="1" applyFont="1" applyNumberFormat="1">
      <alignment horizontal="right" readingOrder="0" vertical="bottom"/>
    </xf>
    <xf borderId="0" fillId="0" fontId="3" numFmtId="0" xfId="0" applyAlignment="1" applyFont="1">
      <alignment readingOrder="0" vertical="bottom"/>
    </xf>
    <xf borderId="2" fillId="0" fontId="6" numFmtId="171" xfId="0" applyAlignment="1" applyBorder="1" applyFont="1" applyNumberFormat="1">
      <alignment readingOrder="0" vertical="bottom"/>
    </xf>
    <xf borderId="0" fillId="4" fontId="24" numFmtId="0" xfId="0" applyAlignment="1" applyFill="1" applyFont="1">
      <alignment horizontal="left" readingOrder="0"/>
    </xf>
    <xf borderId="0" fillId="0" fontId="6" numFmtId="0" xfId="0" applyAlignment="1" applyFont="1">
      <alignment readingOrder="0" vertical="bottom"/>
    </xf>
    <xf borderId="0" fillId="13" fontId="12" numFmtId="0" xfId="0" applyAlignment="1" applyFill="1" applyFont="1">
      <alignment horizontal="left" readingOrder="0"/>
    </xf>
    <xf borderId="0" fillId="0" fontId="20" numFmtId="173" xfId="0" applyAlignment="1" applyFont="1" applyNumberFormat="1">
      <alignment vertical="bottom"/>
    </xf>
    <xf borderId="0" fillId="4" fontId="18" numFmtId="0" xfId="0" applyAlignment="1" applyFill="1" applyFont="1">
      <alignment shrinkToFit="0" vertical="bottom" wrapText="0"/>
    </xf>
    <xf borderId="0" fillId="13" fontId="18" numFmtId="173" xfId="0" applyAlignment="1" applyFill="1" applyFont="1" applyNumberFormat="1">
      <alignment vertical="bottom"/>
    </xf>
    <xf borderId="0" fillId="13" fontId="18" numFmtId="0" xfId="0" applyAlignment="1" applyFill="1" applyFont="1">
      <alignment shrinkToFit="0" vertical="bottom" wrapText="0"/>
    </xf>
    <xf borderId="2" fillId="0" fontId="25" numFmtId="0" xfId="0" applyAlignment="1" applyBorder="1" applyFont="1">
      <alignment readingOrder="0" vertical="bottom"/>
    </xf>
    <xf borderId="0" fillId="4" fontId="26" numFmtId="0" xfId="0" applyAlignment="1" applyFill="1" applyFont="1">
      <alignment horizontal="left" readingOrder="0"/>
    </xf>
    <xf borderId="2" fillId="0" fontId="6" numFmtId="0" xfId="0" applyAlignment="1" applyBorder="1" applyFont="1">
      <alignment horizontal="right" readingOrder="0" vertical="bottom"/>
    </xf>
    <xf borderId="2" fillId="0" fontId="6" numFmtId="169" xfId="0" applyAlignment="1" applyBorder="1" applyFont="1" applyNumberFormat="1">
      <alignment horizontal="center" readingOrder="0" vertical="bottom"/>
    </xf>
    <xf borderId="2" fillId="0" fontId="27" numFmtId="0" xfId="0" applyAlignment="1" applyBorder="1" applyFont="1">
      <alignment readingOrder="0" vertical="bottom"/>
    </xf>
    <xf borderId="0" fillId="13" fontId="28" numFmtId="0" xfId="0" applyAlignment="1" applyFill="1" applyFont="1">
      <alignment horizontal="left" readingOrder="0"/>
    </xf>
    <xf borderId="0" fillId="4" fontId="28" numFmtId="0" xfId="0" applyAlignment="1" applyFill="1" applyFont="1">
      <alignment horizontal="left" readingOrder="0"/>
    </xf>
    <xf borderId="2" fillId="0" fontId="6" numFmtId="0" xfId="0" applyAlignment="1" applyBorder="1" applyFont="1">
      <alignment readingOrder="0" shrinkToFit="0" vertical="center" wrapText="0"/>
    </xf>
    <xf borderId="0" fillId="0" fontId="3" numFmtId="0" xfId="0" applyAlignment="1" applyFont="1">
      <alignment readingOrder="0"/>
    </xf>
    <xf borderId="0" fillId="0" fontId="3" numFmtId="0" xfId="0" applyAlignment="1" applyFont="1">
      <alignment horizontal="left" readingOrder="0"/>
    </xf>
    <xf borderId="0" fillId="0" fontId="29" numFmtId="0" xfId="0" applyAlignment="1" applyFont="1">
      <alignment horizontal="left" readingOrder="0"/>
    </xf>
    <xf borderId="0" fillId="0" fontId="30" numFmtId="0" xfId="0" applyAlignment="1" applyFont="1">
      <alignment readingOrder="0"/>
    </xf>
    <xf borderId="0" fillId="0" fontId="3" numFmtId="0" xfId="0" applyAlignment="1" applyFont="1">
      <alignment horizontal="left" readingOrder="0" shrinkToFit="0" vertical="center" wrapText="1"/>
    </xf>
    <xf borderId="0" fillId="0" fontId="13" numFmtId="0" xfId="0" applyAlignment="1" applyFont="1">
      <alignment readingOrder="0"/>
    </xf>
    <xf borderId="2" fillId="0" fontId="6" numFmtId="0" xfId="0" applyAlignment="1" applyBorder="1" applyFont="1">
      <alignment horizontal="center" readingOrder="0" vertical="bottom"/>
    </xf>
    <xf borderId="2" fillId="4" fontId="31" numFmtId="0" xfId="0" applyAlignment="1" applyBorder="1" applyFill="1" applyFont="1">
      <alignment readingOrder="0"/>
    </xf>
    <xf borderId="2" fillId="0" fontId="32" numFmtId="0" xfId="0" applyAlignment="1" applyBorder="1" applyFont="1">
      <alignment readingOrder="0" vertical="bottom"/>
    </xf>
    <xf borderId="2" fillId="4" fontId="24" numFmtId="0" xfId="0" applyAlignment="1" applyBorder="1" applyFill="1" applyFont="1">
      <alignment readingOrder="0"/>
    </xf>
    <xf borderId="0" fillId="4" fontId="8" numFmtId="170" xfId="0" applyAlignment="1" applyFill="1" applyFont="1" applyNumberFormat="1">
      <alignment horizontal="right" readingOrder="0" shrinkToFit="0" wrapText="0"/>
    </xf>
    <xf borderId="0" fillId="4" fontId="33" numFmtId="0" xfId="0" applyAlignment="1" applyFill="1" applyFont="1">
      <alignment horizontal="center" readingOrder="0"/>
    </xf>
    <xf borderId="0" fillId="4" fontId="34" numFmtId="0" xfId="0" applyAlignment="1" applyFill="1" applyFont="1">
      <alignment readingOrder="0"/>
    </xf>
    <xf borderId="0" fillId="4" fontId="35" numFmtId="0" xfId="0" applyAlignment="1" applyFill="1" applyFont="1">
      <alignment readingOrder="0" shrinkToFit="0" wrapText="0"/>
    </xf>
    <xf borderId="2" fillId="4" fontId="36" numFmtId="0" xfId="0" applyAlignment="1" applyBorder="1" applyFill="1" applyFont="1">
      <alignment horizontal="left" readingOrder="0"/>
    </xf>
    <xf borderId="0" fillId="13" fontId="18" numFmtId="0" xfId="0" applyAlignment="1" applyFill="1" applyFont="1">
      <alignment readingOrder="0" vertical="bottom"/>
    </xf>
    <xf borderId="2" fillId="4" fontId="37" numFmtId="0" xfId="0" applyAlignment="1" applyBorder="1" applyFill="1" applyFont="1">
      <alignment horizontal="left" readingOrder="0"/>
    </xf>
    <xf borderId="0" fillId="0" fontId="38" numFmtId="0" xfId="0" applyAlignment="1" applyFont="1">
      <alignment readingOrder="0" vertical="bottom"/>
    </xf>
    <xf borderId="2" fillId="0" fontId="39" numFmtId="0" xfId="0" applyAlignment="1" applyBorder="1" applyFont="1">
      <alignment readingOrder="0"/>
    </xf>
    <xf borderId="0" fillId="0" fontId="3" numFmtId="0" xfId="0" applyAlignment="1" applyFont="1">
      <alignment readingOrder="0" shrinkToFit="0" wrapText="0"/>
    </xf>
    <xf borderId="0" fillId="0" fontId="40" numFmtId="0" xfId="0" applyAlignment="1" applyFont="1">
      <alignment readingOrder="0" vertical="bottom"/>
    </xf>
    <xf borderId="2" fillId="12" fontId="6" numFmtId="0" xfId="0" applyAlignment="1" applyBorder="1" applyFill="1" applyFont="1">
      <alignment readingOrder="0" vertical="bottom"/>
    </xf>
    <xf borderId="2" fillId="12" fontId="37" numFmtId="0" xfId="0" applyAlignment="1" applyBorder="1" applyFill="1" applyFont="1">
      <alignment horizontal="left" readingOrder="0"/>
    </xf>
    <xf borderId="2" fillId="12" fontId="6" numFmtId="168" xfId="0" applyAlignment="1" applyBorder="1" applyFill="1" applyFont="1" applyNumberFormat="1">
      <alignment readingOrder="0" vertical="bottom"/>
    </xf>
    <xf borderId="2" fillId="12" fontId="6" numFmtId="171" xfId="0" applyAlignment="1" applyBorder="1" applyFill="1" applyFont="1" applyNumberFormat="1">
      <alignment readingOrder="0" vertical="bottom"/>
    </xf>
    <xf borderId="2" fillId="12" fontId="6" numFmtId="0" xfId="0" applyAlignment="1" applyBorder="1" applyFill="1" applyFont="1">
      <alignment readingOrder="0" vertical="bottom"/>
    </xf>
    <xf borderId="0" fillId="0" fontId="41" numFmtId="167" xfId="0" applyAlignment="1" applyFont="1" applyNumberFormat="1">
      <alignment readingOrder="0"/>
    </xf>
    <xf borderId="0" fillId="12" fontId="8" numFmtId="169" xfId="0" applyAlignment="1" applyFill="1" applyFont="1" applyNumberFormat="1">
      <alignment readingOrder="0"/>
    </xf>
    <xf borderId="0" fillId="12" fontId="42" numFmtId="0" xfId="0" applyAlignment="1" applyFill="1" applyFont="1">
      <alignment readingOrder="0"/>
    </xf>
    <xf borderId="0" fillId="12" fontId="43" numFmtId="0" xfId="0" applyAlignment="1" applyFill="1" applyFont="1">
      <alignment readingOrder="0" vertical="bottom"/>
    </xf>
    <xf borderId="2" fillId="12" fontId="44" numFmtId="0" xfId="0" applyAlignment="1" applyBorder="1" applyFill="1" applyFont="1">
      <alignment readingOrder="0" vertical="bottom"/>
    </xf>
    <xf borderId="0" fillId="12" fontId="6" numFmtId="0" xfId="0" applyAlignment="1" applyFill="1" applyFont="1">
      <alignment vertical="bottom"/>
    </xf>
    <xf borderId="2" fillId="12" fontId="5" numFmtId="0" xfId="0" applyAlignment="1" applyBorder="1" applyFill="1" applyFont="1">
      <alignment horizontal="left" readingOrder="0"/>
    </xf>
    <xf borderId="2" fillId="12" fontId="6" numFmtId="169" xfId="0" applyAlignment="1" applyBorder="1" applyFill="1" applyFont="1" applyNumberFormat="1">
      <alignment readingOrder="0" vertical="bottom"/>
    </xf>
    <xf borderId="0" fillId="12" fontId="45" numFmtId="0" xfId="0" applyAlignment="1" applyFill="1" applyFont="1">
      <alignment readingOrder="0" vertical="bottom"/>
    </xf>
    <xf borderId="0" fillId="12" fontId="46" numFmtId="0" xfId="0" applyAlignment="1" applyFill="1" applyFont="1">
      <alignment readingOrder="0"/>
    </xf>
    <xf borderId="0" fillId="12" fontId="5" numFmtId="0" xfId="0" applyAlignment="1" applyFill="1" applyFont="1">
      <alignment horizontal="left" readingOrder="0"/>
    </xf>
    <xf borderId="0" fillId="12" fontId="24" numFmtId="0" xfId="0" applyAlignment="1" applyFill="1" applyFont="1">
      <alignment horizontal="left" readingOrder="0"/>
    </xf>
    <xf borderId="2" fillId="12" fontId="47" numFmtId="0" xfId="0" applyAlignment="1" applyBorder="1" applyFill="1" applyFont="1">
      <alignment readingOrder="0" vertical="bottom"/>
    </xf>
    <xf borderId="0" fillId="4" fontId="24" numFmtId="0" xfId="0" applyAlignment="1" applyFill="1" applyFont="1">
      <alignment readingOrder="0"/>
    </xf>
    <xf borderId="0" fillId="4" fontId="48" numFmtId="0" xfId="0" applyAlignment="1" applyFill="1" applyFont="1">
      <alignment readingOrder="0"/>
    </xf>
    <xf borderId="0" fillId="0" fontId="3" numFmtId="49" xfId="0" applyFont="1" applyNumberFormat="1"/>
    <xf borderId="0" fillId="0" fontId="3" numFmtId="0" xfId="0" applyFont="1"/>
    <xf borderId="0" fillId="0" fontId="3" numFmtId="49" xfId="0" applyFont="1" applyNumberFormat="1"/>
    <xf borderId="0" fillId="0" fontId="3" numFmtId="164" xfId="0" applyFont="1" applyNumberFormat="1"/>
    <xf borderId="0" fillId="0" fontId="6" numFmtId="168" xfId="0" applyAlignment="1" applyFont="1" applyNumberFormat="1">
      <alignment readingOrder="0" vertical="bottom"/>
    </xf>
    <xf borderId="0" fillId="0" fontId="3" numFmtId="165" xfId="0" applyFont="1" applyNumberFormat="1"/>
    <xf borderId="0" fillId="13" fontId="18" numFmtId="0" xfId="0" applyAlignment="1" applyFill="1" applyFont="1">
      <alignment vertical="bottom"/>
    </xf>
    <xf borderId="0" fillId="0" fontId="6" numFmtId="0" xfId="0" applyAlignment="1" applyFont="1">
      <alignment readingOrder="0" vertical="bottom"/>
    </xf>
    <xf borderId="0" fillId="0" fontId="6" numFmtId="169" xfId="0" applyAlignment="1" applyFont="1" applyNumberFormat="1">
      <alignment readingOrder="0" vertical="bottom"/>
    </xf>
    <xf borderId="0" fillId="14" fontId="6" numFmtId="167" xfId="0" applyAlignment="1" applyFill="1" applyFont="1" applyNumberFormat="1">
      <alignment horizontal="right" vertical="bottom"/>
    </xf>
    <xf borderId="0" fillId="0" fontId="6" numFmtId="0" xfId="0" applyAlignment="1" applyFont="1">
      <alignment horizontal="left" shrinkToFit="0" vertical="bottom" wrapText="0"/>
    </xf>
    <xf borderId="0" fillId="15" fontId="6" numFmtId="167" xfId="0" applyAlignment="1" applyFill="1" applyFont="1" applyNumberFormat="1">
      <alignment horizontal="right" vertical="bottom"/>
    </xf>
    <xf borderId="0" fillId="16" fontId="6" numFmtId="167" xfId="0" applyAlignment="1" applyFill="1" applyFont="1" applyNumberFormat="1">
      <alignment horizontal="right" vertical="bottom"/>
    </xf>
    <xf borderId="0" fillId="4" fontId="18" numFmtId="0" xfId="0" applyAlignment="1" applyFill="1" applyFont="1">
      <alignment vertical="bottom"/>
    </xf>
    <xf borderId="0" fillId="13" fontId="12" numFmtId="167" xfId="0" applyAlignment="1" applyFill="1" applyFont="1" applyNumberFormat="1">
      <alignment readingOrder="0"/>
    </xf>
    <xf borderId="0" fillId="13" fontId="18" numFmtId="167" xfId="0" applyAlignment="1" applyFill="1" applyFont="1" applyNumberFormat="1">
      <alignment readingOrder="0"/>
    </xf>
    <xf borderId="2" fillId="0" fontId="6" numFmtId="174" xfId="0" applyAlignment="1" applyBorder="1" applyFont="1" applyNumberFormat="1">
      <alignment horizontal="right" vertical="bottom"/>
    </xf>
    <xf borderId="0" fillId="4" fontId="5" numFmtId="0" xfId="0" applyAlignment="1" applyFill="1" applyFont="1">
      <alignment horizontal="left" readingOrder="0" shrinkToFit="0" wrapText="0"/>
    </xf>
    <xf borderId="0" fillId="4" fontId="12" numFmtId="0" xfId="0" applyAlignment="1" applyFill="1" applyFont="1">
      <alignment readingOrder="0"/>
    </xf>
    <xf borderId="0" fillId="4" fontId="8" numFmtId="0" xfId="0" applyAlignment="1" applyFill="1" applyFont="1">
      <alignment horizontal="left" readingOrder="0" shrinkToFit="0" wrapText="0"/>
    </xf>
    <xf borderId="0" fillId="0" fontId="6" numFmtId="167" xfId="0" applyAlignment="1" applyFont="1" applyNumberFormat="1">
      <alignment horizontal="right" readingOrder="0" vertical="bottom"/>
    </xf>
    <xf borderId="0" fillId="0" fontId="6" numFmtId="167" xfId="0" applyAlignment="1" applyFont="1" applyNumberFormat="1">
      <alignment horizontal="right" vertical="bottom"/>
    </xf>
    <xf borderId="0" fillId="0" fontId="3" numFmtId="9" xfId="0" applyAlignment="1" applyFont="1" applyNumberFormat="1">
      <alignment horizontal="left" readingOrder="0" shrinkToFit="0" wrapText="0"/>
    </xf>
    <xf borderId="0" fillId="17" fontId="6" numFmtId="0" xfId="0" applyAlignment="1" applyFill="1" applyFont="1">
      <alignment vertical="bottom"/>
    </xf>
    <xf borderId="0" fillId="4" fontId="1" numFmtId="0" xfId="0" applyAlignment="1" applyFill="1" applyFont="1">
      <alignment vertical="bottom"/>
    </xf>
    <xf borderId="0" fillId="0" fontId="6" numFmtId="167" xfId="0" applyAlignment="1" applyFont="1" applyNumberFormat="1">
      <alignment vertical="bottom"/>
    </xf>
    <xf borderId="0" fillId="0" fontId="3" numFmtId="167" xfId="0" applyAlignment="1" applyFont="1" applyNumberFormat="1">
      <alignment horizontal="right" readingOrder="0" vertical="center"/>
    </xf>
    <xf borderId="0" fillId="0" fontId="3" numFmtId="0" xfId="0" applyAlignment="1" applyFont="1">
      <alignment horizontal="left" readingOrder="0" shrinkToFit="0" vertical="center" wrapText="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9" numFmtId="0" xfId="0" applyAlignment="1" applyFont="1">
      <alignment horizontal="center" shrinkToFit="0" vertical="center" wrapText="1"/>
    </xf>
    <xf borderId="0" fillId="0" fontId="49" numFmtId="0" xfId="0" applyAlignment="1" applyFont="1">
      <alignment horizontal="center" readingOrder="0" shrinkToFit="0" vertical="center" wrapText="1"/>
    </xf>
    <xf borderId="0" fillId="18" fontId="4" numFmtId="0" xfId="0" applyAlignment="1" applyFill="1" applyFont="1">
      <alignment horizontal="center" shrinkToFit="0" vertical="center" wrapText="1"/>
    </xf>
    <xf borderId="0" fillId="0" fontId="6" numFmtId="0" xfId="0" applyAlignment="1" applyFont="1">
      <alignment readingOrder="0" vertical="center"/>
    </xf>
    <xf borderId="0" fillId="0" fontId="6" numFmtId="0" xfId="0" applyAlignment="1" applyFont="1">
      <alignment vertical="center"/>
    </xf>
    <xf borderId="0" fillId="0" fontId="3" numFmtId="0" xfId="0" applyAlignment="1" applyFont="1">
      <alignment vertical="center"/>
    </xf>
    <xf borderId="0" fillId="19" fontId="6" numFmtId="0" xfId="0" applyAlignment="1" applyFill="1" applyFont="1">
      <alignment vertical="bottom"/>
    </xf>
    <xf borderId="0" fillId="19" fontId="6" numFmtId="0" xfId="0" applyAlignment="1" applyFill="1" applyFont="1">
      <alignment vertical="center"/>
    </xf>
    <xf borderId="0" fillId="19" fontId="6" numFmtId="0" xfId="0" applyAlignment="1" applyFill="1" applyFont="1">
      <alignment vertical="bottom"/>
    </xf>
    <xf borderId="0" fillId="18" fontId="6" numFmtId="0" xfId="0" applyAlignment="1" applyFill="1" applyFont="1">
      <alignment readingOrder="0" vertical="center"/>
    </xf>
    <xf borderId="0" fillId="19" fontId="49" numFmtId="0" xfId="0" applyAlignment="1" applyFill="1" applyFont="1">
      <alignment vertical="center"/>
    </xf>
    <xf borderId="0" fillId="0" fontId="3" numFmtId="167" xfId="0" applyAlignment="1" applyFont="1" applyNumberFormat="1">
      <alignment readingOrder="0" vertical="center"/>
    </xf>
    <xf borderId="0" fillId="18" fontId="6" numFmtId="0" xfId="0" applyAlignment="1" applyFill="1" applyFont="1">
      <alignment vertical="center"/>
    </xf>
    <xf borderId="0" fillId="0" fontId="50" numFmtId="0" xfId="0" applyAlignment="1" applyFont="1">
      <alignment vertical="center"/>
    </xf>
    <xf borderId="0" fillId="0" fontId="3" numFmtId="167" xfId="0" applyAlignment="1" applyFont="1" applyNumberFormat="1">
      <alignment horizontal="center" readingOrder="0" vertical="center"/>
    </xf>
    <xf borderId="0" fillId="19" fontId="49" numFmtId="0" xfId="0" applyAlignment="1" applyFill="1" applyFont="1">
      <alignment readingOrder="0" vertical="center"/>
    </xf>
    <xf borderId="0" fillId="19" fontId="6" numFmtId="0" xfId="0" applyAlignment="1" applyFill="1" applyFont="1">
      <alignment readingOrder="0" vertical="bottom"/>
    </xf>
    <xf borderId="0" fillId="4" fontId="51" numFmtId="0" xfId="0" applyAlignment="1" applyFill="1" applyFont="1">
      <alignment readingOrder="0"/>
    </xf>
    <xf borderId="0" fillId="0" fontId="52" numFmtId="0" xfId="0" applyAlignment="1" applyFont="1">
      <alignment horizontal="center" readingOrder="0"/>
    </xf>
    <xf borderId="0" fillId="0" fontId="3" numFmtId="0" xfId="0" applyAlignment="1" applyFont="1">
      <alignment horizontal="center" readingOrder="0" vertical="center"/>
    </xf>
    <xf borderId="0" fillId="20" fontId="6" numFmtId="0" xfId="0" applyAlignment="1" applyFill="1" applyFont="1">
      <alignment readingOrder="0" vertical="center"/>
    </xf>
    <xf borderId="0" fillId="20" fontId="6" numFmtId="0" xfId="0" applyAlignment="1" applyFill="1" applyFont="1">
      <alignment vertical="center"/>
    </xf>
    <xf borderId="0" fillId="20" fontId="49" numFmtId="0" xfId="0" applyAlignment="1" applyFill="1" applyFont="1">
      <alignment vertical="center"/>
    </xf>
    <xf borderId="0" fillId="20" fontId="6" numFmtId="0" xfId="0" applyAlignment="1" applyFill="1" applyFont="1">
      <alignment vertical="bottom"/>
    </xf>
    <xf borderId="0" fillId="20" fontId="49" numFmtId="0" xfId="0" applyAlignment="1" applyFill="1" applyFont="1">
      <alignment readingOrder="0" vertical="center"/>
    </xf>
    <xf borderId="2" fillId="21" fontId="53" numFmtId="0" xfId="0" applyAlignment="1" applyBorder="1" applyFill="1" applyFont="1">
      <alignment horizontal="center" readingOrder="0"/>
    </xf>
    <xf borderId="9" fillId="22" fontId="53" numFmtId="0" xfId="0" applyAlignment="1" applyBorder="1" applyFill="1" applyFont="1">
      <alignment readingOrder="0"/>
    </xf>
    <xf borderId="10" fillId="22" fontId="53" numFmtId="0" xfId="0" applyBorder="1" applyFill="1" applyFont="1"/>
    <xf borderId="11" fillId="22" fontId="53" numFmtId="0" xfId="0" applyBorder="1" applyFill="1" applyFont="1"/>
    <xf borderId="12" fillId="22" fontId="53" numFmtId="0" xfId="0" applyAlignment="1" applyBorder="1" applyFill="1" applyFont="1">
      <alignment readingOrder="0"/>
    </xf>
    <xf borderId="0" fillId="22" fontId="53" numFmtId="0" xfId="0" applyAlignment="1" applyFill="1" applyFont="1">
      <alignment readingOrder="0"/>
    </xf>
    <xf borderId="13" fillId="22" fontId="53" numFmtId="0" xfId="0" applyAlignment="1" applyBorder="1" applyFill="1" applyFont="1">
      <alignment readingOrder="0"/>
    </xf>
    <xf borderId="14" fillId="22" fontId="53" numFmtId="0" xfId="0" applyAlignment="1" applyBorder="1" applyFill="1" applyFont="1">
      <alignment readingOrder="0"/>
    </xf>
    <xf borderId="15" fillId="22" fontId="53" numFmtId="0" xfId="0" applyAlignment="1" applyBorder="1" applyFill="1" applyFont="1">
      <alignment readingOrder="0"/>
    </xf>
    <xf borderId="16" fillId="22" fontId="53" numFmtId="0" xfId="0" applyAlignment="1" applyBorder="1" applyFill="1" applyFont="1">
      <alignment readingOrder="0"/>
    </xf>
    <xf borderId="9" fillId="23" fontId="53" numFmtId="0" xfId="0" applyAlignment="1" applyBorder="1" applyFill="1" applyFont="1">
      <alignment readingOrder="0"/>
    </xf>
    <xf borderId="10" fillId="23" fontId="53" numFmtId="0" xfId="0" applyBorder="1" applyFill="1" applyFont="1"/>
    <xf borderId="11" fillId="23" fontId="53" numFmtId="0" xfId="0" applyBorder="1" applyFill="1" applyFont="1"/>
    <xf borderId="12" fillId="23" fontId="53" numFmtId="0" xfId="0" applyAlignment="1" applyBorder="1" applyFill="1" applyFont="1">
      <alignment readingOrder="0"/>
    </xf>
    <xf borderId="0" fillId="23" fontId="53" numFmtId="0" xfId="0" applyAlignment="1" applyFill="1" applyFont="1">
      <alignment readingOrder="0"/>
    </xf>
    <xf borderId="13" fillId="23" fontId="53" numFmtId="0" xfId="0" applyAlignment="1" applyBorder="1" applyFill="1" applyFont="1">
      <alignment readingOrder="0"/>
    </xf>
    <xf borderId="12" fillId="23" fontId="53" numFmtId="0" xfId="0" applyBorder="1" applyFill="1" applyFont="1"/>
    <xf borderId="13" fillId="23" fontId="53" numFmtId="0" xfId="0" applyBorder="1" applyFill="1" applyFont="1"/>
    <xf borderId="14" fillId="23" fontId="53" numFmtId="0" xfId="0" applyAlignment="1" applyBorder="1" applyFill="1" applyFont="1">
      <alignment readingOrder="0"/>
    </xf>
    <xf borderId="15" fillId="23" fontId="53" numFmtId="0" xfId="0" applyAlignment="1" applyBorder="1" applyFill="1" applyFont="1">
      <alignment readingOrder="0"/>
    </xf>
    <xf borderId="16" fillId="23" fontId="53" numFmtId="0" xfId="0" applyAlignment="1" applyBorder="1" applyFill="1" applyFont="1">
      <alignment readingOrder="0"/>
    </xf>
    <xf borderId="0" fillId="0" fontId="3" numFmtId="0" xfId="0" applyFont="1"/>
    <xf borderId="0" fillId="0" fontId="3" numFmtId="167" xfId="0" applyAlignment="1" applyFont="1" applyNumberFormat="1">
      <alignment horizontal="left" readingOrder="0" shrinkToFit="0" vertical="center" wrapText="0"/>
    </xf>
    <xf borderId="0" fillId="0" fontId="3" numFmtId="0" xfId="0" applyAlignment="1" applyFont="1">
      <alignment readingOrder="0" vertical="center"/>
    </xf>
    <xf borderId="0" fillId="0" fontId="3" numFmtId="9" xfId="0" applyAlignment="1" applyFont="1" applyNumberFormat="1">
      <alignment readingOrder="0"/>
    </xf>
    <xf borderId="0" fillId="24" fontId="6" numFmtId="0" xfId="0" applyAlignment="1" applyFill="1" applyFont="1">
      <alignment vertical="center"/>
    </xf>
    <xf borderId="0" fillId="24" fontId="49" numFmtId="0" xfId="0" applyAlignment="1" applyFill="1" applyFont="1">
      <alignment vertical="center"/>
    </xf>
    <xf borderId="0" fillId="0" fontId="3" numFmtId="9" xfId="0" applyAlignment="1" applyFont="1" applyNumberFormat="1">
      <alignment horizontal="center" readingOrder="0"/>
    </xf>
    <xf borderId="0" fillId="24" fontId="6" numFmtId="0" xfId="0" applyAlignment="1" applyFill="1" applyFont="1">
      <alignment vertical="bottom"/>
    </xf>
    <xf borderId="0" fillId="24" fontId="6" numFmtId="0" xfId="0" applyAlignment="1" applyFill="1" applyFont="1">
      <alignment readingOrder="0" vertical="bottom"/>
    </xf>
    <xf borderId="0" fillId="24" fontId="49" numFmtId="0" xfId="0" applyAlignment="1" applyFill="1" applyFont="1">
      <alignment readingOrder="0" vertical="center"/>
    </xf>
    <xf borderId="0" fillId="25" fontId="3" numFmtId="0" xfId="0" applyFill="1" applyFont="1"/>
    <xf borderId="0" fillId="25" fontId="3" numFmtId="0" xfId="0" applyAlignment="1" applyFill="1" applyFont="1">
      <alignment horizontal="center" readingOrder="0"/>
    </xf>
    <xf borderId="0" fillId="20" fontId="3" numFmtId="0" xfId="0" applyAlignment="1" applyFill="1" applyFont="1">
      <alignment horizontal="center" readingOrder="0" shrinkToFit="0" vertical="center" wrapText="1"/>
    </xf>
    <xf borderId="0" fillId="20" fontId="3" numFmtId="0" xfId="0" applyFill="1" applyFont="1"/>
    <xf borderId="0" fillId="24" fontId="3" numFmtId="0" xfId="0" applyFill="1" applyFont="1"/>
    <xf borderId="0" fillId="25" fontId="3" numFmtId="9" xfId="0" applyAlignment="1" applyFill="1" applyFont="1" applyNumberFormat="1">
      <alignment readingOrder="0"/>
    </xf>
    <xf borderId="0" fillId="20" fontId="3" numFmtId="0" xfId="0" applyAlignment="1" applyFill="1" applyFont="1">
      <alignment readingOrder="0" shrinkToFit="0" wrapText="1"/>
    </xf>
    <xf borderId="0" fillId="20" fontId="3" numFmtId="0" xfId="0" applyAlignment="1" applyFill="1" applyFont="1">
      <alignment horizontal="center" readingOrder="0"/>
    </xf>
    <xf borderId="0" fillId="24" fontId="3" numFmtId="0" xfId="0" applyAlignment="1" applyFill="1" applyFont="1">
      <alignment horizontal="center" readingOrder="0"/>
    </xf>
    <xf borderId="0" fillId="20" fontId="3" numFmtId="0" xfId="0" applyAlignment="1" applyFill="1" applyFont="1">
      <alignment readingOrder="0"/>
    </xf>
    <xf borderId="0" fillId="24" fontId="3" numFmtId="0" xfId="0" applyAlignment="1" applyFill="1" applyFont="1">
      <alignment readingOrder="0"/>
    </xf>
    <xf borderId="0" fillId="25" fontId="3" numFmtId="9" xfId="0" applyAlignment="1" applyFill="1" applyFont="1" applyNumberFormat="1">
      <alignment horizontal="center" readingOrder="0"/>
    </xf>
    <xf borderId="0" fillId="20" fontId="3" numFmtId="9" xfId="0" applyAlignment="1" applyFill="1" applyFont="1" applyNumberFormat="1">
      <alignment readingOrder="0"/>
    </xf>
    <xf borderId="0" fillId="24" fontId="3" numFmtId="9" xfId="0" applyAlignment="1" applyFill="1" applyFont="1" applyNumberFormat="1">
      <alignment readingOrder="0"/>
    </xf>
    <xf borderId="0" fillId="0" fontId="3" numFmtId="9" xfId="0" applyFont="1" applyNumberFormat="1"/>
    <xf borderId="0" fillId="0" fontId="8" numFmtId="0" xfId="0" applyAlignment="1" applyFont="1">
      <alignment horizontal="left" readingOrder="0"/>
    </xf>
    <xf borderId="0" fillId="20" fontId="3" numFmtId="10" xfId="0" applyFill="1" applyFont="1" applyNumberFormat="1"/>
    <xf borderId="0" fillId="24" fontId="4" numFmtId="0" xfId="0" applyAlignment="1" applyFill="1" applyFont="1">
      <alignment readingOrder="0" vertical="bottom"/>
    </xf>
    <xf borderId="0" fillId="24" fontId="3" numFmtId="9" xfId="0" applyFill="1" applyFont="1" applyNumberFormat="1"/>
    <xf borderId="0" fillId="26" fontId="6" numFmtId="0" xfId="0" applyAlignment="1" applyFill="1" applyFont="1">
      <alignment readingOrder="0" vertical="bottom"/>
    </xf>
    <xf borderId="0" fillId="26" fontId="49" numFmtId="0" xfId="0" applyAlignment="1" applyFill="1" applyFont="1">
      <alignment readingOrder="0" vertical="center"/>
    </xf>
    <xf borderId="0" fillId="26" fontId="6" numFmtId="0" xfId="0" applyAlignment="1" applyFill="1" applyFont="1">
      <alignment vertical="bottom"/>
    </xf>
    <xf borderId="0" fillId="0" fontId="3" numFmtId="1" xfId="0" applyFont="1" applyNumberFormat="1"/>
    <xf borderId="0" fillId="26" fontId="49" numFmtId="0" xfId="0" applyAlignment="1" applyFill="1" applyFont="1">
      <alignment vertical="center"/>
    </xf>
    <xf borderId="0" fillId="27" fontId="3" numFmtId="0" xfId="0" applyAlignment="1" applyFill="1" applyFont="1">
      <alignment horizontal="center" readingOrder="0"/>
    </xf>
    <xf borderId="0" fillId="27" fontId="3" numFmtId="0" xfId="0" applyAlignment="1" applyFill="1" applyFont="1">
      <alignment readingOrder="0"/>
    </xf>
    <xf borderId="0" fillId="27" fontId="3" numFmtId="9" xfId="0" applyAlignment="1" applyFill="1" applyFont="1" applyNumberFormat="1">
      <alignment readingOrder="0"/>
    </xf>
    <xf borderId="0" fillId="27" fontId="3" numFmtId="175" xfId="0" applyAlignment="1" applyFill="1" applyFont="1" applyNumberFormat="1">
      <alignment readingOrder="0"/>
    </xf>
    <xf borderId="2" fillId="0" fontId="3" numFmtId="0" xfId="0" applyBorder="1" applyFont="1"/>
    <xf borderId="0" fillId="0" fontId="4" numFmtId="0" xfId="0" applyAlignment="1" applyFont="1">
      <alignment horizontal="center" vertical="bottom"/>
    </xf>
    <xf borderId="0" fillId="0" fontId="4" numFmtId="0" xfId="0" applyAlignment="1" applyFont="1">
      <alignment vertical="bottom"/>
    </xf>
    <xf borderId="0" fillId="0" fontId="6" numFmtId="0" xfId="0" applyAlignment="1" applyFont="1">
      <alignment horizontal="right" vertical="bottom"/>
    </xf>
    <xf borderId="0" fillId="0" fontId="6" numFmtId="10" xfId="0" applyAlignment="1" applyFont="1" applyNumberFormat="1">
      <alignment horizontal="right" vertical="bottom"/>
    </xf>
    <xf borderId="0" fillId="28" fontId="6" numFmtId="167" xfId="0" applyAlignment="1" applyFill="1" applyFont="1" applyNumberFormat="1">
      <alignment horizontal="right" readingOrder="0" vertical="bottom"/>
    </xf>
    <xf borderId="0" fillId="0" fontId="6" numFmtId="167" xfId="0" applyAlignment="1" applyFont="1" applyNumberFormat="1">
      <alignment vertical="bottom"/>
    </xf>
    <xf borderId="0" fillId="0" fontId="4" numFmtId="0" xfId="0" applyAlignment="1" applyFont="1">
      <alignment shrinkToFit="0" vertical="bottom" wrapText="0"/>
    </xf>
    <xf borderId="0" fillId="0" fontId="4" numFmtId="0" xfId="0" applyAlignment="1" applyFont="1">
      <alignment horizontal="right" vertical="bottom"/>
    </xf>
    <xf borderId="0" fillId="29" fontId="3" numFmtId="0" xfId="0" applyAlignment="1" applyFill="1" applyFont="1">
      <alignment readingOrder="0"/>
    </xf>
    <xf borderId="0" fillId="29" fontId="3" numFmtId="0" xfId="0" applyAlignment="1" applyFill="1" applyFont="1">
      <alignment readingOrder="0"/>
    </xf>
    <xf borderId="0" fillId="29" fontId="3" numFmtId="164" xfId="0" applyFill="1" applyFont="1" applyNumberFormat="1"/>
    <xf borderId="0" fillId="29" fontId="3" numFmtId="49" xfId="0" applyFill="1" applyFont="1" applyNumberFormat="1"/>
    <xf borderId="0" fillId="0" fontId="3" numFmtId="3" xfId="0" applyAlignment="1" applyFont="1" applyNumberFormat="1">
      <alignment readingOrder="0"/>
    </xf>
    <xf borderId="0" fillId="0" fontId="39" numFmtId="0" xfId="0" applyAlignment="1" applyFont="1">
      <alignment vertical="bottom"/>
    </xf>
    <xf borderId="0" fillId="0" fontId="54" numFmtId="0" xfId="0" applyAlignment="1" applyFont="1">
      <alignment vertical="bottom"/>
    </xf>
    <xf borderId="2" fillId="30" fontId="55" numFmtId="0" xfId="0" applyAlignment="1" applyBorder="1" applyFill="1" applyFont="1">
      <alignment vertical="bottom"/>
    </xf>
    <xf borderId="2" fillId="0" fontId="55" numFmtId="0" xfId="0" applyAlignment="1" applyBorder="1" applyFont="1">
      <alignment vertical="bottom"/>
    </xf>
    <xf borderId="2" fillId="0" fontId="56" numFmtId="0" xfId="0" applyAlignment="1" applyBorder="1" applyFont="1">
      <alignment vertical="bottom"/>
    </xf>
    <xf borderId="2" fillId="30" fontId="55" numFmtId="0" xfId="0" applyAlignment="1" applyBorder="1" applyFill="1" applyFont="1">
      <alignment horizontal="right" vertical="bottom"/>
    </xf>
    <xf borderId="2" fillId="0" fontId="4" numFmtId="0" xfId="0" applyAlignment="1" applyBorder="1" applyFont="1">
      <alignment horizontal="right" vertical="bottom"/>
    </xf>
    <xf borderId="2" fillId="0" fontId="56" numFmtId="0" xfId="0" applyAlignment="1" applyBorder="1" applyFont="1">
      <alignment horizontal="right" vertical="bottom"/>
    </xf>
    <xf borderId="2" fillId="31" fontId="2" numFmtId="0" xfId="0" applyAlignment="1" applyBorder="1" applyFill="1" applyFont="1">
      <alignment horizontal="center" vertical="bottom"/>
    </xf>
    <xf borderId="2" fillId="0" fontId="39" numFmtId="0" xfId="0" applyAlignment="1" applyBorder="1" applyFont="1">
      <alignment vertical="bottom"/>
    </xf>
    <xf borderId="2" fillId="0" fontId="4" numFmtId="0" xfId="0" applyAlignment="1" applyBorder="1" applyFont="1">
      <alignment horizontal="center" vertical="bottom"/>
    </xf>
    <xf borderId="2" fillId="11" fontId="4" numFmtId="0" xfId="0" applyAlignment="1" applyBorder="1" applyFill="1" applyFont="1">
      <alignment horizontal="center" vertical="bottom"/>
    </xf>
    <xf borderId="2" fillId="11" fontId="57" numFmtId="0" xfId="0" applyAlignment="1" applyBorder="1" applyFill="1" applyFont="1">
      <alignment horizontal="center" vertical="bottom"/>
    </xf>
    <xf borderId="2" fillId="32" fontId="4" numFmtId="0" xfId="0" applyAlignment="1" applyBorder="1" applyFill="1" applyFont="1">
      <alignment horizontal="center" vertical="bottom"/>
    </xf>
    <xf borderId="0" fillId="0" fontId="58" numFmtId="0" xfId="0" applyFont="1"/>
    <xf borderId="0" fillId="0" fontId="54" numFmtId="0" xfId="0" applyAlignment="1" applyFont="1">
      <alignment readingOrder="0" vertical="bottom"/>
    </xf>
    <xf borderId="0" fillId="0" fontId="1" numFmtId="0" xfId="0" applyAlignment="1" applyFont="1">
      <alignment vertical="bottom"/>
    </xf>
    <xf borderId="2" fillId="31" fontId="2" numFmtId="0" xfId="0" applyAlignment="1" applyBorder="1" applyFill="1" applyFont="1">
      <alignment horizontal="center" readingOrder="0" vertical="bottom"/>
    </xf>
    <xf borderId="17" fillId="33" fontId="6" numFmtId="0" xfId="0" applyAlignment="1" applyBorder="1" applyFill="1" applyFont="1">
      <alignment readingOrder="0" vertical="bottom"/>
    </xf>
    <xf borderId="18" fillId="0" fontId="59" numFmtId="0" xfId="0" applyBorder="1" applyFont="1"/>
    <xf borderId="1" fillId="0" fontId="59" numFmtId="0" xfId="0" applyBorder="1" applyFont="1"/>
    <xf borderId="2" fillId="33" fontId="6" numFmtId="0" xfId="0" applyAlignment="1" applyBorder="1" applyFill="1" applyFont="1">
      <alignment vertical="bottom"/>
    </xf>
    <xf borderId="1" fillId="31" fontId="60" numFmtId="0" xfId="0" applyAlignment="1" applyBorder="1" applyFill="1" applyFont="1">
      <alignment readingOrder="0" vertical="bottom"/>
    </xf>
    <xf borderId="2" fillId="31" fontId="61" numFmtId="0" xfId="0" applyAlignment="1" applyBorder="1" applyFill="1" applyFont="1">
      <alignment horizontal="center" readingOrder="0" vertical="bottom"/>
    </xf>
    <xf borderId="2" fillId="31" fontId="61" numFmtId="0" xfId="0" applyAlignment="1" applyBorder="1" applyFill="1" applyFont="1">
      <alignment horizontal="center" vertical="bottom"/>
    </xf>
    <xf borderId="2" fillId="31" fontId="61" numFmtId="0" xfId="0" applyAlignment="1" applyBorder="1" applyFill="1" applyFont="1">
      <alignment readingOrder="0" vertical="bottom"/>
    </xf>
    <xf borderId="17" fillId="31" fontId="2" numFmtId="0" xfId="0" applyAlignment="1" applyBorder="1" applyFill="1" applyFont="1">
      <alignment horizontal="center" readingOrder="0" vertical="bottom"/>
    </xf>
    <xf borderId="2" fillId="11" fontId="39" numFmtId="0" xfId="0" applyAlignment="1" applyBorder="1" applyFill="1" applyFont="1">
      <alignment horizontal="center" readingOrder="0" vertical="bottom"/>
    </xf>
    <xf borderId="2" fillId="0" fontId="4" numFmtId="0" xfId="0" applyAlignment="1" applyBorder="1" applyFont="1">
      <alignment horizontal="center" readingOrder="0" vertical="bottom"/>
    </xf>
    <xf borderId="2" fillId="32" fontId="56" numFmtId="0" xfId="0" applyAlignment="1" applyBorder="1" applyFill="1" applyFont="1">
      <alignment horizontal="center" readingOrder="0" vertical="bottom"/>
    </xf>
    <xf borderId="2" fillId="32" fontId="4" numFmtId="0" xfId="0" applyAlignment="1" applyBorder="1" applyFill="1" applyFont="1">
      <alignment horizontal="center" readingOrder="0" vertical="bottom"/>
    </xf>
    <xf borderId="2" fillId="18" fontId="4" numFmtId="0" xfId="0" applyAlignment="1" applyBorder="1" applyFill="1" applyFont="1">
      <alignment horizontal="center" vertical="bottom"/>
    </xf>
    <xf borderId="2" fillId="18" fontId="57" numFmtId="0" xfId="0" applyAlignment="1" applyBorder="1" applyFill="1" applyFont="1">
      <alignment horizontal="center" readingOrder="0" vertical="bottom"/>
    </xf>
    <xf borderId="17" fillId="31" fontId="62" numFmtId="0" xfId="0" applyAlignment="1" applyBorder="1" applyFill="1" applyFont="1">
      <alignment horizontal="center" readingOrder="0" vertical="bottom"/>
    </xf>
    <xf borderId="0" fillId="30" fontId="55" numFmtId="0" xfId="0" applyAlignment="1" applyFill="1" applyFont="1">
      <alignment vertical="bottom"/>
    </xf>
    <xf borderId="2" fillId="18" fontId="57" numFmtId="0" xfId="0" applyAlignment="1" applyBorder="1" applyFill="1" applyFont="1">
      <alignment horizontal="center" readingOrder="0" shrinkToFit="0" vertical="bottom" wrapText="0"/>
    </xf>
    <xf borderId="2" fillId="30" fontId="55" numFmtId="0" xfId="0" applyAlignment="1" applyBorder="1" applyFill="1" applyFont="1">
      <alignment readingOrder="0" vertical="bottom"/>
    </xf>
    <xf borderId="2" fillId="32" fontId="63" numFmtId="0" xfId="0" applyAlignment="1" applyBorder="1" applyFill="1" applyFont="1">
      <alignment horizontal="center" shrinkToFit="0" vertical="bottom" wrapText="0"/>
    </xf>
    <xf borderId="2" fillId="34" fontId="4" numFmtId="0" xfId="0" applyAlignment="1" applyBorder="1" applyFill="1" applyFont="1">
      <alignment horizontal="center" readingOrder="0" vertical="bottom"/>
    </xf>
    <xf borderId="2" fillId="34" fontId="4" numFmtId="0" xfId="0" applyAlignment="1" applyBorder="1" applyFill="1" applyFont="1">
      <alignment horizontal="center" readingOrder="0" shrinkToFit="0" vertical="bottom" wrapText="0"/>
    </xf>
    <xf borderId="2" fillId="0" fontId="4" numFmtId="0" xfId="0" applyAlignment="1" applyBorder="1" applyFont="1">
      <alignment horizontal="right" readingOrder="0" vertical="bottom"/>
    </xf>
    <xf borderId="2" fillId="0" fontId="55" numFmtId="0" xfId="0" applyAlignment="1" applyBorder="1" applyFont="1">
      <alignment readingOrder="0" vertical="bottom"/>
    </xf>
    <xf borderId="0" fillId="4" fontId="3" numFmtId="164" xfId="0" applyFill="1" applyFont="1" applyNumberFormat="1"/>
    <xf borderId="0" fillId="4" fontId="3" numFmtId="164" xfId="0" applyAlignment="1" applyFill="1" applyFont="1" applyNumberFormat="1">
      <alignment horizontal="center"/>
    </xf>
    <xf borderId="17" fillId="31" fontId="2" numFmtId="0" xfId="0" applyAlignment="1" applyBorder="1" applyFill="1" applyFont="1">
      <alignment horizontal="left" readingOrder="0" vertical="bottom"/>
    </xf>
    <xf borderId="0" fillId="4" fontId="3" numFmtId="0" xfId="0" applyFill="1" applyFont="1"/>
    <xf borderId="0" fillId="4" fontId="64" numFmtId="0" xfId="0" applyAlignment="1" applyFill="1" applyFont="1">
      <alignment horizontal="center" readingOrder="0"/>
    </xf>
    <xf borderId="0" fillId="0" fontId="5" numFmtId="0" xfId="0" applyAlignment="1" applyFont="1">
      <alignment readingOrder="0"/>
    </xf>
    <xf borderId="2" fillId="35" fontId="4" numFmtId="0" xfId="0" applyAlignment="1" applyBorder="1" applyFill="1" applyFont="1">
      <alignment horizontal="center" readingOrder="0" vertical="bottom"/>
    </xf>
    <xf borderId="0" fillId="4" fontId="3" numFmtId="164" xfId="0" applyAlignment="1" applyFill="1" applyFont="1" applyNumberFormat="1">
      <alignment horizontal="center" readingOrder="0"/>
    </xf>
    <xf borderId="2" fillId="36" fontId="4" numFmtId="0" xfId="0" applyAlignment="1" applyBorder="1" applyFill="1" applyFont="1">
      <alignment horizontal="center" readingOrder="0" vertical="bottom"/>
    </xf>
    <xf borderId="17" fillId="36" fontId="4" numFmtId="0" xfId="0" applyAlignment="1" applyBorder="1" applyFill="1" applyFont="1">
      <alignment horizontal="center" readingOrder="0" vertical="bottom"/>
    </xf>
    <xf borderId="2" fillId="0" fontId="2" numFmtId="0" xfId="0" applyAlignment="1" applyBorder="1" applyFont="1">
      <alignment horizontal="center" readingOrder="0" vertical="bottom"/>
    </xf>
    <xf borderId="2" fillId="0" fontId="62" numFmtId="0" xfId="0" applyAlignment="1" applyBorder="1" applyFont="1">
      <alignment horizontal="center" readingOrder="0" vertical="bottom"/>
    </xf>
    <xf borderId="9" fillId="31" fontId="2" numFmtId="0" xfId="0" applyAlignment="1" applyBorder="1" applyFill="1" applyFont="1">
      <alignment horizontal="center" readingOrder="0" vertical="bottom"/>
    </xf>
    <xf borderId="11" fillId="0" fontId="59" numFmtId="0" xfId="0" applyBorder="1" applyFont="1"/>
    <xf borderId="17" fillId="11" fontId="4" numFmtId="0" xfId="0" applyAlignment="1" applyBorder="1" applyFill="1" applyFont="1">
      <alignment horizontal="center" readingOrder="0" vertical="bottom"/>
    </xf>
    <xf borderId="0" fillId="0" fontId="65" numFmtId="167" xfId="0" applyAlignment="1" applyFont="1" applyNumberFormat="1">
      <alignment readingOrder="0"/>
    </xf>
    <xf borderId="17" fillId="35" fontId="4" numFmtId="0" xfId="0" applyAlignment="1" applyBorder="1" applyFill="1" applyFont="1">
      <alignment horizontal="center" readingOrder="0" vertical="bottom"/>
    </xf>
    <xf borderId="0" fillId="0" fontId="65" numFmtId="167" xfId="0" applyFont="1" applyNumberFormat="1"/>
    <xf borderId="0" fillId="0" fontId="6" numFmtId="0" xfId="0" applyAlignment="1" applyFont="1">
      <alignment horizontal="center" vertical="bottom"/>
    </xf>
    <xf borderId="2" fillId="0" fontId="55" numFmtId="0" xfId="0" applyAlignment="1" applyBorder="1" applyFont="1">
      <alignment horizontal="center" vertical="bottom"/>
    </xf>
    <xf borderId="2" fillId="4" fontId="55" numFmtId="0" xfId="0" applyAlignment="1" applyBorder="1" applyFill="1" applyFont="1">
      <alignment horizontal="center" vertical="bottom"/>
    </xf>
    <xf borderId="2" fillId="4" fontId="56" numFmtId="0" xfId="0" applyAlignment="1" applyBorder="1" applyFill="1" applyFont="1">
      <alignment horizontal="center" vertical="bottom"/>
    </xf>
    <xf borderId="2" fillId="30" fontId="55" numFmtId="0" xfId="0" applyAlignment="1" applyBorder="1" applyFill="1" applyFont="1">
      <alignment horizontal="center" vertical="bottom"/>
    </xf>
    <xf borderId="2" fillId="0" fontId="55" numFmtId="0" xfId="0" applyAlignment="1" applyBorder="1" applyFont="1">
      <alignment horizontal="center" readingOrder="0" vertical="bottom"/>
    </xf>
    <xf borderId="2" fillId="0" fontId="56" numFmtId="0" xfId="0" applyAlignment="1" applyBorder="1" applyFont="1">
      <alignment horizontal="center" vertical="bottom"/>
    </xf>
    <xf borderId="2" fillId="30" fontId="4" numFmtId="0" xfId="0" applyAlignment="1" applyBorder="1" applyFill="1" applyFont="1">
      <alignment horizontal="center" vertical="bottom"/>
    </xf>
    <xf borderId="2" fillId="4" fontId="55" numFmtId="0" xfId="0" applyAlignment="1" applyBorder="1" applyFill="1" applyFont="1">
      <alignment vertical="bottom"/>
    </xf>
    <xf borderId="2" fillId="4" fontId="2" numFmtId="0" xfId="0" applyAlignment="1" applyBorder="1" applyFill="1" applyFont="1">
      <alignment horizontal="center" readingOrder="0" vertical="bottom"/>
    </xf>
    <xf borderId="2" fillId="30" fontId="2" numFmtId="0" xfId="0" applyAlignment="1" applyBorder="1" applyFill="1" applyFont="1">
      <alignment horizontal="center" readingOrder="0" vertical="bottom"/>
    </xf>
    <xf borderId="2" fillId="4" fontId="62" numFmtId="0" xfId="0" applyAlignment="1" applyBorder="1" applyFill="1" applyFont="1">
      <alignment horizontal="center" readingOrder="0" vertical="bottom"/>
    </xf>
    <xf borderId="9" fillId="30" fontId="2" numFmtId="0" xfId="0" applyAlignment="1" applyBorder="1" applyFill="1" applyFont="1">
      <alignment horizontal="center" readingOrder="0" vertical="bottom"/>
    </xf>
    <xf borderId="0" fillId="37" fontId="3" numFmtId="0" xfId="0" applyAlignment="1" applyFill="1" applyFont="1">
      <alignment readingOrder="0"/>
    </xf>
    <xf borderId="0" fillId="37" fontId="3" numFmtId="164" xfId="0" applyFill="1" applyFont="1" applyNumberFormat="1"/>
    <xf borderId="0" fillId="37" fontId="3" numFmtId="164" xfId="0" applyAlignment="1" applyFill="1" applyFont="1" applyNumberFormat="1">
      <alignment horizontal="center" readingOrder="0"/>
    </xf>
    <xf borderId="0" fillId="17" fontId="3" numFmtId="0" xfId="0" applyAlignment="1" applyFill="1" applyFont="1">
      <alignment readingOrder="0"/>
    </xf>
    <xf borderId="0" fillId="17" fontId="3" numFmtId="164" xfId="0" applyFill="1" applyFont="1" applyNumberFormat="1"/>
    <xf borderId="17" fillId="0" fontId="2" numFmtId="0" xfId="0" applyAlignment="1" applyBorder="1" applyFont="1">
      <alignment horizontal="center" readingOrder="0" vertical="bottom"/>
    </xf>
    <xf borderId="18" fillId="11" fontId="2" numFmtId="0" xfId="0" applyAlignment="1" applyBorder="1" applyFill="1" applyFont="1">
      <alignment horizontal="center" readingOrder="0" vertical="bottom"/>
    </xf>
    <xf borderId="0" fillId="17" fontId="3" numFmtId="164" xfId="0" applyAlignment="1" applyFill="1" applyFont="1" applyNumberFormat="1">
      <alignment horizontal="center" readingOrder="0"/>
    </xf>
    <xf borderId="18" fillId="11" fontId="66" numFmtId="0" xfId="0" applyAlignment="1" applyBorder="1" applyFill="1" applyFont="1">
      <alignment horizontal="center" readingOrder="0" vertical="bottom"/>
    </xf>
    <xf borderId="18" fillId="11" fontId="62" numFmtId="0" xfId="0" applyAlignment="1" applyBorder="1" applyFill="1" applyFont="1">
      <alignment horizontal="center" readingOrder="0" vertical="bottom"/>
    </xf>
    <xf borderId="0" fillId="29" fontId="3" numFmtId="0" xfId="0" applyAlignment="1" applyFill="1" applyFont="1">
      <alignment readingOrder="0"/>
    </xf>
    <xf borderId="0" fillId="37" fontId="3" numFmtId="0" xfId="0" applyFill="1" applyFont="1"/>
    <xf borderId="0" fillId="17" fontId="3" numFmtId="0" xfId="0" applyFill="1" applyFont="1"/>
    <xf borderId="2" fillId="4" fontId="57" numFmtId="0" xfId="0" applyAlignment="1" applyBorder="1" applyFill="1" applyFont="1">
      <alignment horizontal="center" vertical="bottom"/>
    </xf>
    <xf borderId="2" fillId="30" fontId="57" numFmtId="0" xfId="0" applyAlignment="1" applyBorder="1" applyFill="1" applyFont="1">
      <alignment horizontal="center" vertical="bottom"/>
    </xf>
    <xf borderId="2" fillId="0" fontId="57" numFmtId="0" xfId="0" applyAlignment="1" applyBorder="1" applyFont="1">
      <alignment horizontal="center" vertical="bottom"/>
    </xf>
    <xf borderId="2" fillId="0" fontId="57" numFmtId="0" xfId="0" applyAlignment="1" applyBorder="1" applyFont="1">
      <alignment horizontal="center" readingOrder="0" vertical="bottom"/>
    </xf>
    <xf borderId="2" fillId="30" fontId="67" numFmtId="0" xfId="0" applyAlignment="1" applyBorder="1" applyFill="1" applyFont="1">
      <alignment horizontal="center" vertical="bottom"/>
    </xf>
    <xf borderId="0" fillId="37" fontId="3" numFmtId="176" xfId="0" applyAlignment="1" applyFill="1" applyFont="1" applyNumberFormat="1">
      <alignment readingOrder="0"/>
    </xf>
    <xf borderId="2" fillId="38" fontId="68" numFmtId="0" xfId="0" applyAlignment="1" applyBorder="1" applyFill="1" applyFont="1">
      <alignment horizontal="center" vertical="bottom"/>
    </xf>
    <xf borderId="2" fillId="38" fontId="68" numFmtId="0" xfId="0" applyAlignment="1" applyBorder="1" applyFill="1" applyFont="1">
      <alignment horizontal="center" vertical="bottom"/>
    </xf>
    <xf borderId="2" fillId="0" fontId="69" numFmtId="177" xfId="0" applyAlignment="1" applyBorder="1" applyFont="1" applyNumberFormat="1">
      <alignment horizontal="center" vertical="bottom"/>
    </xf>
    <xf borderId="2" fillId="0" fontId="6" numFmtId="177" xfId="0" applyAlignment="1" applyBorder="1" applyFont="1" applyNumberFormat="1">
      <alignment vertical="bottom"/>
    </xf>
    <xf borderId="2" fillId="0" fontId="6" numFmtId="177" xfId="0" applyBorder="1" applyFont="1" applyNumberFormat="1"/>
    <xf borderId="2" fillId="38" fontId="6" numFmtId="0" xfId="0" applyAlignment="1" applyBorder="1" applyFill="1" applyFont="1">
      <alignment vertical="bottom"/>
    </xf>
    <xf borderId="2" fillId="0" fontId="70" numFmtId="177" xfId="0" applyAlignment="1" applyBorder="1" applyFont="1" applyNumberFormat="1">
      <alignment horizontal="center"/>
    </xf>
    <xf borderId="2" fillId="38" fontId="68" numFmtId="0" xfId="0" applyAlignment="1" applyBorder="1" applyFill="1" applyFont="1">
      <alignment horizontal="center" shrinkToFit="0" vertical="bottom" wrapText="1"/>
    </xf>
    <xf borderId="2" fillId="39" fontId="69" numFmtId="177" xfId="0" applyAlignment="1" applyBorder="1" applyFill="1" applyFont="1" applyNumberFormat="1">
      <alignment horizontal="center"/>
    </xf>
    <xf borderId="2" fillId="40" fontId="6" numFmtId="0" xfId="0" applyAlignment="1" applyBorder="1" applyFill="1" applyFont="1">
      <alignment horizontal="right" vertical="bottom"/>
    </xf>
    <xf borderId="3" fillId="41" fontId="71" numFmtId="177" xfId="0" applyAlignment="1" applyBorder="1" applyFill="1" applyFont="1" applyNumberFormat="1">
      <alignment horizontal="center"/>
    </xf>
    <xf borderId="2" fillId="19" fontId="6" numFmtId="0" xfId="0" applyAlignment="1" applyBorder="1" applyFill="1" applyFont="1">
      <alignment horizontal="right" vertical="bottom"/>
    </xf>
    <xf borderId="8" fillId="0" fontId="59" numFmtId="0" xfId="0" applyBorder="1" applyFont="1"/>
    <xf borderId="0" fillId="42" fontId="4" numFmtId="0" xfId="0" applyAlignment="1" applyFill="1" applyFont="1">
      <alignment horizontal="center" vertical="bottom"/>
    </xf>
    <xf borderId="0" fillId="42" fontId="4" numFmtId="10" xfId="0" applyAlignment="1" applyFill="1" applyFont="1" applyNumberFormat="1">
      <alignment horizontal="center"/>
    </xf>
    <xf borderId="2" fillId="0" fontId="72" numFmtId="177" xfId="0" applyAlignment="1" applyBorder="1" applyFont="1" applyNumberFormat="1">
      <alignment horizontal="center" readingOrder="0"/>
    </xf>
    <xf borderId="2" fillId="38" fontId="68" numFmtId="0" xfId="0" applyAlignment="1" applyBorder="1" applyFill="1" applyFont="1">
      <alignment horizontal="center" readingOrder="0"/>
    </xf>
    <xf borderId="3" fillId="41" fontId="71" numFmtId="177" xfId="0" applyAlignment="1" applyBorder="1" applyFill="1" applyFont="1" applyNumberFormat="1">
      <alignment horizontal="center" readingOrder="0" shrinkToFit="0" vertical="center" wrapText="1"/>
    </xf>
    <xf borderId="0" fillId="0" fontId="3" numFmtId="0" xfId="0" applyAlignment="1" applyFont="1">
      <alignment readingOrder="0" shrinkToFit="0" wrapText="1"/>
    </xf>
    <xf borderId="0" fillId="43" fontId="2" numFmtId="177" xfId="0" applyAlignment="1" applyFill="1" applyFont="1" applyNumberFormat="1">
      <alignment horizontal="center" vertical="bottom"/>
    </xf>
    <xf borderId="0" fillId="0" fontId="4" numFmtId="0" xfId="0" applyAlignment="1" applyFont="1">
      <alignment horizontal="center" readingOrder="0" vertical="bottom"/>
    </xf>
    <xf borderId="0" fillId="27" fontId="73" numFmtId="0" xfId="0" applyAlignment="1" applyFill="1" applyFont="1">
      <alignment horizontal="center" vertical="bottom"/>
    </xf>
    <xf borderId="0" fillId="0" fontId="73" numFmtId="0" xfId="0" applyAlignment="1" applyFont="1">
      <alignment horizontal="center" vertical="bottom"/>
    </xf>
    <xf borderId="0" fillId="0" fontId="73" numFmtId="10" xfId="0" applyAlignment="1" applyFont="1" applyNumberFormat="1">
      <alignment horizontal="center" vertical="bottom"/>
    </xf>
    <xf borderId="0" fillId="0" fontId="6" numFmtId="10" xfId="0" applyAlignment="1" applyFont="1" applyNumberFormat="1">
      <alignment vertical="bottom"/>
    </xf>
    <xf borderId="0" fillId="26" fontId="73" numFmtId="0" xfId="0" applyAlignment="1" applyFill="1" applyFont="1">
      <alignment horizontal="center" vertical="bottom"/>
    </xf>
    <xf borderId="0" fillId="0" fontId="73" numFmtId="0" xfId="0" applyAlignment="1" applyFont="1">
      <alignment horizontal="center" vertical="bottom"/>
    </xf>
    <xf borderId="0" fillId="0" fontId="6" numFmtId="0" xfId="0" applyAlignment="1" applyFont="1">
      <alignment horizontal="right" readingOrder="0" vertical="bottom"/>
    </xf>
    <xf borderId="0" fillId="0" fontId="6" numFmtId="0" xfId="0" applyAlignment="1" applyFont="1">
      <alignment horizontal="right" vertical="bottom"/>
    </xf>
    <xf borderId="0" fillId="44" fontId="73" numFmtId="0" xfId="0" applyAlignment="1" applyFill="1" applyFont="1">
      <alignment horizontal="center" vertical="bottom"/>
    </xf>
    <xf borderId="0" fillId="0" fontId="6" numFmtId="177" xfId="0" applyAlignment="1" applyFont="1" applyNumberFormat="1">
      <alignment vertical="bottom"/>
    </xf>
    <xf borderId="0" fillId="36" fontId="73" numFmtId="0" xfId="0" applyAlignment="1" applyFill="1" applyFont="1">
      <alignment horizontal="center" readingOrder="0" vertical="bottom"/>
    </xf>
    <xf borderId="0" fillId="0" fontId="6" numFmtId="10" xfId="0" applyAlignment="1" applyFont="1" applyNumberFormat="1">
      <alignment horizontal="right" readingOrder="0" vertical="bottom"/>
    </xf>
    <xf borderId="2" fillId="4" fontId="1" numFmtId="0" xfId="0" applyAlignment="1" applyBorder="1" applyFill="1" applyFont="1">
      <alignment vertical="bottom"/>
    </xf>
    <xf borderId="2" fillId="4" fontId="15" numFmtId="0" xfId="0" applyAlignment="1" applyBorder="1" applyFill="1" applyFont="1">
      <alignment vertical="bottom"/>
    </xf>
    <xf borderId="0" fillId="0" fontId="3" numFmtId="10" xfId="0" applyAlignment="1" applyFont="1" applyNumberFormat="1">
      <alignment readingOrder="0"/>
    </xf>
    <xf borderId="2" fillId="4" fontId="6" numFmtId="0" xfId="0" applyAlignment="1" applyBorder="1" applyFill="1" applyFont="1">
      <alignment vertical="bottom"/>
    </xf>
    <xf borderId="0" fillId="37" fontId="3" numFmtId="167" xfId="0" applyAlignment="1" applyFill="1" applyFont="1" applyNumberFormat="1">
      <alignment readingOrder="0"/>
    </xf>
    <xf borderId="0" fillId="17" fontId="3" numFmtId="167" xfId="0" applyAlignment="1" applyFill="1" applyFont="1" applyNumberFormat="1">
      <alignment readingOrder="0"/>
    </xf>
    <xf borderId="0" fillId="4" fontId="3" numFmtId="0" xfId="0" applyFill="1" applyFont="1"/>
    <xf borderId="0" fillId="37" fontId="6" numFmtId="0" xfId="0" applyAlignment="1" applyFill="1" applyFont="1">
      <alignment vertical="bottom"/>
    </xf>
    <xf borderId="0" fillId="17" fontId="6" numFmtId="0" xfId="0" applyAlignment="1" applyFill="1" applyFont="1">
      <alignment readingOrder="0" vertical="bottom"/>
    </xf>
    <xf borderId="0" fillId="17" fontId="3" numFmtId="167" xfId="0" applyFill="1" applyFont="1" applyNumberFormat="1"/>
    <xf borderId="0" fillId="37" fontId="3" numFmtId="164" xfId="0" applyAlignment="1" applyFill="1" applyFont="1" applyNumberFormat="1">
      <alignment readingOrder="0"/>
    </xf>
    <xf borderId="0" fillId="4" fontId="3" numFmtId="0" xfId="0" applyAlignment="1" applyFill="1" applyFont="1">
      <alignment readingOrder="0"/>
    </xf>
    <xf borderId="0" fillId="37" fontId="6" numFmtId="0" xfId="0" applyAlignment="1" applyFill="1" applyFont="1">
      <alignment readingOrder="0" vertical="bottom"/>
    </xf>
    <xf borderId="0" fillId="17" fontId="3" numFmtId="164" xfId="0" applyAlignment="1" applyFill="1" applyFont="1" applyNumberFormat="1">
      <alignment readingOrder="0"/>
    </xf>
    <xf borderId="0" fillId="0" fontId="3" numFmtId="0" xfId="0" applyAlignment="1" applyFont="1">
      <alignment readingOrder="0"/>
    </xf>
    <xf borderId="0" fillId="17" fontId="3" numFmtId="0" xfId="0" applyAlignment="1" applyFill="1" applyFont="1">
      <alignment readingOrder="0"/>
    </xf>
    <xf borderId="0" fillId="37" fontId="3" numFmtId="0" xfId="0" applyAlignment="1" applyFill="1" applyFont="1">
      <alignment readingOrder="0"/>
    </xf>
    <xf borderId="0" fillId="4" fontId="3" numFmtId="167" xfId="0" applyFill="1" applyFont="1" applyNumberFormat="1"/>
    <xf borderId="0" fillId="4" fontId="6" numFmtId="0" xfId="0" applyAlignment="1" applyFill="1" applyFont="1">
      <alignment horizontal="center" readingOrder="0" vertical="center"/>
    </xf>
    <xf borderId="0" fillId="37" fontId="3" numFmtId="164" xfId="0" applyAlignment="1" applyFill="1" applyFont="1" applyNumberFormat="1">
      <alignment horizontal="center"/>
    </xf>
    <xf borderId="0" fillId="17" fontId="3" numFmtId="164" xfId="0" applyAlignment="1" applyFill="1" applyFont="1" applyNumberFormat="1">
      <alignment horizontal="center"/>
    </xf>
    <xf borderId="0" fillId="4" fontId="3" numFmtId="164" xfId="0" applyFill="1" applyFont="1" applyNumberFormat="1"/>
    <xf borderId="0" fillId="4" fontId="3" numFmtId="49" xfId="0" applyFill="1" applyFont="1" applyNumberFormat="1"/>
    <xf borderId="0" fillId="4" fontId="3" numFmtId="167" xfId="0" applyAlignment="1" applyFill="1" applyFont="1" applyNumberFormat="1">
      <alignment readingOrder="0"/>
    </xf>
    <xf borderId="0" fillId="4" fontId="74" numFmtId="0" xfId="0" applyAlignment="1" applyFill="1" applyFont="1">
      <alignment horizontal="center" readingOrder="0"/>
    </xf>
    <xf borderId="0" fillId="37" fontId="6" numFmtId="0" xfId="0" applyAlignment="1" applyFill="1" applyFont="1">
      <alignment vertical="bottom"/>
    </xf>
    <xf borderId="0" fillId="17" fontId="6" numFmtId="0" xfId="0" applyAlignment="1" applyFill="1" applyFont="1">
      <alignment vertical="bottom"/>
    </xf>
    <xf borderId="0" fillId="11" fontId="6" numFmtId="0" xfId="0" applyAlignment="1" applyFill="1" applyFont="1">
      <alignment vertical="bottom"/>
    </xf>
    <xf borderId="0" fillId="4" fontId="3" numFmtId="164" xfId="0" applyAlignment="1" applyFill="1" applyFont="1" applyNumberFormat="1">
      <alignment readingOrder="0"/>
    </xf>
    <xf borderId="0" fillId="4" fontId="3" numFmtId="0" xfId="0" applyFill="1" applyFont="1"/>
  </cellXfs>
  <cellStyles count="1">
    <cellStyle xfId="0" name="Normal" builtinId="0"/>
  </cellStyles>
  <dxfs count="4">
    <dxf>
      <font/>
      <fill>
        <patternFill patternType="none"/>
      </fill>
      <border/>
    </dxf>
    <dxf>
      <font/>
      <fill>
        <patternFill patternType="solid">
          <fgColor rgb="FFD9F1F3"/>
          <bgColor rgb="FFD9F1F3"/>
        </patternFill>
      </fill>
      <border/>
    </dxf>
    <dxf>
      <font/>
      <fill>
        <patternFill patternType="solid">
          <fgColor rgb="FFB4E4E8"/>
          <bgColor rgb="FFB4E4E8"/>
        </patternFill>
      </fill>
      <border/>
    </dxf>
    <dxf>
      <font/>
      <fill>
        <patternFill patternType="solid">
          <fgColor rgb="FFB7E1CD"/>
          <bgColor rgb="FFB7E1CD"/>
        </patternFill>
      </fill>
      <border/>
    </dxf>
  </dxfs>
  <tableStyles count="4">
    <tableStyle count="2" pivot="0" name="Hoja 14-style">
      <tableStyleElement dxfId="1" type="firstRowStripe"/>
      <tableStyleElement dxfId="2" type="secondRowStripe"/>
    </tableStyle>
    <tableStyle count="2" pivot="0" name="Hoja 14-style 2">
      <tableStyleElement dxfId="2" type="firstRowStripe"/>
      <tableStyleElement dxfId="1" type="secondRowStripe"/>
    </tableStyle>
    <tableStyle count="2" pivot="0" name="Hoja 14-style 3">
      <tableStyleElement dxfId="2" type="firstRowStripe"/>
      <tableStyleElement dxfId="1" type="secondRowStripe"/>
    </tableStyle>
    <tableStyle count="2" pivot="0" name="D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pivotCacheDefinition" Target="pivotCache/pivotCacheDefinition2.xml"/><Relationship Id="rId21"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11</xdr:row>
      <xdr:rowOff>0</xdr:rowOff>
    </xdr:from>
    <xdr:ext cx="1857375" cy="581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105</xdr:row>
      <xdr:rowOff>19050</xdr:rowOff>
    </xdr:from>
    <xdr:ext cx="4876800" cy="24098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737" sheet="CLIENTES ACTIVOS"/>
  </cacheSource>
  <cacheFields>
    <cacheField name="Ejecutivo" numFmtId="0">
      <sharedItems containsBlank="1">
        <s v="jhonatan.torres@bold.co"/>
        <s v="juan.salgado@bold.co"/>
        <s v="jhonatan.moreno@bold.co"/>
        <s v="angel.lesmes@bold.co"/>
        <s v="luis.corredor@bold.co"/>
        <s v="cristian.baquero@bold.co"/>
        <m/>
        <s v="sergio.londono@bold.co"/>
        <s v="jeyson.salazar@bold.co"/>
        <s v="wilber.blanco@bold.co"/>
        <s v="edinson.rodriguez@bold.co"/>
        <s v="cristian.casas@bold.co"/>
        <s v="andres.atehortua@bold.co"/>
        <s v="lina.montes@bold.co"/>
      </sharedItems>
    </cacheField>
    <cacheField name="Nombre Cliente " numFmtId="0">
      <sharedItems containsBlank="1">
        <s v="Ferrelectric El Proveedor"/>
        <s v="JANGUEO CARTAGENA"/>
        <s v="Majestic burgers"/>
        <s v="caribean team"/>
        <s v="Tolifruver"/>
        <s v="Manns Design"/>
        <s v="Macro pollos"/>
        <s v="Sofiian Cedritos"/>
        <s v="Veolia"/>
        <s v="DECORADOS Y ACABADOS CERMAMICOS"/>
        <s v="BEYROUTH 93"/>
        <s v="CASSARENA"/>
        <s v="ALFAPARF"/>
        <s v="Surubi Food"/>
        <s v="Miguel Burger"/>
        <s v="Restaurante Musashi"/>
        <s v="Artesanal "/>
        <s v="Almacén Y Taller Todo Nissan Ayt Sas"/>
        <s v="Acabados dyp"/>
        <s v="Dukari"/>
        <s v="Lebog"/>
        <s v="Foodology"/>
        <s v="Medina Golden"/>
        <s v="Beef PuraRaza"/>
        <s v="LA FINCA DE RIGOLLANOGRANDE"/>
        <s v="GO RIGO GO PALMAS"/>
        <s v="Zona cafe y pan"/>
        <s v="Mi Tierra"/>
        <s v="GRACIES"/>
        <s v="COLTOLIMA"/>
        <s v="Veolia Archipiélago sas esp"/>
        <s v="Rosalba Sanchez "/>
        <s v="VFS Colombia SAS"/>
        <s v="German Summa"/>
        <s v="Combos cosmicos portal 80"/>
        <s v="Atractiva Calzados"/>
        <s v="HH innovación y fabricación"/>
        <s v="La meca"/>
        <s v="PM Burger Boliva"/>
        <s v="Bacanal"/>
        <s v="Pablo y Maria Burger Brothers"/>
        <s v="La Ruana"/>
        <s v="CONSTRUCERAMICAS COLOMBIA SAS"/>
        <s v="Scarpy Portal 80"/>
        <s v="AMC Odontologia"/>
        <s v="Ichiraku Chia"/>
        <s v="Perros JR"/>
        <s v="Aroma Resto Bar SAS  "/>
        <s v="Ricasole"/>
        <s v="Ililaserdent"/>
        <s v="Thai Station"/>
        <s v="Imporcepo"/>
        <s v="Monalisa"/>
        <s v="Ichiraku Norte"/>
        <s v="Emme cafam floresta"/>
        <s v="Emme ensueno"/>
        <s v="TOTAL SERVICE"/>
        <s v="La Bendita"/>
        <s v="Isla Corona (arrecife)"/>
        <s v="wcar"/>
        <s v="Mrscreativo"/>
        <s v="RAMGUIFLEX"/>
        <s v="SUBWAY"/>
        <s v="Urban"/>
        <s v="Tortas del Gordo"/>
        <s v="Seoul medicina estetica"/>
        <s v="LinkCo Marketing"/>
        <s v="Bel Skin SAS"/>
        <s v="Quality Tires "/>
        <s v="Ichiraku Medellin"/>
        <s v="Ichiraku Candelaria"/>
        <s v="Rogelio Red Tacos"/>
        <s v="ACTION BLACK"/>
        <s v="Hello Park"/>
        <s v="Hotel Tequendama Medellin"/>
        <s v="Rodamientos CJR"/>
        <s v="Grupo 360"/>
        <s v="Ferreteria luis penagos"/>
        <s v="Selva nevada"/>
        <s v="Ferricentro"/>
        <s v="Oporto Pollo "/>
        <s v="KSP SEALS AND PARTS"/>
        <s v="Pink key "/>
        <s v="Bestseller"/>
        <s v="RESTAURANTES LA PAMPA PARRILLA"/>
        <s v="Repuestos rimar"/>
        <s v="Monkey Burger"/>
        <s v="Al Alma café"/>
        <s v="Suzuki Suba"/>
        <s v="Oben"/>
        <s v="Perros JR Colina"/>
        <s v="Perros JR PLaza de las Américas"/>
        <s v="Hamburguesas el Clasico"/>
        <s v="Comercializadora Master Speed"/>
        <s v=" Inversiones mac"/>
        <s v=" old west"/>
        <s v="Clínica urgencia la merced"/>
        <s v="Placita Chia"/>
        <s v="Al carbon Asados"/>
        <s v="Nissan y Camperos Sas"/>
        <s v="Nissan y Camperos 2"/>
        <s v="Alpez Chalet"/>
        <s v="Morgan Holding sas"/>
        <s v=" Ahabah Agro SAS"/>
        <s v="Sakura"/>
        <s v="Repuestos Cronos"/>
        <s v="Clinica de los sentidos "/>
        <s v="Inversiones hermanos la verde"/>
        <s v="Bocatto prendas de vestir"/>
        <s v="Caninos y Felinos Sas"/>
        <s v="Interlujos"/>
        <s v="Inversiones Servi piscinas"/>
        <s v="HOLDING CHRISTIANS SAS"/>
        <s v="Sofian"/>
        <s v="Consultorio Dr. Hernando Acosta"/>
        <s v="Sili Dubai - MODISH MERCH SAS"/>
        <s v="ZEMBA --  horus"/>
        <s v="ZEMBA EVENTOS --  horus"/>
        <s v="Clandestino Club"/>
        <s v="Octava Club"/>
        <s v="Vallemotos"/>
        <s v="Edemfold"/>
        <s v="Punto Gres la 61"/>
        <s v="Bellness"/>
        <s v="Al carbon Asados Dos"/>
        <s v="Montenegro Bake House"/>
        <s v="Tulum Mexican Soul"/>
        <s v="Supralab Sas"/>
        <s v="SERVIAUTECH ORIENTE SAS"/>
        <s v="Pet shop by catdog"/>
        <s v="Catdog Sas"/>
        <s v="METROVISUAL OPTICA"/>
        <s v="Perangamo comida tipica "/>
        <s v="Mundo Magico"/>
        <s v="Expresion Perfumees"/>
        <s v="Royal Zona T"/>
        <s v="CTS Royal"/>
        <s v="Inversiones Dorado Pet"/>
        <s v="Al Cielo cafe"/>
        <s v="Dogkat"/>
        <s v="Caanrola sas"/>
        <s v="PUPPY EXPORT"/>
        <s v="T.P.O Repuestos"/>
        <s v="Dose IPS"/>
        <s v="Diver sas"/>
        <s v="Tejo Pachangero"/>
        <s v="Global electric"/>
        <s v="Oporto Portugues"/>
        <s v="Bel Skin"/>
        <s v="Roll Wok"/>
        <s v="La gaira gourmet"/>
        <s v="Dog UI"/>
        <s v="Fonfaber"/>
        <s v="Surtiplaza del Valle"/>
        <s v="Organic domicilios"/>
        <s v="INMOBILIARIA DYR"/>
        <s v="Inacsa"/>
        <s v="Mexicano MX"/>
        <s v="El palacio de la gallina"/>
        <s v="US AND THEM"/>
        <s v="Cupcasess"/>
        <s v="Chicken Wings"/>
        <s v="Colsih SAS"/>
        <s v="LIMCA SAS"/>
        <s v="Gim Santa Cristina de Toscana"/>
        <s v="Comercializadora Espitia y Gonzalez"/>
        <s v="DULCINEA"/>
        <s v="La pampa"/>
        <s v="Yakitori Salitre Plaza"/>
        <s v="ORGANIC NAILS KENNEDY"/>
        <s v="Perfumes y Marcas"/>
        <s v="El Mejor Perfume"/>
        <s v="Santa Mati"/>
        <s v="Perfulinio"/>
        <s v="Isla Corona"/>
        <s v="CDA Entretenimiento"/>
        <s v="DIBUFALA"/>
        <s v="Consultorio Dr Barbosa"/>
        <s v="Al carbon asados 2"/>
        <s v="Asarte"/>
        <s v="Cosiaca Conejera"/>
        <s v="Pound Cajica"/>
        <s v="PARROQUIA NUESTRA SEÑORA DE GUADALUPE"/>
        <s v="Martin y Franco sas"/>
        <s v="Toro Mccoy"/>
        <s v="EL Tablazo Parrilla Picnic"/>
        <s v="Fabio y CIa Ltda"/>
        <s v="GOBAL REPUESTOS SAS"/>
        <s v="WINGSTOP"/>
        <s v="IMPORTADORA ALDIFOR LTDA"/>
        <s v="COZZARELLI"/>
        <s v="PIERRE DE FERMAT "/>
        <s v="BISONTALAS"/>
        <s v="IPS CLINICA RENACER"/>
        <s v="ACTION BLACK SABANETA"/>
        <s v="GALEON MEDELLIN"/>
        <s v="Total Food sas"/>
        <s v="Danilo Cardenas"/>
        <s v="Red y mar 2 sede"/>
        <s v="MARY AND GEORGE"/>
        <s v="CARVAUTOS"/>
        <s v="CDA MOTO SUR"/>
        <s v="Asaderos Alcaravan SAS"/>
        <s v="DG FOOD"/>
        <s v="MAGISTRALVET"/>
        <s v="LATIENDA PASION"/>
        <s v="FERRETERÍA PUNTO DE LAS HERRAMIENTAS"/>
        <s v="Tennis pro"/>
        <s v="Tennis pro Col"/>
        <s v="M A LA CELOSA VIP"/>
        <s v="CHULAS Y CUATES"/>
        <s v="CASA CELOSA RESTAURANTE"/>
        <s v="DIVERPOOL"/>
        <s v="TRACTOCHEVROLET LTDA"/>
        <s v="LTC "/>
        <s v="Otto Quintana Peluqueria "/>
        <s v="Vehicentro"/>
        <s v="Hanashi suhi"/>
        <s v="New Anchor"/>
        <s v="El alicate"/>
        <s v="A2 DETAILING"/>
        <s v="TOURS GUATAVITA"/>
        <s v="LATIENDA PASION POR LA MODA"/>
        <s v="ARC"/>
        <s v="TAKE ADS"/>
        <s v="GRIFERÍAS FP"/>
        <s v="OCULTO NOGAL"/>
        <s v="ALMA FLOREZ"/>
        <s v="LA RUANA EVENTOS  &#10;"/>
        <s v="MARMOLEOS"/>
        <s v="YUM YUM MARKET"/>
        <s v="ALTA GAMA DENTAL SAS"/>
        <s v="TRUMA"/>
        <s v="Mary Coskis"/>
        <s v="Senzi"/>
        <s v="Luxe Aventuras Américas SAS"/>
        <s v="SonrisasImparaBLESS"/>
        <s v="La Artesa Panaderia"/>
        <s v="SABOR SALVAJE SAS"/>
        <s v="RAFAEL NAVARRO BY SANDRA BOTERO"/>
        <s v="BICICLETAS JUANFE SAS"/>
        <s v="Billares europa"/>
        <s v="Impogreen SAS"/>
        <s v="Gran Rodeo Parrilla SAS"/>
        <s v="Parque Kyqa Mhuysqa"/>
        <s v="Juan Carlos Gonzalez "/>
        <s v="FLEKSI"/>
        <s v="Edificio QO97"/>
        <s v="EGLO"/>
        <s v="LUZ MERY RODRIGUEZ LA CHAROLA PIZZAS Y PASTAS"/>
        <s v="ASOVEM"/>
        <s v="Mer cast Sas"/>
        <s v="Gafas y Gafas "/>
        <s v="Espectro Gafas y Gafas"/>
        <s v="MOLDURAS Y MOLDURAS "/>
        <s v="CLINICA INSER CARIBE "/>
        <s v="ROSTRO IDEAL "/>
        <s v="AUTOALEMAN"/>
        <s v="EDS PUMA MUZU"/>
        <s v="HACHE Y HACHE"/>
        <s v="RESTAURANTE DANIEL"/>
        <s v="ACTION BLACK CALI"/>
        <s v="CRAFT BEER STORE"/>
        <s v="DIGITAL GENIUS SAS"/>
        <s v="LA TRATTORIA DEL CENTRO"/>
        <s v="David E"/>
        <s v="Electric Bike  Tecnology"/>
        <s v="NOMADA ELECTRIC J&amp;D"/>
        <s v="CARLOS RODRIGUEZ ETERNITY JOYAS"/>
        <s v="Toro Mccoy Villa del rio sas"/>
        <s v="Gokela Aeropuerto Cartagena"/>
        <s v="Restaurante La Empírica"/>
        <s v="anthonellaboutique"/>
        <s v="Cubanita"/>
        <s v="La Gran Llanera Internacional JR SAS"/>
        <s v="CASA HACIENDA DE FAGUA LTDA"/>
        <s v="La Fogata Grill Burguer"/>
        <s v="Tecniruedas de Colombia sas"/>
        <s v="Camila Rodriguez (Oculto Park Way)"/>
        <s v="Carol Rodriguez (San Felipe)"/>
        <s v="ALPHA SOFIT CLUB"/>
        <s v="CEUZ DENTAL GROUP DR CHACON"/>
        <s v="LocalPayment"/>
        <s v="Toppings"/>
        <s v="WEST LAKE COLOMBIA"/>
        <s v="Muma Catering"/>
        <s v="AMD FASHION"/>
        <s v="KADOMA"/>
        <s v="OJITOS CAFE "/>
        <s v="DISTRINORTE "/>
        <s v="YAM TRAVEL SAS "/>
        <s v="healthatom"/>
        <s v="Caffa Andes ML"/>
        <s v="CALENTADORES LURE"/>
        <s v="ZIPPER BOLSOS DE ENVIGADO"/>
        <s v="SHULACES"/>
        <s v="Espejos KYM LA 56"/>
        <s v="TEYUNA TOURS"/>
        <s v="MERKATODO EXPRESS"/>
        <s v="OCTAVIO GONZALEZ (TENDENCIA AUTOMOTRIZ)"/>
        <s v="SERVI VITAL "/>
        <s v="CHORIDANI"/>
        <s v="ATENEA DISCOTECA LA 70"/>
        <s v="VALENTINA BAKERY SAS"/>
        <s v="MADERPOL"/>
        <s v="EME PANADERIA / EL PORTAL"/>
        <s v="LJMZ"/>
        <s v="CENTRO AUTOMOTRIZ MD"/>
        <s v="JRR BOUTIQUE MEDELLIN"/>
        <s v="B BLOOMSHELL"/>
        <s v="ALEJANDRA PERAFAN"/>
        <s v="MARGARITA MEJIA "/>
        <s v="INVERSIONES AQP SAS"/>
        <s v="MEDELLIN SMILES "/>
        <s v="Fundación Zenshin"/>
        <s v="ESPUMAS ORION"/>
        <s v="LABORATORIO DE INVERSIONES"/>
        <s v="CENTRO DE MASCOTAS "/>
        <s v="RUTA 69"/>
        <s v="AVICOLA TRIPLE A "/>
        <s v="APDM"/>
        <s v="WONDER"/>
        <s v="LA PLAZA"/>
        <s v="DOLCES ANTOJOS"/>
        <s v="MARIA FERNANDA ORTIZ"/>
        <s v="RECOJO"/>
        <s v="Clinica Antiguo Country SAS "/>
        <s v="EVALUA SALUD"/>
        <s v="BOSI"/>
        <s v="PLURA"/>
        <s v="ABETO"/>
        <s v="TOMASA BEATRIZ CESPEDES"/>
        <s v="ABBA CDA SAS"/>
        <s v="Maria Alejandra Rodriguez"/>
        <s v="Grupo La Santa"/>
        <s v="CORPORACIÓN GREMIAL DE BENEFICIO SOCIAL"/>
        <s v="MARGOTH VILLAMIL DE CAMPOS"/>
        <s v="MILTON JAVIER CAMPOS VILLAMIL"/>
        <s v="SANTIAGO CAMPOS CIFUENTES"/>
        <s v="ANA SOFIA PORRAS CRUZ"/>
        <s v="ADRIAN SORAYA CRUZ GIRALDO"/>
        <s v="NICOLAS RODRIGUEZ GIRALDO"/>
        <s v="COLANTA"/>
        <s v="SERE PAN Y CAFE"/>
        <s v="INTEGRIM SAS - PRINCIPAL"/>
        <s v="INTEGRIM SAS - BOGOTA"/>
        <s v="INTEGRIM SAS - BAQ"/>
        <s v="INTEGRIM SAS - CALI"/>
        <s v="ASMEDIC  COMPCASA"/>
        <s v="FR PRODUCCIONES"/>
        <s v="ALINA REPOSTERIA "/>
        <s v="Mis Carnes Parrilla"/>
        <s v="Mercapitall Full SAS"/>
        <s v="PRESTANZA (Estracol SAS)"/>
        <s v="La Tuerk"/>
        <s v="Mercacentro SAS"/>
        <s v="SYSCOM COLOMBIA SAS"/>
        <s v="queseria de mi sin ti"/>
        <s v="DON BENITEZ MEXICAN GRILL"/>
        <s v="UFF NAILS"/>
        <s v="USAUTOS MANIZALES SAS"/>
        <s v="INSTITUTO DE MEDICINA Y CIRUGIA DR FRANK LAMADRID SAS"/>
        <s v="CDA REDIMAX"/>
        <s v="KOAJ BAQ"/>
        <s v="SH&amp;S DENTAL SAS - GRUPO BOCANOVA"/>
        <s v="JUANPA JOBS"/>
        <s v="PRICE SHOES "/>
        <s v="NATALIA MONTOYA "/>
        <s v="NATURAL LIGHT"/>
        <s v="ALPHA FIT CLUB"/>
        <s v="GUARAGNA SAS"/>
        <s v="CAMILO VANEGAS URIBE"/>
        <s v="FULL 80S BOGOTA SAS"/>
        <s v="MERCAR FRUTAS Y VERDURAS"/>
        <s v="UP STAGE "/>
        <s v="FERNANDO BOTERO (AUTOPLUS)"/>
        <s v="TERRA BIOHOTEL MEDELLIN "/>
        <s v="TODO MAS KOTAS "/>
        <s v="MUNDIASTUR"/>
        <s v="RESTAURANTE HOTEL "/>
        <s v="CALLEJERO RESTAURANTE "/>
        <s v="Dra Wendy Aldana Medicina Estetica"/>
        <s v="LULO CAFE BAR"/>
        <s v="Luna Reina"/>
        <s v="Los Caminos De La Vida Bar"/>
        <s v="La Juma Barr"/>
        <s v="MARIA EUGENIA OCHOA"/>
        <s v="JUAN ALBERTO ARANGO"/>
        <s v="ALDEA ASIÁTICA"/>
        <s v="GRACE OBANDO "/>
        <s v="RAMONA LUCIA BERMUDEZ "/>
        <s v="GRUPO ESS SAS"/>
        <s v="INVERSIONES SERVIMARCAS  SAS"/>
        <s v="PINTURAS DUROCOLOR"/>
        <s v="Agroindustriales Cañaveralejo"/>
        <s v="COUNTRY PET"/>
        <s v="Clinica Veterinaria El Poblado Sas"/>
        <s v="LAMOSAN COLOMBIA"/>
        <s v="ANGÉLICA APARICIO"/>
        <s v="Unicomfort"/>
        <s v="ATLANTIDA TIENDA VIRTUAL"/>
        <s v="VIVARIUM MUEBLES SUIZOS"/>
        <s v="GS MODULAR SAS"/>
        <s v="DERMOSALUD"/>
        <s v="ANTONIO LEON"/>
        <s v="HUACATAY "/>
        <s v="OPTICA ALEMANA "/>
        <s v="Volandoalto SAS Wiki "/>
        <s v="Tueme SAS"/>
        <s v="DONATTO"/>
        <s v="TUSOATYA"/>
        <s v="CHINAMOTOS COLOMBIA SAS"/>
        <s v="GRUPO TERRAZA PANCE CARUZO"/>
        <s v="DELICIAS KRUSTY"/>
        <s v="Tramplestore"/>
        <s v="EXECUTIVE SAS"/>
        <s v="BIHAO COMIDA DE ORIGEN"/>
        <s v="El Kiosco Santa Bárbara "/>
        <s v="petcol"/>
        <s v="SANTIAGO DUQUE MUÑOZ"/>
        <s v="OFFRELE PERFUME "/>
        <s v="EL KIOSCO"/>
        <s v="Movimiento Político Fuerza Mi Patria "/>
        <s v="PEDRO MORENO MANRIQUE"/>
        <s v="Romil de Colombia"/>
        <s v="Kiosco Vivenza"/>
        <s v="HOPES AND DREAMS KINDERGARTEN"/>
        <s v="JUAN ANDRES WILCHES (Broasted Chicken Express)"/>
        <s v="FRIDA FUSION PARQUE LLERAS"/>
        <s v="La fogata"/>
        <s v="SIMONA MODA"/>
        <s v="BURBUJAS CAN SPA (STEPHANNY NUÑEZ)"/>
        <s v="CARLOS SERNA (DON GIL)"/>
        <s v="VITA SALUD "/>
        <s v="LA FLEUR ANGGELO BERMUDEZ "/>
        <s v="DRA LAURA GALLEGO "/>
        <s v="PROBIENESTAR SAS"/>
        <s v="Xoxial Beach Club"/>
        <s v="DRA LAURA MONTENEGRO"/>
        <s v="VITAL ATHLETIC LAB "/>
        <s v="SAMSKARA BIENESTAR"/>
        <s v="LAVANDERIA CLEANER "/>
        <s v="A&amp;R ADVANCE SAS"/>
        <s v="Colombia"/>
        <s v="Grupo Drogas"/>
        <s v="WOLVESMENT SAS"/>
        <s v="ELEKTRON INGENIERIA SAS"/>
        <s v="OMAR CASTRO VARELA"/>
        <s v="J.A.R CORP SAS"/>
        <s v="MARIA ANGELICA FUENTES (LAS CACERES)"/>
        <s v="NIPONAUTOS "/>
        <s v="DOCTOR ESCALANTE SAS"/>
        <s v="BOTON DE PAGOS - Luis penagos "/>
        <s v="CDA Alamos"/>
        <s v="INVERSIOENS MULTICENTRO SAS"/>
        <s v="DISLECTURA"/>
        <s v="JUAN PABLO GARCIA (mundofarma)"/>
        <s v="PUBLIMPRESOS JM SAS"/>
        <s v="SANDRA VARGAS (spa 127)"/>
        <s v="INVERSIONES MAYA FUENTES SAS"/>
        <s v="LA PLAZA BY BARBACOA MX"/>
        <s v="Bastardo rooftop"/>
        <s v="Heladeria la 75 "/>
        <s v="Valentina Davila Gutierrez (UMMU)"/>
        <s v="SkyMotion Bogotá"/>
        <s v="SkyMotion Medellín"/>
        <s v="DREAMER"/>
        <s v="TRO SAS"/>
        <s v="El Don Restaurantes 94"/>
        <s v="JHAIR OCAMPO RODRIGUEZ"/>
        <s v="RODRIGO CORREA "/>
        <s v="DANIELA BOHORQUEZ ANGULO"/>
        <s v="CLINICA LA CAROLINA SAS"/>
        <s v="CERVECERIA GIGANTE"/>
        <s v="Sur alpine"/>
        <s v="FUDNESS"/>
        <s v="INSTA360"/>
        <s v="BIN COLOMBIA"/>
        <s v="LA ELITE RACING / LA ELITE SHOP"/>
        <s v="LA CIMA ECOHOTEL"/>
        <s v="CRECIMIENTO GASTRONOMICO SAS"/>
        <s v="LA POPULAR"/>
        <s v="DRA MARTHA ZAPATA "/>
        <s v="DRA MARIA JULIANA VILLAFANE "/>
        <s v="KENDALL SA"/>
        <s v="AMASA PANADERIA"/>
        <s v="AMASA CAFE BRUNCH"/>
        <s v="DR HERNAN LINARES "/>
        <s v="VIOLETA GONZALEZ  (MAJA LEATHER)"/>
        <s v="Centro de abastos agropecuarios sas "/>
        <s v="Almacora"/>
        <s v="Mediempresas Sas"/>
        <s v="Onfly Sas"/>
        <s v="SPECIALIST DENTAL MONICA GALLEGO "/>
        <s v="DR JUAN CAMILO VALDERRAMA "/>
        <s v="SERVITECA RICAURTE (ENRIQUE RUIZ)"/>
        <s v="El Chuzo del Jefe"/>
        <s v="Glamour Spa Bq"/>
        <s v="DRA NATALIA BIANCHA "/>
        <s v="Fruver Del Campo"/>
        <s v="REALIZA TU BELLEZA COSMETICOS Y ACCESORIOS "/>
        <s v="MERCASOCIAL VERBENAL "/>
        <s v="LA PALMA EXPRESS "/>
        <s v="COMERCIALIZADORA MERCASOCIAL SAS"/>
        <s v="LIFECOOL"/>
        <s v="Minca"/>
        <s v="DR HERNANDO GARCIA "/>
        <s v="CHALBER 360 SAS"/>
        <s v="C RIO  - DR OSCAR ALVAREZ "/>
        <s v="Corporaciones jhl sas"/>
        <s v="Edén Perfume Atelier"/>
        <s v="veterika sas"/>
        <s v="THE JUNGLE IN THE CITY "/>
        <s v="AcceNorte SAS"/>
        <s v="JOYROOM"/>
        <s v="BELAH BEAUTY"/>
        <s v="Mundial de Mercancías Sas"/>
        <s v="Distrito Cafetero"/>
        <s v="Big Center"/>
        <s v="Artiq"/>
        <s v="GVS COLOMBIA S.A.S "/>
        <s v="DON TELMO SAS"/>
        <s v="INVERSIONES MURALLA SAS"/>
        <s v="INGATUU"/>
        <s v="COMPU-CELL ACCESORIOS Y SERVICIOS"/>
        <s v="BRISKET CASA DE ASADOS"/>
        <s v="EL POTRERO (LUIS ALBERTO BENAVIDES)"/>
        <s v="PARRILLA OCHENTERA EVENTOS"/>
        <s v="ANDIVISIÓN SAS"/>
        <s v="RICARDO ANDRES PERALTA (COCHEROS UNILAGO)"/>
        <s v="KARAOKE NOA NOA "/>
        <s v="SEBASTIAN LOPEZ CASTAÑEDA (SMILE WELL)"/>
        <s v="Licores medellin"/>
        <s v="Restaurante la CIma "/>
        <s v="DRA GAIL CLAVIJO "/>
        <s v="IPHONE SHOP BOGOTA"/>
        <s v="CHEERS PIZZERIA (LA RECAUDADORA SAS)"/>
        <s v="MASTER SUSHI (CAROLA CACEROLA)"/>
        <s v="OLIVA SAS "/>
        <s v="ALEX LOZANO "/>
        <s v="HMC CENTROLAB"/>
        <s v="CENTROLAB SAS"/>
        <s v="JUANK VENTURA "/>
        <s v="JUANK CAOBOS "/>
        <s v="RUTH MARINA GOMEZ (DON FRIJOLES)"/>
        <s v="PROYECTOS ORGANIZACIONALES "/>
        <s v="DRA JULIANA ASTUDILLO "/>
        <s v="HOTEL SANTELMO CALI"/>
        <s v="RAVAL ROOFTOP"/>
        <s v="INTELVIR SAS"/>
        <s v="INTELVIR LA 33 MEDELLÍN"/>
        <s v="INTELVIR PLAZAS VERDES"/>
        <s v="INTELVIR CHIPICHAPE CALI"/>
        <s v="MASG SAS"/>
        <s v="ARCAICOS ESTD 2018 "/>
        <s v="Negocio de Maria Renata"/>
        <s v="WIKI"/>
        <s v="UrbanRock"/>
        <s v="Chalber 360 SAS (vecinos Market)"/>
        <s v="Negocio de juguetes Buffalo E Innovación Sas"/>
        <s v="THE BODY SHOP (Bogotá)"/>
        <s v="THE BODY SHOP (Villavicencio)"/>
        <s v="AGUA SIEMBRA"/>
        <s v="CAULE "/>
        <s v="Classic Chía"/>
        <s v="Classic"/>
        <s v="Comercializadora csf sas (Grupo Empresarial Guia Cereza)"/>
        <s v="Guia Cereza (Grupo Empresarial Guia Cereza)"/>
        <s v="Cereza Media (Grupo Empresarial Guia Cereza)"/>
        <s v="La celosa cantina"/>
        <s v="Ucayali SAS"/>
        <s v="Pincar Sta SAS "/>
        <s v="TOWS GALLERY "/>
        <s v="BIOTICKETS SAS"/>
        <s v="JUAN LADINO ACERO (EL CANTINAZO) "/>
        <s v="Angie Tatiana Pardo Martinez"/>
        <s v="Nicolas Martinez SABAI ACAI"/>
        <s v="AR Factory"/>
        <s v="COOPICRÉDITO"/>
        <s v="COOPICRÉDITO - DROGUERIA Y PERFUMERIA ARLEY"/>
        <s v="COOPICRÉDITO - FARMA DIANA DROGUERÍA"/>
        <m/>
        <s v="R y M"/>
        <s v="Red y Mar Unicentro"/>
        <s v="COOPICRÉDITO - DROGUERIA CRUZ AZUL CHICO NAVARRA"/>
        <s v="COOPICRÉDITO - SFARMA DROGUERIAS"/>
        <s v="COOPICRÉDITO - FARMACIAS PREMIUM"/>
        <s v="COOPICRÉDITO - FARMAPRECIOS 7 BOGOTA"/>
        <s v="COOPICRÉDITO - DROGUERIA BRISAS DEL LLANO"/>
        <s v="COOPICRÉDITO - DROGUERIAS ALFA TOCANCIPA"/>
        <s v="COOPICRÉDITO - DROGUERÍA PAN DE VIDA"/>
        <s v="Gratin Burger "/>
        <s v="Sulicor sas"/>
        <s v="COOPICRÉDITO - DROGUERIA SUPERTIENDA LA EMBAJADA"/>
        <s v="COOPICRÉDITO - FARMALKOSTO BOSQUES"/>
        <s v="COOPICRÉDITO - DROGUERIA AVENIDA 54"/>
        <s v="COOPICRÉDITO - ELDORADO SUCURSAL 4 COLINA"/>
        <s v="Duro color 7 de agosto "/>
        <s v="Ref JuanCa"/>
        <s v="COOPICRÉDITO - DROGUERIA PROMEDIC C.H."/>
      </sharedItems>
    </cacheField>
    <cacheField name="Merchant ID" numFmtId="0">
      <sharedItems>
        <s v="OTT8ZA91GS"/>
        <s v="LWU5FIZZPX"/>
        <s v="7IW47CWHLA"/>
        <s v="PM6BZ0OM41"/>
        <s v="V2D10H30A6"/>
        <s v="W9Y4L8F4N2"/>
        <s v="AYILZWWK0P"/>
        <s v="ARYDJSNS2X"/>
        <s v="D9BBCAUZRK"/>
        <s v="MLSOQIAORD"/>
        <s v="ZBFT9JBRNT"/>
        <s v="W06BXLMD3C"/>
        <s v="VOG2HUW5VO"/>
        <s v="VIFU5YJBTM"/>
        <s v="DQDQKMENXA"/>
        <s v="QKCESKPA91"/>
        <s v="YE6RMJFK6K"/>
        <s v="YEY17SS4UP"/>
        <s v="VTCXH9AYXO"/>
        <s v="CGTPT8L3DG"/>
        <s v="CBL16SJULR"/>
        <s v="EO5ZB49DG2"/>
        <s v="OFC2I4Z2PO"/>
        <s v="DUJE9XZH3Q"/>
        <s v="NY6646ULTO"/>
        <s v="1AG1WY7CSP"/>
        <s v="3F86R9UN91"/>
        <s v="C2T5G954F1"/>
        <s v="T0EM6PSD79"/>
        <s v="PQFEX2AY4O"/>
        <s v="KUQFCYOJ5F"/>
        <s v="YO5Y2NTPRY"/>
        <s v="1MEOXAZD4L"/>
        <s v="W522Q392Y7"/>
        <s v="PZKOSYJEEO"/>
        <s v="W636X85VHW"/>
        <s v="0NAMJ65HII"/>
        <s v="OFZJDWZPTJ"/>
        <s v="TP4LNEUN1M"/>
        <s v="0KN0WI1S9F"/>
        <s v="ATLO1FBHKN"/>
        <s v="OQ7TIDV5MD"/>
        <s v="372E652JMS"/>
        <s v="GQVPXX6V8G"/>
        <s v="SJN7XJ8236"/>
        <s v="45E8YNVYMM"/>
        <s v="5AVCGZK2P8"/>
        <s v="442EGE688O"/>
        <s v="9AR1MMWV5A"/>
        <s v="TXFEH92VFO"/>
        <s v="VPRNTGJCB2"/>
        <s v="0JO6SWOPF5"/>
        <s v="SNM2QGYKAJ"/>
        <s v="VI2AZEVQ73"/>
        <s v="WZGSPR0JXV"/>
        <s v="X4JIGATJGL"/>
        <s v="H4DQ3W9NLM"/>
        <s v="4SFPMWKA6T"/>
        <s v="VFR0TAG2F7"/>
        <s v="2XGLJL6ASW"/>
        <s v="5LSE5CTE6X"/>
        <s v="RMJJCNLKKI"/>
        <s v="O63GT7UONQ"/>
        <s v="9D25IUH6ZU"/>
        <s v="RA4XAW89EA"/>
        <s v="V7F11RKN8F"/>
        <s v="9Q9H9V0QE5"/>
        <s v="VFP4AM2X8R"/>
        <s v="XBJD6EJPEE"/>
        <s v="5LEB6JQ3ZX"/>
        <s v="X243MWK7PT"/>
        <s v="C6WTZMVXUJ"/>
        <s v="J141IRHCAT"/>
        <s v="XRDVP47X28"/>
        <s v="6FYGDXFONI"/>
        <s v="KYQDQ9DDUT"/>
        <s v="ASKFYM2VN1"/>
        <s v="8Y1CCKGDWM"/>
        <s v="CR64Q2ZH6L"/>
        <s v="GEDYCRICWZ"/>
        <s v="DF5AYBNCG7"/>
        <s v="5OCMIYC9E1"/>
        <s v="853AVNZ579"/>
        <s v="DTFL3QWOCZ"/>
        <s v="01AVRUSPXN"/>
        <s v="PS1W9XB6FQ"/>
        <s v="GNC0EBFLKR"/>
        <s v="RLDMWCDBC9"/>
        <s v="M4LOYUCSQI"/>
        <s v="TXEIYCNRVA"/>
        <s v="KNJ3NC4FSQ"/>
        <s v="NW6BWOKGG9"/>
        <s v="BE6TICAMHK"/>
        <s v="EOEZSU8XRB"/>
        <s v="51C9TI7TZK"/>
        <s v="LIJXVKVO17"/>
        <s v="E273MPSWXT"/>
        <s v="6I3LZUJUWN"/>
        <s v="Y9EAD1AQFT"/>
        <s v="DUYXVP38CP"/>
        <s v="VAT892C3ON"/>
        <s v="QSARDOURO6"/>
        <s v="TDC2305JOZ"/>
        <s v="WMRIIM7K4Z"/>
        <s v="4WTLVLJXJF"/>
        <s v="0TEW8HKHV6"/>
        <s v="7IVV66QYI8"/>
        <s v="IEMW4LE86N"/>
        <s v="EW1ZAS7596"/>
        <s v="CVL2GHGJAR"/>
        <s v="UV3ALWE7CY"/>
        <s v="9UFTZQFXAR"/>
        <s v="6KU8U4VM5V"/>
        <s v="WB4OKYDHNE"/>
        <s v="GV0QJTPVZ1"/>
        <s v="SCAWNGR2IL"/>
        <s v="AX9T161Y4S"/>
        <s v="CND6HA1NA6"/>
        <s v="SSZU60WPCW"/>
        <s v="406Y8PD56V"/>
        <s v="WZB1XJK6TH"/>
        <s v="NTETF401BR"/>
        <s v="KW9GACVMP5"/>
        <s v="VQRYIAQ295"/>
        <s v="4ENPV06ZDW"/>
        <s v="HC04720X8P"/>
        <s v="EGQV5KCAAS"/>
        <s v="474N8BHMFV"/>
        <s v="S1S7P4JDHR"/>
        <s v="TRTJ8DJ57M"/>
        <s v="FKMC7BETA8"/>
        <s v="2UFGI0LHAX"/>
        <s v="DG6BVXAQH8"/>
        <s v="3TXC9VG7FV"/>
        <s v="SY1YYTRC0Y"/>
        <s v="VEA7T9WL4K"/>
        <s v="3PN7ULDLIH"/>
        <s v="WQN3AJB7PG"/>
        <s v="JFHU3WAT2P"/>
        <s v="LPAZEG6367"/>
        <s v="HAOF6M74TS"/>
        <s v="MUHXIAA2LJ"/>
        <s v="8JZRU8B1W8"/>
        <s v="NVKIC7RMN6"/>
        <s v="DT95NWLF0W"/>
        <s v="K7I85PGW9S"/>
        <s v="YO31XBWO4W"/>
        <s v="K5GYX70JTS"/>
        <s v="WRYOYRFZSZ"/>
        <s v="5XYDH2JZL3"/>
        <s v="Q7I2FZUXD6"/>
        <s v="HRU4BP5J2B"/>
        <s v="OCFOMHHMK4"/>
        <s v="2PFILDW8FW"/>
        <s v="8XBU3FH6EK"/>
        <s v="IP6QHHVJB7"/>
        <s v="MORLCRCGUS"/>
        <s v="VE5O1Z61GP"/>
        <s v="BQ8G7BUZMH"/>
        <s v="HP65NMLJ5R"/>
        <s v="VV4KJIR0CW"/>
        <s v="5KX1YO3QJG"/>
        <s v="DHH2J48WCG"/>
        <s v="LLP4WIPHW2"/>
        <s v="0EZS9P5UEL"/>
        <s v="PLIKHGX8U1"/>
        <s v="1ANNN2IHO5"/>
        <s v="CNDPCZRDO8"/>
        <s v="L7NZS6DKHO"/>
        <s v="XOQZV9A531"/>
        <s v="A4XVEUHQVI"/>
        <s v="L813L1GMU3"/>
        <s v="IKA4RZIXJI"/>
        <s v="K71VV0GWQ8"/>
        <s v="OM16N4A2JD"/>
        <s v="UB5RU3HC0T"/>
        <s v="BVUEV5DWJX"/>
        <s v="RQM6IVGR66"/>
        <s v="CY1JZLWIUV"/>
        <s v="Z7VNSZI3VA"/>
        <s v="9WMBMNL9ON"/>
        <s v="LORX7DRS1H"/>
        <s v="D7E7DR34AP"/>
        <s v="VDVRX8O7OS"/>
        <s v="01MEF6AR94"/>
        <s v="GT0DLVLS7I  "/>
        <s v="2F5YN1FOTB"/>
        <s v="D8VNOI7YEN "/>
        <s v="DC0ZTGJ5SJ"/>
        <s v="EUZMRCPII9"/>
        <s v="ZF4V7DHS8T"/>
        <s v="SLNJBDABNI"/>
        <s v="G9VF8ZC6IL"/>
        <s v="N8B8AE3WL3"/>
        <s v="HEI8FXQGXP"/>
        <s v="5V8I97F3ZJ"/>
        <s v="SSMH6MRZQ8 "/>
        <s v="W8SYO4KSFE "/>
        <s v="2VNX7TIZ4C "/>
        <s v="IZGE7YG9FM"/>
        <s v="ROG5UPI5T7"/>
        <s v="DKTAQN1C29"/>
        <s v="VJ5Q1B0V7O"/>
        <s v="L6BVL5HXU9"/>
        <s v="K1DLG7D97D"/>
        <s v="9O12Z2PZ6P"/>
        <s v="YN3ACD5PD3"/>
        <s v="4OUU92V2IH"/>
        <s v="C7CZE3UDYT"/>
        <s v="TC1BY7XUDU"/>
        <s v="35ADTAVTO2 "/>
        <s v="GGHW96IS9D"/>
        <s v="XZHSHXRE4S"/>
        <s v="229KR1G0RT"/>
        <s v="EX8W73VG49"/>
        <s v="T9DL59GL38"/>
        <s v="OESA1BOU43"/>
        <s v="0ZF2MHXLRU"/>
        <s v="1CLQGUSN3C"/>
        <s v="C8NQGR07D1"/>
        <s v="HH01V1HBP0"/>
        <s v="83A7RLGNLT"/>
        <s v="HH2T6QC6Q9"/>
        <s v="LFXSO532ZU"/>
        <s v="4XMUU38HTL"/>
        <s v="RYDUSOUCDX"/>
        <s v="CVLA3JII4V"/>
        <s v="5MC2J22O1W"/>
        <s v="NXTBV69O3O"/>
        <s v="UJSUPIWL3E"/>
        <s v="5TUC1DCSBP"/>
        <s v="VKWHD8HZE1"/>
        <s v="KYZZSID3UX"/>
        <s v="8N5RTVHHZR"/>
        <s v="F7QL1WZPVT"/>
        <s v="I57EKLASQV"/>
        <s v="EQ1FF9TFUL"/>
        <s v="CPQECMCO40"/>
        <s v="IAZJ7KWK1J"/>
        <s v="ECWQ4PEU2I"/>
        <s v="B2WHNBYAV3"/>
        <s v="R25DPY8HP2"/>
        <s v="YZ7HVB46KO"/>
        <s v="EI6EXSQY04"/>
        <s v="NJK5NOUQ3O"/>
        <s v="T1JHCQT537"/>
        <s v="SACI6WI49T"/>
        <s v="FKJX4NTQ9B"/>
        <s v="74CDJBSINH"/>
        <s v="OULGO9BL18"/>
        <s v="UT7GID5KO8"/>
        <s v="Z7NFNEBF61"/>
        <s v="2XZCFXDNNR"/>
        <s v="OVFO5WY7T8"/>
        <s v="EW68KAEQCV "/>
        <s v="X0ZL1NG88D "/>
        <s v="NEWPARSSXZ "/>
        <s v="VDZODDQKY1 "/>
        <s v="DY3Q75DUKX"/>
        <s v="4NQAGUKT6Z"/>
        <s v="FFDNLSZYJZ"/>
        <s v="YZFBORJ7AU"/>
        <s v="3P1V9O5BD8"/>
        <s v="7MPXFVM7JO"/>
        <s v="3FZ1B5J8RP"/>
        <s v="IQ7I95U1VL"/>
        <s v="QFB07ZV8GV"/>
        <s v="DFBCE8VHYQ"/>
        <s v="RG58NMTSWL"/>
        <s v="YYE8V45QL9"/>
        <s v="S648ARY3VI"/>
        <s v="O4ECFI3ZLH"/>
        <s v="3YDM0K3QZ9"/>
        <s v="MBNVZPS1O3"/>
        <s v="AJPS5M7MPA"/>
        <s v="9E92O2E1L7"/>
        <s v="EVV0G08MJG"/>
        <s v="MS0BDTKZ48"/>
        <s v="GSVNEUN5CO"/>
        <s v="NHQ6FWLJ48"/>
        <s v="DWY3E3F1Q1"/>
        <s v="VXLLIOJ2GW"/>
        <s v="IVZQLBP967"/>
        <s v="4G2R3UDHYB"/>
        <s v="Y8ISTSYHXD"/>
        <s v="XPSQMRFDO2"/>
        <s v="9K5LWTR3BZ "/>
        <s v="3ZCIU49Y0I "/>
        <s v="XYPULLLRMG"/>
        <s v="JDRGMC969F"/>
        <s v="JPJ2SOS1T3"/>
        <s v="BRG10VQYIX "/>
        <s v="ROGJZY1D9S"/>
        <s v="2QRTOPNGF5"/>
        <s v="WB25M7WCWI"/>
        <s v="X3W73CIR3Y"/>
        <s v="7KHUBEH9LO"/>
        <s v="21EUY09EZ4"/>
        <s v="EFOQ8CCKPY"/>
        <s v="91A6TB2NBM"/>
        <s v="4AC8NDZA5V"/>
        <s v="K36GYD4164"/>
        <s v="XHZZWO5B5V"/>
        <s v="E8UVOV8XDI"/>
        <s v="DUF2TXPFNF"/>
        <s v="3HPX7YLL8C"/>
        <s v="URYAXEG6S5"/>
        <s v="Q5YAJB0SS0"/>
        <s v="4ZLX7A7XRE"/>
        <s v="GV7I0RPB7J"/>
        <s v="4282SS5UTC"/>
        <s v="PJZ0OF6BPU"/>
        <s v="61A3NP0BSD"/>
        <s v="AQ664HB04K"/>
        <s v="45BGD7J8P6"/>
        <s v="QTIRD08QG9"/>
        <s v="ILGQPA8S6B"/>
        <s v="MSKIQ38SIG"/>
        <s v="KE8ZIN4VCU"/>
        <s v="41HTEIHSJK"/>
        <s v="IP6B6BJZFG"/>
        <s v="NDZEMIXFQA"/>
        <s v="3A8THTN1V1"/>
        <s v="8QPPF0HDTM"/>
        <s v="Y51X9ZXUBQ"/>
        <s v="740VURENST"/>
        <s v="MNH2MMC2PG"/>
        <s v="CGWP4CIWOU"/>
        <s v="R5OS7JTHRP"/>
        <s v="4Q89TZE17W"/>
        <s v="4U2PBVJ8MG"/>
        <s v="12W9QWJ0AD"/>
        <s v="TGVHP5DJUW"/>
        <s v="HGTUGRRMC7"/>
        <s v="Q00E42T5BG"/>
        <s v="S45WI2P3PU"/>
        <s v="KOXP2GPY67"/>
        <s v="VYOPP1UEE0"/>
        <s v="YH6MNSMOCU"/>
        <s v="DQVG17TMVT"/>
        <s v="MU1SJI0JVJ"/>
        <s v="JZGDHJERP2"/>
        <s v="YLJ2OWQ6SE"/>
        <s v="3ZZBS64K77"/>
        <s v="ULW6NOJ2CL"/>
        <s v="IC5BLZ29AH"/>
        <s v="DRHVXUE43I"/>
        <s v="YH6KEGXOD3"/>
        <s v="PTIL2TESWK"/>
        <s v="NJJOTXHLUT"/>
        <s v="TMN9H6OZ0F"/>
        <s v="3GXPBCPH6H"/>
        <s v="1V5FF0Y7VM"/>
        <s v="3WG95A1UGJ"/>
        <s v="Y2IGAKN48C"/>
        <s v="5A870974PY"/>
        <s v="RJ4TEQTQK3"/>
        <s v="ZQ9F0AW4CB"/>
        <s v="531UJD08AK"/>
        <s v="GHBX5J15OR"/>
        <s v="X311YG19JO"/>
        <s v="WYBMBFJ517"/>
        <s v="UQGBVLWHNZ"/>
        <s v="VY6VES3Z9R"/>
        <s v="OLFFHQR5A3"/>
        <s v="FQSBCG07LU "/>
        <s v="D891Y7RKCC "/>
        <s v="G1AEO6732N "/>
        <s v="1OFI1RCK0G "/>
        <s v="NQVGOKR95V"/>
        <s v="VHK2UKV53B"/>
        <s v="OKADKYEPQB"/>
        <s v="5RWPJKS60Q"/>
        <s v="LZOL8WQC5T"/>
        <s v="B345I7Y21T"/>
        <s v="4M2O6VLH9I"/>
        <s v="2JJFT1YI1D"/>
        <s v="JVGLF7F4WH"/>
        <s v="UP7X07KY9P"/>
        <s v="VB1IU8K35P"/>
        <s v="M7TSQ07RQC"/>
        <s v="EOIJTLOCJ1"/>
        <s v="H2ENZD9KV7"/>
        <s v="0H2W4C9ZQC"/>
        <s v="TP9X2KCMWS"/>
        <s v="BHNXRPS507"/>
        <s v="MNFKER260S"/>
        <s v="H4Y5AGH0FR"/>
        <s v="8GRBQHK7D2"/>
        <s v="Y3INN0E4RT"/>
        <s v="XMMWK35GCB"/>
        <s v="BDMS1J57N0"/>
        <s v="2TLTH1KUEU"/>
        <s v="A78Q2QG67N"/>
        <s v="6GU5HGJRI2"/>
        <s v="WA14MO4JV3"/>
        <s v="B2LSO7Y8ZJ"/>
        <s v="24XH8NLNI0"/>
        <s v="14NO6RIM7H"/>
        <s v="Z94DMHO6O6"/>
        <s v="SIH612NT9H"/>
        <s v="910F7YIJ7U"/>
        <s v="8WVP5D0BZD"/>
        <s v="87VZFGDL4L"/>
        <s v="ZLLTGB15Y5"/>
        <s v="7AY5T2GM0Y"/>
        <s v="FQO5T5STT8"/>
        <s v="PD7YUQJQ05"/>
        <s v="HWOENAJOCL"/>
        <s v="A2AW5Y170B"/>
        <s v="O4JFCN2RFG"/>
        <s v="SU0A7X00QS"/>
        <s v="XTNQSECV0I"/>
        <s v="4DY35RO1OQ"/>
        <s v="XOCXLVKVT4"/>
        <s v="1Y3ZZ3TJJX"/>
        <s v="2KD2HH3EBI"/>
        <s v="4WY58WZGER"/>
        <s v="CUUWRAI7KI"/>
        <s v="2CBW1QUL90"/>
        <s v="IU98G70UIT"/>
        <s v="US9V3G0PKD"/>
        <s v="Q0UH254NTT"/>
        <s v="CQT8FDYSFN"/>
        <s v="T0NCW47DSD"/>
        <s v="IH3ZMDXY21"/>
        <s v="B7PF7R4V97"/>
        <s v="FKQX5FENOV"/>
        <s v="089CXLK1HN"/>
        <s v="VTRUIKLVGI"/>
        <s v="R0RWXD90UE"/>
        <s v="3PQ4GUJGBE"/>
        <s v="HWLYBE7T4U"/>
        <s v="4OCVESHSCL"/>
        <s v="AHZX3JJB3E"/>
        <s v="9AU879MZ4Y"/>
        <s v="PZGZ2JRJUZ"/>
        <s v="O95TN1ICSX"/>
        <s v="KKJ57127F6"/>
        <s v="6AEWA5HUR4"/>
        <s v="OPY9JS2VVI"/>
        <s v="3QY6ZHRJIG"/>
        <s v="DUMVF79F5D"/>
        <s v="9MULE2NM3S"/>
        <s v="6RGKVIRZMS"/>
        <s v="91VNMYGF0X"/>
        <s v="6ZQ2SP7XJD"/>
        <s v="358T6AUH70"/>
        <s v="CWQSMKP3GO"/>
        <s v="B4JLDVXLPL"/>
        <s v="47X52ZO722"/>
        <s v="R721FQZ7DK"/>
        <s v="4J12VSHD29"/>
        <s v="L0ZR7N7PXN"/>
        <s v="LRQSMJBJJQ"/>
        <s v="PSW0Z9K5RJ"/>
        <s v="ERS5T5MTUX"/>
        <s v="YQX6DC5V48"/>
        <s v="003Y23QUEM"/>
        <s v="JAEJ6L6OIB"/>
        <s v="QKCKZ15FX3"/>
        <s v="3J7EGAHD7N"/>
        <s v="TFOBBEOF3W"/>
        <s v="5QZ21EGNSP"/>
        <s v="RTQI781C8O"/>
        <s v="W13THZG45R"/>
        <s v="2BOI5HNF34"/>
        <s v="S7M0M7J1Z3"/>
        <s v="KLYQSAM2TD"/>
        <s v="0IKNB5FI29"/>
        <s v="N4RS4STGVY"/>
        <s v="D3XQWB2UZ9"/>
        <s v="YEFXU8YLHI"/>
        <s v="7AXN2DC6GE"/>
        <s v="R81A7GRZ6C"/>
        <s v="6I30XOEHEA"/>
        <s v="73PXJN5E48"/>
        <s v="WOXUFI3LZ7"/>
        <s v="ND1WP999J8"/>
        <s v="T4NBWTJTQ5"/>
        <s v="S76EWCLAMT"/>
        <s v="WUUAG0DR0R"/>
        <s v="DVOBZ41GMM"/>
        <s v="B4OSMWIS06"/>
        <s v="GU03WSXCWY"/>
        <s v="HASVC9ZZWE"/>
        <s v="W5IKU7WZ23"/>
        <s v="D30RAOBDYD"/>
        <s v="XORVRQ2DVI"/>
        <s v="SJ8GT6BS5BI"/>
        <s v="CP10CGI5N2"/>
        <s v="3EG5C4Y4JH"/>
        <s v="OJZAYC0F07"/>
        <s v="U7PBCXK0B4"/>
        <s v="Q5QOOTXAQI"/>
        <s v="V0TH082JDO"/>
        <s v="1ZVXQNS3P9"/>
        <s v="KEB28UFQ0S"/>
        <s v="RNV06OWOVD"/>
        <s v="LS8XZDVV3U"/>
        <s v="YXYOI7DX7G"/>
        <s v="JGI6A0HKSW"/>
        <s v="WV1C99X4AX"/>
        <s v="8FNT1GVW3A"/>
        <s v="TDC2305JOZ "/>
        <s v="H1FWPB3ZP9"/>
        <s v="GY8EFUMLS5"/>
        <s v="0KJYTFRMZQ"/>
        <s v="V4RF7J67E7"/>
        <s v="8FPZUOKPC1"/>
        <s v="YSRMC9IOP0"/>
        <s v="U4XIWRS5T2"/>
        <s v="83VC5VF3A5"/>
        <s v="IF80459HP6"/>
        <s v="W8YLXHJW6Z "/>
        <s v="OL676RGVVL"/>
        <s v="UPW0QAVTNC"/>
        <s v="196Z05FUIU"/>
        <s v="EUCIBHOXJB"/>
        <s v="CQBSYE4IH6"/>
        <s v="PAENF9FCOP"/>
        <s v="DL5FI485NM"/>
        <s v="11YZUVM3SR"/>
        <s v="11GOWINWQ0"/>
        <s v="RULCPSP0MP"/>
        <s v="5714SXTLQZ"/>
        <s v="13VV9DB1MQ"/>
        <s v="ZN83JPOUUN"/>
        <s v="X3DWEP3OKB"/>
        <s v="OTS82Z04R4"/>
        <s v="6NQ89YE8TU"/>
        <s v="90J97XKBXW"/>
        <s v="JU4G6BJVIS"/>
        <s v="TZLKOTA1AE"/>
        <s v="R2N05BY7AB"/>
        <s v="PGTZJY5J4P"/>
        <s v="ZDXLV9AMTE"/>
        <s v="CTFHVIDNVP"/>
        <s v="K7P25XJVMW"/>
        <s v="ZM2J9QBNVI"/>
        <s v="KT1ET4QU9T"/>
        <s v="V8M5L36WB4"/>
        <s v="HIS2R4ND6H"/>
        <s v="MSXV99VUSN"/>
        <s v="SUJCRFJTJA"/>
        <s v="KLZO48Y554"/>
        <s v="6X57YG6RZF"/>
        <s v="ECIA4CLAJJ"/>
        <s v="8YMM3DE9Z2"/>
        <s v="T1BU3UOPBQ"/>
        <s v="VZZYM4BTZY"/>
        <s v="8WNLOT9FK7"/>
        <s v="NWZY1TPIKP"/>
        <s v="A2VJM9RERP"/>
        <s v="5VKH2PKXNG"/>
        <s v="N02G7KLNYT"/>
        <s v="N07GQS37FI"/>
        <s v="44PEA1BW6Z"/>
        <s v="VBGMW8ZLXF"/>
        <s v="S55SXF1AZ6"/>
        <s v="0V4ARRC5YA"/>
        <s v="S30RO1V8BT"/>
        <s v="7YF1T0BH2P"/>
        <s v="07GNCHCJ2I"/>
        <s v="63L0UWEFYX"/>
        <s v="85UXV3E9XQ"/>
        <s v="EHLPF2CO1D"/>
        <s v="KFM998HAD4"/>
        <s v="LQVMXKKLF2"/>
        <s v="DLTMKQDWW4"/>
        <s v="G8IVYPH9DY"/>
        <s v="FODNLW9RH6"/>
        <s v="HCOU342YJ7"/>
        <s v="11PBFRH8I7"/>
        <s v="B1HF0RE187"/>
        <s v="DYMAG15BTB"/>
        <s v="KYI7OUXO7L"/>
        <s v="RB2S3P1M91"/>
        <s v="YZ0S7NEFQH"/>
        <s v="0NGT73F49C"/>
        <s v="E2PO25HTHG"/>
        <s v="62YA1882JU"/>
        <s v="REBYLFC628"/>
        <s v="3YKFGJD7VU"/>
        <s v="P87LVUWKEJ"/>
        <s v="IGY7KXNK9I"/>
        <s v="KAJMTHDZSQ"/>
        <s v="LKLMODISWE"/>
        <s v="7FVEF1E4RX"/>
        <s v="082PDRU1HA"/>
        <s v="UFC37FOT0M"/>
        <s v="6S915KUGYJ"/>
        <s v="SCX610BE0J"/>
        <s v="61MCDS1R29"/>
        <s v="H59G7DNR2H"/>
        <s v="IRRNTIHZMO"/>
        <s v="DXB74LTUKS"/>
        <s v="E5V4YVQQWU"/>
        <s v="N8M11DIJBM "/>
        <s v="LEKAXDYC73"/>
        <s v="CA680FDX9X"/>
        <s v="B3CGWZEWBN"/>
        <s v="VIXHJJEMZ7"/>
        <s v="EJ2NY7GONS"/>
        <s v="VJDN3PEQ0Y"/>
        <s v="5MVZKZU5UF"/>
        <s v="Y6N2N1TSYL"/>
        <s v="J5M9NKV32G"/>
        <s v="262S28BEHK"/>
        <s v="ROZXO501XY"/>
        <s v="1GTRDXRHI2"/>
        <s v="5OXC3XBO5N"/>
        <s v="R5XV9OBP2E"/>
        <s v="Y4NUR5PZZ9"/>
        <s v="N5Z0P5IQER"/>
        <s v="F4X2N844RR"/>
        <s v="M81R4U9V3O"/>
        <s v="GT87Q3S089"/>
        <s v="ZJB0QY1TJP"/>
        <s v="90TV5D0IRF"/>
        <s v="TO56GMUSGQ"/>
        <s v="ZQ1V82QHGK"/>
        <s v="MPED10T5NP"/>
        <s v="RY5LWOQ7MX"/>
        <s v="IEX7KI2FG5"/>
        <s v="XV8DY11RFI"/>
        <s v="TOKXAUSOWY"/>
        <s v="98OCV2C88Y"/>
        <s v="QAZSR9K337"/>
        <s v="H7NKU2BEFN"/>
        <s v="528HHQPHT6"/>
        <s v="41KVZBW31U"/>
        <s v="OOY1OLJ0KP"/>
        <s v="OXY5DK9QNJ"/>
        <s v="4JCBKIIMNP"/>
        <s v="Y0FYYVCHZ8"/>
        <s v="PAFIH4ZNF3"/>
        <s v="4G7VI55ANW"/>
        <s v="NHQEBTPL15"/>
        <s v="1Y02YXHIBZ"/>
        <s v="5SY8CJIY6Y"/>
        <s v="KTHMT2DK2B"/>
        <s v="1QTGLUUFQQ"/>
        <s v="NHJFNUL6XW"/>
        <s v="QJEQ2ESHIN"/>
        <s v="4LOVNJKW4J"/>
        <s v="P8EN863PED"/>
        <s v="Z7UATHPIYK"/>
        <s v="QYXT2ZSX7F"/>
        <s v="7L431N50AP"/>
        <s v="TIVLBZXYXT"/>
        <s v="T4SK9FQB1U"/>
        <s v="FVIW7MZRDS"/>
        <s v="OBYX1IJOFU"/>
        <s v="OMW0ZBLIKS"/>
        <s v="TRFFUSAKKM"/>
        <s v="Q5W9JNH16E"/>
        <s v="FVAG3UOMNR"/>
        <s v="7BVZBXN09Y"/>
        <s v="CJZ9L7O0SB"/>
        <s v="BGBKG6TM1S"/>
        <s v="2WZ9UO778I"/>
        <s v="IU8DZOUOF3"/>
        <s v="V20PGF8M0Q"/>
        <s v="3SQNBLP4ZN"/>
        <s v="NAKCEJYG9R"/>
        <s v="357UG2FGC4"/>
        <s v="18PWNELARR"/>
        <s v="0HBIQ98NSJ"/>
        <s v="P6H3L536A4"/>
        <s v="B2QWLHXHFP"/>
        <s v="YJ3CBFXC3L"/>
        <s v="UCUDV76JWM"/>
        <s v="IORS8SL4BF"/>
        <s v="UFVXZVG0L1"/>
        <s v="N96PAGVDTN"/>
        <s v="YTUPLKW0MR"/>
        <s v="BTJHGRLYXZ"/>
        <s v="9I8LY96BBG"/>
        <s v="H7H258JKKS"/>
        <s v="3NQ4U0QUHW"/>
        <s v="W7NPE2OB3Q"/>
        <s v="5602GZ54UZ"/>
        <s v="JA82FIY0Z4"/>
        <s v="9QZSA4AZC9"/>
        <s v="TP4M14EW7G"/>
        <s v="OTQRWPMPDG"/>
        <s v="YQV101FLPR"/>
        <s v="LBPEPJ7MSE"/>
        <s v="9P2HPMR919"/>
        <s v="5QI9HHZ4V3"/>
        <s v="7IPCV8YYHF"/>
        <s v="GL9K47JWUP    "/>
        <s v="184YC0SQY7"/>
        <s v="D3G5KP2NFQ"/>
        <s v="AB5GBIOYD3"/>
        <s v="A51QMI6IBF"/>
        <s v="6D0LT40ZFY"/>
        <s v="K5VVO0MRHK"/>
        <s v="9XXFG0I6J5"/>
        <s v="FAU23KUYJ3"/>
        <s v="UBGI6N3TSP"/>
        <s v="HI5EWYFEPF"/>
        <s v="TMQD2WP962"/>
        <s v="FUE3DBCUN3"/>
        <s v="6VM4KMXPWE"/>
        <s v="MPCK701TYS"/>
        <s v="JZ148KPFMY"/>
        <s v="KFFXQCGZG5"/>
        <s v="96EWQ42R93"/>
        <s v="6TQBZ5GGED"/>
        <s v="QPIJ3X5KML"/>
        <s v="BALJN7UVGZ"/>
        <s v="BEW2I4H9RP"/>
        <s v="PA80NXKNGV"/>
        <s v="KHMKJJ98KM"/>
        <s v="0JZIQD3YRK"/>
      </sharedItems>
    </cacheField>
    <cacheField name="Creado en CRM" numFmtId="0">
      <sharedItems containsBlank="1">
        <s v="Si"/>
        <s v="No"/>
        <m/>
      </sharedItems>
    </cacheField>
    <cacheField name="Mes Año&#10;">
      <sharedItems containsDate="1" containsMixedTypes="1">
        <s v="enero 2024"/>
        <s v="febrero 2024"/>
        <s v="marzo 2024"/>
        <s v="abril 2024"/>
        <s v="mayo 2024"/>
        <s v="junio 2024"/>
        <s v="julio 2024"/>
        <s v="agosto 2024"/>
        <s v="septiembre 2024"/>
        <s v="octubre 2024"/>
        <s v="noviembre 2024"/>
        <s v="diciembre 2024"/>
        <s v="enero 2025"/>
        <s v="febrero 2025"/>
        <s v="marzo 2025"/>
        <s v="abril 2025"/>
        <s v="mayo 2025"/>
        <s v="junio 2025"/>
        <s v="julio 2025"/>
        <s v="agosto 2025"/>
        <s v="septiembre 2025"/>
        <s v="octubre 2025"/>
        <s v="noviembre 2025"/>
        <s v="diciembre 2025"/>
        <s v="diciembre 1899"/>
        <s v="enero 2026"/>
        <s v="febrero 2026"/>
        <s v="marzo 2026"/>
        <d v="2026-04-01T00:00:00Z"/>
        <s v="abril 2026"/>
      </sharedItems>
    </cacheField>
    <cacheField name="Fecha de activacion" numFmtId="164">
      <sharedItems containsDate="1" containsString="0" containsBlank="1">
        <d v="2024-01-05T00:00:00Z"/>
        <d v="2024-01-12T00:00:00Z"/>
        <d v="2024-01-15T00:00:00Z"/>
        <d v="2024-01-17T00:00:00Z"/>
        <d v="2024-01-18T00:00:00Z"/>
        <d v="2024-01-25T00:00:00Z"/>
        <d v="2024-01-26T00:00:00Z"/>
        <d v="2024-01-27T00:00:00Z"/>
        <d v="2024-02-01T00:00:00Z"/>
        <d v="2024-02-02T00:00:00Z"/>
        <d v="2024-02-14T00:00:00Z"/>
        <d v="2024-02-15T00:00:00Z"/>
        <d v="2024-02-10T00:00:00Z"/>
        <d v="2024-02-12T00:00:00Z"/>
        <d v="2024-02-20T00:00:00Z"/>
        <d v="2024-02-23T00:00:00Z"/>
        <d v="2024-03-01T00:00:00Z"/>
        <d v="2024-03-04T00:00:00Z"/>
        <d v="2024-03-05T00:00:00Z"/>
        <d v="2024-03-12T00:00:00Z"/>
        <d v="2024-03-14T00:00:00Z"/>
        <d v="2024-03-13T00:00:00Z"/>
        <d v="2024-03-15T00:00:00Z"/>
        <d v="2024-03-20T00:00:00Z"/>
        <d v="2024-04-01T00:00:00Z"/>
        <d v="2024-04-04T00:00:00Z"/>
        <d v="2024-04-05T00:00:00Z"/>
        <d v="2024-04-09T00:00:00Z"/>
        <d v="2024-04-11T00:00:00Z"/>
        <d v="2024-04-12T00:00:00Z"/>
        <d v="2024-04-15T00:00:00Z"/>
        <d v="2024-04-18T00:00:00Z"/>
        <d v="2024-04-29T00:00:00Z"/>
        <d v="2024-04-30T00:00:00Z"/>
        <d v="2024-05-02T00:00:00Z"/>
        <d v="2024-05-03T00:00:00Z"/>
        <d v="2024-05-04T00:00:00Z"/>
        <d v="2024-05-08T00:00:00Z"/>
        <d v="2024-05-09T00:00:00Z"/>
        <d v="2024-05-11T00:00:00Z"/>
        <d v="2024-05-16T00:00:00Z"/>
        <d v="2024-05-18T00:00:00Z"/>
        <d v="2024-05-20T00:00:00Z"/>
        <d v="2024-05-23T00:00:00Z"/>
        <d v="2024-05-31T00:00:00Z"/>
        <d v="2024-06-04T00:00:00Z"/>
        <d v="2024-06-01T00:00:00Z"/>
        <d v="2024-06-05T00:00:00Z"/>
        <d v="2024-06-11T00:00:00Z"/>
        <d v="2024-06-08T00:00:00Z"/>
        <d v="2024-06-13T00:00:00Z"/>
        <d v="2024-06-14T00:00:00Z"/>
        <d v="2024-06-21T00:00:00Z"/>
        <d v="2024-06-07T00:00:00Z"/>
        <d v="2024-06-27T00:00:00Z"/>
        <d v="2024-07-02T00:00:00Z"/>
        <d v="2024-07-05T00:00:00Z"/>
        <d v="2024-07-08T00:00:00Z"/>
        <d v="2024-07-06T00:00:00Z"/>
        <d v="2024-07-10T00:00:00Z"/>
        <d v="2024-07-16T00:00:00Z"/>
        <d v="2024-07-17T00:00:00Z"/>
        <d v="2024-07-18T00:00:00Z"/>
        <d v="2024-07-26T00:00:00Z"/>
        <d v="2024-07-29T00:00:00Z"/>
        <d v="2024-07-30T00:00:00Z"/>
        <d v="2024-07-31T00:00:00Z"/>
        <d v="2024-08-01T00:00:00Z"/>
        <d v="2024-08-02T00:00:00Z"/>
        <d v="2024-08-05T00:00:00Z"/>
        <d v="2024-08-08T00:00:00Z"/>
        <d v="2024-08-09T00:00:00Z"/>
        <d v="2024-08-13T00:00:00Z"/>
        <d v="2024-08-15T00:00:00Z"/>
        <d v="2024-08-16T00:00:00Z"/>
        <d v="2024-08-21T00:00:00Z"/>
        <d v="2024-08-28T00:00:00Z"/>
        <d v="2024-09-02T00:00:00Z"/>
        <d v="2024-09-04T00:00:00Z"/>
        <d v="2024-09-05T00:00:00Z"/>
        <d v="2024-09-23T00:00:00Z"/>
        <d v="2024-09-30T00:00:00Z"/>
        <d v="2024-10-01T00:00:00Z"/>
        <d v="2024-10-07T00:00:00Z"/>
        <d v="2024-10-08T00:00:00Z"/>
        <d v="2024-10-09T00:00:00Z"/>
        <d v="2024-10-04T00:00:00Z"/>
        <d v="2024-10-16T00:00:00Z"/>
        <d v="2024-10-17T00:00:00Z"/>
        <d v="2024-10-18T00:00:00Z"/>
        <d v="2024-10-25T00:00:00Z"/>
        <d v="2024-11-01T00:00:00Z"/>
        <d v="2024-11-06T00:00:00Z"/>
        <d v="2024-11-13T00:00:00Z"/>
        <d v="2024-11-23T00:00:00Z"/>
        <d v="2024-11-28T00:00:00Z"/>
        <d v="2024-12-02T00:00:00Z"/>
        <d v="2024-12-04T00:00:00Z"/>
        <d v="2024-12-10T00:00:00Z"/>
        <d v="2024-12-05T00:00:00Z"/>
        <d v="2025-01-01T00:00:00Z"/>
        <d v="2025-01-21T00:00:00Z"/>
        <d v="2025-01-10T00:00:00Z"/>
        <d v="2025-01-22T00:00:00Z"/>
        <d v="2025-01-15T00:00:00Z"/>
        <d v="2025-01-16T00:00:00Z"/>
        <d v="2025-02-01T00:00:00Z"/>
        <d v="2025-02-06T00:00:00Z"/>
        <d v="2025-02-10T00:00:00Z"/>
        <d v="2025-02-21T00:00:00Z"/>
        <d v="2025-02-03T00:00:00Z"/>
        <d v="2025-02-08T00:00:00Z"/>
        <d v="2025-02-17T00:00:00Z"/>
        <d v="2025-02-13T00:00:00Z"/>
        <d v="2025-02-18T00:00:00Z"/>
        <d v="2025-02-05T00:00:00Z"/>
        <d v="2025-03-07T00:00:00Z"/>
        <d v="2025-03-11T00:00:00Z"/>
        <d v="2025-03-13T00:00:00Z"/>
        <d v="2025-03-05T00:00:00Z"/>
        <d v="2025-03-18T00:00:00Z"/>
        <d v="2025-03-01T00:00:00Z"/>
        <d v="2025-03-08T00:00:00Z"/>
        <d v="2025-03-10T00:00:00Z"/>
        <d v="2025-03-23T00:00:00Z"/>
        <d v="2025-03-20T00:00:00Z"/>
        <d v="2025-03-22T00:00:00Z"/>
        <d v="2025-03-29T00:00:00Z"/>
        <d v="2025-03-17T00:00:00Z"/>
        <d v="2025-03-03T00:00:00Z"/>
        <d v="2025-04-01T00:00:00Z"/>
        <d v="2025-04-02T00:00:00Z"/>
        <d v="2025-04-03T00:00:00Z"/>
        <d v="2025-04-04T00:00:00Z"/>
        <d v="2025-03-12T00:00:00Z"/>
        <d v="2025-03-27T00:00:00Z"/>
        <d v="2025-04-08T00:00:00Z"/>
        <d v="2025-04-14T00:00:00Z"/>
        <d v="2025-04-09T00:00:00Z"/>
        <d v="2025-04-10T00:00:00Z"/>
        <d v="2025-04-21T00:00:00Z"/>
        <d v="2025-04-11T00:00:00Z"/>
        <d v="2025-04-30T00:00:00Z"/>
        <d v="2025-05-02T00:00:00Z"/>
        <d v="2025-05-05T00:00:00Z"/>
        <d v="2025-05-07T00:00:00Z"/>
        <d v="2025-05-06T00:00:00Z"/>
        <d v="2025-05-09T00:00:00Z"/>
        <d v="2025-05-13T00:00:00Z"/>
        <d v="2025-05-16T00:00:00Z"/>
        <d v="2025-05-19T00:00:00Z"/>
        <d v="2025-05-20T00:00:00Z"/>
        <d v="2025-05-22T00:00:00Z"/>
        <d v="2025-05-23T00:00:00Z"/>
        <d v="2025-05-12T00:00:00Z"/>
        <d v="2025-06-04T00:00:00Z"/>
        <d v="2025-06-01T00:00:00Z"/>
        <d v="2025-06-03T00:00:00Z"/>
        <d v="2025-06-05T00:00:00Z"/>
        <d v="2025-06-16T00:00:00Z"/>
        <d v="2025-06-17T00:00:00Z"/>
        <d v="2025-06-18T00:00:00Z"/>
        <d v="2025-06-20T00:00:00Z"/>
        <d v="2025-06-06T00:00:00Z"/>
        <d v="2025-06-02T00:00:00Z"/>
        <d v="2025-06-09T00:00:00Z"/>
        <d v="2025-06-10T00:00:00Z"/>
        <d v="2025-06-12T00:00:00Z"/>
        <d v="2025-06-19T00:00:00Z"/>
        <d v="2025-06-21T00:00:00Z"/>
        <d v="2025-06-26T00:00:00Z"/>
        <d v="2025-07-02T00:00:00Z"/>
        <d v="2025-07-16T00:00:00Z"/>
        <d v="2025-07-01T00:00:00Z"/>
        <d v="2025-07-04T00:00:00Z"/>
        <d v="2025-07-05T00:00:00Z"/>
        <d v="2025-07-03T00:00:00Z"/>
        <d v="2025-07-07T00:00:00Z"/>
        <d v="2025-07-09T00:00:00Z"/>
        <d v="2025-07-11T00:00:00Z"/>
        <d v="2025-07-10T00:00:00Z"/>
        <d v="2025-07-15T00:00:00Z"/>
        <d v="2025-07-17T00:00:00Z"/>
        <d v="2025-07-18T00:00:00Z"/>
        <d v="2025-07-22T00:00:00Z"/>
        <d v="2025-07-23T00:00:00Z"/>
        <d v="2025-07-30T00:00:00Z"/>
        <d v="2025-08-01T00:00:00Z"/>
        <d v="2025-08-04T00:00:00Z"/>
        <d v="2025-07-29T00:00:00Z"/>
        <d v="2025-08-13T00:00:00Z"/>
        <d v="2025-08-21T00:00:00Z"/>
        <d v="2025-08-14T00:00:00Z"/>
        <d v="2025-08-08T00:00:00Z"/>
        <d v="2025-08-06T00:00:00Z"/>
        <d v="2025-08-11T00:00:00Z"/>
        <d v="2025-08-05T00:00:00Z"/>
        <d v="2025-08-12T00:00:00Z"/>
        <d v="2025-08-19T00:00:00Z"/>
        <d v="2025-08-15T00:00:00Z"/>
        <d v="2025-08-22T00:00:00Z"/>
        <d v="2025-08-23T00:00:00Z"/>
        <d v="2025-08-20T00:00:00Z"/>
        <d v="2025-08-29T00:00:00Z"/>
        <d v="2025-09-01T00:00:00Z"/>
        <d v="2025-09-02T00:00:00Z"/>
        <d v="2025-09-04T00:00:00Z"/>
        <d v="2025-09-03T00:00:00Z"/>
        <d v="2025-09-05T00:00:00Z"/>
        <d v="2025-09-08T00:00:00Z"/>
        <d v="2025-09-10T00:00:00Z"/>
        <d v="2025-09-11T00:00:00Z"/>
        <d v="2025-09-12T00:00:00Z"/>
        <d v="2025-09-13T00:00:00Z"/>
        <d v="2025-09-16T00:00:00Z"/>
        <d v="2025-09-17T00:00:00Z"/>
        <d v="2025-09-19T00:00:00Z"/>
        <d v="2025-09-22T00:00:00Z"/>
        <d v="2025-09-23T00:00:00Z"/>
        <d v="2025-09-30T00:00:00Z"/>
        <d v="2025-10-01T00:00:00Z"/>
        <d v="2025-10-02T00:00:00Z"/>
        <d v="2025-10-03T00:00:00Z"/>
        <d v="2025-10-06T00:00:00Z"/>
        <d v="2025-10-07T00:00:00Z"/>
        <d v="2025-10-09T00:00:00Z"/>
        <d v="2025-10-08T00:00:00Z"/>
        <d v="2025-10-10T00:00:00Z"/>
        <d v="2025-10-14T00:00:00Z"/>
        <d v="2025-10-15T00:00:00Z"/>
        <d v="2025-10-16T00:00:00Z"/>
        <d v="2025-10-17T00:00:00Z"/>
        <d v="2025-10-21T00:00:00Z"/>
        <d v="2025-10-23T00:00:00Z"/>
        <d v="2025-10-24T00:00:00Z"/>
        <d v="2025-10-25T00:00:00Z"/>
        <d v="2025-10-27T00:00:00Z"/>
        <d v="2025-10-28T00:00:00Z"/>
        <d v="2025-10-22T00:00:00Z"/>
        <d v="2025-10-29T00:00:00Z"/>
        <d v="2025-10-18T00:00:00Z"/>
        <d v="2025-10-20T00:00:00Z"/>
        <d v="2025-10-31T00:00:00Z"/>
        <d v="2025-11-01T00:00:00Z"/>
        <d v="2025-11-04T00:00:00Z"/>
        <d v="2025-11-05T00:00:00Z"/>
        <d v="2025-11-06T00:00:00Z"/>
        <d v="2025-11-07T00:00:00Z"/>
        <d v="2025-11-11T00:00:00Z"/>
        <d v="2025-11-12T00:00:00Z"/>
        <d v="2025-11-13T00:00:00Z"/>
        <d v="2025-11-10T00:00:00Z"/>
        <d v="2025-11-14T00:00:00Z"/>
        <d v="2025-11-15T00:00:00Z"/>
        <d v="2025-11-18T00:00:00Z"/>
        <d v="2025-11-19T00:00:00Z"/>
        <d v="2025-11-20T00:00:00Z"/>
        <d v="2025-11-21T00:00:00Z"/>
        <d v="2025-11-25T00:00:00Z"/>
        <d v="2025-11-24T00:00:00Z"/>
        <d v="2025-11-08T00:00:00Z"/>
        <d v="2025-11-27T00:00:00Z"/>
        <d v="2025-11-26T00:00:00Z"/>
        <d v="2025-12-01T00:00:00Z"/>
        <d v="2025-12-02T00:00:00Z"/>
        <d v="2025-12-03T00:00:00Z"/>
        <d v="2025-12-04T00:00:00Z"/>
        <d v="2025-12-05T00:00:00Z"/>
        <d v="2025-12-09T00:00:00Z"/>
        <d v="2025-12-11T00:00:00Z"/>
        <d v="2025-12-12T00:00:00Z"/>
        <d v="2025-12-15T00:00:00Z"/>
        <d v="2025-12-16T00:00:00Z"/>
        <d v="2025-12-17T00:00:00Z"/>
        <d v="2025-12-19T00:00:00Z"/>
        <m/>
        <d v="2025-12-27T00:00:00Z"/>
        <d v="2025-12-18T00:00:00Z"/>
        <d v="2025-11-29T00:00:00Z"/>
        <d v="2026-01-30T00:00:00Z"/>
        <d v="2026-02-02T00:00:00Z"/>
        <d v="2025-12-30T00:00:00Z"/>
        <d v="2026-01-14T00:00:00Z"/>
        <d v="2026-01-02T00:00:00Z"/>
        <d v="2026-01-29T00:00:00Z"/>
        <d v="2026-02-03T00:00:00Z"/>
        <d v="2026-02-06T00:00:00Z"/>
        <d v="2026-02-05T00:00:00Z"/>
        <d v="2026-02-18T00:00:00Z"/>
        <d v="2026-02-11T00:00:00Z"/>
        <d v="2026-02-12T00:00:00Z"/>
        <d v="2026-02-17T00:00:00Z"/>
        <d v="2026-03-04T00:00:00Z"/>
        <d v="2026-03-01T00:00:00Z"/>
        <d v="2026-03-24T00:00:00Z"/>
        <d v="2026-02-25T00:00:00Z"/>
        <d v="2026-02-23T00:00:00Z"/>
        <d v="2026-03-03T00:00:00Z"/>
        <d v="2026-03-11T00:00:00Z"/>
        <d v="2026-03-02T00:00:00Z"/>
        <d v="2026-03-06T00:00:00Z"/>
        <d v="2026-03-07T00:00:00Z"/>
        <d v="2026-03-16T00:00:00Z"/>
        <d v="2026-03-18T00:00:00Z"/>
        <d v="2026-03-28T00:00:00Z"/>
        <d v="2026-03-23T00:00:00Z"/>
        <d v="2026-04-01T00:00:00Z"/>
      </sharedItems>
    </cacheField>
    <cacheField name="Mes" numFmtId="165">
      <sharedItems containsDate="1" containsString="0" containsBlank="1">
        <d v="2024-01-05T00:00:00Z"/>
        <d v="2024-01-12T00:00:00Z"/>
        <d v="2024-01-15T00:00:00Z"/>
        <d v="2024-01-17T00:00:00Z"/>
        <d v="2024-01-18T00:00:00Z"/>
        <d v="2024-01-25T00:00:00Z"/>
        <d v="2024-01-26T00:00:00Z"/>
        <d v="2024-01-27T00:00:00Z"/>
        <d v="2024-02-01T00:00:00Z"/>
        <d v="2024-02-02T00:00:00Z"/>
        <d v="2024-02-14T00:00:00Z"/>
        <d v="2024-02-15T00:00:00Z"/>
        <d v="2024-02-10T00:00:00Z"/>
        <d v="2024-02-12T00:00:00Z"/>
        <d v="2024-02-20T00:00:00Z"/>
        <d v="2024-02-23T00:00:00Z"/>
        <d v="2024-03-01T00:00:00Z"/>
        <d v="2024-03-04T00:00:00Z"/>
        <d v="2024-03-05T00:00:00Z"/>
        <d v="2024-03-12T00:00:00Z"/>
        <d v="2024-03-14T00:00:00Z"/>
        <d v="2024-03-13T00:00:00Z"/>
        <d v="2024-03-15T00:00:00Z"/>
        <d v="2024-03-20T00:00:00Z"/>
        <d v="2024-04-01T00:00:00Z"/>
        <d v="2024-04-04T00:00:00Z"/>
        <d v="2024-04-05T00:00:00Z"/>
        <d v="2024-04-09T00:00:00Z"/>
        <d v="2024-04-11T00:00:00Z"/>
        <d v="2024-04-12T00:00:00Z"/>
        <d v="2024-04-15T00:00:00Z"/>
        <d v="2024-04-18T00:00:00Z"/>
        <d v="2024-04-29T00:00:00Z"/>
        <d v="2024-04-30T00:00:00Z"/>
        <d v="2024-05-02T00:00:00Z"/>
        <d v="2024-05-03T00:00:00Z"/>
        <d v="2024-05-04T00:00:00Z"/>
        <d v="2024-05-08T00:00:00Z"/>
        <d v="2024-05-09T00:00:00Z"/>
        <d v="2024-05-11T00:00:00Z"/>
        <d v="2024-05-16T00:00:00Z"/>
        <d v="2024-05-18T00:00:00Z"/>
        <d v="2024-05-20T00:00:00Z"/>
        <d v="2024-05-23T00:00:00Z"/>
        <d v="2024-05-31T00:00:00Z"/>
        <d v="2024-06-04T00:00:00Z"/>
        <d v="2024-06-01T00:00:00Z"/>
        <d v="2024-06-05T00:00:00Z"/>
        <d v="2024-06-11T00:00:00Z"/>
        <d v="2024-06-08T00:00:00Z"/>
        <d v="2024-06-13T00:00:00Z"/>
        <d v="2024-06-14T00:00:00Z"/>
        <d v="2024-06-21T00:00:00Z"/>
        <d v="2024-06-07T00:00:00Z"/>
        <d v="2024-06-27T00:00:00Z"/>
        <d v="2024-07-02T00:00:00Z"/>
        <d v="2024-07-05T00:00:00Z"/>
        <d v="2024-07-08T00:00:00Z"/>
        <d v="2024-07-06T00:00:00Z"/>
        <d v="2024-07-10T00:00:00Z"/>
        <d v="2024-07-16T00:00:00Z"/>
        <d v="2024-07-17T00:00:00Z"/>
        <d v="2024-07-18T00:00:00Z"/>
        <d v="2024-07-26T00:00:00Z"/>
        <d v="2024-07-29T00:00:00Z"/>
        <d v="2024-07-30T00:00:00Z"/>
        <d v="2024-07-31T00:00:00Z"/>
        <d v="2024-08-01T00:00:00Z"/>
        <d v="2024-08-02T00:00:00Z"/>
        <d v="2024-08-05T00:00:00Z"/>
        <d v="2024-08-08T00:00:00Z"/>
        <d v="2024-08-09T00:00:00Z"/>
        <d v="2024-08-13T00:00:00Z"/>
        <d v="2024-08-15T00:00:00Z"/>
        <d v="2024-08-16T00:00:00Z"/>
        <d v="2024-08-21T00:00:00Z"/>
        <d v="2024-08-28T00:00:00Z"/>
        <d v="2024-09-02T00:00:00Z"/>
        <d v="2024-09-04T00:00:00Z"/>
        <d v="2024-09-05T00:00:00Z"/>
        <d v="2024-09-23T00:00:00Z"/>
        <d v="2024-09-30T00:00:00Z"/>
        <d v="2024-10-01T00:00:00Z"/>
        <d v="2024-10-07T00:00:00Z"/>
        <d v="2024-10-08T00:00:00Z"/>
        <d v="2024-10-09T00:00:00Z"/>
        <d v="2024-10-04T00:00:00Z"/>
        <d v="2024-10-16T00:00:00Z"/>
        <d v="2024-10-17T00:00:00Z"/>
        <d v="2024-10-18T00:00:00Z"/>
        <d v="2024-10-25T00:00:00Z"/>
        <d v="2024-11-01T00:00:00Z"/>
        <d v="2024-11-06T00:00:00Z"/>
        <d v="2024-11-13T00:00:00Z"/>
        <d v="2024-11-23T00:00:00Z"/>
        <d v="2024-11-28T00:00:00Z"/>
        <d v="2024-12-02T00:00:00Z"/>
        <d v="2024-12-04T00:00:00Z"/>
        <d v="2024-12-10T00:00:00Z"/>
        <d v="2024-12-05T00:00:00Z"/>
        <d v="2025-01-01T00:00:00Z"/>
        <d v="2025-01-21T00:00:00Z"/>
        <d v="2025-01-10T00:00:00Z"/>
        <d v="2025-01-22T00:00:00Z"/>
        <d v="2025-01-15T00:00:00Z"/>
        <d v="2025-01-16T00:00:00Z"/>
        <d v="2025-02-01T00:00:00Z"/>
        <d v="2025-02-06T00:00:00Z"/>
        <d v="2025-02-10T00:00:00Z"/>
        <d v="2025-02-21T00:00:00Z"/>
        <d v="2025-02-03T00:00:00Z"/>
        <d v="2025-02-08T00:00:00Z"/>
        <d v="2025-02-17T00:00:00Z"/>
        <d v="2025-02-13T00:00:00Z"/>
        <d v="2025-02-18T00:00:00Z"/>
        <d v="2025-02-05T00:00:00Z"/>
        <d v="2025-03-07T00:00:00Z"/>
        <d v="2025-03-11T00:00:00Z"/>
        <d v="2025-03-13T00:00:00Z"/>
        <d v="2025-03-05T00:00:00Z"/>
        <d v="2025-03-18T00:00:00Z"/>
        <d v="2025-03-01T00:00:00Z"/>
        <d v="2025-03-08T00:00:00Z"/>
        <d v="2025-03-10T00:00:00Z"/>
        <d v="2025-03-23T00:00:00Z"/>
        <d v="2025-03-20T00:00:00Z"/>
        <d v="2025-03-22T00:00:00Z"/>
        <d v="2025-03-29T00:00:00Z"/>
        <d v="2025-03-17T00:00:00Z"/>
        <d v="2025-03-03T00:00:00Z"/>
        <d v="2025-04-01T00:00:00Z"/>
        <d v="2025-04-02T00:00:00Z"/>
        <d v="2025-04-03T00:00:00Z"/>
        <d v="2025-04-04T00:00:00Z"/>
        <d v="2025-03-12T00:00:00Z"/>
        <d v="2025-03-27T00:00:00Z"/>
        <d v="2025-04-08T00:00:00Z"/>
        <d v="2025-04-14T00:00:00Z"/>
        <d v="2025-04-09T00:00:00Z"/>
        <d v="2025-04-10T00:00:00Z"/>
        <d v="2025-04-21T00:00:00Z"/>
        <d v="2025-04-11T00:00:00Z"/>
        <d v="2025-04-30T00:00:00Z"/>
        <d v="2025-05-02T00:00:00Z"/>
        <d v="2025-05-05T00:00:00Z"/>
        <d v="2025-05-07T00:00:00Z"/>
        <d v="2025-05-06T00:00:00Z"/>
        <d v="2025-05-09T00:00:00Z"/>
        <d v="2025-05-13T00:00:00Z"/>
        <d v="2025-05-16T00:00:00Z"/>
        <d v="2025-05-19T00:00:00Z"/>
        <d v="2025-05-20T00:00:00Z"/>
        <d v="2025-05-22T00:00:00Z"/>
        <d v="2025-05-23T00:00:00Z"/>
        <d v="2025-05-12T00:00:00Z"/>
        <d v="2025-06-04T00:00:00Z"/>
        <d v="2025-06-01T00:00:00Z"/>
        <d v="2025-06-03T00:00:00Z"/>
        <d v="2025-06-05T00:00:00Z"/>
        <d v="2025-06-16T00:00:00Z"/>
        <d v="2025-06-17T00:00:00Z"/>
        <d v="2025-06-18T00:00:00Z"/>
        <d v="2025-06-20T00:00:00Z"/>
        <d v="2025-06-06T00:00:00Z"/>
        <d v="2025-06-02T00:00:00Z"/>
        <d v="2025-06-09T00:00:00Z"/>
        <d v="2025-06-10T00:00:00Z"/>
        <d v="2025-06-12T00:00:00Z"/>
        <d v="2025-06-19T00:00:00Z"/>
        <d v="2025-06-21T00:00:00Z"/>
        <d v="2025-06-26T00:00:00Z"/>
        <d v="2025-07-02T00:00:00Z"/>
        <d v="2025-07-16T00:00:00Z"/>
        <d v="2025-07-01T00:00:00Z"/>
        <d v="2025-07-04T00:00:00Z"/>
        <d v="2025-07-05T00:00:00Z"/>
        <d v="2025-07-03T00:00:00Z"/>
        <d v="2025-07-07T00:00:00Z"/>
        <d v="2025-07-09T00:00:00Z"/>
        <d v="2025-07-11T00:00:00Z"/>
        <d v="2025-07-10T00:00:00Z"/>
        <d v="2025-07-15T00:00:00Z"/>
        <d v="2025-07-17T00:00:00Z"/>
        <d v="2025-07-18T00:00:00Z"/>
        <d v="2025-07-22T00:00:00Z"/>
        <d v="2025-07-23T00:00:00Z"/>
        <d v="2025-07-30T00:00:00Z"/>
        <d v="2025-08-01T00:00:00Z"/>
        <d v="2025-08-04T00:00:00Z"/>
        <d v="2025-07-29T00:00:00Z"/>
        <d v="2025-08-13T00:00:00Z"/>
        <d v="2025-08-21T00:00:00Z"/>
        <d v="2025-08-14T00:00:00Z"/>
        <d v="2025-08-08T00:00:00Z"/>
        <d v="2025-08-06T00:00:00Z"/>
        <d v="2025-08-11T00:00:00Z"/>
        <d v="2025-08-05T00:00:00Z"/>
        <d v="2025-08-12T00:00:00Z"/>
        <d v="2025-08-19T00:00:00Z"/>
        <d v="2025-08-15T00:00:00Z"/>
        <d v="2025-08-22T00:00:00Z"/>
        <d v="2025-08-23T00:00:00Z"/>
        <d v="2025-08-20T00:00:00Z"/>
        <d v="2025-08-29T00:00:00Z"/>
        <d v="2025-09-01T00:00:00Z"/>
        <d v="2025-09-02T00:00:00Z"/>
        <d v="2025-09-04T00:00:00Z"/>
        <d v="2025-09-03T00:00:00Z"/>
        <d v="2025-09-05T00:00:00Z"/>
        <d v="2025-09-08T00:00:00Z"/>
        <d v="2025-09-10T00:00:00Z"/>
        <d v="2025-09-11T00:00:00Z"/>
        <d v="2025-09-12T00:00:00Z"/>
        <d v="2025-09-13T00:00:00Z"/>
        <d v="2025-09-16T00:00:00Z"/>
        <d v="2025-09-17T00:00:00Z"/>
        <d v="2025-09-19T00:00:00Z"/>
        <d v="2025-09-22T00:00:00Z"/>
        <d v="2025-09-23T00:00:00Z"/>
        <d v="2025-09-30T00:00:00Z"/>
        <d v="2025-10-01T00:00:00Z"/>
        <d v="2025-10-02T00:00:00Z"/>
        <d v="2025-10-03T00:00:00Z"/>
        <d v="2025-10-06T00:00:00Z"/>
        <d v="2025-10-07T00:00:00Z"/>
        <d v="2025-10-09T00:00:00Z"/>
        <d v="2025-10-08T00:00:00Z"/>
        <d v="2025-10-10T00:00:00Z"/>
        <d v="2025-10-14T00:00:00Z"/>
        <d v="2025-10-15T00:00:00Z"/>
        <d v="2025-10-16T00:00:00Z"/>
        <d v="2025-10-17T00:00:00Z"/>
        <d v="2025-10-21T00:00:00Z"/>
        <d v="2025-10-23T00:00:00Z"/>
        <d v="2025-10-24T00:00:00Z"/>
        <d v="2025-10-25T00:00:00Z"/>
        <d v="2025-10-27T00:00:00Z"/>
        <d v="2025-10-28T00:00:00Z"/>
        <d v="2025-10-22T00:00:00Z"/>
        <d v="2025-10-29T00:00:00Z"/>
        <d v="2025-10-18T00:00:00Z"/>
        <d v="2025-10-20T00:00:00Z"/>
        <d v="2025-10-31T00:00:00Z"/>
        <d v="2025-11-01T00:00:00Z"/>
        <d v="2025-11-04T00:00:00Z"/>
        <d v="2025-11-05T00:00:00Z"/>
        <d v="2025-11-06T00:00:00Z"/>
        <d v="2025-11-07T00:00:00Z"/>
        <d v="2025-11-11T00:00:00Z"/>
        <d v="2025-11-12T00:00:00Z"/>
        <d v="2025-11-13T00:00:00Z"/>
        <d v="2025-11-10T00:00:00Z"/>
        <d v="2025-11-14T00:00:00Z"/>
        <d v="2025-11-15T00:00:00Z"/>
        <d v="2025-11-18T00:00:00Z"/>
        <d v="2025-11-19T00:00:00Z"/>
        <d v="2025-11-20T00:00:00Z"/>
        <d v="2025-11-21T00:00:00Z"/>
        <d v="2025-11-25T00:00:00Z"/>
        <d v="2025-11-24T00:00:00Z"/>
        <d v="2025-11-08T00:00:00Z"/>
        <d v="2025-11-27T00:00:00Z"/>
        <d v="2025-11-26T00:00:00Z"/>
        <d v="2025-12-01T00:00:00Z"/>
        <d v="2025-12-02T00:00:00Z"/>
        <d v="2025-12-03T00:00:00Z"/>
        <d v="2025-12-04T00:00:00Z"/>
        <d v="2025-12-05T00:00:00Z"/>
        <d v="2025-12-09T00:00:00Z"/>
        <d v="2025-12-11T00:00:00Z"/>
        <d v="2025-12-12T00:00:00Z"/>
        <d v="2025-12-15T00:00:00Z"/>
        <d v="2025-12-16T00:00:00Z"/>
        <d v="2025-12-17T00:00:00Z"/>
        <d v="2025-12-19T00:00:00Z"/>
        <m/>
        <d v="2025-12-27T00:00:00Z"/>
        <d v="2025-12-18T00:00:00Z"/>
        <d v="2025-11-29T00:00:00Z"/>
        <d v="2026-01-30T00:00:00Z"/>
        <d v="2026-02-02T00:00:00Z"/>
        <d v="2025-12-30T00:00:00Z"/>
        <d v="2026-01-14T00:00:00Z"/>
        <d v="2026-01-02T00:00:00Z"/>
        <d v="2026-01-29T00:00:00Z"/>
        <d v="2026-02-03T00:00:00Z"/>
        <d v="2026-02-06T00:00:00Z"/>
        <d v="2026-02-05T00:00:00Z"/>
        <d v="2026-02-18T00:00:00Z"/>
        <d v="2026-02-11T00:00:00Z"/>
        <d v="2026-02-12T00:00:00Z"/>
        <d v="2026-02-17T00:00:00Z"/>
        <d v="2026-03-04T00:00:00Z"/>
        <d v="2026-03-01T00:00:00Z"/>
        <d v="2026-03-24T00:00:00Z"/>
        <d v="2026-02-25T00:00:00Z"/>
        <d v="2026-02-23T00:00:00Z"/>
        <d v="2026-03-03T00:00:00Z"/>
        <d v="2026-03-11T00:00:00Z"/>
        <d v="2026-03-02T00:00:00Z"/>
        <d v="2026-03-06T00:00:00Z"/>
        <d v="2026-03-07T00:00:00Z"/>
        <d v="2026-03-16T00:00:00Z"/>
        <d v="2026-03-18T00:00:00Z"/>
        <d v="2026-03-28T00:00:00Z"/>
        <d v="2026-03-23T00:00:00Z"/>
        <d v="2026-04-01T00:00:00Z"/>
      </sharedItems>
    </cacheField>
    <cacheField name="Año" numFmtId="166">
      <sharedItems containsDate="1" containsString="0" containsBlank="1">
        <d v="2024-01-05T00:00:00Z"/>
        <d v="2024-01-12T00:00:00Z"/>
        <d v="2024-01-15T00:00:00Z"/>
        <d v="2024-01-17T00:00:00Z"/>
        <d v="2024-01-18T00:00:00Z"/>
        <d v="2024-01-25T00:00:00Z"/>
        <d v="2024-01-26T00:00:00Z"/>
        <d v="2024-01-27T00:00:00Z"/>
        <d v="2024-02-01T00:00:00Z"/>
        <d v="2024-02-02T00:00:00Z"/>
        <d v="2024-02-14T00:00:00Z"/>
        <d v="2024-02-15T00:00:00Z"/>
        <d v="2024-02-10T00:00:00Z"/>
        <d v="2024-02-12T00:00:00Z"/>
        <d v="2024-02-20T00:00:00Z"/>
        <d v="2024-02-23T00:00:00Z"/>
        <d v="2024-03-01T00:00:00Z"/>
        <d v="2024-03-04T00:00:00Z"/>
        <d v="2024-03-05T00:00:00Z"/>
        <d v="2024-03-12T00:00:00Z"/>
        <d v="2024-03-14T00:00:00Z"/>
        <d v="2024-03-13T00:00:00Z"/>
        <d v="2024-03-15T00:00:00Z"/>
        <d v="2024-03-20T00:00:00Z"/>
        <d v="2024-04-01T00:00:00Z"/>
        <d v="2024-04-04T00:00:00Z"/>
        <d v="2024-04-05T00:00:00Z"/>
        <d v="2024-04-09T00:00:00Z"/>
        <d v="2024-04-11T00:00:00Z"/>
        <d v="2024-04-12T00:00:00Z"/>
        <d v="2024-04-15T00:00:00Z"/>
        <d v="2024-04-18T00:00:00Z"/>
        <d v="2024-04-29T00:00:00Z"/>
        <d v="2024-04-30T00:00:00Z"/>
        <d v="2024-05-02T00:00:00Z"/>
        <d v="2024-05-03T00:00:00Z"/>
        <d v="2024-05-04T00:00:00Z"/>
        <d v="2024-05-08T00:00:00Z"/>
        <d v="2024-05-09T00:00:00Z"/>
        <d v="2024-05-11T00:00:00Z"/>
        <d v="2024-05-16T00:00:00Z"/>
        <d v="2024-05-18T00:00:00Z"/>
        <d v="2024-05-20T00:00:00Z"/>
        <d v="2024-05-23T00:00:00Z"/>
        <d v="2024-05-31T00:00:00Z"/>
        <d v="2024-06-04T00:00:00Z"/>
        <d v="2024-06-01T00:00:00Z"/>
        <d v="2024-06-05T00:00:00Z"/>
        <d v="2024-06-11T00:00:00Z"/>
        <d v="2024-06-08T00:00:00Z"/>
        <d v="2024-06-13T00:00:00Z"/>
        <d v="2024-06-14T00:00:00Z"/>
        <d v="2024-06-21T00:00:00Z"/>
        <d v="2024-06-07T00:00:00Z"/>
        <d v="2024-06-27T00:00:00Z"/>
        <d v="2024-07-02T00:00:00Z"/>
        <d v="2024-07-05T00:00:00Z"/>
        <d v="2024-07-08T00:00:00Z"/>
        <d v="2024-07-06T00:00:00Z"/>
        <d v="2024-07-10T00:00:00Z"/>
        <d v="2024-07-16T00:00:00Z"/>
        <d v="2024-07-17T00:00:00Z"/>
        <d v="2024-07-18T00:00:00Z"/>
        <d v="2024-07-26T00:00:00Z"/>
        <d v="2024-07-29T00:00:00Z"/>
        <d v="2024-07-30T00:00:00Z"/>
        <d v="2024-07-31T00:00:00Z"/>
        <d v="2024-08-01T00:00:00Z"/>
        <d v="2024-08-02T00:00:00Z"/>
        <d v="2024-08-05T00:00:00Z"/>
        <d v="2024-08-08T00:00:00Z"/>
        <d v="2024-08-09T00:00:00Z"/>
        <d v="2024-08-13T00:00:00Z"/>
        <d v="2024-08-15T00:00:00Z"/>
        <d v="2024-08-16T00:00:00Z"/>
        <d v="2024-08-21T00:00:00Z"/>
        <d v="2024-08-28T00:00:00Z"/>
        <d v="2024-09-02T00:00:00Z"/>
        <d v="2024-09-04T00:00:00Z"/>
        <d v="2024-09-05T00:00:00Z"/>
        <d v="2024-09-23T00:00:00Z"/>
        <d v="2024-09-30T00:00:00Z"/>
        <d v="2024-10-01T00:00:00Z"/>
        <d v="2024-10-07T00:00:00Z"/>
        <d v="2024-10-08T00:00:00Z"/>
        <d v="2024-10-09T00:00:00Z"/>
        <d v="2024-10-04T00:00:00Z"/>
        <d v="2024-10-16T00:00:00Z"/>
        <d v="2024-10-17T00:00:00Z"/>
        <d v="2024-10-18T00:00:00Z"/>
        <d v="2024-10-25T00:00:00Z"/>
        <d v="2024-11-01T00:00:00Z"/>
        <d v="2024-11-06T00:00:00Z"/>
        <d v="2024-11-13T00:00:00Z"/>
        <d v="2024-11-23T00:00:00Z"/>
        <d v="2024-11-28T00:00:00Z"/>
        <d v="2024-12-02T00:00:00Z"/>
        <d v="2024-12-04T00:00:00Z"/>
        <d v="2024-12-10T00:00:00Z"/>
        <d v="2024-12-05T00:00:00Z"/>
        <d v="2025-01-01T00:00:00Z"/>
        <d v="2025-01-21T00:00:00Z"/>
        <d v="2025-01-10T00:00:00Z"/>
        <d v="2025-01-22T00:00:00Z"/>
        <d v="2025-01-15T00:00:00Z"/>
        <d v="2025-01-16T00:00:00Z"/>
        <d v="2025-02-01T00:00:00Z"/>
        <d v="2025-02-06T00:00:00Z"/>
        <d v="2025-02-10T00:00:00Z"/>
        <d v="2025-02-21T00:00:00Z"/>
        <d v="2025-02-03T00:00:00Z"/>
        <d v="2025-02-08T00:00:00Z"/>
        <d v="2025-02-17T00:00:00Z"/>
        <d v="2025-02-13T00:00:00Z"/>
        <d v="2025-02-18T00:00:00Z"/>
        <d v="2025-02-05T00:00:00Z"/>
        <d v="2025-03-07T00:00:00Z"/>
        <d v="2025-03-11T00:00:00Z"/>
        <d v="2025-03-13T00:00:00Z"/>
        <d v="2025-03-05T00:00:00Z"/>
        <d v="2025-03-18T00:00:00Z"/>
        <d v="2025-03-01T00:00:00Z"/>
        <d v="2025-03-08T00:00:00Z"/>
        <d v="2025-03-10T00:00:00Z"/>
        <d v="2025-03-23T00:00:00Z"/>
        <d v="2025-03-20T00:00:00Z"/>
        <d v="2025-03-22T00:00:00Z"/>
        <d v="2025-03-29T00:00:00Z"/>
        <d v="2025-03-17T00:00:00Z"/>
        <d v="2025-03-03T00:00:00Z"/>
        <d v="2025-04-01T00:00:00Z"/>
        <d v="2025-04-02T00:00:00Z"/>
        <d v="2025-04-03T00:00:00Z"/>
        <d v="2025-04-04T00:00:00Z"/>
        <d v="2025-03-12T00:00:00Z"/>
        <d v="2025-03-27T00:00:00Z"/>
        <d v="2025-04-08T00:00:00Z"/>
        <d v="2025-04-14T00:00:00Z"/>
        <d v="2025-04-09T00:00:00Z"/>
        <d v="2025-04-10T00:00:00Z"/>
        <d v="2025-04-21T00:00:00Z"/>
        <d v="2025-04-11T00:00:00Z"/>
        <d v="2025-04-30T00:00:00Z"/>
        <d v="2025-05-02T00:00:00Z"/>
        <d v="2025-05-05T00:00:00Z"/>
        <d v="2025-05-07T00:00:00Z"/>
        <d v="2025-05-06T00:00:00Z"/>
        <d v="2025-05-09T00:00:00Z"/>
        <d v="2025-05-13T00:00:00Z"/>
        <d v="2025-05-16T00:00:00Z"/>
        <d v="2025-05-19T00:00:00Z"/>
        <d v="2025-05-20T00:00:00Z"/>
        <d v="2025-05-22T00:00:00Z"/>
        <d v="2025-05-23T00:00:00Z"/>
        <d v="2025-05-12T00:00:00Z"/>
        <d v="2025-06-04T00:00:00Z"/>
        <d v="2025-06-01T00:00:00Z"/>
        <d v="2025-06-03T00:00:00Z"/>
        <d v="2025-06-05T00:00:00Z"/>
        <d v="2025-06-16T00:00:00Z"/>
        <d v="2025-06-17T00:00:00Z"/>
        <d v="2025-06-18T00:00:00Z"/>
        <d v="2025-06-20T00:00:00Z"/>
        <d v="2025-06-06T00:00:00Z"/>
        <d v="2025-06-02T00:00:00Z"/>
        <d v="2025-06-09T00:00:00Z"/>
        <d v="2025-06-10T00:00:00Z"/>
        <d v="2025-06-12T00:00:00Z"/>
        <d v="2025-06-19T00:00:00Z"/>
        <d v="2025-06-21T00:00:00Z"/>
        <d v="2025-06-26T00:00:00Z"/>
        <d v="2025-07-02T00:00:00Z"/>
        <d v="2025-07-16T00:00:00Z"/>
        <d v="2025-07-01T00:00:00Z"/>
        <d v="2025-07-04T00:00:00Z"/>
        <d v="2025-07-05T00:00:00Z"/>
        <d v="2025-07-03T00:00:00Z"/>
        <d v="2025-07-07T00:00:00Z"/>
        <d v="2025-07-09T00:00:00Z"/>
        <d v="2025-07-11T00:00:00Z"/>
        <d v="2025-07-10T00:00:00Z"/>
        <d v="2025-07-15T00:00:00Z"/>
        <d v="2025-07-17T00:00:00Z"/>
        <d v="2025-07-18T00:00:00Z"/>
        <d v="2025-07-22T00:00:00Z"/>
        <d v="2025-07-23T00:00:00Z"/>
        <d v="2025-07-30T00:00:00Z"/>
        <d v="2025-08-01T00:00:00Z"/>
        <d v="2025-08-04T00:00:00Z"/>
        <d v="2025-07-29T00:00:00Z"/>
        <d v="2025-08-13T00:00:00Z"/>
        <d v="2025-08-21T00:00:00Z"/>
        <d v="2025-08-14T00:00:00Z"/>
        <d v="2025-08-08T00:00:00Z"/>
        <d v="2025-08-06T00:00:00Z"/>
        <d v="2025-08-11T00:00:00Z"/>
        <d v="2025-08-05T00:00:00Z"/>
        <d v="2025-08-12T00:00:00Z"/>
        <d v="2025-08-19T00:00:00Z"/>
        <d v="2025-08-15T00:00:00Z"/>
        <d v="2025-08-22T00:00:00Z"/>
        <d v="2025-08-23T00:00:00Z"/>
        <d v="2025-08-20T00:00:00Z"/>
        <d v="2025-08-29T00:00:00Z"/>
        <d v="2025-09-01T00:00:00Z"/>
        <d v="2025-09-02T00:00:00Z"/>
        <d v="2025-09-04T00:00:00Z"/>
        <d v="2025-09-03T00:00:00Z"/>
        <d v="2025-09-05T00:00:00Z"/>
        <d v="2025-09-08T00:00:00Z"/>
        <d v="2025-09-10T00:00:00Z"/>
        <d v="2025-09-11T00:00:00Z"/>
        <d v="2025-09-12T00:00:00Z"/>
        <d v="2025-09-13T00:00:00Z"/>
        <d v="2025-09-16T00:00:00Z"/>
        <d v="2025-09-17T00:00:00Z"/>
        <d v="2025-09-19T00:00:00Z"/>
        <d v="2025-09-22T00:00:00Z"/>
        <d v="2025-09-23T00:00:00Z"/>
        <d v="2025-09-30T00:00:00Z"/>
        <d v="2025-10-01T00:00:00Z"/>
        <d v="2025-10-02T00:00:00Z"/>
        <d v="2025-10-03T00:00:00Z"/>
        <d v="2025-10-06T00:00:00Z"/>
        <d v="2025-10-07T00:00:00Z"/>
        <d v="2025-10-09T00:00:00Z"/>
        <d v="2025-10-08T00:00:00Z"/>
        <d v="2025-10-10T00:00:00Z"/>
        <d v="2025-10-14T00:00:00Z"/>
        <d v="2025-10-15T00:00:00Z"/>
        <d v="2025-10-16T00:00:00Z"/>
        <d v="2025-10-17T00:00:00Z"/>
        <d v="2025-10-21T00:00:00Z"/>
        <d v="2025-10-23T00:00:00Z"/>
        <d v="2025-10-24T00:00:00Z"/>
        <d v="2025-10-25T00:00:00Z"/>
        <d v="2025-10-27T00:00:00Z"/>
        <d v="2025-10-28T00:00:00Z"/>
        <d v="2025-10-22T00:00:00Z"/>
        <d v="2025-10-29T00:00:00Z"/>
        <d v="2025-10-18T00:00:00Z"/>
        <d v="2025-10-20T00:00:00Z"/>
        <d v="2025-10-31T00:00:00Z"/>
        <d v="2025-11-01T00:00:00Z"/>
        <d v="2025-11-04T00:00:00Z"/>
        <d v="2025-11-05T00:00:00Z"/>
        <d v="2025-11-06T00:00:00Z"/>
        <d v="2025-11-07T00:00:00Z"/>
        <d v="2025-11-11T00:00:00Z"/>
        <d v="2025-11-12T00:00:00Z"/>
        <d v="2025-11-13T00:00:00Z"/>
        <d v="2025-11-10T00:00:00Z"/>
        <d v="2025-11-14T00:00:00Z"/>
        <d v="2025-11-15T00:00:00Z"/>
        <d v="2025-11-18T00:00:00Z"/>
        <d v="2025-11-19T00:00:00Z"/>
        <d v="2025-11-20T00:00:00Z"/>
        <d v="2025-11-21T00:00:00Z"/>
        <d v="2025-11-25T00:00:00Z"/>
        <d v="2025-11-24T00:00:00Z"/>
        <d v="2025-11-08T00:00:00Z"/>
        <d v="2025-11-27T00:00:00Z"/>
        <d v="2025-11-26T00:00:00Z"/>
        <d v="2025-12-01T00:00:00Z"/>
        <d v="2025-12-02T00:00:00Z"/>
        <d v="2025-12-03T00:00:00Z"/>
        <d v="2025-12-04T00:00:00Z"/>
        <d v="2025-12-05T00:00:00Z"/>
        <d v="2025-12-09T00:00:00Z"/>
        <d v="2025-12-11T00:00:00Z"/>
        <d v="2025-12-12T00:00:00Z"/>
        <d v="2025-12-15T00:00:00Z"/>
        <d v="2025-12-16T00:00:00Z"/>
        <d v="2025-12-17T00:00:00Z"/>
        <d v="2025-12-19T00:00:00Z"/>
        <m/>
        <d v="2025-12-27T00:00:00Z"/>
        <d v="2025-12-18T00:00:00Z"/>
        <d v="2025-11-29T00:00:00Z"/>
        <d v="2026-01-30T00:00:00Z"/>
        <d v="2026-02-02T00:00:00Z"/>
        <d v="2025-12-30T00:00:00Z"/>
        <d v="2026-01-14T00:00:00Z"/>
        <d v="2026-01-02T00:00:00Z"/>
        <d v="2026-01-29T00:00:00Z"/>
        <d v="2026-02-03T00:00:00Z"/>
        <d v="2026-02-06T00:00:00Z"/>
        <d v="2026-02-05T00:00:00Z"/>
        <d v="2026-02-18T00:00:00Z"/>
        <d v="2026-02-11T00:00:00Z"/>
        <d v="2026-02-12T00:00:00Z"/>
        <d v="2026-02-17T00:00:00Z"/>
        <d v="2026-03-04T00:00:00Z"/>
        <d v="2026-03-01T00:00:00Z"/>
        <d v="2026-03-24T00:00:00Z"/>
        <d v="2026-02-25T00:00:00Z"/>
        <d v="2026-02-23T00:00:00Z"/>
        <d v="2026-03-03T00:00:00Z"/>
        <d v="2026-03-11T00:00:00Z"/>
        <d v="2026-03-02T00:00:00Z"/>
        <d v="2026-03-06T00:00:00Z"/>
        <d v="2026-03-07T00:00:00Z"/>
        <d v="2026-03-16T00:00:00Z"/>
        <d v="2026-03-18T00:00:00Z"/>
        <d v="2026-03-28T00:00:00Z"/>
        <d v="2026-03-23T00:00:00Z"/>
        <d v="2026-04-01T00:00:00Z"/>
      </sharedItems>
    </cacheField>
    <cacheField name="ORIGEN del Cliente" numFmtId="0">
      <sharedItems containsBlank="1">
        <s v="SI"/>
        <s v="Referido Outbound"/>
        <s v="Cliente Propio"/>
        <m/>
        <s v="No"/>
        <s v="Referido Spiders"/>
        <s v="Referido Inbound"/>
        <s v="Credito"/>
        <s v="SMB"/>
        <s v="HUBS"/>
      </sharedItems>
    </cacheField>
    <cacheField name="Si es referido Correo electronico De quien refiere de no ser asi dejar N/A" numFmtId="0">
      <sharedItems containsBlank="1">
        <s v="luis.castellar@bold.co"/>
        <s v="Estefanía.torres@bold.co"/>
        <s v="jaime.barrios@bold.co"/>
        <m/>
        <s v="andres.cardozo@bold.co"/>
        <s v="lorena.oviedo@bold.co"/>
        <s v="margareth.arias@bold.co"/>
        <s v="luis.correa@bold.co"/>
        <s v="cristian.casas@bold.co"/>
        <s v="angie.rodriguez@bold.co"/>
        <s v="sandra.robayo@bold.co"/>
        <s v="nazareth.ruiz@bold.co"/>
        <s v="milton.ortiz@bold.co"/>
        <s v="edwar.sinisterra@bold.co"/>
        <s v="ana.reyes@bold.co"/>
        <s v="paula.ruiz@bold.co"/>
        <s v="Nicolas.velandia@bold.co"/>
        <s v="diana.velasquez@bold.co"/>
        <s v="luis.corredor@bold.co"/>
        <s v="karen.garcia@bold.co"/>
        <s v="diana.vasquez@bold.co"/>
        <s v="juan.salgado@bold.co"/>
        <s v="karen.hurtado@bold.co"/>
        <s v="andrea.leon@bold.co"/>
        <s v="nicolas.moreno@bold.co"/>
        <s v="camila.fierro@bold.co"/>
        <s v="litz.cardona@bold.co"/>
        <s v="diana.lopez@bold.co"/>
        <s v="paola.casas@bold.co"/>
        <s v="angie.ospina@bold.co"/>
        <s v="hector.causil@bold.co"/>
        <s v="Jhon.chaux@bold.co"/>
        <s v="david.martinez@bold.co"/>
      </sharedItems>
    </cacheField>
    <cacheField name="TPV Potencial en MIllones" numFmtId="167">
      <sharedItems containsString="0" containsBlank="1" containsNumber="1" containsInteger="1">
        <n v="5.0E7"/>
        <n v="1.5E8"/>
        <m/>
        <n v="4.0E7"/>
        <n v="3.0E7"/>
        <n v="2.0E7"/>
        <n v="3.5E7"/>
        <n v="2.0E8"/>
        <n v="1.0E8"/>
        <n v="2.5E8"/>
        <n v="1.6E8"/>
        <n v="6.0E8"/>
        <n v="8.0E7"/>
        <n v="4.0E8"/>
        <n v="0.0"/>
        <n v="7.0E8"/>
        <n v="2.5E7"/>
        <n v="7.0E7"/>
        <n v="8.0E8"/>
        <n v="1.2E8"/>
        <n v="9.0E7"/>
        <n v="5.0E8"/>
        <n v="2.0E9"/>
        <n v="6.0E7"/>
        <n v="3.0E8"/>
        <n v="1.0E7"/>
        <n v="3.2E8"/>
        <n v="4.5E8"/>
        <n v="1000000.0"/>
        <n v="5000000.0"/>
        <n v="1.5E7"/>
        <n v="2.3E7"/>
        <n v="1.8E8"/>
        <n v="4.8E8"/>
        <n v="3.5E8"/>
        <n v="1000.0"/>
        <n v="1.7E8"/>
        <n v="6000000.0"/>
        <n v="1.4E8"/>
        <n v="3.6E7"/>
        <n v="4000000.0"/>
        <n v="1.1E8"/>
        <n v="3000000.0"/>
        <n v="1.0E10"/>
        <n v="9.0E8"/>
        <n v="6.5E9"/>
        <n v="1.0E9"/>
        <n v="8000000.0"/>
        <n v="2.5E9"/>
        <n v="3.7E8"/>
        <n v="4.5E7"/>
        <n v="6.5E8"/>
        <n v="1.7E9"/>
        <n v="2.7E8"/>
        <n v="4.0E9"/>
        <n v="1.9E8"/>
        <n v="2.8E7"/>
        <n v="1.3E8"/>
        <n v="5.75E7"/>
        <n v="2.2E8"/>
        <n v="8.5E7"/>
        <n v="2.4E9"/>
        <n v="3.0E9"/>
        <n v="6.081E7"/>
        <n v="2.0E10"/>
        <n v="7.5E8"/>
      </sharedItems>
    </cacheField>
    <cacheField name="Tarifa Aplicada">
      <sharedItems containsDate="1" containsBlank="1" containsMixedTypes="1">
        <s v="2,19 +300"/>
        <s v="2,19+$300"/>
        <s v="2,39 + 300"/>
        <s v="2,89+300"/>
        <s v="2,29+300"/>
        <n v="2.19"/>
        <n v="1.99"/>
        <n v="2.05"/>
        <s v="2,19+300"/>
        <s v="2,09+$100"/>
        <s v="2,19% + $300"/>
        <s v="2,59% + $900 (solo Link)"/>
        <n v="0.0199"/>
        <m/>
        <s v="2,19 + $300 "/>
        <s v="2,59 + $300 "/>
        <n v="0.0219"/>
        <n v="0.0169"/>
        <s v="2.29%"/>
        <n v="0.0189"/>
        <s v="2,09%+$100"/>
        <s v="2,19 + 300"/>
        <s v="2,19 % + $ 300"/>
        <s v="2,59+300"/>
        <n v="2.29"/>
        <s v="1.60%"/>
        <s v="1,99 + 100"/>
        <n v="1.79"/>
        <n v="2.09"/>
        <s v="full"/>
        <s v="2,59 + 300"/>
        <d v="2024-04-01T00:00:00Z"/>
        <n v="1.4"/>
        <s v="2.29 + 300 "/>
        <s v="2.19 + 200 "/>
        <s v="2.19"/>
        <s v="1,99+300"/>
        <n v="1.69"/>
        <s v="2,15+200"/>
        <n v="1.89"/>
        <s v="2,05 + 300"/>
        <s v="2.89% + 300"/>
        <s v="1.99"/>
        <s v="2,09+$200"/>
        <s v="2.19 + 300"/>
        <s v="1.60"/>
        <s v="2,09+$300"/>
        <s v="2,29 + 300"/>
        <n v="1.49"/>
        <s v="2,29 +300"/>
        <s v="2,09 +$300"/>
        <s v="2.19 + $300"/>
        <s v="1,89 + $300"/>
        <s v="2.09 + 100"/>
        <s v="2,09+200"/>
        <s v="2,19 + $300"/>
        <s v="2.39%"/>
        <s v="Tier 2"/>
        <s v="2.15%"/>
        <s v="Full tasa"/>
        <s v="2,19 $ 300"/>
        <s v="1.40"/>
        <s v="1,29D 1,39C"/>
        <s v="Tir 3"/>
        <s v="1,99D 2,09C"/>
        <s v="2.09 + 300"/>
        <s v="Tir 1"/>
        <s v="Tier 1"/>
        <s v="Tier 5 (20-40 MM)"/>
        <s v="2,69+300"/>
        <s v="2,09+100"/>
        <s v="2,09+300"/>
        <s v="2,99 + 300"/>
        <s v="2.39 + 300"/>
        <s v="2.19% + 300"/>
        <s v="Tier 3"/>
        <s v="2,09 + 300"/>
        <s v="TIER1"/>
        <s v="TIER_CUSTOM_209D_219C"/>
        <s v="Tier Custom (1,59D 1,69C Online)"/>
        <s v="Tier custom Custom New (1,89D 1,99C)"/>
        <s v="CUSTOM (1,59D 1,69C) Online"/>
        <s v="TIER_CUSTOM_219D_229C"/>
        <n v="1.85"/>
        <n v="0.017"/>
        <s v="1,79+100"/>
        <s v="custom New (1,89D 199C) online"/>
        <s v="Custom (1,89D 1,99C) Online"/>
        <s v="1,99%+100"/>
        <s v="1.99+ 100"/>
        <n v="0.02"/>
        <s v="Custom (1,79D 1,89C)"/>
        <s v="Tier 2 "/>
        <s v="1,99 + 0"/>
        <s v="PRINCING 0"/>
        <s v="1,99 +$100"/>
        <s v="TIER_CUSTOM_199_249_0"/>
        <s v="Custom New (2,09D 2,19C) Sin fee"/>
        <s v="Tarifa 1.90 y 1.99"/>
        <s v="1,89 + 300"/>
        <s v="1.39 + 100"/>
        <s v="1.89%"/>
        <s v="Tier 3 promo abril cuenta Bold"/>
        <s v="2.09 con cuenta Bold"/>
        <n v="0.018"/>
        <s v="TIER_CUSTOM_185&#10;"/>
        <s v="QR"/>
        <s v="Especial 1,99%"/>
        <s v="2.09 + 100 CON TARIFA INTERNACIONAL (T6)"/>
        <s v="CUSTOM_159D_169C"/>
        <s v="tasa full"/>
        <s v="1,99% + $300"/>
        <s v="Tier 2 C Bold "/>
        <s v="Tier 3 "/>
        <s v="Custom (1,99D 2,09C)"/>
        <s v="Custom 1,85 (Enterprise)"/>
        <s v="Custom 1,79 (Enterprise)"/>
        <s v="Custom (1,29D 1,39C)"/>
        <s v="2.19% + $300"/>
        <s v="Tier: INTERNACIONAL_189"/>
        <s v="(Custom (1,79D 1,89C))"/>
        <s v="Custom (1,69D 1,79C)"/>
        <s v="Tier 2 Cuenta Bold"/>
        <n v="2.5"/>
        <s v="CUSTOM_189_ESP_0."/>
        <s v="Custom (1,89 2,89) Sin Fee"/>
        <s v="Custom (1,79D 1,89C)|"/>
        <s v="Qr 1.5%"/>
        <s v="TIER_CUSTOM_169D_179C"/>
        <s v="QR 1.2% "/>
        <s v="TIER_CUSTOM_189D_199C_ONLINE"/>
        <s v="TIER_6"/>
        <s v="2,35 - 2,55 (Sin Fee)"/>
        <s v="TIER_CUSTOM_179D_189C"/>
        <s v="Tiercustom169d179c"/>
        <s v="TIER_CUSTOM_199_299_0"/>
        <s v="Custom "/>
        <s v="1,69% + 300"/>
        <s v="Custom (1,59D 1,69C)"/>
        <s v="Custom (1,90 2,99) Sin Fee "/>
        <s v="(1,79D 1,89C)"/>
        <s v="piloto"/>
        <s v="Custom (1,79, 1,99) Sin Fee"/>
        <s v="1,99%+$300"/>
        <s v="TIER 1 "/>
        <s v="1,79 + 450"/>
        <s v="Custom (1,99 2,99) Sin Fee"/>
        <s v="Especial 1.99"/>
        <s v="Custom New (1,89D 1,99C) Online"/>
        <s v="1.49%"/>
        <s v="1,89+$100"/>
        <s v="TIER_2"/>
        <s v="1,59+200"/>
        <s v="1,79 + 100"/>
        <s v="1.69 1,79 CUENTA BOLD"/>
        <n v="0.0256"/>
        <s v="TIER 3 PROMO ABRIL"/>
        <s v="TIER_CUSTOM_189_289_0"/>
        <s v="ESPECIAL_199"/>
        <s v="2.09 MID MARKET ENTERPRISE (CUS)"/>
        <s v="TIER 2 (Otros bancos)"/>
        <s v=" Tier: TIER_6"/>
        <s v="TIER 1.69 SIN FEE CUENTA BOLD"/>
        <s v="TIER 1.79+300 CUENTA BOLD "/>
        <s v="Custom (1,89D 1,99C)+ $300"/>
        <s v="1,69 + 100 Pesos "/>
        <s v="1.69+300 CUENTA BOLD "/>
        <s v="ESPECIAL_199 (Cuenta Bold"/>
        <s v="Tier: CUSTOM_189_ESP_0."/>
        <s v="(Custom (1,79D 1,89C))  CUENTA BOLD"/>
        <s v="  Custom New (2,09D 2,19C) Sin Fee"/>
        <s v="1,50% (iva incluido)"/>
        <s v="Custom (1,59D 1,69C)+$300"/>
        <s v="Tier: TIER_6"/>
        <s v="TIER 3 CUENTA BOLD"/>
        <s v="Tier: TIER_CUSTOM_185."/>
        <s v="Custom 1.69 1.79 "/>
        <s v="Custom New (1,89D 1,99C)"/>
        <s v="TIER_CUSTOM_235_255_0 (Otros Bancos D+1)"/>
        <s v="1,59D 1,69C) Online"/>
        <s v="Custom (1,49, 1,59) Sin Fee"/>
        <s v="1.89 CON TARIFA INTERNACIONAL (CUS)"/>
        <s v="1.8%"/>
        <s v="Tier_5_100K"/>
        <s v="Custom New (1,89D 1,99C) + $300"/>
        <s v="TTB PERSONALIZADA"/>
        <s v="ESPECIAL 1,99"/>
        <s v="Especial"/>
        <s v="TIER_CUSTOM_179"/>
        <s v="TIER_CUSTOM_189_289_"/>
        <s v="Especial "/>
      </sharedItems>
    </cacheField>
    <cacheField name="DATAFONOS" numFmtId="0">
      <sharedItems containsString="0" containsBlank="1">
        <m/>
      </sharedItems>
    </cacheField>
    <cacheField name="QR-LINK-BOTON" numFmtId="0">
      <sharedItems containsBlank="1">
        <m/>
        <s v="Si "/>
        <s v="No"/>
      </sharedItems>
    </cacheField>
    <cacheField name="CONTRATOS FRAUDE" numFmtId="0">
      <sharedItems containsBlank="1">
        <m/>
        <s v="Si"/>
        <s v="No"/>
      </sharedItems>
    </cacheField>
    <cacheField name="CONTRATOS " numFmtId="0">
      <sharedItems containsBlank="1">
        <m/>
        <s v="Pendientes"/>
        <s v="Si "/>
        <s v="Revision"/>
        <s v="SI"/>
        <s v="Firmado"/>
        <s v="pendiente "/>
        <s v="Pendiente"/>
        <s v="COMODATO 5 SMART PRO"/>
        <s v="Piloto"/>
        <s v="Pagare "/>
        <s v="COMODATO 12 SMART PRO"/>
        <s v="PILOTO (PAGARE)"/>
        <s v="PILOTO POR 8 DIAS"/>
        <s v="PILOTO (OCTUBRE) DESPUES DE ELLO SE DEFINE TARIFA"/>
        <s v="PILOTO (OCY Y NOV) DESPUES DE ELLO CALCULAR TARIFA"/>
        <s v="En firma"/>
        <s v="PERTENECE AL GRUPO LA SANTA"/>
        <s v="pendiente firma"/>
        <s v="PENDIENTE FIRMA "/>
        <s v="En firmas"/>
        <s v="Firmado por parte del cliente"/>
        <s v="PILOTO DIC"/>
        <s v="PILOTO DIC "/>
        <s v="Piloto unicamente QR PRO"/>
        <s v="Únicamente utilizará link de pagos"/>
        <s v="Únicamente utilizará link de pagos y Pasarela de pagos"/>
        <s v="Piloto 1 mes"/>
        <s v="Pruebas integracion"/>
        <s v="Piloto 15 días"/>
      </sharedItems>
    </cacheField>
    <cacheField name="TPV M0">
      <sharedItems containsBlank="1" containsMixedTypes="1" containsNumber="1" containsInteger="1">
        <e v="#REF!"/>
        <n v="482000.0"/>
        <m/>
        <s v="2 smart pro"/>
        <s v="184YC0SQY7"/>
        <s v="[11:35]"/>
        <s v="GL9K47JWUP"/>
        <s v="Cliente solo para comisiones"/>
      </sharedItems>
    </cacheField>
    <cacheField name="TPV M1" numFmtId="167">
      <sharedItems containsBlank="1">
        <e v="#REF!"/>
        <m/>
        <s v="sergio"/>
      </sharedItems>
    </cacheField>
    <cacheField name="TPV M2" numFmtId="167">
      <sharedItems containsBlank="1">
        <e v="#REF!"/>
        <m/>
      </sharedItems>
    </cacheField>
    <cacheField name="TPV M3" numFmtId="167">
      <sharedItems containsBlank="1">
        <e v="#REF!"/>
        <m/>
      </sharedItems>
    </cacheField>
    <cacheField name="PROMEDIO TPV" numFmtId="0">
      <sharedItems containsString="0" containsBlank="1">
        <m/>
      </sharedItems>
    </cacheField>
    <cacheField name="Se entrega a CS" numFmtId="0">
      <sharedItems containsString="0" containsBlank="1">
        <m/>
      </sharedItems>
    </cacheField>
    <cacheField name="KAM que recibe Comercio"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65" sheet="MASIVOS"/>
  </cacheSource>
  <cacheFields>
    <cacheField nam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sharedItems>
    </cacheField>
    <cacheField name="EXECUTIVE STRATEGIC BUSSINES" numFmtId="0">
      <sharedItems>
        <s v="LUIS CORREDOR"/>
        <s v="JEYSON SALAZAR"/>
        <s v="SERGIO LONDOÑO"/>
      </sharedItems>
    </cacheField>
    <cacheField name="NOMBRE COMERCIAL" numFmtId="0">
      <sharedItems>
        <s v="4/72"/>
        <s v="ALGARRA"/>
        <s v="BIG COLA"/>
        <s v="CINE COLOMBIA"/>
        <s v="CORBETA"/>
        <s v="DISLICORES"/>
        <s v="DOMESA"/>
        <s v="DONUCOL"/>
        <s v="INTERRAPIDISIMO"/>
        <s v="JETSMART"/>
        <s v="LATAM"/>
        <s v="LG"/>
        <s v="FRIMAC S.A"/>
        <s v="MAC POLLO"/>
        <s v="PANAMERICANA"/>
        <s v="QUALA"/>
        <s v="RAMO"/>
        <s v="RICARONDO"/>
        <s v="TIGO-MOVISTAR"/>
        <s v="TOTTO"/>
        <s v="GRUPO LITORAL"/>
        <s v="VIRGIN MOBILE"/>
        <s v="WOM "/>
        <s v="ALPINA"/>
        <s v="AVIANCA"/>
        <s v="BIMBO"/>
        <s v="CLARO "/>
        <s v="COCA COLA"/>
        <s v="COLOMBINA"/>
        <s v="DHL"/>
        <s v="DIAGEO"/>
        <s v="ENVIA"/>
        <s v="FEMSA"/>
        <s v="HUEVOS KIKES"/>
        <s v="JUAN VALDEZ"/>
        <s v="MAC CENTER"/>
        <s v="MILLONARIOS FC"/>
        <s v="PARMALAT"/>
        <s v="PEPSICO"/>
        <s v="QUICK"/>
        <s v="SAMSUNG "/>
        <s v="SERVIENTREGA"/>
        <s v="TCC"/>
        <s v="WINGO "/>
        <s v="ALQUERIA"/>
        <s v="ARTURO CALLE"/>
        <s v="ATLETICO NACIONAL"/>
        <s v="OFFCORSS"/>
        <s v="CUEROS VELEZ"/>
        <s v="COORDINADORA"/>
        <s v="DEP MEDELLN"/>
        <s v="GASEOSAS POOL"/>
        <s v="GEF / P. BLANCO"/>
        <s v="GRUPO NUTRESA"/>
        <s v="LEONISA"/>
        <s v="MINISO"/>
        <s v="NESTLE"/>
        <s v="NUTRESA"/>
        <s v="SATENA"/>
        <s v="SUPERRICAS"/>
        <s v="TRENDY BY SHOP"/>
        <s v="TQ TECNOQUIMICA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 dinámica 1" cacheId="0" dataCaption="" compact="0" compactData="0">
  <location ref="A1:B16" firstHeaderRow="0" firstDataRow="1" firstDataCol="0"/>
  <pivotFields>
    <pivotField name="Ejecutivo" axis="axisRow" compact="0" outline="0" multipleItemSelectionAllowed="1" showAll="0" sortType="ascending">
      <items>
        <item x="6"/>
        <item x="12"/>
        <item x="3"/>
        <item x="5"/>
        <item x="11"/>
        <item x="10"/>
        <item x="8"/>
        <item x="2"/>
        <item x="0"/>
        <item x="1"/>
        <item x="13"/>
        <item x="4"/>
        <item x="7"/>
        <item x="9"/>
        <item t="default"/>
      </items>
    </pivotField>
    <pivotField name="Nombre Client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Merch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name="Creado en CRM" compact="0" outline="0" multipleItemSelectionAllowed="1" showAll="0">
      <items>
        <item x="0"/>
        <item x="1"/>
        <item x="2"/>
        <item t="default"/>
      </items>
    </pivotField>
    <pivotField name="Mes Año&#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Fecha de activaci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M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Añ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ORIGEN del Cliente" compact="0" outline="0" multipleItemSelectionAllowed="1" showAll="0">
      <items>
        <item x="0"/>
        <item x="1"/>
        <item x="2"/>
        <item x="3"/>
        <item x="4"/>
        <item x="5"/>
        <item x="6"/>
        <item x="7"/>
        <item x="8"/>
        <item x="9"/>
        <item t="default"/>
      </items>
    </pivotField>
    <pivotField name="Si es referido Correo electronico De quien refiere de no ser asi dejar 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TPV Potencial en MIllones"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Tarifa Aplic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DATAFONOS" compact="0" outline="0" multipleItemSelectionAllowed="1" showAll="0">
      <items>
        <item x="0"/>
        <item t="default"/>
      </items>
    </pivotField>
    <pivotField name="QR-LINK-BOTON" compact="0" outline="0" multipleItemSelectionAllowed="1" showAll="0">
      <items>
        <item x="0"/>
        <item x="1"/>
        <item x="2"/>
        <item t="default"/>
      </items>
    </pivotField>
    <pivotField name="CONTRATOS FRAUDE" compact="0" outline="0" multipleItemSelectionAllowed="1" showAll="0">
      <items>
        <item x="0"/>
        <item x="1"/>
        <item x="2"/>
        <item t="default"/>
      </items>
    </pivotField>
    <pivotField name="CONTRATO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PV M0" compact="0" outline="0" multipleItemSelectionAllowed="1" showAll="0">
      <items>
        <item x="0"/>
        <item x="1"/>
        <item x="2"/>
        <item x="3"/>
        <item x="4"/>
        <item x="5"/>
        <item x="6"/>
        <item x="7"/>
        <item t="default"/>
      </items>
    </pivotField>
    <pivotField name="TPV M1" compact="0" numFmtId="167" outline="0" multipleItemSelectionAllowed="1" showAll="0">
      <items>
        <item x="0"/>
        <item x="1"/>
        <item x="2"/>
        <item t="default"/>
      </items>
    </pivotField>
    <pivotField name="TPV M2" compact="0" numFmtId="167" outline="0" multipleItemSelectionAllowed="1" showAll="0">
      <items>
        <item x="0"/>
        <item x="1"/>
        <item t="default"/>
      </items>
    </pivotField>
    <pivotField name="TPV M3" compact="0" numFmtId="167" outline="0" multipleItemSelectionAllowed="1" showAll="0">
      <items>
        <item x="0"/>
        <item x="1"/>
        <item t="default"/>
      </items>
    </pivotField>
    <pivotField name="PROMEDIO TPV" compact="0" outline="0" multipleItemSelectionAllowed="1" showAll="0">
      <items>
        <item x="0"/>
        <item t="default"/>
      </items>
    </pivotField>
    <pivotField name="Se entrega a CS" compact="0" outline="0" multipleItemSelectionAllowed="1" showAll="0">
      <items>
        <item x="0"/>
        <item t="default"/>
      </items>
    </pivotField>
    <pivotField name="KAM que recibe Comercio" compact="0" outline="0" multipleItemSelectionAllowed="1" showAll="0">
      <items>
        <item x="0"/>
        <item t="default"/>
      </items>
    </pivotField>
  </pivotFields>
  <rowFields>
    <field x="0"/>
  </rowFields>
</pivotTableDefinition>
</file>

<file path=xl/pivotTables/pivotTable2.xml><?xml version="1.0" encoding="utf-8"?>
<pivotTableDefinition xmlns="http://schemas.openxmlformats.org/spreadsheetml/2006/main" name="MASIVOS" cacheId="1" dataCaption="" compact="0" compactData="0">
  <location ref="O3:P7" firstHeaderRow="0" firstDataRow="1" firstDataCol="0"/>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EXECUTIVE STRATEGIC BUSSINES" axis="axisRow" dataField="1" compact="0" outline="0" multipleItemSelectionAllowed="1" showAll="0" sortType="descending">
      <items>
        <item x="2"/>
        <item x="0"/>
        <item x="1"/>
        <item t="default"/>
      </items>
    </pivotField>
    <pivotField name="NOMBRE COMERC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s>
  <rowFields>
    <field x="1"/>
  </rowFields>
  <dataFields>
    <dataField name="COUNTA of EXECUTIVE STRATEGIC BUSSINES" fld="1" subtotal="count" baseField="0"/>
  </dataFields>
</pivotTableDefinition>
</file>

<file path=xl/tables/table1.xml><?xml version="1.0" encoding="utf-8"?>
<table xmlns="http://schemas.openxmlformats.org/spreadsheetml/2006/main" headerRowCount="0" ref="C1" displayName="Table_1" name="Table_1" id="1">
  <tableColumns count="1">
    <tableColumn name="Column1" id="1"/>
  </tableColumns>
  <tableStyleInfo name="Hoja 14-style" showColumnStripes="0" showFirstColumn="1" showLastColumn="1" showRowStripes="1"/>
</table>
</file>

<file path=xl/tables/table2.xml><?xml version="1.0" encoding="utf-8"?>
<table xmlns="http://schemas.openxmlformats.org/spreadsheetml/2006/main" headerRowCount="0" ref="A2:B423" displayName="Table_2" name="Table_2" id="2">
  <tableColumns count="2">
    <tableColumn name="Column1" id="1"/>
    <tableColumn name="Column2" id="2"/>
  </tableColumns>
  <tableStyleInfo name="Hoja 14-style 2" showColumnStripes="0" showFirstColumn="1" showLastColumn="1" showRowStripes="1"/>
</table>
</file>

<file path=xl/tables/table3.xml><?xml version="1.0" encoding="utf-8"?>
<table xmlns="http://schemas.openxmlformats.org/spreadsheetml/2006/main" headerRowCount="0" ref="C2:G423" displayName="Table_3" name="Table_3" id="3">
  <tableColumns count="5">
    <tableColumn name="Column1" id="1"/>
    <tableColumn name="Column2" id="2"/>
    <tableColumn name="Column3" id="3"/>
    <tableColumn name="Column4" id="4"/>
    <tableColumn name="Column5" id="5"/>
  </tableColumns>
  <tableStyleInfo name="Hoja 14-style 3" showColumnStripes="0" showFirstColumn="1" showLastColumn="1" showRowStripes="1"/>
</table>
</file>

<file path=xl/tables/table4.xml><?xml version="1.0" encoding="utf-8"?>
<table xmlns="http://schemas.openxmlformats.org/spreadsheetml/2006/main" headerRowCount="0" ref="O85:O500" displayName="Table_4" name="Table_4" id="4">
  <tableColumns count="1">
    <tableColumn name="Column1" id="1"/>
  </tableColumns>
  <tableStyleInfo name="D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serviciosfintech.slack.com/archives/C01723PHESD/p1788567874148839" TargetMode="External"/><Relationship Id="rId20" Type="http://schemas.openxmlformats.org/officeDocument/2006/relationships/hyperlink" Target="https://serviciosfintech.slack.com/archives/C01723PHESD/p1790011139287619" TargetMode="External"/><Relationship Id="rId42" Type="http://schemas.openxmlformats.org/officeDocument/2006/relationships/hyperlink" Target="https://serviciosfintech.slack.com/archives/C01723PHESD/p1789595857414089" TargetMode="External"/><Relationship Id="rId41" Type="http://schemas.openxmlformats.org/officeDocument/2006/relationships/hyperlink" Target="https://serviciosfintech.slack.com/archives/C01723PHESD/p1789045708226229" TargetMode="External"/><Relationship Id="rId22" Type="http://schemas.openxmlformats.org/officeDocument/2006/relationships/hyperlink" Target="https://serviciosfintech.slack.com/archives/C01B379NVLY/p1790023163490429" TargetMode="External"/><Relationship Id="rId44" Type="http://schemas.openxmlformats.org/officeDocument/2006/relationships/hyperlink" Target="https://serviciosfintech.slack.com/archives/C01723PHESD/p1789660443120149" TargetMode="External"/><Relationship Id="rId21" Type="http://schemas.openxmlformats.org/officeDocument/2006/relationships/hyperlink" Target="https://serviciosfintech.slack.com/archives/C01723PHESD/p1790013617716169" TargetMode="External"/><Relationship Id="rId43" Type="http://schemas.openxmlformats.org/officeDocument/2006/relationships/hyperlink" Target="https://serviciosfintech.slack.com/archives/C01723PHESD/p1789660443120149" TargetMode="External"/><Relationship Id="rId24" Type="http://schemas.openxmlformats.org/officeDocument/2006/relationships/hyperlink" Target="https://serviciosfintech.slack.com/archives/C08C96P4P6G/p1790092105459749" TargetMode="External"/><Relationship Id="rId46" Type="http://schemas.openxmlformats.org/officeDocument/2006/relationships/drawing" Target="../drawings/drawing4.xml"/><Relationship Id="rId23" Type="http://schemas.openxmlformats.org/officeDocument/2006/relationships/hyperlink" Target="https://serviciosfintech.slack.com/archives/C01B379NVLY/p1790024039449909" TargetMode="External"/><Relationship Id="rId45" Type="http://schemas.openxmlformats.org/officeDocument/2006/relationships/hyperlink" Target="https://serviciosfintech.slack.com/archives/C01723PHESD/p1789683578394909" TargetMode="External"/><Relationship Id="rId1" Type="http://schemas.openxmlformats.org/officeDocument/2006/relationships/hyperlink" Target="http://bold.co/" TargetMode="External"/><Relationship Id="rId2" Type="http://schemas.openxmlformats.org/officeDocument/2006/relationships/hyperlink" Target="https://bold.enterprise.slack.com/archives/C0BTH0X900J" TargetMode="External"/><Relationship Id="rId3" Type="http://schemas.openxmlformats.org/officeDocument/2006/relationships/hyperlink" Target="https://serviciosfintech.slack.com/archives/C01723PHESD/p1789400128050019" TargetMode="External"/><Relationship Id="rId4" Type="http://schemas.openxmlformats.org/officeDocument/2006/relationships/hyperlink" Target="https://serviciosfintech.slack.com/archives/C08C96P4P6G/p1789402880037109" TargetMode="External"/><Relationship Id="rId9" Type="http://schemas.openxmlformats.org/officeDocument/2006/relationships/hyperlink" Target="https://serviciosfintech.slack.com/archives/C01B379NVLY/p1789148954354169?thread_ts=1789148879.280829&amp;cid=C01B379NVLY" TargetMode="External"/><Relationship Id="rId26" Type="http://schemas.openxmlformats.org/officeDocument/2006/relationships/hyperlink" Target="https://serviciosfintech.slack.com/archives/C01723PHESD/p1790116667364899" TargetMode="External"/><Relationship Id="rId25" Type="http://schemas.openxmlformats.org/officeDocument/2006/relationships/hyperlink" Target="https://serviciosfintech.slack.com/archives/C01723PHESD/p1790111659579589" TargetMode="External"/><Relationship Id="rId28" Type="http://schemas.openxmlformats.org/officeDocument/2006/relationships/hyperlink" Target="https://serviciosfintech.slack.com/archives/C01723PHESD/p1790120460279219" TargetMode="External"/><Relationship Id="rId27" Type="http://schemas.openxmlformats.org/officeDocument/2006/relationships/hyperlink" Target="https://serviciosfintech.slack.com/archives/C01723PHESD/p1790119463651209" TargetMode="External"/><Relationship Id="rId5" Type="http://schemas.openxmlformats.org/officeDocument/2006/relationships/hyperlink" Target="https://serviciosfintech.slack.com/archives/C01723PHESD/p1789400580487679" TargetMode="External"/><Relationship Id="rId6" Type="http://schemas.openxmlformats.org/officeDocument/2006/relationships/hyperlink" Target="https://serviciosfintech.slack.com/archives/C01723PHESD/p1789170699014439?thread_ts=1789169260.771229&amp;cid=C01723PHESD" TargetMode="External"/><Relationship Id="rId29" Type="http://schemas.openxmlformats.org/officeDocument/2006/relationships/hyperlink" Target="https://serviciosfintech.slack.com/archives/C06KLRPL6QH/p1790172704978049" TargetMode="External"/><Relationship Id="rId7" Type="http://schemas.openxmlformats.org/officeDocument/2006/relationships/hyperlink" Target="https://serviciosfintech.slack.com/archives/C01723PHESD/p1789412808012719" TargetMode="External"/><Relationship Id="rId8" Type="http://schemas.openxmlformats.org/officeDocument/2006/relationships/hyperlink" Target="https://serviciosfintech.slack.com/archives/C01723PHESD/p1789414175710909" TargetMode="External"/><Relationship Id="rId31" Type="http://schemas.openxmlformats.org/officeDocument/2006/relationships/hyperlink" Target="https://serviciosfintech.slack.com/archives/C01723PHESD/p1790121842437889" TargetMode="External"/><Relationship Id="rId30" Type="http://schemas.openxmlformats.org/officeDocument/2006/relationships/hyperlink" Target="https://serviciosfintech.slack.com/archives/C01723PHESD/p1790121247876749" TargetMode="External"/><Relationship Id="rId11" Type="http://schemas.openxmlformats.org/officeDocument/2006/relationships/hyperlink" Target="https://serviciosfintech.slack.com/archives/C01B379NVLY/p1789576836735979" TargetMode="External"/><Relationship Id="rId33" Type="http://schemas.openxmlformats.org/officeDocument/2006/relationships/hyperlink" Target="https://serviciosfintech.slack.com/archives/C01723PHESD/p1790123427823319" TargetMode="External"/><Relationship Id="rId10" Type="http://schemas.openxmlformats.org/officeDocument/2006/relationships/hyperlink" Target="https://serviciosfintech.slack.com/archives/C01723PHESD/p1789570277844509" TargetMode="External"/><Relationship Id="rId32" Type="http://schemas.openxmlformats.org/officeDocument/2006/relationships/hyperlink" Target="https://serviciosfintech.slack.com/archives/C01723PHESD/p1790122794960099" TargetMode="External"/><Relationship Id="rId13" Type="http://schemas.openxmlformats.org/officeDocument/2006/relationships/hyperlink" Target="https://serviciosfintech.slack.com/archives/C01B379NVLY/p1789578350830189" TargetMode="External"/><Relationship Id="rId35" Type="http://schemas.openxmlformats.org/officeDocument/2006/relationships/hyperlink" Target="https://serviciosfintech.slack.com/archives/C08C96P4P6G/p1790186382077009" TargetMode="External"/><Relationship Id="rId12" Type="http://schemas.openxmlformats.org/officeDocument/2006/relationships/hyperlink" Target="https://serviciosfintech.slack.com/archives/C01B379NVLY/p1789577426652689" TargetMode="External"/><Relationship Id="rId34" Type="http://schemas.openxmlformats.org/officeDocument/2006/relationships/hyperlink" Target="https://serviciosfintech.slack.com/archives/C01723PHESD/p1789776314856499" TargetMode="External"/><Relationship Id="rId15" Type="http://schemas.openxmlformats.org/officeDocument/2006/relationships/hyperlink" Target="https://serviciosfintech.slack.com/archives/C01723PHESD/p1789662882980169" TargetMode="External"/><Relationship Id="rId37" Type="http://schemas.openxmlformats.org/officeDocument/2006/relationships/hyperlink" Target="https://serviciosfintech.slack.com/archives/C01723PHESD/p1790270929575469" TargetMode="External"/><Relationship Id="rId14" Type="http://schemas.openxmlformats.org/officeDocument/2006/relationships/hyperlink" Target="https://serviciosfintech.slack.com/archives/C01B379NVLY/p1789580923278159" TargetMode="External"/><Relationship Id="rId36" Type="http://schemas.openxmlformats.org/officeDocument/2006/relationships/hyperlink" Target="https://serviciosfintech.slack.com/archives/C01723PHESD/p1790269110276459" TargetMode="External"/><Relationship Id="rId17" Type="http://schemas.openxmlformats.org/officeDocument/2006/relationships/hyperlink" Target="https://serviciosfintech.slack.com/archives/C04PDHFRRRQ/p1784135440879489" TargetMode="External"/><Relationship Id="rId39" Type="http://schemas.openxmlformats.org/officeDocument/2006/relationships/hyperlink" Target="https://serviciosfintech.slack.com/archives/C01723PHESD/p1788567874148839" TargetMode="External"/><Relationship Id="rId16" Type="http://schemas.openxmlformats.org/officeDocument/2006/relationships/hyperlink" Target="https://serviciosfintech.slack.com/archives/C01B379NVLY/p1789666124155859?thread_ts=1789666089.154819&amp;cid=C01B379NVLY" TargetMode="External"/><Relationship Id="rId38" Type="http://schemas.openxmlformats.org/officeDocument/2006/relationships/hyperlink" Target="https://serviciosfintech.slack.com/archives/C01B379NVLY/p1790265772858019?thread_ts=1789842383.100139&amp;cid=C01B379NVLY" TargetMode="External"/><Relationship Id="rId19" Type="http://schemas.openxmlformats.org/officeDocument/2006/relationships/hyperlink" Target="https://serviciosfintech.slack.com/archives/C08C96P4P6G/p1790010368938509" TargetMode="External"/><Relationship Id="rId18" Type="http://schemas.openxmlformats.org/officeDocument/2006/relationships/hyperlink" Target="https://serviciosfintech.slack.com/archives/C01723PHESD/p178968817079792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58.0"/>
    <col customWidth="1" min="3" max="3" width="20.5"/>
    <col customWidth="1" min="5" max="8" width="13.88"/>
    <col customWidth="1" min="9" max="9" width="19.5"/>
    <col customWidth="1" min="10" max="10" width="44.25"/>
    <col customWidth="1" min="11" max="11" width="13.75"/>
    <col customWidth="1" min="12" max="12" width="22.75"/>
    <col customWidth="1" min="13" max="16" width="16.25"/>
    <col customWidth="1" min="17" max="20" width="16.38"/>
    <col customWidth="1" min="22" max="22" width="17.75"/>
    <col customWidth="1" min="23" max="23" width="25.25"/>
    <col customWidth="1" min="24" max="24" width="21.88"/>
  </cols>
  <sheetData>
    <row r="1">
      <c r="A1" s="1" t="s">
        <v>0</v>
      </c>
      <c r="B1" s="1" t="s">
        <v>1</v>
      </c>
      <c r="C1" s="1" t="s">
        <v>2</v>
      </c>
      <c r="D1" s="1" t="s">
        <v>3</v>
      </c>
      <c r="E1" s="1" t="s">
        <v>5</v>
      </c>
      <c r="F1" s="3" t="s">
        <v>6</v>
      </c>
      <c r="G1" s="4" t="s">
        <v>7</v>
      </c>
      <c r="H1" s="1" t="s">
        <v>8</v>
      </c>
      <c r="I1" s="1" t="s">
        <v>9</v>
      </c>
      <c r="J1" s="1" t="s">
        <v>10</v>
      </c>
      <c r="K1" s="6" t="s">
        <v>13</v>
      </c>
      <c r="L1" s="8" t="s">
        <v>14</v>
      </c>
      <c r="M1" s="1" t="s">
        <v>15</v>
      </c>
      <c r="N1" s="1" t="s">
        <v>16</v>
      </c>
      <c r="O1" s="1" t="s">
        <v>18</v>
      </c>
      <c r="P1" s="1" t="s">
        <v>20</v>
      </c>
      <c r="Q1" s="10" t="s">
        <v>21</v>
      </c>
      <c r="R1" s="10" t="s">
        <v>23</v>
      </c>
      <c r="S1" s="10" t="s">
        <v>24</v>
      </c>
      <c r="T1" s="10" t="s">
        <v>25</v>
      </c>
      <c r="U1" s="1" t="s">
        <v>27</v>
      </c>
      <c r="V1" s="1" t="s">
        <v>30</v>
      </c>
      <c r="W1" s="1" t="s">
        <v>31</v>
      </c>
      <c r="X1" s="12"/>
      <c r="Y1" s="12"/>
      <c r="Z1" s="12"/>
      <c r="AA1" s="12"/>
      <c r="AB1" s="12"/>
      <c r="AC1" s="12"/>
      <c r="AD1" s="12"/>
      <c r="AE1" s="12"/>
    </row>
    <row r="2">
      <c r="A2" s="14" t="s">
        <v>36</v>
      </c>
      <c r="B2" s="14" t="s">
        <v>37</v>
      </c>
      <c r="C2" s="15" t="s">
        <v>38</v>
      </c>
      <c r="D2" s="14" t="s">
        <v>40</v>
      </c>
      <c r="E2" s="20" t="str">
        <f t="shared" ref="E2:E731" si="2">TEXT(F2, "mmmm yyyy")
</f>
        <v>enero 2024</v>
      </c>
      <c r="F2" s="22">
        <v>45296.0</v>
      </c>
      <c r="G2" s="24">
        <f t="shared" ref="G2:H2" si="1">F2</f>
        <v>45296</v>
      </c>
      <c r="H2" s="26">
        <f t="shared" si="1"/>
        <v>45296</v>
      </c>
      <c r="I2" s="14" t="s">
        <v>47</v>
      </c>
      <c r="J2" s="14" t="s">
        <v>48</v>
      </c>
      <c r="K2" s="27">
        <v>5.0E7</v>
      </c>
      <c r="L2" s="29" t="s">
        <v>49</v>
      </c>
      <c r="M2" s="31"/>
      <c r="N2" s="31"/>
      <c r="O2" s="31"/>
      <c r="Q2" s="35" t="str">
        <f t="shared" ref="Q2:Q21" si="4">VLOOKUP(C2,QS!E:AB,21,0)</f>
        <v>#REF!</v>
      </c>
      <c r="R2" s="36" t="str">
        <f t="shared" ref="R2:R26" si="5">VLOOKUP(C2,QS!E:AB,22,0)</f>
        <v>#REF!</v>
      </c>
      <c r="S2" s="36" t="str">
        <f t="shared" ref="S2:S26" si="6">VLOOKUP(C2,QS!E:AB,23,0)</f>
        <v>#REF!</v>
      </c>
      <c r="T2" s="36" t="str">
        <f t="shared" ref="T2:T26" si="7">VLOOKUP(C2,QS!E:AB,24,0)</f>
        <v>#REF!</v>
      </c>
      <c r="V2" s="31"/>
    </row>
    <row r="3">
      <c r="A3" s="37" t="s">
        <v>66</v>
      </c>
      <c r="B3" s="14" t="s">
        <v>67</v>
      </c>
      <c r="C3" s="15" t="s">
        <v>68</v>
      </c>
      <c r="D3" s="14" t="s">
        <v>40</v>
      </c>
      <c r="E3" s="20" t="str">
        <f t="shared" si="2"/>
        <v>enero 2024</v>
      </c>
      <c r="F3" s="22">
        <v>45303.0</v>
      </c>
      <c r="G3" s="24">
        <f t="shared" ref="G3:H3" si="3">F3</f>
        <v>45303</v>
      </c>
      <c r="H3" s="26">
        <f t="shared" si="3"/>
        <v>45303</v>
      </c>
      <c r="I3" s="14" t="s">
        <v>47</v>
      </c>
      <c r="J3" s="14" t="s">
        <v>71</v>
      </c>
      <c r="K3" s="27">
        <v>5.0E7</v>
      </c>
      <c r="L3" s="29" t="s">
        <v>72</v>
      </c>
      <c r="M3" s="14"/>
      <c r="N3" s="14"/>
      <c r="O3" s="14"/>
      <c r="P3" s="14" t="s">
        <v>75</v>
      </c>
      <c r="Q3" s="35" t="str">
        <f t="shared" si="4"/>
        <v>#REF!</v>
      </c>
      <c r="R3" s="36" t="str">
        <f t="shared" si="5"/>
        <v>#REF!</v>
      </c>
      <c r="S3" s="36" t="str">
        <f t="shared" si="6"/>
        <v>#REF!</v>
      </c>
      <c r="T3" s="36" t="str">
        <f t="shared" si="7"/>
        <v>#REF!</v>
      </c>
      <c r="V3" s="31"/>
    </row>
    <row r="4">
      <c r="A4" s="14" t="s">
        <v>76</v>
      </c>
      <c r="B4" s="14" t="s">
        <v>77</v>
      </c>
      <c r="C4" s="15" t="s">
        <v>78</v>
      </c>
      <c r="D4" s="14" t="s">
        <v>40</v>
      </c>
      <c r="E4" s="20" t="str">
        <f t="shared" si="2"/>
        <v>enero 2024</v>
      </c>
      <c r="F4" s="22">
        <v>45306.0</v>
      </c>
      <c r="G4" s="24">
        <f t="shared" ref="G4:H4" si="8">F4</f>
        <v>45306</v>
      </c>
      <c r="H4" s="26">
        <f t="shared" si="8"/>
        <v>45306</v>
      </c>
      <c r="I4" s="14" t="s">
        <v>82</v>
      </c>
      <c r="J4" s="14" t="s">
        <v>83</v>
      </c>
      <c r="K4" s="27">
        <v>1.5E8</v>
      </c>
      <c r="L4" s="29" t="s">
        <v>72</v>
      </c>
      <c r="M4" s="14"/>
      <c r="N4" s="14"/>
      <c r="O4" s="14"/>
      <c r="P4" s="14" t="s">
        <v>84</v>
      </c>
      <c r="Q4" s="35" t="str">
        <f t="shared" si="4"/>
        <v>#REF!</v>
      </c>
      <c r="R4" s="36" t="str">
        <f t="shared" si="5"/>
        <v>#REF!</v>
      </c>
      <c r="S4" s="36" t="str">
        <f t="shared" si="6"/>
        <v>#REF!</v>
      </c>
      <c r="T4" s="36" t="str">
        <f t="shared" si="7"/>
        <v>#REF!</v>
      </c>
      <c r="V4" s="31"/>
    </row>
    <row r="5">
      <c r="A5" s="14" t="s">
        <v>76</v>
      </c>
      <c r="B5" s="14" t="s">
        <v>85</v>
      </c>
      <c r="C5" s="15" t="s">
        <v>86</v>
      </c>
      <c r="D5" s="14" t="s">
        <v>40</v>
      </c>
      <c r="E5" s="20" t="str">
        <f t="shared" si="2"/>
        <v>enero 2024</v>
      </c>
      <c r="F5" s="22">
        <v>45308.0</v>
      </c>
      <c r="G5" s="24">
        <f t="shared" ref="G5:H5" si="9">F5</f>
        <v>45308</v>
      </c>
      <c r="H5" s="26">
        <f t="shared" si="9"/>
        <v>45308</v>
      </c>
      <c r="I5" s="14" t="s">
        <v>82</v>
      </c>
      <c r="J5" s="14" t="s">
        <v>83</v>
      </c>
      <c r="K5" s="27"/>
      <c r="L5" s="29" t="s">
        <v>72</v>
      </c>
      <c r="M5" s="14"/>
      <c r="N5" s="14"/>
      <c r="O5" s="14"/>
      <c r="P5" s="14" t="s">
        <v>84</v>
      </c>
      <c r="Q5" s="35" t="str">
        <f t="shared" si="4"/>
        <v>#REF!</v>
      </c>
      <c r="R5" s="36" t="str">
        <f t="shared" si="5"/>
        <v>#REF!</v>
      </c>
      <c r="S5" s="36" t="str">
        <f t="shared" si="6"/>
        <v>#REF!</v>
      </c>
      <c r="T5" s="36" t="str">
        <f t="shared" si="7"/>
        <v>#REF!</v>
      </c>
      <c r="V5" s="31"/>
    </row>
    <row r="6">
      <c r="A6" s="14" t="s">
        <v>76</v>
      </c>
      <c r="B6" s="14" t="s">
        <v>88</v>
      </c>
      <c r="C6" s="15" t="s">
        <v>89</v>
      </c>
      <c r="D6" s="14" t="s">
        <v>40</v>
      </c>
      <c r="E6" s="20" t="str">
        <f t="shared" si="2"/>
        <v>enero 2024</v>
      </c>
      <c r="F6" s="22">
        <v>45308.0</v>
      </c>
      <c r="G6" s="24">
        <f t="shared" ref="G6:H6" si="10">F6</f>
        <v>45308</v>
      </c>
      <c r="H6" s="26">
        <f t="shared" si="10"/>
        <v>45308</v>
      </c>
      <c r="I6" s="14" t="s">
        <v>90</v>
      </c>
      <c r="K6" s="27">
        <v>4.0E7</v>
      </c>
      <c r="L6" s="29" t="s">
        <v>91</v>
      </c>
      <c r="M6" s="31"/>
      <c r="N6" s="31"/>
      <c r="O6" s="31"/>
      <c r="Q6" s="35" t="str">
        <f t="shared" si="4"/>
        <v>#REF!</v>
      </c>
      <c r="R6" s="36" t="str">
        <f t="shared" si="5"/>
        <v>#REF!</v>
      </c>
      <c r="S6" s="36" t="str">
        <f t="shared" si="6"/>
        <v>#REF!</v>
      </c>
      <c r="T6" s="36" t="str">
        <f t="shared" si="7"/>
        <v>#REF!</v>
      </c>
      <c r="V6" s="31"/>
    </row>
    <row r="7">
      <c r="A7" s="14" t="s">
        <v>93</v>
      </c>
      <c r="B7" s="14" t="s">
        <v>97</v>
      </c>
      <c r="C7" s="15" t="s">
        <v>99</v>
      </c>
      <c r="D7" s="14" t="s">
        <v>40</v>
      </c>
      <c r="E7" s="20" t="str">
        <f t="shared" si="2"/>
        <v>enero 2024</v>
      </c>
      <c r="F7" s="22">
        <v>45309.0</v>
      </c>
      <c r="G7" s="24">
        <f t="shared" ref="G7:H7" si="11">F7</f>
        <v>45309</v>
      </c>
      <c r="H7" s="26">
        <f t="shared" si="11"/>
        <v>45309</v>
      </c>
      <c r="I7" s="31"/>
      <c r="K7" s="27">
        <v>3.0E7</v>
      </c>
      <c r="L7" s="29" t="s">
        <v>104</v>
      </c>
      <c r="M7" s="31"/>
      <c r="N7" s="31"/>
      <c r="O7" s="31"/>
      <c r="Q7" s="35" t="str">
        <f t="shared" si="4"/>
        <v>#REF!</v>
      </c>
      <c r="R7" s="36" t="str">
        <f t="shared" si="5"/>
        <v>#REF!</v>
      </c>
      <c r="S7" s="36" t="str">
        <f t="shared" si="6"/>
        <v>#REF!</v>
      </c>
      <c r="T7" s="36" t="str">
        <f t="shared" si="7"/>
        <v>#REF!</v>
      </c>
      <c r="V7" s="31"/>
    </row>
    <row r="8">
      <c r="A8" s="14" t="s">
        <v>76</v>
      </c>
      <c r="B8" s="14" t="s">
        <v>112</v>
      </c>
      <c r="C8" s="15" t="s">
        <v>113</v>
      </c>
      <c r="D8" s="14" t="s">
        <v>40</v>
      </c>
      <c r="E8" s="20" t="str">
        <f t="shared" si="2"/>
        <v>enero 2024</v>
      </c>
      <c r="F8" s="22">
        <v>45316.0</v>
      </c>
      <c r="G8" s="24">
        <f t="shared" ref="G8:H8" si="12">F8</f>
        <v>45316</v>
      </c>
      <c r="H8" s="26">
        <f t="shared" si="12"/>
        <v>45316</v>
      </c>
      <c r="I8" s="14" t="s">
        <v>82</v>
      </c>
      <c r="J8" s="14" t="s">
        <v>114</v>
      </c>
      <c r="K8" s="27">
        <v>2.0E7</v>
      </c>
      <c r="L8" s="29" t="s">
        <v>115</v>
      </c>
      <c r="M8" s="14"/>
      <c r="N8" s="14"/>
      <c r="O8" s="14"/>
      <c r="P8" s="14" t="s">
        <v>84</v>
      </c>
      <c r="Q8" s="35" t="str">
        <f t="shared" si="4"/>
        <v>#REF!</v>
      </c>
      <c r="R8" s="36" t="str">
        <f t="shared" si="5"/>
        <v>#REF!</v>
      </c>
      <c r="S8" s="36" t="str">
        <f t="shared" si="6"/>
        <v>#REF!</v>
      </c>
      <c r="T8" s="36" t="str">
        <f t="shared" si="7"/>
        <v>#REF!</v>
      </c>
      <c r="V8" s="31"/>
    </row>
    <row r="9">
      <c r="A9" s="14" t="s">
        <v>117</v>
      </c>
      <c r="B9" s="14" t="s">
        <v>118</v>
      </c>
      <c r="C9" s="15" t="s">
        <v>119</v>
      </c>
      <c r="D9" s="14" t="s">
        <v>40</v>
      </c>
      <c r="E9" s="20" t="str">
        <f t="shared" si="2"/>
        <v>enero 2024</v>
      </c>
      <c r="F9" s="22">
        <v>45316.0</v>
      </c>
      <c r="G9" s="24">
        <f t="shared" ref="G9:H9" si="13">F9</f>
        <v>45316</v>
      </c>
      <c r="H9" s="26">
        <f t="shared" si="13"/>
        <v>45316</v>
      </c>
      <c r="I9" s="14" t="s">
        <v>90</v>
      </c>
      <c r="K9" s="27">
        <v>3.5E7</v>
      </c>
      <c r="L9" s="29" t="s">
        <v>49</v>
      </c>
      <c r="M9" s="31"/>
      <c r="N9" s="31"/>
      <c r="O9" s="31"/>
      <c r="Q9" s="35" t="str">
        <f t="shared" si="4"/>
        <v>#REF!</v>
      </c>
      <c r="R9" s="36" t="str">
        <f t="shared" si="5"/>
        <v>#REF!</v>
      </c>
      <c r="S9" s="36" t="str">
        <f t="shared" si="6"/>
        <v>#REF!</v>
      </c>
      <c r="T9" s="36" t="str">
        <f t="shared" si="7"/>
        <v>#REF!</v>
      </c>
      <c r="V9" s="31"/>
    </row>
    <row r="10">
      <c r="A10" s="14" t="s">
        <v>117</v>
      </c>
      <c r="B10" s="14" t="s">
        <v>125</v>
      </c>
      <c r="C10" s="15" t="s">
        <v>126</v>
      </c>
      <c r="D10" s="14" t="s">
        <v>40</v>
      </c>
      <c r="E10" s="20" t="str">
        <f t="shared" si="2"/>
        <v>enero 2024</v>
      </c>
      <c r="F10" s="22">
        <v>45316.0</v>
      </c>
      <c r="G10" s="24">
        <f t="shared" ref="G10:H10" si="14">F10</f>
        <v>45316</v>
      </c>
      <c r="H10" s="26">
        <f t="shared" si="14"/>
        <v>45316</v>
      </c>
      <c r="I10" s="14" t="s">
        <v>90</v>
      </c>
      <c r="J10" s="14" t="s">
        <v>128</v>
      </c>
      <c r="K10" s="27">
        <v>1.5E8</v>
      </c>
      <c r="L10" s="29">
        <v>2.19</v>
      </c>
      <c r="M10" s="14"/>
      <c r="N10" s="14"/>
      <c r="O10" s="14"/>
      <c r="P10" s="14" t="s">
        <v>75</v>
      </c>
      <c r="Q10" s="35" t="str">
        <f t="shared" si="4"/>
        <v>#REF!</v>
      </c>
      <c r="R10" s="36" t="str">
        <f t="shared" si="5"/>
        <v>#REF!</v>
      </c>
      <c r="S10" s="36" t="str">
        <f t="shared" si="6"/>
        <v>#REF!</v>
      </c>
      <c r="T10" s="36" t="str">
        <f t="shared" si="7"/>
        <v>#REF!</v>
      </c>
      <c r="V10" s="31"/>
    </row>
    <row r="11">
      <c r="A11" s="14" t="s">
        <v>36</v>
      </c>
      <c r="B11" s="14" t="s">
        <v>130</v>
      </c>
      <c r="C11" s="15" t="s">
        <v>132</v>
      </c>
      <c r="D11" s="14" t="s">
        <v>40</v>
      </c>
      <c r="E11" s="20" t="str">
        <f t="shared" si="2"/>
        <v>enero 2024</v>
      </c>
      <c r="F11" s="22">
        <v>45316.0</v>
      </c>
      <c r="G11" s="24">
        <f t="shared" ref="G11:H11" si="15">F11</f>
        <v>45316</v>
      </c>
      <c r="H11" s="26">
        <f t="shared" si="15"/>
        <v>45316</v>
      </c>
      <c r="I11" s="14" t="s">
        <v>133</v>
      </c>
      <c r="J11" s="14"/>
      <c r="K11" s="27">
        <v>2.0E8</v>
      </c>
      <c r="L11" s="29">
        <v>1.99</v>
      </c>
      <c r="M11" s="14"/>
      <c r="N11" s="14"/>
      <c r="O11" s="14"/>
      <c r="P11" s="14" t="s">
        <v>75</v>
      </c>
      <c r="Q11" s="35" t="str">
        <f t="shared" si="4"/>
        <v>#REF!</v>
      </c>
      <c r="R11" s="36" t="str">
        <f t="shared" si="5"/>
        <v>#REF!</v>
      </c>
      <c r="S11" s="36" t="str">
        <f t="shared" si="6"/>
        <v>#REF!</v>
      </c>
      <c r="T11" s="36" t="str">
        <f t="shared" si="7"/>
        <v>#REF!</v>
      </c>
      <c r="V11" s="31"/>
    </row>
    <row r="12">
      <c r="A12" s="14" t="s">
        <v>76</v>
      </c>
      <c r="B12" s="14" t="s">
        <v>135</v>
      </c>
      <c r="C12" s="15" t="s">
        <v>136</v>
      </c>
      <c r="D12" s="14" t="s">
        <v>40</v>
      </c>
      <c r="E12" s="20" t="str">
        <f t="shared" si="2"/>
        <v>enero 2024</v>
      </c>
      <c r="F12" s="22">
        <v>45317.0</v>
      </c>
      <c r="G12" s="24">
        <f t="shared" ref="G12:H12" si="16">F12</f>
        <v>45317</v>
      </c>
      <c r="H12" s="26">
        <f t="shared" si="16"/>
        <v>45317</v>
      </c>
      <c r="I12" s="14" t="s">
        <v>82</v>
      </c>
      <c r="J12" s="14" t="s">
        <v>137</v>
      </c>
      <c r="K12" s="27">
        <v>2.0E8</v>
      </c>
      <c r="L12" s="29">
        <v>2.05</v>
      </c>
      <c r="M12" s="31"/>
      <c r="N12" s="31"/>
      <c r="O12" s="31"/>
      <c r="Q12" s="35" t="str">
        <f t="shared" si="4"/>
        <v>#REF!</v>
      </c>
      <c r="R12" s="36" t="str">
        <f t="shared" si="5"/>
        <v>#REF!</v>
      </c>
      <c r="S12" s="36" t="str">
        <f t="shared" si="6"/>
        <v>#REF!</v>
      </c>
      <c r="T12" s="36" t="str">
        <f t="shared" si="7"/>
        <v>#REF!</v>
      </c>
      <c r="V12" s="31"/>
    </row>
    <row r="13">
      <c r="A13" s="14" t="s">
        <v>117</v>
      </c>
      <c r="B13" s="14" t="s">
        <v>139</v>
      </c>
      <c r="C13" s="14" t="s">
        <v>140</v>
      </c>
      <c r="D13" s="14" t="s">
        <v>40</v>
      </c>
      <c r="E13" s="20" t="str">
        <f t="shared" si="2"/>
        <v>enero 2024</v>
      </c>
      <c r="F13" s="22">
        <v>45318.0</v>
      </c>
      <c r="G13" s="24">
        <f t="shared" ref="G13:H13" si="17">F13</f>
        <v>45318</v>
      </c>
      <c r="H13" s="26">
        <f t="shared" si="17"/>
        <v>45318</v>
      </c>
      <c r="I13" s="14" t="s">
        <v>47</v>
      </c>
      <c r="J13" s="14" t="s">
        <v>114</v>
      </c>
      <c r="K13" s="27">
        <v>1.0E8</v>
      </c>
      <c r="L13" s="29" t="s">
        <v>142</v>
      </c>
      <c r="M13" s="14"/>
      <c r="N13" s="14"/>
      <c r="O13" s="14"/>
      <c r="P13" s="14" t="s">
        <v>84</v>
      </c>
      <c r="Q13" s="35" t="str">
        <f t="shared" si="4"/>
        <v>#REF!</v>
      </c>
      <c r="R13" s="36" t="str">
        <f t="shared" si="5"/>
        <v>#REF!</v>
      </c>
      <c r="S13" s="36" t="str">
        <f t="shared" si="6"/>
        <v>#REF!</v>
      </c>
      <c r="T13" s="36" t="str">
        <f t="shared" si="7"/>
        <v>#REF!</v>
      </c>
      <c r="V13" s="31"/>
    </row>
    <row r="14">
      <c r="A14" s="14" t="s">
        <v>76</v>
      </c>
      <c r="B14" s="14" t="s">
        <v>144</v>
      </c>
      <c r="C14" s="14" t="s">
        <v>145</v>
      </c>
      <c r="D14" s="14" t="s">
        <v>40</v>
      </c>
      <c r="E14" s="20" t="str">
        <f t="shared" si="2"/>
        <v>febrero 2024</v>
      </c>
      <c r="F14" s="22">
        <v>45323.0</v>
      </c>
      <c r="G14" s="24">
        <f t="shared" ref="G14:H14" si="18">F14</f>
        <v>45323</v>
      </c>
      <c r="H14" s="26">
        <f t="shared" si="18"/>
        <v>45323</v>
      </c>
      <c r="I14" s="14" t="s">
        <v>90</v>
      </c>
      <c r="K14" s="27">
        <v>2.5E8</v>
      </c>
      <c r="L14" s="29" t="s">
        <v>72</v>
      </c>
      <c r="M14" s="31"/>
      <c r="N14" s="31"/>
      <c r="O14" s="31"/>
      <c r="Q14" s="35" t="str">
        <f t="shared" si="4"/>
        <v>#REF!</v>
      </c>
      <c r="R14" s="36" t="str">
        <f t="shared" si="5"/>
        <v>#REF!</v>
      </c>
      <c r="S14" s="36" t="str">
        <f t="shared" si="6"/>
        <v>#REF!</v>
      </c>
      <c r="T14" s="36" t="str">
        <f t="shared" si="7"/>
        <v>#REF!</v>
      </c>
      <c r="V14" s="31"/>
    </row>
    <row r="15">
      <c r="A15" s="14" t="s">
        <v>76</v>
      </c>
      <c r="B15" s="14" t="s">
        <v>147</v>
      </c>
      <c r="C15" s="14" t="s">
        <v>149</v>
      </c>
      <c r="D15" s="14" t="s">
        <v>40</v>
      </c>
      <c r="E15" s="20" t="str">
        <f t="shared" si="2"/>
        <v>febrero 2024</v>
      </c>
      <c r="F15" s="22">
        <v>45324.0</v>
      </c>
      <c r="G15" s="24">
        <f t="shared" ref="G15:H15" si="19">F15</f>
        <v>45324</v>
      </c>
      <c r="H15" s="26">
        <f t="shared" si="19"/>
        <v>45324</v>
      </c>
      <c r="I15" s="14" t="s">
        <v>82</v>
      </c>
      <c r="J15" s="14" t="s">
        <v>83</v>
      </c>
      <c r="K15" s="27">
        <v>1.0E8</v>
      </c>
      <c r="L15" s="29" t="s">
        <v>72</v>
      </c>
      <c r="M15" s="14"/>
      <c r="N15" s="14"/>
      <c r="O15" s="14"/>
      <c r="P15" s="14" t="s">
        <v>84</v>
      </c>
      <c r="Q15" s="35" t="str">
        <f t="shared" si="4"/>
        <v>#REF!</v>
      </c>
      <c r="R15" s="36" t="str">
        <f t="shared" si="5"/>
        <v>#REF!</v>
      </c>
      <c r="S15" s="36" t="str">
        <f t="shared" si="6"/>
        <v>#REF!</v>
      </c>
      <c r="T15" s="36" t="str">
        <f t="shared" si="7"/>
        <v>#REF!</v>
      </c>
      <c r="V15" s="31"/>
    </row>
    <row r="16">
      <c r="A16" s="14" t="s">
        <v>117</v>
      </c>
      <c r="B16" s="14" t="s">
        <v>156</v>
      </c>
      <c r="C16" s="14" t="s">
        <v>158</v>
      </c>
      <c r="D16" s="14" t="s">
        <v>40</v>
      </c>
      <c r="E16" s="20" t="str">
        <f t="shared" si="2"/>
        <v>febrero 2024</v>
      </c>
      <c r="F16" s="22">
        <v>45324.0</v>
      </c>
      <c r="G16" s="24">
        <f t="shared" ref="G16:H16" si="20">F16</f>
        <v>45324</v>
      </c>
      <c r="H16" s="26">
        <f t="shared" si="20"/>
        <v>45324</v>
      </c>
      <c r="I16" s="14" t="s">
        <v>133</v>
      </c>
      <c r="K16" s="27">
        <v>1.6E8</v>
      </c>
      <c r="L16" s="29" t="s">
        <v>160</v>
      </c>
      <c r="M16" s="14"/>
      <c r="N16" s="14"/>
      <c r="O16" s="14"/>
      <c r="P16" s="14" t="s">
        <v>84</v>
      </c>
      <c r="Q16" s="35" t="str">
        <f t="shared" si="4"/>
        <v>#REF!</v>
      </c>
      <c r="R16" s="36" t="str">
        <f t="shared" si="5"/>
        <v>#REF!</v>
      </c>
      <c r="S16" s="36" t="str">
        <f t="shared" si="6"/>
        <v>#REF!</v>
      </c>
      <c r="T16" s="36" t="str">
        <f t="shared" si="7"/>
        <v>#REF!</v>
      </c>
      <c r="V16" s="31"/>
    </row>
    <row r="17">
      <c r="A17" s="14" t="s">
        <v>93</v>
      </c>
      <c r="B17" s="14" t="s">
        <v>165</v>
      </c>
      <c r="C17" s="14" t="s">
        <v>167</v>
      </c>
      <c r="D17" s="14" t="s">
        <v>40</v>
      </c>
      <c r="E17" s="20" t="str">
        <f t="shared" si="2"/>
        <v>febrero 2024</v>
      </c>
      <c r="F17" s="22">
        <v>45336.0</v>
      </c>
      <c r="G17" s="24">
        <f t="shared" ref="G17:H17" si="21">F17</f>
        <v>45336</v>
      </c>
      <c r="H17" s="26">
        <f t="shared" si="21"/>
        <v>45336</v>
      </c>
      <c r="I17" s="14" t="s">
        <v>133</v>
      </c>
      <c r="K17" s="27">
        <v>2.0E7</v>
      </c>
      <c r="L17" s="29" t="s">
        <v>176</v>
      </c>
      <c r="M17" s="14"/>
      <c r="N17" s="14"/>
      <c r="O17" s="14"/>
      <c r="P17" s="14" t="s">
        <v>75</v>
      </c>
      <c r="Q17" s="35" t="str">
        <f t="shared" si="4"/>
        <v>#REF!</v>
      </c>
      <c r="R17" s="36" t="str">
        <f t="shared" si="5"/>
        <v>#REF!</v>
      </c>
      <c r="S17" s="36" t="str">
        <f t="shared" si="6"/>
        <v>#REF!</v>
      </c>
      <c r="T17" s="36" t="str">
        <f t="shared" si="7"/>
        <v>#REF!</v>
      </c>
      <c r="V17" s="31"/>
    </row>
    <row r="18">
      <c r="A18" s="14" t="s">
        <v>93</v>
      </c>
      <c r="B18" s="14" t="s">
        <v>165</v>
      </c>
      <c r="C18" s="14" t="s">
        <v>181</v>
      </c>
      <c r="D18" s="14" t="s">
        <v>40</v>
      </c>
      <c r="E18" s="20" t="str">
        <f t="shared" si="2"/>
        <v>febrero 2024</v>
      </c>
      <c r="F18" s="22">
        <v>45336.0</v>
      </c>
      <c r="G18" s="24">
        <f t="shared" ref="G18:H18" si="22">F18</f>
        <v>45336</v>
      </c>
      <c r="H18" s="26">
        <f t="shared" si="22"/>
        <v>45336</v>
      </c>
      <c r="I18" s="14" t="s">
        <v>133</v>
      </c>
      <c r="K18" s="27">
        <v>2.0E7</v>
      </c>
      <c r="L18" s="29" t="s">
        <v>176</v>
      </c>
      <c r="M18" s="14"/>
      <c r="N18" s="14"/>
      <c r="O18" s="14"/>
      <c r="P18" s="14" t="s">
        <v>75</v>
      </c>
      <c r="Q18" s="35" t="str">
        <f t="shared" si="4"/>
        <v>#REF!</v>
      </c>
      <c r="R18" s="36" t="str">
        <f t="shared" si="5"/>
        <v>#REF!</v>
      </c>
      <c r="S18" s="36" t="str">
        <f t="shared" si="6"/>
        <v>#REF!</v>
      </c>
      <c r="T18" s="36" t="str">
        <f t="shared" si="7"/>
        <v>#REF!</v>
      </c>
      <c r="V18" s="31"/>
    </row>
    <row r="19">
      <c r="A19" s="14" t="s">
        <v>36</v>
      </c>
      <c r="B19" s="14" t="s">
        <v>187</v>
      </c>
      <c r="C19" s="14" t="s">
        <v>189</v>
      </c>
      <c r="D19" s="14" t="s">
        <v>40</v>
      </c>
      <c r="E19" s="20" t="str">
        <f t="shared" si="2"/>
        <v>febrero 2024</v>
      </c>
      <c r="F19" s="22">
        <v>45336.0</v>
      </c>
      <c r="G19" s="24">
        <f t="shared" ref="G19:H19" si="23">F19</f>
        <v>45336</v>
      </c>
      <c r="H19" s="26">
        <f t="shared" si="23"/>
        <v>45336</v>
      </c>
      <c r="I19" s="14" t="s">
        <v>82</v>
      </c>
      <c r="J19" s="14" t="s">
        <v>191</v>
      </c>
      <c r="K19" s="27">
        <v>1.0E8</v>
      </c>
      <c r="L19" s="29" t="s">
        <v>176</v>
      </c>
      <c r="M19" s="31"/>
      <c r="N19" s="31"/>
      <c r="O19" s="31"/>
      <c r="Q19" s="35" t="str">
        <f t="shared" si="4"/>
        <v>#REF!</v>
      </c>
      <c r="R19" s="36" t="str">
        <f t="shared" si="5"/>
        <v>#REF!</v>
      </c>
      <c r="S19" s="36" t="str">
        <f t="shared" si="6"/>
        <v>#REF!</v>
      </c>
      <c r="T19" s="36" t="str">
        <f t="shared" si="7"/>
        <v>#REF!</v>
      </c>
      <c r="V19" s="31"/>
    </row>
    <row r="20">
      <c r="A20" s="14" t="s">
        <v>93</v>
      </c>
      <c r="B20" s="14" t="s">
        <v>199</v>
      </c>
      <c r="C20" s="14" t="s">
        <v>200</v>
      </c>
      <c r="D20" s="14" t="s">
        <v>40</v>
      </c>
      <c r="E20" s="20" t="str">
        <f t="shared" si="2"/>
        <v>febrero 2024</v>
      </c>
      <c r="F20" s="22">
        <v>45337.0</v>
      </c>
      <c r="G20" s="24">
        <f t="shared" ref="G20:H20" si="24">F20</f>
        <v>45337</v>
      </c>
      <c r="H20" s="26">
        <f t="shared" si="24"/>
        <v>45337</v>
      </c>
      <c r="I20" s="14" t="s">
        <v>90</v>
      </c>
      <c r="K20" s="27">
        <v>5.0E7</v>
      </c>
      <c r="L20" s="29" t="s">
        <v>176</v>
      </c>
      <c r="M20" s="14"/>
      <c r="N20" s="14"/>
      <c r="O20" s="14"/>
      <c r="P20" s="14" t="s">
        <v>75</v>
      </c>
      <c r="Q20" s="35" t="str">
        <f t="shared" si="4"/>
        <v>#REF!</v>
      </c>
      <c r="R20" s="36" t="str">
        <f t="shared" si="5"/>
        <v>#REF!</v>
      </c>
      <c r="S20" s="36" t="str">
        <f t="shared" si="6"/>
        <v>#REF!</v>
      </c>
      <c r="T20" s="36" t="str">
        <f t="shared" si="7"/>
        <v>#REF!</v>
      </c>
      <c r="V20" s="31"/>
    </row>
    <row r="21">
      <c r="A21" s="14" t="s">
        <v>208</v>
      </c>
      <c r="B21" s="50" t="s">
        <v>209</v>
      </c>
      <c r="C21" s="50" t="s">
        <v>210</v>
      </c>
      <c r="D21" s="14" t="s">
        <v>40</v>
      </c>
      <c r="E21" s="20" t="str">
        <f t="shared" si="2"/>
        <v>febrero 2024</v>
      </c>
      <c r="F21" s="22">
        <v>45332.0</v>
      </c>
      <c r="G21" s="24">
        <f t="shared" ref="G21:H21" si="25">F21</f>
        <v>45332</v>
      </c>
      <c r="H21" s="26">
        <f t="shared" si="25"/>
        <v>45332</v>
      </c>
      <c r="I21" s="14" t="s">
        <v>90</v>
      </c>
      <c r="K21" s="27">
        <v>3.0E7</v>
      </c>
      <c r="L21" s="29" t="s">
        <v>176</v>
      </c>
      <c r="M21" s="31"/>
      <c r="N21" s="31"/>
      <c r="O21" s="31"/>
      <c r="Q21" s="35" t="str">
        <f t="shared" si="4"/>
        <v>#REF!</v>
      </c>
      <c r="R21" s="36" t="str">
        <f t="shared" si="5"/>
        <v>#REF!</v>
      </c>
      <c r="S21" s="36" t="str">
        <f t="shared" si="6"/>
        <v>#REF!</v>
      </c>
      <c r="T21" s="36" t="str">
        <f t="shared" si="7"/>
        <v>#REF!</v>
      </c>
      <c r="V21" s="31"/>
    </row>
    <row r="22">
      <c r="A22" s="14" t="s">
        <v>208</v>
      </c>
      <c r="B22" s="50" t="s">
        <v>215</v>
      </c>
      <c r="C22" s="51" t="s">
        <v>216</v>
      </c>
      <c r="D22" s="14" t="s">
        <v>40</v>
      </c>
      <c r="E22" s="20" t="str">
        <f t="shared" si="2"/>
        <v>febrero 2024</v>
      </c>
      <c r="F22" s="22">
        <v>45334.0</v>
      </c>
      <c r="G22" s="24">
        <f t="shared" ref="G22:H22" si="26">F22</f>
        <v>45334</v>
      </c>
      <c r="H22" s="26">
        <f t="shared" si="26"/>
        <v>45334</v>
      </c>
      <c r="I22" s="14" t="s">
        <v>90</v>
      </c>
      <c r="K22" s="27">
        <v>5.0E7</v>
      </c>
      <c r="L22" s="29" t="s">
        <v>221</v>
      </c>
      <c r="M22" s="31"/>
      <c r="N22" s="31"/>
      <c r="O22" s="31"/>
      <c r="Q22" s="35">
        <v>482000.0</v>
      </c>
      <c r="R22" s="36" t="str">
        <f t="shared" si="5"/>
        <v>#REF!</v>
      </c>
      <c r="S22" s="36" t="str">
        <f t="shared" si="6"/>
        <v>#REF!</v>
      </c>
      <c r="T22" s="36" t="str">
        <f t="shared" si="7"/>
        <v>#REF!</v>
      </c>
      <c r="V22" s="31"/>
    </row>
    <row r="23">
      <c r="A23" s="14" t="s">
        <v>208</v>
      </c>
      <c r="B23" s="50" t="s">
        <v>224</v>
      </c>
      <c r="C23" s="50" t="s">
        <v>225</v>
      </c>
      <c r="D23" s="14" t="s">
        <v>40</v>
      </c>
      <c r="E23" s="20" t="str">
        <f t="shared" si="2"/>
        <v>febrero 2024</v>
      </c>
      <c r="F23" s="22">
        <v>45336.0</v>
      </c>
      <c r="G23" s="24">
        <f t="shared" ref="G23:H23" si="27">F23</f>
        <v>45336</v>
      </c>
      <c r="H23" s="26">
        <f t="shared" si="27"/>
        <v>45336</v>
      </c>
      <c r="I23" s="14" t="s">
        <v>90</v>
      </c>
      <c r="K23" s="27">
        <v>5.0E7</v>
      </c>
      <c r="L23" s="29" t="s">
        <v>176</v>
      </c>
      <c r="M23" s="31"/>
      <c r="N23" s="31"/>
      <c r="O23" s="31"/>
      <c r="Q23" s="35" t="str">
        <f t="shared" ref="Q23:Q26" si="29">VLOOKUP(C23,QS!E:AB,21,0)</f>
        <v>#REF!</v>
      </c>
      <c r="R23" s="36" t="str">
        <f t="shared" si="5"/>
        <v>#REF!</v>
      </c>
      <c r="S23" s="36" t="str">
        <f t="shared" si="6"/>
        <v>#REF!</v>
      </c>
      <c r="T23" s="36" t="str">
        <f t="shared" si="7"/>
        <v>#REF!</v>
      </c>
      <c r="V23" s="31"/>
    </row>
    <row r="24">
      <c r="A24" s="14" t="s">
        <v>208</v>
      </c>
      <c r="B24" s="57" t="s">
        <v>238</v>
      </c>
      <c r="C24" s="57" t="s">
        <v>240</v>
      </c>
      <c r="D24" s="14" t="s">
        <v>40</v>
      </c>
      <c r="E24" s="20" t="str">
        <f t="shared" si="2"/>
        <v>febrero 2024</v>
      </c>
      <c r="F24" s="22">
        <v>45342.0</v>
      </c>
      <c r="G24" s="24">
        <f t="shared" ref="G24:H24" si="28">F24</f>
        <v>45342</v>
      </c>
      <c r="H24" s="26">
        <f t="shared" si="28"/>
        <v>45342</v>
      </c>
      <c r="I24" s="14" t="s">
        <v>82</v>
      </c>
      <c r="J24" s="14" t="s">
        <v>241</v>
      </c>
      <c r="K24" s="27">
        <v>6.0E8</v>
      </c>
      <c r="L24" s="62">
        <v>0.0199</v>
      </c>
      <c r="M24" s="14"/>
      <c r="N24" s="14"/>
      <c r="O24" s="14"/>
      <c r="P24" s="14" t="s">
        <v>75</v>
      </c>
      <c r="Q24" s="35" t="str">
        <f t="shared" si="29"/>
        <v>#REF!</v>
      </c>
      <c r="R24" s="36" t="str">
        <f t="shared" si="5"/>
        <v>#REF!</v>
      </c>
      <c r="S24" s="36" t="str">
        <f t="shared" si="6"/>
        <v>#REF!</v>
      </c>
      <c r="T24" s="36" t="str">
        <f t="shared" si="7"/>
        <v>#REF!</v>
      </c>
      <c r="V24" s="31"/>
    </row>
    <row r="25">
      <c r="A25" s="14" t="s">
        <v>93</v>
      </c>
      <c r="B25" s="14" t="s">
        <v>247</v>
      </c>
      <c r="C25" s="14" t="s">
        <v>248</v>
      </c>
      <c r="D25" s="14" t="s">
        <v>40</v>
      </c>
      <c r="E25" s="20" t="str">
        <f t="shared" si="2"/>
        <v>febrero 2024</v>
      </c>
      <c r="F25" s="22">
        <v>45345.0</v>
      </c>
      <c r="G25" s="24">
        <f t="shared" ref="G25:H25" si="30">F25</f>
        <v>45345</v>
      </c>
      <c r="H25" s="26">
        <f t="shared" si="30"/>
        <v>45345</v>
      </c>
      <c r="I25" s="14" t="s">
        <v>90</v>
      </c>
      <c r="K25" s="27">
        <v>1.0E8</v>
      </c>
      <c r="L25" s="29">
        <v>1.99</v>
      </c>
      <c r="M25" s="14"/>
      <c r="N25" s="14"/>
      <c r="O25" s="14"/>
      <c r="P25" s="14" t="s">
        <v>75</v>
      </c>
      <c r="Q25" s="35" t="str">
        <f t="shared" si="29"/>
        <v>#REF!</v>
      </c>
      <c r="R25" s="36" t="str">
        <f t="shared" si="5"/>
        <v>#REF!</v>
      </c>
      <c r="S25" s="36" t="str">
        <f t="shared" si="6"/>
        <v>#REF!</v>
      </c>
      <c r="T25" s="36" t="str">
        <f t="shared" si="7"/>
        <v>#REF!</v>
      </c>
      <c r="V25" s="31"/>
    </row>
    <row r="26">
      <c r="A26" s="14" t="s">
        <v>117</v>
      </c>
      <c r="B26" s="14" t="s">
        <v>255</v>
      </c>
      <c r="C26" s="14" t="s">
        <v>256</v>
      </c>
      <c r="D26" s="14" t="s">
        <v>40</v>
      </c>
      <c r="E26" s="20" t="str">
        <f t="shared" si="2"/>
        <v>febrero 2024</v>
      </c>
      <c r="F26" s="22">
        <v>45345.0</v>
      </c>
      <c r="G26" s="24">
        <f t="shared" ref="G26:H26" si="31">F26</f>
        <v>45345</v>
      </c>
      <c r="H26" s="26">
        <f t="shared" si="31"/>
        <v>45345</v>
      </c>
      <c r="I26" s="14" t="s">
        <v>259</v>
      </c>
      <c r="J26" s="14" t="s">
        <v>260</v>
      </c>
      <c r="K26" s="27">
        <v>1.5E8</v>
      </c>
      <c r="L26" s="29" t="s">
        <v>160</v>
      </c>
      <c r="M26" s="14"/>
      <c r="N26" s="14"/>
      <c r="O26" s="14"/>
      <c r="P26" s="14" t="s">
        <v>84</v>
      </c>
      <c r="Q26" s="35" t="str">
        <f t="shared" si="29"/>
        <v>#REF!</v>
      </c>
      <c r="R26" s="36" t="str">
        <f t="shared" si="5"/>
        <v>#REF!</v>
      </c>
      <c r="S26" s="36" t="str">
        <f t="shared" si="6"/>
        <v>#REF!</v>
      </c>
      <c r="T26" s="36" t="str">
        <f t="shared" si="7"/>
        <v>#REF!</v>
      </c>
      <c r="V26" s="31"/>
    </row>
    <row r="27">
      <c r="A27" s="14" t="s">
        <v>76</v>
      </c>
      <c r="B27" s="14" t="s">
        <v>268</v>
      </c>
      <c r="C27" s="14" t="s">
        <v>269</v>
      </c>
      <c r="D27" s="14" t="s">
        <v>40</v>
      </c>
      <c r="E27" s="20" t="str">
        <f t="shared" si="2"/>
        <v>marzo 2024</v>
      </c>
      <c r="F27" s="22">
        <v>45352.0</v>
      </c>
      <c r="G27" s="24">
        <f t="shared" ref="G27:H27" si="32">F27</f>
        <v>45352</v>
      </c>
      <c r="H27" s="26">
        <f t="shared" si="32"/>
        <v>45352</v>
      </c>
      <c r="I27" s="14" t="s">
        <v>259</v>
      </c>
      <c r="J27" s="14" t="s">
        <v>260</v>
      </c>
      <c r="K27" s="27">
        <v>2.0E8</v>
      </c>
      <c r="L27" s="78"/>
      <c r="M27" s="14"/>
      <c r="N27" s="14"/>
      <c r="O27" s="14"/>
      <c r="P27" s="14" t="s">
        <v>75</v>
      </c>
      <c r="Q27" s="36"/>
      <c r="R27" s="36"/>
      <c r="S27" s="36"/>
      <c r="T27" s="36"/>
      <c r="V27" s="31"/>
    </row>
    <row r="28">
      <c r="A28" s="14" t="s">
        <v>76</v>
      </c>
      <c r="B28" s="14" t="s">
        <v>278</v>
      </c>
      <c r="C28" s="14" t="s">
        <v>279</v>
      </c>
      <c r="D28" s="14" t="s">
        <v>40</v>
      </c>
      <c r="E28" s="20" t="str">
        <f t="shared" si="2"/>
        <v>marzo 2024</v>
      </c>
      <c r="F28" s="22">
        <v>45352.0</v>
      </c>
      <c r="G28" s="24">
        <f t="shared" ref="G28:H28" si="33">F28</f>
        <v>45352</v>
      </c>
      <c r="H28" s="26">
        <f t="shared" si="33"/>
        <v>45352</v>
      </c>
      <c r="I28" s="14" t="s">
        <v>259</v>
      </c>
      <c r="J28" s="14" t="s">
        <v>285</v>
      </c>
      <c r="K28" s="27">
        <v>2.0E8</v>
      </c>
      <c r="L28" s="78"/>
      <c r="M28" s="14"/>
      <c r="N28" s="14"/>
      <c r="O28" s="14"/>
      <c r="P28" s="14" t="s">
        <v>75</v>
      </c>
      <c r="Q28" s="36"/>
      <c r="R28" s="36"/>
      <c r="S28" s="36"/>
      <c r="T28" s="36"/>
      <c r="V28" s="31"/>
    </row>
    <row r="29">
      <c r="A29" s="14" t="s">
        <v>117</v>
      </c>
      <c r="B29" s="14" t="s">
        <v>288</v>
      </c>
      <c r="C29" s="14" t="s">
        <v>289</v>
      </c>
      <c r="D29" s="14" t="s">
        <v>40</v>
      </c>
      <c r="E29" s="20" t="str">
        <f t="shared" si="2"/>
        <v>marzo 2024</v>
      </c>
      <c r="F29" s="22">
        <v>45352.0</v>
      </c>
      <c r="G29" s="24">
        <f t="shared" ref="G29:H29" si="34">F29</f>
        <v>45352</v>
      </c>
      <c r="H29" s="26">
        <f t="shared" si="34"/>
        <v>45352</v>
      </c>
      <c r="I29" s="14" t="s">
        <v>259</v>
      </c>
      <c r="J29" s="14" t="s">
        <v>293</v>
      </c>
      <c r="K29" s="27">
        <v>4.0E7</v>
      </c>
      <c r="L29" s="29" t="s">
        <v>176</v>
      </c>
      <c r="M29" s="31"/>
      <c r="N29" s="31"/>
      <c r="O29" s="31"/>
      <c r="Q29" s="36"/>
      <c r="R29" s="36"/>
      <c r="S29" s="36"/>
      <c r="T29" s="36"/>
      <c r="V29" s="31"/>
    </row>
    <row r="30">
      <c r="A30" s="14" t="s">
        <v>93</v>
      </c>
      <c r="B30" s="14" t="s">
        <v>298</v>
      </c>
      <c r="C30" s="14" t="s">
        <v>300</v>
      </c>
      <c r="D30" s="14" t="s">
        <v>40</v>
      </c>
      <c r="E30" s="20" t="str">
        <f t="shared" si="2"/>
        <v>marzo 2024</v>
      </c>
      <c r="F30" s="22">
        <v>45352.0</v>
      </c>
      <c r="G30" s="24">
        <f t="shared" ref="G30:H30" si="35">F30</f>
        <v>45352</v>
      </c>
      <c r="H30" s="26">
        <f t="shared" si="35"/>
        <v>45352</v>
      </c>
      <c r="I30" s="14" t="s">
        <v>259</v>
      </c>
      <c r="J30" s="14" t="s">
        <v>304</v>
      </c>
      <c r="K30" s="27">
        <v>5.0E7</v>
      </c>
      <c r="L30" s="29" t="s">
        <v>176</v>
      </c>
      <c r="M30" s="31"/>
      <c r="N30" s="31"/>
      <c r="O30" s="31"/>
      <c r="Q30" s="36"/>
      <c r="R30" s="36"/>
      <c r="S30" s="36"/>
      <c r="T30" s="36"/>
      <c r="V30" s="31"/>
    </row>
    <row r="31">
      <c r="A31" s="14" t="s">
        <v>76</v>
      </c>
      <c r="B31" s="14" t="s">
        <v>310</v>
      </c>
      <c r="C31" s="14" t="s">
        <v>311</v>
      </c>
      <c r="D31" s="14" t="s">
        <v>40</v>
      </c>
      <c r="E31" s="20" t="str">
        <f t="shared" si="2"/>
        <v>marzo 2024</v>
      </c>
      <c r="F31" s="22">
        <v>45355.0</v>
      </c>
      <c r="G31" s="24">
        <f t="shared" ref="G31:H31" si="36">F31</f>
        <v>45355</v>
      </c>
      <c r="H31" s="26">
        <f t="shared" si="36"/>
        <v>45355</v>
      </c>
      <c r="I31" s="14" t="s">
        <v>90</v>
      </c>
      <c r="K31" s="27">
        <v>8.0E7</v>
      </c>
      <c r="L31" s="29">
        <v>2.19</v>
      </c>
      <c r="M31" s="31"/>
      <c r="N31" s="31"/>
      <c r="O31" s="31"/>
      <c r="Q31" s="36"/>
      <c r="R31" s="36"/>
      <c r="S31" s="36"/>
      <c r="T31" s="36"/>
      <c r="V31" s="31"/>
    </row>
    <row r="32">
      <c r="A32" s="14" t="s">
        <v>76</v>
      </c>
      <c r="B32" s="14" t="s">
        <v>318</v>
      </c>
      <c r="C32" s="85" t="s">
        <v>319</v>
      </c>
      <c r="D32" s="14" t="s">
        <v>40</v>
      </c>
      <c r="E32" s="20" t="str">
        <f t="shared" si="2"/>
        <v>marzo 2024</v>
      </c>
      <c r="F32" s="22">
        <v>45355.0</v>
      </c>
      <c r="G32" s="24">
        <f t="shared" ref="G32:H32" si="37">F32</f>
        <v>45355</v>
      </c>
      <c r="H32" s="26">
        <f t="shared" si="37"/>
        <v>45355</v>
      </c>
      <c r="I32" s="14" t="s">
        <v>90</v>
      </c>
      <c r="K32" s="88"/>
      <c r="L32" s="78"/>
      <c r="M32" s="14"/>
      <c r="N32" s="14"/>
      <c r="O32" s="14"/>
      <c r="P32" s="14" t="s">
        <v>75</v>
      </c>
      <c r="Q32" s="36"/>
      <c r="R32" s="36"/>
      <c r="S32" s="36"/>
      <c r="T32" s="36"/>
      <c r="V32" s="31"/>
    </row>
    <row r="33">
      <c r="A33" s="14" t="s">
        <v>117</v>
      </c>
      <c r="B33" s="14" t="s">
        <v>328</v>
      </c>
      <c r="C33" s="14" t="s">
        <v>329</v>
      </c>
      <c r="D33" s="14" t="s">
        <v>40</v>
      </c>
      <c r="E33" s="20" t="str">
        <f t="shared" si="2"/>
        <v>marzo 2024</v>
      </c>
      <c r="F33" s="22">
        <v>45355.0</v>
      </c>
      <c r="G33" s="24">
        <f t="shared" ref="G33:H33" si="38">F33</f>
        <v>45355</v>
      </c>
      <c r="H33" s="26">
        <f t="shared" si="38"/>
        <v>45355</v>
      </c>
      <c r="I33" s="14" t="s">
        <v>82</v>
      </c>
      <c r="J33" s="14" t="s">
        <v>333</v>
      </c>
      <c r="K33" s="27">
        <v>1.5E8</v>
      </c>
      <c r="L33" s="29">
        <v>2.19</v>
      </c>
      <c r="M33" s="14"/>
      <c r="N33" s="14"/>
      <c r="O33" s="14"/>
      <c r="P33" s="14" t="s">
        <v>339</v>
      </c>
      <c r="Q33" s="36"/>
      <c r="R33" s="36"/>
      <c r="S33" s="36"/>
      <c r="T33" s="36"/>
      <c r="V33" s="31"/>
    </row>
    <row r="34">
      <c r="A34" s="14" t="s">
        <v>208</v>
      </c>
      <c r="B34" s="14" t="s">
        <v>342</v>
      </c>
      <c r="C34" s="90" t="s">
        <v>346</v>
      </c>
      <c r="D34" s="14" t="s">
        <v>40</v>
      </c>
      <c r="E34" s="20" t="str">
        <f t="shared" si="2"/>
        <v>marzo 2024</v>
      </c>
      <c r="F34" s="22">
        <v>45356.0</v>
      </c>
      <c r="G34" s="24">
        <f t="shared" ref="G34:H34" si="39">F34</f>
        <v>45356</v>
      </c>
      <c r="H34" s="26">
        <f t="shared" si="39"/>
        <v>45356</v>
      </c>
      <c r="I34" s="14" t="s">
        <v>259</v>
      </c>
      <c r="J34" s="57" t="s">
        <v>260</v>
      </c>
      <c r="K34" s="27">
        <v>8.0E7</v>
      </c>
      <c r="L34" s="29" t="s">
        <v>351</v>
      </c>
      <c r="M34" s="14"/>
      <c r="N34" s="14"/>
      <c r="O34" s="14"/>
      <c r="P34" s="14" t="s">
        <v>75</v>
      </c>
      <c r="Q34" s="36"/>
      <c r="R34" s="36"/>
      <c r="S34" s="36"/>
      <c r="T34" s="36"/>
      <c r="V34" s="31"/>
    </row>
    <row r="35">
      <c r="A35" s="14" t="s">
        <v>208</v>
      </c>
      <c r="B35" s="14" t="s">
        <v>357</v>
      </c>
      <c r="C35" s="92" t="s">
        <v>359</v>
      </c>
      <c r="D35" s="14" t="s">
        <v>40</v>
      </c>
      <c r="E35" s="20" t="str">
        <f t="shared" si="2"/>
        <v>marzo 2024</v>
      </c>
      <c r="F35" s="22">
        <v>45356.0</v>
      </c>
      <c r="G35" s="24">
        <f t="shared" ref="G35:H35" si="40">F35</f>
        <v>45356</v>
      </c>
      <c r="H35" s="26">
        <f t="shared" si="40"/>
        <v>45356</v>
      </c>
      <c r="I35" s="14" t="s">
        <v>259</v>
      </c>
      <c r="J35" s="57" t="s">
        <v>304</v>
      </c>
      <c r="K35" s="27">
        <v>4.0E8</v>
      </c>
      <c r="L35" s="62">
        <v>0.0199</v>
      </c>
      <c r="M35" s="14"/>
      <c r="N35" s="14"/>
      <c r="O35" s="14"/>
      <c r="P35" s="14" t="s">
        <v>75</v>
      </c>
      <c r="Q35" s="36"/>
      <c r="R35" s="36"/>
      <c r="S35" s="36"/>
      <c r="T35" s="36"/>
      <c r="V35" s="31"/>
    </row>
    <row r="36">
      <c r="A36" s="14" t="s">
        <v>208</v>
      </c>
      <c r="B36" s="14" t="s">
        <v>357</v>
      </c>
      <c r="C36" s="92" t="s">
        <v>365</v>
      </c>
      <c r="D36" s="14" t="s">
        <v>40</v>
      </c>
      <c r="E36" s="20" t="str">
        <f t="shared" si="2"/>
        <v>marzo 2024</v>
      </c>
      <c r="F36" s="22">
        <v>45356.0</v>
      </c>
      <c r="G36" s="24">
        <f t="shared" ref="G36:H36" si="41">F36</f>
        <v>45356</v>
      </c>
      <c r="H36" s="26">
        <f t="shared" si="41"/>
        <v>45356</v>
      </c>
      <c r="I36" s="14" t="s">
        <v>259</v>
      </c>
      <c r="J36" s="57" t="s">
        <v>304</v>
      </c>
      <c r="K36" s="27">
        <v>4.0E8</v>
      </c>
      <c r="L36" s="62">
        <v>0.0199</v>
      </c>
      <c r="M36" s="14"/>
      <c r="N36" s="14"/>
      <c r="O36" s="14"/>
      <c r="P36" s="14" t="s">
        <v>75</v>
      </c>
      <c r="Q36" s="36"/>
      <c r="R36" s="36"/>
      <c r="S36" s="36"/>
      <c r="T36" s="36"/>
      <c r="V36" s="31"/>
    </row>
    <row r="37">
      <c r="A37" s="14" t="s">
        <v>208</v>
      </c>
      <c r="B37" s="14" t="s">
        <v>357</v>
      </c>
      <c r="C37" s="92" t="s">
        <v>370</v>
      </c>
      <c r="D37" s="14" t="s">
        <v>40</v>
      </c>
      <c r="E37" s="20" t="str">
        <f t="shared" si="2"/>
        <v>marzo 2024</v>
      </c>
      <c r="F37" s="22">
        <v>45356.0</v>
      </c>
      <c r="G37" s="24">
        <f t="shared" ref="G37:H37" si="42">F37</f>
        <v>45356</v>
      </c>
      <c r="H37" s="26">
        <f t="shared" si="42"/>
        <v>45356</v>
      </c>
      <c r="I37" s="14" t="s">
        <v>259</v>
      </c>
      <c r="J37" s="57" t="s">
        <v>304</v>
      </c>
      <c r="K37" s="27">
        <v>4.0E8</v>
      </c>
      <c r="L37" s="62">
        <v>0.0199</v>
      </c>
      <c r="M37" s="14"/>
      <c r="N37" s="14"/>
      <c r="O37" s="14"/>
      <c r="P37" s="14" t="s">
        <v>75</v>
      </c>
      <c r="Q37" s="36"/>
      <c r="R37" s="36"/>
      <c r="S37" s="36"/>
      <c r="T37" s="36"/>
      <c r="V37" s="31"/>
    </row>
    <row r="38">
      <c r="A38" s="14" t="s">
        <v>76</v>
      </c>
      <c r="B38" s="14" t="s">
        <v>376</v>
      </c>
      <c r="C38" s="15" t="s">
        <v>378</v>
      </c>
      <c r="D38" s="14" t="s">
        <v>40</v>
      </c>
      <c r="E38" s="20" t="str">
        <f t="shared" si="2"/>
        <v>marzo 2024</v>
      </c>
      <c r="F38" s="22">
        <v>45363.0</v>
      </c>
      <c r="G38" s="24">
        <f t="shared" ref="G38:H38" si="43">F38</f>
        <v>45363</v>
      </c>
      <c r="H38" s="26">
        <f t="shared" si="43"/>
        <v>45363</v>
      </c>
      <c r="I38" s="14" t="s">
        <v>90</v>
      </c>
      <c r="K38" s="27">
        <v>4.0E7</v>
      </c>
      <c r="L38" s="78"/>
      <c r="M38" s="31"/>
      <c r="N38" s="31"/>
      <c r="O38" s="31"/>
      <c r="Q38" s="36"/>
      <c r="R38" s="36"/>
      <c r="S38" s="36"/>
      <c r="T38" s="36"/>
      <c r="V38" s="31"/>
    </row>
    <row r="39">
      <c r="A39" s="14" t="s">
        <v>117</v>
      </c>
      <c r="B39" s="14" t="s">
        <v>385</v>
      </c>
      <c r="C39" s="14" t="s">
        <v>386</v>
      </c>
      <c r="D39" s="14" t="s">
        <v>40</v>
      </c>
      <c r="E39" s="20" t="str">
        <f t="shared" si="2"/>
        <v>marzo 2024</v>
      </c>
      <c r="F39" s="22">
        <v>45363.0</v>
      </c>
      <c r="G39" s="24">
        <f t="shared" ref="G39:H39" si="44">F39</f>
        <v>45363</v>
      </c>
      <c r="H39" s="26">
        <f t="shared" si="44"/>
        <v>45363</v>
      </c>
      <c r="I39" s="14" t="s">
        <v>90</v>
      </c>
      <c r="K39" s="27">
        <v>3.0E7</v>
      </c>
      <c r="L39" s="29" t="s">
        <v>351</v>
      </c>
      <c r="M39" s="31"/>
      <c r="N39" s="31"/>
      <c r="O39" s="31"/>
      <c r="Q39" s="36"/>
      <c r="R39" s="36"/>
      <c r="S39" s="36"/>
      <c r="T39" s="36"/>
      <c r="V39" s="31"/>
    </row>
    <row r="40">
      <c r="A40" s="14" t="s">
        <v>76</v>
      </c>
      <c r="B40" s="14" t="s">
        <v>393</v>
      </c>
      <c r="C40" s="14" t="s">
        <v>394</v>
      </c>
      <c r="D40" s="14" t="s">
        <v>40</v>
      </c>
      <c r="E40" s="20" t="str">
        <f t="shared" si="2"/>
        <v>marzo 2024</v>
      </c>
      <c r="F40" s="22">
        <v>45365.0</v>
      </c>
      <c r="G40" s="24">
        <f t="shared" ref="G40:H40" si="45">F40</f>
        <v>45365</v>
      </c>
      <c r="H40" s="26">
        <f t="shared" si="45"/>
        <v>45365</v>
      </c>
      <c r="I40" s="14" t="s">
        <v>90</v>
      </c>
      <c r="K40" s="27">
        <v>3.0E7</v>
      </c>
      <c r="L40" s="29" t="s">
        <v>351</v>
      </c>
      <c r="M40" s="31"/>
      <c r="N40" s="31"/>
      <c r="O40" s="31"/>
      <c r="Q40" s="36"/>
      <c r="R40" s="36"/>
      <c r="S40" s="36"/>
      <c r="T40" s="36"/>
      <c r="V40" s="31"/>
    </row>
    <row r="41">
      <c r="A41" s="14" t="s">
        <v>208</v>
      </c>
      <c r="B41" s="14" t="s">
        <v>398</v>
      </c>
      <c r="C41" s="14" t="s">
        <v>399</v>
      </c>
      <c r="D41" s="14" t="s">
        <v>40</v>
      </c>
      <c r="E41" s="20" t="str">
        <f t="shared" si="2"/>
        <v>marzo 2024</v>
      </c>
      <c r="F41" s="22">
        <v>45364.0</v>
      </c>
      <c r="G41" s="24">
        <f t="shared" ref="G41:H41" si="46">F41</f>
        <v>45364</v>
      </c>
      <c r="H41" s="26">
        <f t="shared" si="46"/>
        <v>45364</v>
      </c>
      <c r="I41" s="31"/>
      <c r="K41" s="27">
        <v>3.0E7</v>
      </c>
      <c r="L41" s="29" t="s">
        <v>403</v>
      </c>
      <c r="M41" s="31"/>
      <c r="N41" s="31"/>
      <c r="O41" s="31"/>
      <c r="Q41" s="36"/>
      <c r="R41" s="36"/>
      <c r="S41" s="36"/>
      <c r="T41" s="36"/>
      <c r="V41" s="31"/>
    </row>
    <row r="42">
      <c r="A42" s="14" t="s">
        <v>76</v>
      </c>
      <c r="B42" s="14" t="s">
        <v>405</v>
      </c>
      <c r="C42" s="14" t="s">
        <v>406</v>
      </c>
      <c r="D42" s="14" t="s">
        <v>40</v>
      </c>
      <c r="E42" s="20" t="str">
        <f t="shared" si="2"/>
        <v>marzo 2024</v>
      </c>
      <c r="F42" s="22">
        <v>45365.0</v>
      </c>
      <c r="G42" s="24">
        <f t="shared" ref="G42:H42" si="47">F42</f>
        <v>45365</v>
      </c>
      <c r="H42" s="26">
        <f t="shared" si="47"/>
        <v>45365</v>
      </c>
      <c r="I42" s="14" t="s">
        <v>259</v>
      </c>
      <c r="J42" s="57" t="s">
        <v>304</v>
      </c>
      <c r="K42" s="27">
        <v>3.0E7</v>
      </c>
      <c r="L42" s="29" t="s">
        <v>351</v>
      </c>
      <c r="M42" s="31"/>
      <c r="N42" s="31"/>
      <c r="O42" s="31"/>
      <c r="Q42" s="36"/>
      <c r="R42" s="36"/>
      <c r="S42" s="36"/>
      <c r="T42" s="36"/>
      <c r="V42" s="31"/>
    </row>
    <row r="43">
      <c r="A43" s="14" t="s">
        <v>76</v>
      </c>
      <c r="B43" s="14" t="s">
        <v>408</v>
      </c>
      <c r="C43" s="14" t="s">
        <v>410</v>
      </c>
      <c r="D43" s="14" t="s">
        <v>40</v>
      </c>
      <c r="E43" s="20" t="str">
        <f t="shared" si="2"/>
        <v>marzo 2024</v>
      </c>
      <c r="F43" s="22">
        <v>45366.0</v>
      </c>
      <c r="G43" s="24">
        <f t="shared" ref="G43:H43" si="48">F43</f>
        <v>45366</v>
      </c>
      <c r="H43" s="26">
        <f t="shared" si="48"/>
        <v>45366</v>
      </c>
      <c r="I43" s="14" t="s">
        <v>259</v>
      </c>
      <c r="J43" s="57" t="s">
        <v>304</v>
      </c>
      <c r="K43" s="27">
        <v>4.0E7</v>
      </c>
      <c r="L43" s="29" t="s">
        <v>351</v>
      </c>
      <c r="M43" s="31"/>
      <c r="N43" s="31"/>
      <c r="O43" s="31"/>
      <c r="Q43" s="36"/>
      <c r="R43" s="36"/>
      <c r="S43" s="36"/>
      <c r="T43" s="36"/>
      <c r="V43" s="31"/>
    </row>
    <row r="44">
      <c r="A44" s="14" t="s">
        <v>76</v>
      </c>
      <c r="B44" s="14" t="s">
        <v>412</v>
      </c>
      <c r="C44" s="14" t="s">
        <v>413</v>
      </c>
      <c r="D44" s="14" t="s">
        <v>40</v>
      </c>
      <c r="E44" s="20" t="str">
        <f t="shared" si="2"/>
        <v>marzo 2024</v>
      </c>
      <c r="F44" s="22">
        <v>45366.0</v>
      </c>
      <c r="G44" s="24">
        <f t="shared" ref="G44:H44" si="49">F44</f>
        <v>45366</v>
      </c>
      <c r="H44" s="26">
        <f t="shared" si="49"/>
        <v>45366</v>
      </c>
      <c r="I44" s="14" t="s">
        <v>259</v>
      </c>
      <c r="J44" s="57" t="s">
        <v>304</v>
      </c>
      <c r="K44" s="27">
        <v>0.0</v>
      </c>
      <c r="L44" s="29" t="s">
        <v>351</v>
      </c>
      <c r="M44" s="31"/>
      <c r="N44" s="31"/>
      <c r="O44" s="31"/>
      <c r="Q44" s="36"/>
      <c r="R44" s="36"/>
      <c r="S44" s="36"/>
      <c r="T44" s="36"/>
      <c r="V44" s="31"/>
    </row>
    <row r="45">
      <c r="A45" s="14" t="s">
        <v>76</v>
      </c>
      <c r="B45" s="14" t="s">
        <v>415</v>
      </c>
      <c r="C45" s="14" t="s">
        <v>416</v>
      </c>
      <c r="D45" s="14" t="s">
        <v>40</v>
      </c>
      <c r="E45" s="20" t="str">
        <f t="shared" si="2"/>
        <v>marzo 2024</v>
      </c>
      <c r="F45" s="22">
        <v>45366.0</v>
      </c>
      <c r="G45" s="24">
        <f t="shared" ref="G45:H45" si="50">F45</f>
        <v>45366</v>
      </c>
      <c r="H45" s="26">
        <f t="shared" si="50"/>
        <v>45366</v>
      </c>
      <c r="I45" s="14" t="s">
        <v>259</v>
      </c>
      <c r="J45" s="57" t="s">
        <v>304</v>
      </c>
      <c r="K45" s="27">
        <v>0.0</v>
      </c>
      <c r="L45" s="29" t="s">
        <v>351</v>
      </c>
      <c r="M45" s="31"/>
      <c r="N45" s="31"/>
      <c r="O45" s="31"/>
      <c r="Q45" s="36"/>
      <c r="R45" s="36"/>
      <c r="S45" s="36"/>
      <c r="T45" s="36"/>
      <c r="V45" s="31"/>
    </row>
    <row r="46">
      <c r="A46" s="14" t="s">
        <v>36</v>
      </c>
      <c r="B46" s="14" t="s">
        <v>419</v>
      </c>
      <c r="C46" s="14" t="s">
        <v>420</v>
      </c>
      <c r="D46" s="14" t="s">
        <v>40</v>
      </c>
      <c r="E46" s="20" t="str">
        <f t="shared" si="2"/>
        <v>marzo 2024</v>
      </c>
      <c r="F46" s="22">
        <v>45371.0</v>
      </c>
      <c r="G46" s="24">
        <f t="shared" ref="G46:H46" si="51">F46</f>
        <v>45371</v>
      </c>
      <c r="H46" s="26">
        <f t="shared" si="51"/>
        <v>45371</v>
      </c>
      <c r="I46" s="14" t="s">
        <v>259</v>
      </c>
      <c r="J46" s="57" t="s">
        <v>304</v>
      </c>
      <c r="K46" s="27">
        <v>8.0E7</v>
      </c>
      <c r="L46" s="62">
        <v>0.0219</v>
      </c>
      <c r="M46" s="14"/>
      <c r="N46" s="14"/>
      <c r="O46" s="14"/>
      <c r="P46" s="14"/>
      <c r="Q46" s="36"/>
      <c r="R46" s="36"/>
      <c r="S46" s="36"/>
      <c r="T46" s="36"/>
      <c r="V46" s="31"/>
    </row>
    <row r="47">
      <c r="A47" s="14" t="s">
        <v>93</v>
      </c>
      <c r="B47" s="14" t="s">
        <v>423</v>
      </c>
      <c r="C47" s="14" t="s">
        <v>424</v>
      </c>
      <c r="D47" s="14" t="s">
        <v>40</v>
      </c>
      <c r="E47" s="20" t="str">
        <f t="shared" si="2"/>
        <v>abril 2024</v>
      </c>
      <c r="F47" s="22">
        <v>45383.0</v>
      </c>
      <c r="G47" s="24">
        <f t="shared" ref="G47:H47" si="52">F47</f>
        <v>45383</v>
      </c>
      <c r="H47" s="26">
        <f t="shared" si="52"/>
        <v>45383</v>
      </c>
      <c r="I47" s="14" t="s">
        <v>425</v>
      </c>
      <c r="J47" s="14" t="s">
        <v>426</v>
      </c>
      <c r="K47" s="27">
        <v>7.0E8</v>
      </c>
      <c r="L47" s="62">
        <v>0.0169</v>
      </c>
      <c r="M47" s="14"/>
      <c r="N47" s="14"/>
      <c r="O47" s="14"/>
      <c r="P47" s="14" t="s">
        <v>84</v>
      </c>
      <c r="Q47" s="36"/>
      <c r="R47" s="36"/>
      <c r="S47" s="36"/>
      <c r="T47" s="36"/>
      <c r="V47" s="31"/>
    </row>
    <row r="48">
      <c r="A48" s="14" t="s">
        <v>76</v>
      </c>
      <c r="B48" s="14" t="s">
        <v>428</v>
      </c>
      <c r="C48" s="14" t="s">
        <v>429</v>
      </c>
      <c r="D48" s="14" t="s">
        <v>40</v>
      </c>
      <c r="E48" s="20" t="str">
        <f t="shared" si="2"/>
        <v>abril 2024</v>
      </c>
      <c r="F48" s="22">
        <v>45386.0</v>
      </c>
      <c r="G48" s="24">
        <f t="shared" ref="G48:H48" si="53">F48</f>
        <v>45386</v>
      </c>
      <c r="H48" s="26">
        <f t="shared" si="53"/>
        <v>45386</v>
      </c>
      <c r="I48" s="14" t="s">
        <v>90</v>
      </c>
      <c r="K48" s="27">
        <v>3.0E7</v>
      </c>
      <c r="L48" s="29" t="s">
        <v>351</v>
      </c>
      <c r="M48" s="31"/>
      <c r="N48" s="31"/>
      <c r="O48" s="31"/>
      <c r="Q48" s="36"/>
      <c r="R48" s="36"/>
      <c r="S48" s="36"/>
      <c r="T48" s="36"/>
      <c r="V48" s="31"/>
    </row>
    <row r="49" ht="17.25" customHeight="1">
      <c r="A49" s="14" t="s">
        <v>36</v>
      </c>
      <c r="B49" s="14" t="s">
        <v>430</v>
      </c>
      <c r="C49" s="14" t="s">
        <v>431</v>
      </c>
      <c r="D49" s="14" t="s">
        <v>40</v>
      </c>
      <c r="E49" s="20" t="str">
        <f t="shared" si="2"/>
        <v>abril 2024</v>
      </c>
      <c r="F49" s="22">
        <v>45386.0</v>
      </c>
      <c r="G49" s="24">
        <f t="shared" ref="G49:H49" si="54">F49</f>
        <v>45386</v>
      </c>
      <c r="H49" s="26">
        <f t="shared" si="54"/>
        <v>45386</v>
      </c>
      <c r="I49" s="14" t="s">
        <v>259</v>
      </c>
      <c r="J49" s="14" t="s">
        <v>304</v>
      </c>
      <c r="K49" s="27">
        <v>2.5E7</v>
      </c>
      <c r="L49" s="29" t="s">
        <v>433</v>
      </c>
      <c r="M49" s="31"/>
      <c r="N49" s="31"/>
      <c r="O49" s="31"/>
      <c r="Q49" s="36"/>
      <c r="R49" s="36"/>
      <c r="S49" s="36"/>
      <c r="T49" s="36"/>
      <c r="V49" s="31"/>
    </row>
    <row r="50">
      <c r="A50" s="14" t="s">
        <v>36</v>
      </c>
      <c r="B50" s="14" t="s">
        <v>430</v>
      </c>
      <c r="C50" s="14" t="s">
        <v>435</v>
      </c>
      <c r="D50" s="14" t="s">
        <v>40</v>
      </c>
      <c r="E50" s="20" t="str">
        <f t="shared" si="2"/>
        <v>abril 2024</v>
      </c>
      <c r="F50" s="22">
        <v>45386.0</v>
      </c>
      <c r="G50" s="24">
        <f t="shared" ref="G50:H50" si="55">F50</f>
        <v>45386</v>
      </c>
      <c r="H50" s="26">
        <f t="shared" si="55"/>
        <v>45386</v>
      </c>
      <c r="I50" s="14" t="s">
        <v>259</v>
      </c>
      <c r="J50" s="14" t="s">
        <v>304</v>
      </c>
      <c r="K50" s="27">
        <v>2.5E7</v>
      </c>
      <c r="L50" s="29" t="s">
        <v>433</v>
      </c>
      <c r="M50" s="31"/>
      <c r="N50" s="31"/>
      <c r="O50" s="31"/>
      <c r="Q50" s="36"/>
      <c r="R50" s="36"/>
      <c r="S50" s="36"/>
      <c r="T50" s="36"/>
      <c r="V50" s="31"/>
    </row>
    <row r="51">
      <c r="B51" s="14" t="s">
        <v>436</v>
      </c>
      <c r="C51" s="14" t="s">
        <v>437</v>
      </c>
      <c r="D51" s="14" t="s">
        <v>40</v>
      </c>
      <c r="E51" s="20" t="str">
        <f t="shared" si="2"/>
        <v>abril 2024</v>
      </c>
      <c r="F51" s="22">
        <v>45387.0</v>
      </c>
      <c r="G51" s="24">
        <f t="shared" ref="G51:H51" si="56">F51</f>
        <v>45387</v>
      </c>
      <c r="H51" s="26">
        <f t="shared" si="56"/>
        <v>45387</v>
      </c>
      <c r="I51" s="14" t="s">
        <v>90</v>
      </c>
      <c r="K51" s="27">
        <v>1.0E8</v>
      </c>
      <c r="L51" s="62">
        <v>0.0189</v>
      </c>
      <c r="M51" s="31"/>
      <c r="N51" s="31"/>
      <c r="O51" s="31"/>
      <c r="Q51" s="36"/>
      <c r="R51" s="36"/>
      <c r="S51" s="36"/>
      <c r="T51" s="36"/>
      <c r="V51" s="31"/>
    </row>
    <row r="52">
      <c r="A52" s="14" t="s">
        <v>93</v>
      </c>
      <c r="B52" s="14" t="s">
        <v>439</v>
      </c>
      <c r="C52" s="14" t="s">
        <v>440</v>
      </c>
      <c r="D52" s="14" t="s">
        <v>40</v>
      </c>
      <c r="E52" s="20" t="str">
        <f t="shared" si="2"/>
        <v>abril 2024</v>
      </c>
      <c r="F52" s="22">
        <v>45391.0</v>
      </c>
      <c r="G52" s="24">
        <f t="shared" ref="G52:H52" si="57">F52</f>
        <v>45391</v>
      </c>
      <c r="H52" s="26">
        <f t="shared" si="57"/>
        <v>45391</v>
      </c>
      <c r="I52" s="14" t="s">
        <v>259</v>
      </c>
      <c r="J52" s="57" t="s">
        <v>260</v>
      </c>
      <c r="K52" s="27">
        <v>5.0E7</v>
      </c>
      <c r="L52" s="29" t="s">
        <v>443</v>
      </c>
      <c r="M52" s="14"/>
      <c r="N52" s="14"/>
      <c r="O52" s="14"/>
      <c r="P52" s="14" t="s">
        <v>75</v>
      </c>
      <c r="Q52" s="36"/>
      <c r="R52" s="36"/>
      <c r="S52" s="36"/>
      <c r="T52" s="36"/>
      <c r="V52" s="31"/>
    </row>
    <row r="53">
      <c r="A53" s="14" t="s">
        <v>93</v>
      </c>
      <c r="B53" s="14" t="s">
        <v>439</v>
      </c>
      <c r="C53" s="14" t="s">
        <v>444</v>
      </c>
      <c r="D53" s="14" t="s">
        <v>40</v>
      </c>
      <c r="E53" s="20" t="str">
        <f t="shared" si="2"/>
        <v>abril 2024</v>
      </c>
      <c r="F53" s="22">
        <v>45391.0</v>
      </c>
      <c r="G53" s="24">
        <f t="shared" ref="G53:H53" si="58">F53</f>
        <v>45391</v>
      </c>
      <c r="H53" s="26">
        <f t="shared" si="58"/>
        <v>45391</v>
      </c>
      <c r="I53" s="14" t="s">
        <v>259</v>
      </c>
      <c r="J53" s="57" t="s">
        <v>260</v>
      </c>
      <c r="K53" s="27">
        <v>5.0E7</v>
      </c>
      <c r="L53" s="29" t="s">
        <v>443</v>
      </c>
      <c r="M53" s="14"/>
      <c r="N53" s="14"/>
      <c r="O53" s="14"/>
      <c r="P53" s="14" t="s">
        <v>75</v>
      </c>
      <c r="Q53" s="36"/>
      <c r="R53" s="36"/>
      <c r="S53" s="36"/>
      <c r="T53" s="36"/>
      <c r="V53" s="31"/>
    </row>
    <row r="54">
      <c r="A54" s="14" t="s">
        <v>93</v>
      </c>
      <c r="B54" s="14" t="s">
        <v>439</v>
      </c>
      <c r="C54" s="14" t="s">
        <v>447</v>
      </c>
      <c r="D54" s="14" t="s">
        <v>40</v>
      </c>
      <c r="E54" s="20" t="str">
        <f t="shared" si="2"/>
        <v>abril 2024</v>
      </c>
      <c r="F54" s="22">
        <v>45391.0</v>
      </c>
      <c r="G54" s="24">
        <f t="shared" ref="G54:H54" si="59">F54</f>
        <v>45391</v>
      </c>
      <c r="H54" s="26">
        <f t="shared" si="59"/>
        <v>45391</v>
      </c>
      <c r="I54" s="14" t="s">
        <v>259</v>
      </c>
      <c r="J54" s="57" t="s">
        <v>260</v>
      </c>
      <c r="K54" s="27">
        <v>5.0E7</v>
      </c>
      <c r="L54" s="29" t="s">
        <v>443</v>
      </c>
      <c r="M54" s="14"/>
      <c r="N54" s="14"/>
      <c r="O54" s="14"/>
      <c r="P54" s="14" t="s">
        <v>75</v>
      </c>
      <c r="Q54" s="36"/>
      <c r="R54" s="36"/>
      <c r="S54" s="36"/>
      <c r="T54" s="36"/>
      <c r="V54" s="31"/>
    </row>
    <row r="55">
      <c r="A55" s="14" t="s">
        <v>93</v>
      </c>
      <c r="B55" s="14" t="s">
        <v>439</v>
      </c>
      <c r="C55" s="14" t="s">
        <v>450</v>
      </c>
      <c r="D55" s="14" t="s">
        <v>40</v>
      </c>
      <c r="E55" s="20" t="str">
        <f t="shared" si="2"/>
        <v>abril 2024</v>
      </c>
      <c r="F55" s="22">
        <v>45391.0</v>
      </c>
      <c r="G55" s="24">
        <f t="shared" ref="G55:H55" si="60">F55</f>
        <v>45391</v>
      </c>
      <c r="H55" s="26">
        <f t="shared" si="60"/>
        <v>45391</v>
      </c>
      <c r="I55" s="14" t="s">
        <v>259</v>
      </c>
      <c r="J55" s="57" t="s">
        <v>260</v>
      </c>
      <c r="K55" s="27">
        <v>5.0E7</v>
      </c>
      <c r="L55" s="29" t="s">
        <v>443</v>
      </c>
      <c r="M55" s="14"/>
      <c r="N55" s="14"/>
      <c r="O55" s="14"/>
      <c r="P55" s="14" t="s">
        <v>75</v>
      </c>
      <c r="Q55" s="36"/>
      <c r="R55" s="36"/>
      <c r="S55" s="36"/>
      <c r="T55" s="36"/>
      <c r="V55" s="31"/>
    </row>
    <row r="56">
      <c r="A56" s="14" t="s">
        <v>208</v>
      </c>
      <c r="B56" s="14" t="s">
        <v>455</v>
      </c>
      <c r="C56" s="14" t="s">
        <v>456</v>
      </c>
      <c r="D56" s="14" t="s">
        <v>40</v>
      </c>
      <c r="E56" s="20" t="str">
        <f t="shared" si="2"/>
        <v>abril 2024</v>
      </c>
      <c r="F56" s="22">
        <v>45387.0</v>
      </c>
      <c r="G56" s="24">
        <f t="shared" ref="G56:H56" si="61">F56</f>
        <v>45387</v>
      </c>
      <c r="H56" s="26">
        <f t="shared" si="61"/>
        <v>45387</v>
      </c>
      <c r="I56" s="14" t="s">
        <v>90</v>
      </c>
      <c r="K56" s="27">
        <v>1.0E8</v>
      </c>
      <c r="L56" s="62">
        <v>0.0219</v>
      </c>
      <c r="M56" s="31"/>
      <c r="N56" s="31"/>
      <c r="O56" s="31"/>
      <c r="Q56" s="36"/>
      <c r="R56" s="36"/>
      <c r="S56" s="36"/>
      <c r="T56" s="36"/>
      <c r="V56" s="31"/>
    </row>
    <row r="57">
      <c r="A57" s="14" t="s">
        <v>76</v>
      </c>
      <c r="B57" s="14" t="s">
        <v>461</v>
      </c>
      <c r="C57" s="14" t="s">
        <v>462</v>
      </c>
      <c r="D57" s="14" t="s">
        <v>40</v>
      </c>
      <c r="E57" s="20" t="str">
        <f t="shared" si="2"/>
        <v>abril 2024</v>
      </c>
      <c r="F57" s="22">
        <v>45393.0</v>
      </c>
      <c r="G57" s="24">
        <f t="shared" ref="G57:H57" si="62">F57</f>
        <v>45393</v>
      </c>
      <c r="H57" s="26">
        <f t="shared" si="62"/>
        <v>45393</v>
      </c>
      <c r="I57" s="14" t="s">
        <v>90</v>
      </c>
      <c r="J57" s="14"/>
      <c r="K57" s="27">
        <v>5.0E7</v>
      </c>
      <c r="L57" s="29" t="s">
        <v>464</v>
      </c>
      <c r="M57" s="14"/>
      <c r="N57" s="14"/>
      <c r="O57" s="14"/>
      <c r="P57" s="14" t="s">
        <v>75</v>
      </c>
      <c r="Q57" s="36"/>
      <c r="R57" s="36"/>
      <c r="S57" s="36"/>
      <c r="T57" s="36"/>
      <c r="V57" s="31"/>
    </row>
    <row r="58">
      <c r="A58" s="14" t="s">
        <v>208</v>
      </c>
      <c r="B58" s="14" t="s">
        <v>465</v>
      </c>
      <c r="C58" s="14" t="s">
        <v>466</v>
      </c>
      <c r="D58" s="14" t="s">
        <v>40</v>
      </c>
      <c r="E58" s="20" t="str">
        <f t="shared" si="2"/>
        <v>abril 2024</v>
      </c>
      <c r="F58" s="22">
        <v>45394.0</v>
      </c>
      <c r="G58" s="24">
        <f t="shared" ref="G58:H58" si="63">F58</f>
        <v>45394</v>
      </c>
      <c r="H58" s="26">
        <f t="shared" si="63"/>
        <v>45394</v>
      </c>
      <c r="I58" s="14" t="s">
        <v>259</v>
      </c>
      <c r="J58" s="14" t="s">
        <v>293</v>
      </c>
      <c r="K58" s="27">
        <v>5.0E7</v>
      </c>
      <c r="L58" s="29" t="s">
        <v>469</v>
      </c>
      <c r="M58" s="31"/>
      <c r="N58" s="31"/>
      <c r="O58" s="31"/>
      <c r="Q58" s="36"/>
      <c r="R58" s="36"/>
      <c r="S58" s="36"/>
      <c r="T58" s="36"/>
      <c r="V58" s="31"/>
    </row>
    <row r="59">
      <c r="A59" s="14" t="s">
        <v>208</v>
      </c>
      <c r="B59" s="14" t="s">
        <v>470</v>
      </c>
      <c r="C59" s="14" t="s">
        <v>471</v>
      </c>
      <c r="D59" s="14" t="s">
        <v>40</v>
      </c>
      <c r="E59" s="20" t="str">
        <f t="shared" si="2"/>
        <v>abril 2024</v>
      </c>
      <c r="F59" s="22">
        <v>45394.0</v>
      </c>
      <c r="G59" s="24">
        <f t="shared" ref="G59:H59" si="64">F59</f>
        <v>45394</v>
      </c>
      <c r="H59" s="26">
        <f t="shared" si="64"/>
        <v>45394</v>
      </c>
      <c r="I59" s="14" t="s">
        <v>90</v>
      </c>
      <c r="K59" s="27">
        <v>1.0E8</v>
      </c>
      <c r="L59" s="29" t="s">
        <v>443</v>
      </c>
      <c r="M59" s="31"/>
      <c r="N59" s="31"/>
      <c r="O59" s="31"/>
      <c r="Q59" s="36"/>
      <c r="R59" s="36"/>
      <c r="S59" s="36"/>
      <c r="T59" s="36"/>
      <c r="V59" s="31"/>
    </row>
    <row r="60">
      <c r="A60" s="14" t="s">
        <v>93</v>
      </c>
      <c r="B60" s="14" t="s">
        <v>475</v>
      </c>
      <c r="C60" s="14" t="s">
        <v>476</v>
      </c>
      <c r="D60" s="14" t="s">
        <v>40</v>
      </c>
      <c r="E60" s="20" t="str">
        <f t="shared" si="2"/>
        <v>abril 2024</v>
      </c>
      <c r="F60" s="22">
        <v>45397.0</v>
      </c>
      <c r="G60" s="24">
        <f t="shared" ref="G60:H60" si="65">F60</f>
        <v>45397</v>
      </c>
      <c r="H60" s="26">
        <f t="shared" si="65"/>
        <v>45397</v>
      </c>
      <c r="I60" s="14" t="s">
        <v>259</v>
      </c>
      <c r="J60" s="14" t="s">
        <v>293</v>
      </c>
      <c r="K60" s="27">
        <v>5.0E7</v>
      </c>
      <c r="L60" s="29" t="s">
        <v>478</v>
      </c>
      <c r="M60" s="31"/>
      <c r="N60" s="31"/>
      <c r="O60" s="31"/>
      <c r="Q60" s="36"/>
      <c r="R60" s="36"/>
      <c r="S60" s="36"/>
      <c r="T60" s="36"/>
      <c r="V60" s="31"/>
    </row>
    <row r="61">
      <c r="A61" s="14" t="s">
        <v>76</v>
      </c>
      <c r="B61" s="14" t="s">
        <v>479</v>
      </c>
      <c r="C61" s="14" t="s">
        <v>480</v>
      </c>
      <c r="D61" s="14" t="s">
        <v>40</v>
      </c>
      <c r="E61" s="20" t="str">
        <f t="shared" si="2"/>
        <v>abril 2024</v>
      </c>
      <c r="F61" s="22">
        <v>45400.0</v>
      </c>
      <c r="G61" s="24">
        <f t="shared" ref="G61:H61" si="66">F61</f>
        <v>45400</v>
      </c>
      <c r="H61" s="26">
        <f t="shared" si="66"/>
        <v>45400</v>
      </c>
      <c r="I61" s="14" t="s">
        <v>90</v>
      </c>
      <c r="K61" s="27">
        <v>4.0E7</v>
      </c>
      <c r="L61" s="29">
        <v>2.29</v>
      </c>
      <c r="M61" s="31"/>
      <c r="N61" s="31"/>
      <c r="O61" s="31"/>
      <c r="Q61" s="36"/>
      <c r="R61" s="36"/>
      <c r="S61" s="36"/>
      <c r="T61" s="36"/>
      <c r="V61" s="31"/>
    </row>
    <row r="62">
      <c r="A62" s="14" t="s">
        <v>76</v>
      </c>
      <c r="B62" s="14" t="s">
        <v>482</v>
      </c>
      <c r="C62" s="14" t="s">
        <v>483</v>
      </c>
      <c r="D62" s="14" t="s">
        <v>40</v>
      </c>
      <c r="E62" s="20" t="str">
        <f t="shared" si="2"/>
        <v>abril 2024</v>
      </c>
      <c r="F62" s="22">
        <v>45411.0</v>
      </c>
      <c r="G62" s="24">
        <f t="shared" ref="G62:H62" si="67">F62</f>
        <v>45411</v>
      </c>
      <c r="H62" s="26">
        <f t="shared" si="67"/>
        <v>45411</v>
      </c>
      <c r="I62" s="14" t="s">
        <v>90</v>
      </c>
      <c r="K62" s="27">
        <v>1.0E8</v>
      </c>
      <c r="L62" s="62">
        <v>0.0189</v>
      </c>
      <c r="M62" s="14"/>
      <c r="N62" s="14"/>
      <c r="O62" s="14"/>
      <c r="P62" s="14" t="s">
        <v>75</v>
      </c>
      <c r="Q62" s="36"/>
      <c r="R62" s="36"/>
      <c r="S62" s="36"/>
      <c r="T62" s="36"/>
      <c r="V62" s="31"/>
    </row>
    <row r="63">
      <c r="A63" s="14" t="s">
        <v>76</v>
      </c>
      <c r="B63" s="14" t="s">
        <v>485</v>
      </c>
      <c r="C63" s="14" t="s">
        <v>486</v>
      </c>
      <c r="D63" s="14" t="s">
        <v>40</v>
      </c>
      <c r="E63" s="20" t="str">
        <f t="shared" si="2"/>
        <v>abril 2024</v>
      </c>
      <c r="F63" s="22">
        <v>45412.0</v>
      </c>
      <c r="G63" s="24">
        <f t="shared" ref="G63:H63" si="68">F63</f>
        <v>45412</v>
      </c>
      <c r="H63" s="26">
        <f t="shared" si="68"/>
        <v>45412</v>
      </c>
      <c r="I63" s="14" t="s">
        <v>90</v>
      </c>
      <c r="K63" s="27">
        <v>3.0E7</v>
      </c>
      <c r="L63" s="29" t="s">
        <v>464</v>
      </c>
      <c r="M63" s="31"/>
      <c r="N63" s="31"/>
      <c r="O63" s="31"/>
      <c r="Q63" s="36"/>
      <c r="R63" s="36"/>
      <c r="S63" s="36"/>
      <c r="T63" s="36"/>
      <c r="V63" s="31"/>
    </row>
    <row r="64">
      <c r="A64" s="14" t="s">
        <v>76</v>
      </c>
      <c r="B64" s="14" t="s">
        <v>489</v>
      </c>
      <c r="C64" s="14" t="s">
        <v>490</v>
      </c>
      <c r="D64" s="14" t="s">
        <v>40</v>
      </c>
      <c r="E64" s="20" t="str">
        <f t="shared" si="2"/>
        <v>abril 2024</v>
      </c>
      <c r="F64" s="22">
        <v>45412.0</v>
      </c>
      <c r="G64" s="24">
        <f t="shared" ref="G64:H64" si="69">F64</f>
        <v>45412</v>
      </c>
      <c r="H64" s="26">
        <f t="shared" si="69"/>
        <v>45412</v>
      </c>
      <c r="I64" s="14" t="s">
        <v>90</v>
      </c>
      <c r="K64" s="27">
        <v>3.0E7</v>
      </c>
      <c r="L64" s="29" t="s">
        <v>464</v>
      </c>
      <c r="M64" s="31"/>
      <c r="N64" s="31"/>
      <c r="O64" s="31"/>
      <c r="Q64" s="36"/>
      <c r="R64" s="36"/>
      <c r="S64" s="36"/>
      <c r="T64" s="36"/>
      <c r="V64" s="31"/>
    </row>
    <row r="65">
      <c r="A65" s="14" t="s">
        <v>76</v>
      </c>
      <c r="B65" s="14" t="s">
        <v>492</v>
      </c>
      <c r="C65" s="14" t="s">
        <v>493</v>
      </c>
      <c r="D65" s="14" t="s">
        <v>40</v>
      </c>
      <c r="E65" s="20" t="str">
        <f t="shared" si="2"/>
        <v>mayo 2024</v>
      </c>
      <c r="F65" s="22">
        <v>45414.0</v>
      </c>
      <c r="G65" s="24">
        <f t="shared" ref="G65:H65" si="70">F65</f>
        <v>45414</v>
      </c>
      <c r="H65" s="26">
        <f t="shared" si="70"/>
        <v>45414</v>
      </c>
      <c r="I65" s="14" t="s">
        <v>259</v>
      </c>
      <c r="J65" s="14" t="s">
        <v>293</v>
      </c>
      <c r="K65" s="27">
        <v>4.0E7</v>
      </c>
      <c r="L65" s="29">
        <v>2.19</v>
      </c>
      <c r="M65" s="31"/>
      <c r="N65" s="31"/>
      <c r="O65" s="31"/>
      <c r="Q65" s="36"/>
      <c r="R65" s="36"/>
      <c r="S65" s="36"/>
      <c r="T65" s="36"/>
      <c r="V65" s="31"/>
    </row>
    <row r="66">
      <c r="A66" s="14" t="s">
        <v>76</v>
      </c>
      <c r="B66" s="14" t="s">
        <v>496</v>
      </c>
      <c r="C66" s="14" t="s">
        <v>497</v>
      </c>
      <c r="D66" s="14" t="s">
        <v>40</v>
      </c>
      <c r="E66" s="20" t="str">
        <f t="shared" si="2"/>
        <v>mayo 2024</v>
      </c>
      <c r="F66" s="22">
        <v>45414.0</v>
      </c>
      <c r="G66" s="24">
        <f t="shared" ref="G66:H66" si="71">F66</f>
        <v>45414</v>
      </c>
      <c r="H66" s="26">
        <f t="shared" si="71"/>
        <v>45414</v>
      </c>
      <c r="I66" s="14" t="s">
        <v>259</v>
      </c>
      <c r="J66" s="109" t="s">
        <v>500</v>
      </c>
      <c r="K66" s="27">
        <v>1.5E8</v>
      </c>
      <c r="L66" s="29">
        <v>2.19</v>
      </c>
      <c r="M66" s="31"/>
      <c r="N66" s="31"/>
      <c r="O66" s="31"/>
      <c r="Q66" s="36"/>
      <c r="R66" s="36"/>
      <c r="S66" s="36"/>
      <c r="T66" s="36"/>
      <c r="V66" s="31"/>
    </row>
    <row r="67">
      <c r="A67" s="14" t="s">
        <v>76</v>
      </c>
      <c r="B67" s="14" t="s">
        <v>501</v>
      </c>
      <c r="C67" s="14" t="s">
        <v>502</v>
      </c>
      <c r="D67" s="14" t="s">
        <v>40</v>
      </c>
      <c r="E67" s="20" t="str">
        <f t="shared" si="2"/>
        <v>mayo 2024</v>
      </c>
      <c r="F67" s="22">
        <v>45414.0</v>
      </c>
      <c r="G67" s="24">
        <f t="shared" ref="G67:H67" si="72">F67</f>
        <v>45414</v>
      </c>
      <c r="H67" s="26">
        <f t="shared" si="72"/>
        <v>45414</v>
      </c>
      <c r="I67" s="14" t="s">
        <v>259</v>
      </c>
      <c r="J67" s="109" t="s">
        <v>500</v>
      </c>
      <c r="K67" s="27">
        <v>1.5E8</v>
      </c>
      <c r="L67" s="29">
        <v>2.19</v>
      </c>
      <c r="M67" s="31"/>
      <c r="N67" s="31"/>
      <c r="O67" s="31"/>
      <c r="Q67" s="36"/>
      <c r="R67" s="36"/>
      <c r="S67" s="36"/>
      <c r="T67" s="36"/>
      <c r="V67" s="31"/>
    </row>
    <row r="68">
      <c r="A68" s="14" t="s">
        <v>117</v>
      </c>
      <c r="B68" s="14" t="s">
        <v>505</v>
      </c>
      <c r="C68" s="14" t="s">
        <v>506</v>
      </c>
      <c r="D68" s="14" t="s">
        <v>40</v>
      </c>
      <c r="E68" s="20" t="str">
        <f t="shared" si="2"/>
        <v>mayo 2024</v>
      </c>
      <c r="F68" s="22">
        <v>45414.0</v>
      </c>
      <c r="G68" s="24">
        <f t="shared" ref="G68:H68" si="73">F68</f>
        <v>45414</v>
      </c>
      <c r="H68" s="26">
        <f t="shared" si="73"/>
        <v>45414</v>
      </c>
      <c r="I68" s="14" t="s">
        <v>90</v>
      </c>
      <c r="K68" s="27">
        <v>7.0E7</v>
      </c>
      <c r="L68" s="29">
        <v>2.19</v>
      </c>
      <c r="M68" s="31"/>
      <c r="N68" s="31"/>
      <c r="O68" s="31"/>
      <c r="Q68" s="36"/>
      <c r="R68" s="36"/>
      <c r="S68" s="36"/>
      <c r="T68" s="36"/>
      <c r="V68" s="31"/>
    </row>
    <row r="69">
      <c r="A69" s="14" t="s">
        <v>117</v>
      </c>
      <c r="B69" s="14" t="s">
        <v>508</v>
      </c>
      <c r="C69" s="14" t="s">
        <v>509</v>
      </c>
      <c r="D69" s="14" t="s">
        <v>40</v>
      </c>
      <c r="E69" s="20" t="str">
        <f t="shared" si="2"/>
        <v>mayo 2024</v>
      </c>
      <c r="F69" s="22">
        <v>45414.0</v>
      </c>
      <c r="G69" s="24">
        <f t="shared" ref="G69:H69" si="74">F69</f>
        <v>45414</v>
      </c>
      <c r="H69" s="26">
        <f t="shared" si="74"/>
        <v>45414</v>
      </c>
      <c r="I69" s="14" t="s">
        <v>90</v>
      </c>
      <c r="K69" s="27">
        <v>2.0E7</v>
      </c>
      <c r="L69" s="29" t="s">
        <v>464</v>
      </c>
      <c r="M69" s="31"/>
      <c r="N69" s="31"/>
      <c r="O69" s="31"/>
      <c r="Q69" s="36"/>
      <c r="R69" s="36"/>
      <c r="S69" s="36"/>
      <c r="T69" s="36"/>
      <c r="V69" s="31"/>
    </row>
    <row r="70">
      <c r="A70" s="14" t="s">
        <v>36</v>
      </c>
      <c r="B70" s="14" t="s">
        <v>512</v>
      </c>
      <c r="C70" s="14" t="s">
        <v>513</v>
      </c>
      <c r="D70" s="14" t="s">
        <v>40</v>
      </c>
      <c r="E70" s="20" t="str">
        <f t="shared" si="2"/>
        <v>mayo 2024</v>
      </c>
      <c r="F70" s="22">
        <v>45414.0</v>
      </c>
      <c r="G70" s="24">
        <f t="shared" ref="G70:H70" si="75">F70</f>
        <v>45414</v>
      </c>
      <c r="H70" s="26">
        <f t="shared" si="75"/>
        <v>45414</v>
      </c>
      <c r="I70" s="14" t="s">
        <v>90</v>
      </c>
      <c r="K70" s="27">
        <v>8.0E8</v>
      </c>
      <c r="L70" s="29" t="s">
        <v>515</v>
      </c>
      <c r="M70" s="14"/>
      <c r="N70" s="14"/>
      <c r="O70" s="14"/>
      <c r="P70" s="14" t="s">
        <v>84</v>
      </c>
      <c r="Q70" s="36"/>
      <c r="R70" s="36"/>
      <c r="S70" s="36"/>
      <c r="T70" s="36"/>
      <c r="V70" s="31"/>
    </row>
    <row r="71">
      <c r="A71" s="14" t="s">
        <v>76</v>
      </c>
      <c r="B71" s="14" t="s">
        <v>516</v>
      </c>
      <c r="C71" s="15" t="s">
        <v>518</v>
      </c>
      <c r="D71" s="14" t="s">
        <v>40</v>
      </c>
      <c r="E71" s="20" t="str">
        <f t="shared" si="2"/>
        <v>mayo 2024</v>
      </c>
      <c r="F71" s="22">
        <v>45415.0</v>
      </c>
      <c r="G71" s="24">
        <f t="shared" ref="G71:H71" si="76">F71</f>
        <v>45415</v>
      </c>
      <c r="H71" s="26">
        <f t="shared" si="76"/>
        <v>45415</v>
      </c>
      <c r="I71" s="14" t="s">
        <v>259</v>
      </c>
      <c r="J71" s="14" t="s">
        <v>293</v>
      </c>
      <c r="K71" s="27">
        <v>1.2E8</v>
      </c>
      <c r="L71" s="29">
        <v>1.99</v>
      </c>
      <c r="M71" s="31"/>
      <c r="N71" s="31"/>
      <c r="O71" s="31"/>
      <c r="Q71" s="36"/>
      <c r="R71" s="36"/>
      <c r="S71" s="36"/>
      <c r="T71" s="36"/>
      <c r="V71" s="31"/>
    </row>
    <row r="72">
      <c r="A72" s="14" t="s">
        <v>76</v>
      </c>
      <c r="B72" s="14" t="s">
        <v>519</v>
      </c>
      <c r="C72" s="15" t="s">
        <v>520</v>
      </c>
      <c r="D72" s="14" t="s">
        <v>40</v>
      </c>
      <c r="E72" s="20" t="str">
        <f t="shared" si="2"/>
        <v>mayo 2024</v>
      </c>
      <c r="F72" s="22">
        <v>45415.0</v>
      </c>
      <c r="G72" s="24">
        <f t="shared" ref="G72:H72" si="77">F72</f>
        <v>45415</v>
      </c>
      <c r="H72" s="26">
        <f t="shared" si="77"/>
        <v>45415</v>
      </c>
      <c r="I72" s="14" t="s">
        <v>259</v>
      </c>
      <c r="J72" s="14" t="s">
        <v>293</v>
      </c>
      <c r="K72" s="27">
        <v>3.0E7</v>
      </c>
      <c r="L72" s="29">
        <v>1.99</v>
      </c>
      <c r="M72" s="31"/>
      <c r="N72" s="31"/>
      <c r="O72" s="31"/>
      <c r="Q72" s="36"/>
      <c r="R72" s="36"/>
      <c r="S72" s="36"/>
      <c r="T72" s="36"/>
      <c r="V72" s="31"/>
    </row>
    <row r="73">
      <c r="A73" s="14" t="s">
        <v>76</v>
      </c>
      <c r="B73" s="14" t="s">
        <v>521</v>
      </c>
      <c r="C73" s="112" t="s">
        <v>522</v>
      </c>
      <c r="D73" s="14" t="s">
        <v>40</v>
      </c>
      <c r="E73" s="20" t="str">
        <f t="shared" si="2"/>
        <v>mayo 2024</v>
      </c>
      <c r="F73" s="22">
        <v>45416.0</v>
      </c>
      <c r="G73" s="24">
        <f t="shared" ref="G73:H73" si="78">F73</f>
        <v>45416</v>
      </c>
      <c r="H73" s="26">
        <f t="shared" si="78"/>
        <v>45416</v>
      </c>
      <c r="I73" s="14" t="s">
        <v>90</v>
      </c>
      <c r="K73" s="27">
        <v>9.0E7</v>
      </c>
      <c r="L73" s="29">
        <v>2.19</v>
      </c>
      <c r="M73" s="31"/>
      <c r="N73" s="31"/>
      <c r="O73" s="31"/>
      <c r="Q73" s="36"/>
      <c r="R73" s="36"/>
      <c r="S73" s="36"/>
      <c r="T73" s="36"/>
      <c r="V73" s="31"/>
    </row>
    <row r="74">
      <c r="A74" s="14" t="s">
        <v>76</v>
      </c>
      <c r="B74" s="14" t="s">
        <v>525</v>
      </c>
      <c r="C74" s="114" t="s">
        <v>526</v>
      </c>
      <c r="D74" s="14" t="s">
        <v>40</v>
      </c>
      <c r="E74" s="20" t="str">
        <f t="shared" si="2"/>
        <v>mayo 2024</v>
      </c>
      <c r="F74" s="22">
        <v>45420.0</v>
      </c>
      <c r="G74" s="24">
        <f t="shared" ref="G74:H74" si="79">F74</f>
        <v>45420</v>
      </c>
      <c r="H74" s="26">
        <f t="shared" si="79"/>
        <v>45420</v>
      </c>
      <c r="I74" s="14" t="s">
        <v>259</v>
      </c>
      <c r="J74" s="14" t="s">
        <v>293</v>
      </c>
      <c r="K74" s="27">
        <v>2.0E8</v>
      </c>
      <c r="L74" s="29">
        <v>1.99</v>
      </c>
      <c r="M74" s="14"/>
      <c r="N74" s="14"/>
      <c r="O74" s="14"/>
      <c r="P74" s="14" t="s">
        <v>75</v>
      </c>
      <c r="Q74" s="36"/>
      <c r="R74" s="36"/>
      <c r="S74" s="36"/>
      <c r="T74" s="36"/>
      <c r="V74" s="31"/>
    </row>
    <row r="75">
      <c r="A75" s="14" t="s">
        <v>76</v>
      </c>
      <c r="B75" s="14" t="s">
        <v>528</v>
      </c>
      <c r="C75" s="14" t="s">
        <v>529</v>
      </c>
      <c r="D75" s="14" t="s">
        <v>40</v>
      </c>
      <c r="E75" s="20" t="str">
        <f t="shared" si="2"/>
        <v>mayo 2024</v>
      </c>
      <c r="F75" s="22">
        <v>45420.0</v>
      </c>
      <c r="G75" s="24">
        <f t="shared" ref="G75:H75" si="80">F75</f>
        <v>45420</v>
      </c>
      <c r="H75" s="26">
        <f t="shared" si="80"/>
        <v>45420</v>
      </c>
      <c r="I75" s="14" t="s">
        <v>90</v>
      </c>
      <c r="K75" s="27">
        <v>2.0E7</v>
      </c>
      <c r="L75" s="29">
        <v>1.99</v>
      </c>
      <c r="M75" s="31"/>
      <c r="N75" s="31"/>
      <c r="O75" s="31"/>
      <c r="Q75" s="36"/>
      <c r="R75" s="36"/>
      <c r="S75" s="36"/>
      <c r="T75" s="36"/>
      <c r="V75" s="31"/>
    </row>
    <row r="76">
      <c r="A76" s="14" t="s">
        <v>76</v>
      </c>
      <c r="B76" s="50" t="s">
        <v>532</v>
      </c>
      <c r="C76" s="112" t="s">
        <v>533</v>
      </c>
      <c r="D76" s="14" t="s">
        <v>40</v>
      </c>
      <c r="E76" s="20" t="str">
        <f t="shared" si="2"/>
        <v>mayo 2024</v>
      </c>
      <c r="F76" s="22">
        <v>45421.0</v>
      </c>
      <c r="G76" s="24">
        <f t="shared" ref="G76:H76" si="81">F76</f>
        <v>45421</v>
      </c>
      <c r="H76" s="26">
        <f t="shared" si="81"/>
        <v>45421</v>
      </c>
      <c r="I76" s="14" t="s">
        <v>90</v>
      </c>
      <c r="K76" s="27">
        <v>1.0E8</v>
      </c>
      <c r="L76" s="29">
        <v>1.99</v>
      </c>
      <c r="M76" s="31"/>
      <c r="N76" s="31"/>
      <c r="O76" s="31"/>
      <c r="Q76" s="36"/>
      <c r="R76" s="36"/>
      <c r="S76" s="36"/>
      <c r="T76" s="36"/>
      <c r="V76" s="31"/>
    </row>
    <row r="77">
      <c r="A77" s="14" t="s">
        <v>208</v>
      </c>
      <c r="B77" s="14" t="s">
        <v>535</v>
      </c>
      <c r="C77" s="116" t="s">
        <v>536</v>
      </c>
      <c r="D77" s="14" t="s">
        <v>40</v>
      </c>
      <c r="E77" s="20" t="str">
        <f t="shared" si="2"/>
        <v>mayo 2024</v>
      </c>
      <c r="F77" s="22">
        <v>45423.0</v>
      </c>
      <c r="G77" s="24">
        <f t="shared" ref="G77:H77" si="82">F77</f>
        <v>45423</v>
      </c>
      <c r="H77" s="26">
        <f t="shared" si="82"/>
        <v>45423</v>
      </c>
      <c r="I77" s="14" t="s">
        <v>90</v>
      </c>
      <c r="K77" s="27">
        <v>2.0E7</v>
      </c>
      <c r="L77" s="29" t="s">
        <v>464</v>
      </c>
      <c r="M77" s="31"/>
      <c r="N77" s="31"/>
      <c r="O77" s="31"/>
      <c r="Q77" s="36"/>
      <c r="R77" s="36"/>
      <c r="S77" s="36"/>
      <c r="T77" s="36"/>
      <c r="V77" s="31"/>
    </row>
    <row r="78">
      <c r="A78" s="14" t="s">
        <v>76</v>
      </c>
      <c r="B78" s="14" t="s">
        <v>539</v>
      </c>
      <c r="C78" s="15" t="s">
        <v>540</v>
      </c>
      <c r="D78" s="14" t="s">
        <v>40</v>
      </c>
      <c r="E78" s="20" t="str">
        <f t="shared" si="2"/>
        <v>mayo 2024</v>
      </c>
      <c r="F78" s="22">
        <v>45428.0</v>
      </c>
      <c r="G78" s="24">
        <f t="shared" ref="G78:H78" si="83">F78</f>
        <v>45428</v>
      </c>
      <c r="H78" s="26">
        <f t="shared" si="83"/>
        <v>45428</v>
      </c>
      <c r="I78" s="14" t="s">
        <v>90</v>
      </c>
      <c r="K78" s="27">
        <v>1.0E8</v>
      </c>
      <c r="L78" s="62">
        <v>0.0189</v>
      </c>
      <c r="M78" s="14"/>
      <c r="N78" s="14"/>
      <c r="O78" s="14"/>
      <c r="P78" s="14" t="s">
        <v>75</v>
      </c>
      <c r="Q78" s="36"/>
      <c r="R78" s="36"/>
      <c r="S78" s="36"/>
      <c r="T78" s="36"/>
      <c r="V78" s="31"/>
    </row>
    <row r="79">
      <c r="A79" s="14" t="s">
        <v>76</v>
      </c>
      <c r="B79" s="14" t="s">
        <v>543</v>
      </c>
      <c r="C79" s="15" t="s">
        <v>544</v>
      </c>
      <c r="D79" s="14" t="s">
        <v>40</v>
      </c>
      <c r="E79" s="20" t="str">
        <f t="shared" si="2"/>
        <v>mayo 2024</v>
      </c>
      <c r="F79" s="22">
        <v>45428.0</v>
      </c>
      <c r="G79" s="24">
        <f t="shared" ref="G79:H79" si="84">F79</f>
        <v>45428</v>
      </c>
      <c r="H79" s="26">
        <f t="shared" si="84"/>
        <v>45428</v>
      </c>
      <c r="I79" s="14" t="s">
        <v>90</v>
      </c>
      <c r="K79" s="27">
        <v>1.0E8</v>
      </c>
      <c r="L79" s="62">
        <v>0.0189</v>
      </c>
      <c r="M79" s="14"/>
      <c r="N79" s="14"/>
      <c r="O79" s="14"/>
      <c r="P79" s="14" t="s">
        <v>75</v>
      </c>
      <c r="Q79" s="36"/>
      <c r="R79" s="36"/>
      <c r="S79" s="36"/>
      <c r="T79" s="36"/>
      <c r="V79" s="31"/>
    </row>
    <row r="80">
      <c r="A80" s="14" t="s">
        <v>117</v>
      </c>
      <c r="B80" s="14" t="s">
        <v>547</v>
      </c>
      <c r="C80" s="15" t="s">
        <v>548</v>
      </c>
      <c r="D80" s="14" t="s">
        <v>40</v>
      </c>
      <c r="E80" s="20" t="str">
        <f t="shared" si="2"/>
        <v>mayo 2024</v>
      </c>
      <c r="F80" s="22">
        <v>45428.0</v>
      </c>
      <c r="G80" s="24">
        <f t="shared" ref="G80:H80" si="85">F80</f>
        <v>45428</v>
      </c>
      <c r="H80" s="26">
        <f t="shared" si="85"/>
        <v>45428</v>
      </c>
      <c r="I80" s="14" t="s">
        <v>259</v>
      </c>
      <c r="J80" s="14" t="s">
        <v>304</v>
      </c>
      <c r="K80" s="27">
        <v>5.0E8</v>
      </c>
      <c r="L80" s="29" t="s">
        <v>551</v>
      </c>
      <c r="M80" s="14"/>
      <c r="N80" s="14"/>
      <c r="O80" s="14"/>
      <c r="P80" s="14" t="s">
        <v>75</v>
      </c>
      <c r="Q80" s="36"/>
      <c r="R80" s="36"/>
      <c r="S80" s="36"/>
      <c r="T80" s="36"/>
      <c r="V80" s="31"/>
    </row>
    <row r="81">
      <c r="A81" s="37" t="s">
        <v>66</v>
      </c>
      <c r="B81" s="14" t="s">
        <v>552</v>
      </c>
      <c r="C81" s="15" t="s">
        <v>553</v>
      </c>
      <c r="D81" s="14" t="s">
        <v>40</v>
      </c>
      <c r="E81" s="20" t="str">
        <f t="shared" si="2"/>
        <v>mayo 2024</v>
      </c>
      <c r="F81" s="22">
        <v>45430.0</v>
      </c>
      <c r="G81" s="24">
        <f t="shared" ref="G81:H81" si="86">F81</f>
        <v>45430</v>
      </c>
      <c r="H81" s="26">
        <f t="shared" si="86"/>
        <v>45430</v>
      </c>
      <c r="I81" s="14" t="s">
        <v>90</v>
      </c>
      <c r="K81" s="27">
        <v>2.0E8</v>
      </c>
      <c r="L81" s="29">
        <v>1.79</v>
      </c>
      <c r="M81" s="31"/>
      <c r="N81" s="31"/>
      <c r="O81" s="31"/>
      <c r="Q81" s="36"/>
      <c r="R81" s="36"/>
      <c r="S81" s="36"/>
      <c r="T81" s="36"/>
      <c r="V81" s="31"/>
    </row>
    <row r="82">
      <c r="A82" s="14" t="s">
        <v>93</v>
      </c>
      <c r="B82" s="14" t="s">
        <v>558</v>
      </c>
      <c r="C82" s="14" t="s">
        <v>559</v>
      </c>
      <c r="D82" s="14" t="s">
        <v>40</v>
      </c>
      <c r="E82" s="20" t="str">
        <f t="shared" si="2"/>
        <v>mayo 2024</v>
      </c>
      <c r="F82" s="22">
        <v>45432.0</v>
      </c>
      <c r="G82" s="24">
        <f t="shared" ref="G82:H82" si="87">F82</f>
        <v>45432</v>
      </c>
      <c r="H82" s="26">
        <f t="shared" si="87"/>
        <v>45432</v>
      </c>
      <c r="I82" s="14" t="s">
        <v>90</v>
      </c>
      <c r="K82" s="27">
        <v>1.0E8</v>
      </c>
      <c r="L82" s="29">
        <v>2.09</v>
      </c>
      <c r="M82" s="14"/>
      <c r="N82" s="14"/>
      <c r="O82" s="14"/>
      <c r="P82" s="14" t="s">
        <v>75</v>
      </c>
      <c r="Q82" s="36"/>
      <c r="R82" s="36"/>
      <c r="S82" s="36"/>
      <c r="T82" s="36"/>
      <c r="V82" s="31"/>
    </row>
    <row r="83">
      <c r="A83" s="14" t="s">
        <v>36</v>
      </c>
      <c r="B83" s="14" t="s">
        <v>561</v>
      </c>
      <c r="C83" s="14" t="s">
        <v>562</v>
      </c>
      <c r="D83" s="14" t="s">
        <v>40</v>
      </c>
      <c r="E83" s="20" t="str">
        <f t="shared" si="2"/>
        <v>mayo 2024</v>
      </c>
      <c r="F83" s="22">
        <v>45435.0</v>
      </c>
      <c r="G83" s="24">
        <f t="shared" ref="G83:H83" si="88">F83</f>
        <v>45435</v>
      </c>
      <c r="H83" s="26">
        <f t="shared" si="88"/>
        <v>45435</v>
      </c>
      <c r="I83" s="14" t="s">
        <v>259</v>
      </c>
      <c r="J83" s="14" t="s">
        <v>500</v>
      </c>
      <c r="K83" s="27">
        <v>4.0E7</v>
      </c>
      <c r="L83" s="29" t="s">
        <v>564</v>
      </c>
      <c r="M83" s="31"/>
      <c r="N83" s="31"/>
      <c r="O83" s="31"/>
      <c r="Q83" s="36"/>
      <c r="R83" s="36"/>
      <c r="S83" s="36"/>
      <c r="T83" s="36"/>
      <c r="V83" s="31"/>
    </row>
    <row r="84">
      <c r="A84" s="14" t="s">
        <v>76</v>
      </c>
      <c r="B84" s="14" t="s">
        <v>567</v>
      </c>
      <c r="C84" s="14" t="s">
        <v>568</v>
      </c>
      <c r="D84" s="14" t="s">
        <v>40</v>
      </c>
      <c r="E84" s="20" t="str">
        <f t="shared" si="2"/>
        <v>mayo 2024</v>
      </c>
      <c r="F84" s="22">
        <v>45443.0</v>
      </c>
      <c r="G84" s="24">
        <f t="shared" ref="G84:H84" si="89">F84</f>
        <v>45443</v>
      </c>
      <c r="H84" s="26">
        <f t="shared" si="89"/>
        <v>45443</v>
      </c>
      <c r="I84" s="14" t="s">
        <v>259</v>
      </c>
      <c r="J84" s="57" t="s">
        <v>260</v>
      </c>
      <c r="K84" s="27">
        <v>2.0E7</v>
      </c>
      <c r="L84" s="29" t="s">
        <v>569</v>
      </c>
      <c r="M84" s="31"/>
      <c r="N84" s="31"/>
      <c r="O84" s="31"/>
      <c r="Q84" s="36"/>
      <c r="R84" s="36"/>
      <c r="S84" s="36"/>
      <c r="T84" s="36"/>
      <c r="V84" s="31"/>
    </row>
    <row r="85">
      <c r="A85" s="14" t="s">
        <v>76</v>
      </c>
      <c r="B85" s="14" t="s">
        <v>571</v>
      </c>
      <c r="C85" s="15" t="s">
        <v>572</v>
      </c>
      <c r="D85" s="14" t="s">
        <v>40</v>
      </c>
      <c r="E85" s="20" t="str">
        <f t="shared" si="2"/>
        <v>junio 2024</v>
      </c>
      <c r="F85" s="22">
        <v>45447.0</v>
      </c>
      <c r="G85" s="24">
        <f t="shared" ref="G85:H85" si="90">F85</f>
        <v>45447</v>
      </c>
      <c r="H85" s="26">
        <f t="shared" si="90"/>
        <v>45447</v>
      </c>
      <c r="I85" s="14" t="s">
        <v>259</v>
      </c>
      <c r="J85" s="14" t="s">
        <v>304</v>
      </c>
      <c r="K85" s="27">
        <v>2.0E8</v>
      </c>
      <c r="L85" s="29">
        <v>2.05</v>
      </c>
      <c r="M85" s="14"/>
      <c r="N85" s="14"/>
      <c r="O85" s="14"/>
      <c r="P85" s="14" t="s">
        <v>84</v>
      </c>
      <c r="Q85" s="36"/>
      <c r="R85" s="36"/>
      <c r="S85" s="36"/>
      <c r="T85" s="36"/>
      <c r="V85" s="31"/>
    </row>
    <row r="86">
      <c r="A86" s="14" t="s">
        <v>117</v>
      </c>
      <c r="B86" s="14" t="s">
        <v>575</v>
      </c>
      <c r="C86" s="14" t="s">
        <v>576</v>
      </c>
      <c r="D86" s="14" t="s">
        <v>40</v>
      </c>
      <c r="E86" s="20" t="str">
        <f t="shared" si="2"/>
        <v>junio 2024</v>
      </c>
      <c r="F86" s="22">
        <v>45444.0</v>
      </c>
      <c r="G86" s="24">
        <f t="shared" ref="G86:H86" si="91">F86</f>
        <v>45444</v>
      </c>
      <c r="H86" s="26">
        <f t="shared" si="91"/>
        <v>45444</v>
      </c>
      <c r="I86" s="14" t="s">
        <v>259</v>
      </c>
      <c r="J86" s="14" t="s">
        <v>285</v>
      </c>
      <c r="K86" s="27">
        <v>7.0E8</v>
      </c>
      <c r="L86" s="118">
        <v>45383.0</v>
      </c>
      <c r="M86" s="14"/>
      <c r="N86" s="14"/>
      <c r="O86" s="14"/>
      <c r="P86" s="14" t="s">
        <v>84</v>
      </c>
      <c r="Q86" s="36"/>
      <c r="R86" s="36"/>
      <c r="S86" s="36"/>
      <c r="T86" s="36"/>
      <c r="V86" s="31"/>
    </row>
    <row r="87">
      <c r="A87" s="14" t="s">
        <v>76</v>
      </c>
      <c r="B87" s="14" t="s">
        <v>578</v>
      </c>
      <c r="C87" s="15" t="s">
        <v>579</v>
      </c>
      <c r="D87" s="14" t="s">
        <v>40</v>
      </c>
      <c r="E87" s="20" t="str">
        <f t="shared" si="2"/>
        <v>junio 2024</v>
      </c>
      <c r="F87" s="22">
        <v>45447.0</v>
      </c>
      <c r="G87" s="24">
        <f t="shared" ref="G87:H87" si="92">F87</f>
        <v>45447</v>
      </c>
      <c r="H87" s="26">
        <f t="shared" si="92"/>
        <v>45447</v>
      </c>
      <c r="I87" s="14" t="s">
        <v>259</v>
      </c>
      <c r="J87" s="57" t="s">
        <v>260</v>
      </c>
      <c r="K87" s="27">
        <v>4.0E7</v>
      </c>
      <c r="L87" s="29">
        <v>2.19</v>
      </c>
      <c r="M87" s="31"/>
      <c r="N87" s="31"/>
      <c r="O87" s="31"/>
      <c r="Q87" s="36"/>
      <c r="R87" s="36"/>
      <c r="S87" s="36"/>
      <c r="T87" s="36"/>
      <c r="V87" s="31"/>
    </row>
    <row r="88">
      <c r="A88" s="14" t="s">
        <v>76</v>
      </c>
      <c r="B88" s="14" t="s">
        <v>585</v>
      </c>
      <c r="C88" s="114" t="s">
        <v>586</v>
      </c>
      <c r="D88" s="14" t="s">
        <v>40</v>
      </c>
      <c r="E88" s="20" t="str">
        <f t="shared" si="2"/>
        <v>junio 2024</v>
      </c>
      <c r="F88" s="22">
        <v>45447.0</v>
      </c>
      <c r="G88" s="24">
        <f t="shared" ref="G88:H88" si="93">F88</f>
        <v>45447</v>
      </c>
      <c r="H88" s="26">
        <f t="shared" si="93"/>
        <v>45447</v>
      </c>
      <c r="I88" s="14" t="s">
        <v>90</v>
      </c>
      <c r="K88" s="27">
        <v>2.0E9</v>
      </c>
      <c r="L88" s="29">
        <v>1.4</v>
      </c>
      <c r="M88" s="14"/>
      <c r="N88" s="14"/>
      <c r="O88" s="14"/>
      <c r="P88" s="14" t="s">
        <v>75</v>
      </c>
      <c r="Q88" s="36"/>
      <c r="R88" s="36"/>
      <c r="S88" s="36"/>
      <c r="T88" s="36"/>
      <c r="V88" s="31"/>
    </row>
    <row r="89">
      <c r="A89" s="14" t="s">
        <v>76</v>
      </c>
      <c r="B89" s="14" t="s">
        <v>587</v>
      </c>
      <c r="C89" s="14" t="s">
        <v>588</v>
      </c>
      <c r="D89" s="14" t="s">
        <v>40</v>
      </c>
      <c r="E89" s="20" t="str">
        <f t="shared" si="2"/>
        <v>junio 2024</v>
      </c>
      <c r="F89" s="22">
        <v>45448.0</v>
      </c>
      <c r="G89" s="24">
        <f t="shared" ref="G89:H89" si="94">F89</f>
        <v>45448</v>
      </c>
      <c r="H89" s="26">
        <f t="shared" si="94"/>
        <v>45448</v>
      </c>
      <c r="I89" s="14" t="s">
        <v>259</v>
      </c>
      <c r="J89" s="57" t="s">
        <v>590</v>
      </c>
      <c r="K89" s="27">
        <v>4.0E7</v>
      </c>
      <c r="L89" s="29">
        <v>2.29</v>
      </c>
      <c r="M89" s="31"/>
      <c r="N89" s="31"/>
      <c r="O89" s="31"/>
      <c r="Q89" s="36"/>
      <c r="R89" s="36"/>
      <c r="S89" s="36"/>
      <c r="T89" s="36"/>
      <c r="V89" s="31"/>
    </row>
    <row r="90">
      <c r="A90" s="14" t="s">
        <v>36</v>
      </c>
      <c r="B90" s="14" t="s">
        <v>595</v>
      </c>
      <c r="C90" s="14" t="s">
        <v>596</v>
      </c>
      <c r="D90" s="14" t="s">
        <v>40</v>
      </c>
      <c r="E90" s="20" t="str">
        <f t="shared" si="2"/>
        <v>junio 2024</v>
      </c>
      <c r="F90" s="22">
        <v>45454.0</v>
      </c>
      <c r="G90" s="24">
        <f t="shared" ref="G90:H90" si="95">F90</f>
        <v>45454</v>
      </c>
      <c r="H90" s="26">
        <f t="shared" si="95"/>
        <v>45454</v>
      </c>
      <c r="I90" s="14" t="s">
        <v>259</v>
      </c>
      <c r="J90" s="14" t="s">
        <v>285</v>
      </c>
      <c r="K90" s="27">
        <v>5.0E7</v>
      </c>
      <c r="L90" s="29" t="s">
        <v>599</v>
      </c>
      <c r="M90" s="31"/>
      <c r="N90" s="31"/>
      <c r="O90" s="31"/>
      <c r="Q90" s="36"/>
      <c r="R90" s="36"/>
      <c r="S90" s="36"/>
      <c r="T90" s="36"/>
      <c r="V90" s="31"/>
    </row>
    <row r="91">
      <c r="A91" s="14" t="s">
        <v>36</v>
      </c>
      <c r="B91" s="14" t="s">
        <v>602</v>
      </c>
      <c r="C91" s="14" t="s">
        <v>603</v>
      </c>
      <c r="D91" s="14" t="s">
        <v>40</v>
      </c>
      <c r="E91" s="20" t="str">
        <f t="shared" si="2"/>
        <v>junio 2024</v>
      </c>
      <c r="F91" s="22">
        <v>45451.0</v>
      </c>
      <c r="G91" s="24">
        <f t="shared" ref="G91:H91" si="96">F91</f>
        <v>45451</v>
      </c>
      <c r="H91" s="26">
        <f t="shared" si="96"/>
        <v>45451</v>
      </c>
      <c r="I91" s="14" t="s">
        <v>90</v>
      </c>
      <c r="K91" s="27">
        <v>5.0E7</v>
      </c>
      <c r="L91" s="29" t="s">
        <v>608</v>
      </c>
      <c r="M91" s="31"/>
      <c r="N91" s="31"/>
      <c r="O91" s="31"/>
      <c r="Q91" s="36"/>
      <c r="R91" s="36"/>
      <c r="S91" s="36"/>
      <c r="T91" s="36"/>
      <c r="V91" s="31"/>
    </row>
    <row r="92">
      <c r="A92" s="14" t="s">
        <v>117</v>
      </c>
      <c r="B92" s="14" t="s">
        <v>609</v>
      </c>
      <c r="C92" s="14" t="s">
        <v>610</v>
      </c>
      <c r="D92" s="14" t="s">
        <v>40</v>
      </c>
      <c r="E92" s="20" t="str">
        <f t="shared" si="2"/>
        <v>junio 2024</v>
      </c>
      <c r="F92" s="22">
        <v>45454.0</v>
      </c>
      <c r="G92" s="24">
        <f t="shared" ref="G92:H92" si="97">F92</f>
        <v>45454</v>
      </c>
      <c r="H92" s="26">
        <f t="shared" si="97"/>
        <v>45454</v>
      </c>
      <c r="I92" s="14" t="s">
        <v>90</v>
      </c>
      <c r="K92" s="27">
        <v>2.0E8</v>
      </c>
      <c r="L92" s="29" t="s">
        <v>613</v>
      </c>
      <c r="M92" s="31"/>
      <c r="N92" s="31"/>
      <c r="O92" s="31"/>
      <c r="Q92" s="36"/>
      <c r="R92" s="36"/>
      <c r="S92" s="36"/>
      <c r="T92" s="36"/>
      <c r="V92" s="31"/>
    </row>
    <row r="93">
      <c r="A93" s="14" t="s">
        <v>76</v>
      </c>
      <c r="B93" s="112" t="s">
        <v>615</v>
      </c>
      <c r="C93" s="114" t="s">
        <v>616</v>
      </c>
      <c r="D93" s="14" t="s">
        <v>40</v>
      </c>
      <c r="E93" s="20" t="str">
        <f t="shared" si="2"/>
        <v>junio 2024</v>
      </c>
      <c r="F93" s="22">
        <v>45456.0</v>
      </c>
      <c r="G93" s="24">
        <f t="shared" ref="G93:H93" si="98">F93</f>
        <v>45456</v>
      </c>
      <c r="H93" s="26">
        <f t="shared" si="98"/>
        <v>45456</v>
      </c>
      <c r="I93" s="14" t="s">
        <v>259</v>
      </c>
      <c r="J93" s="14" t="s">
        <v>304</v>
      </c>
      <c r="K93" s="27">
        <v>5.0E8</v>
      </c>
      <c r="L93" s="29" t="s">
        <v>618</v>
      </c>
      <c r="M93" s="14"/>
      <c r="N93" s="14"/>
      <c r="O93" s="14"/>
      <c r="P93" s="14" t="s">
        <v>75</v>
      </c>
      <c r="Q93" s="36"/>
      <c r="R93" s="36"/>
      <c r="S93" s="36"/>
      <c r="T93" s="36"/>
      <c r="V93" s="31"/>
    </row>
    <row r="94">
      <c r="A94" s="14" t="s">
        <v>117</v>
      </c>
      <c r="B94" s="14" t="s">
        <v>620</v>
      </c>
      <c r="C94" s="14" t="s">
        <v>621</v>
      </c>
      <c r="D94" s="14" t="s">
        <v>40</v>
      </c>
      <c r="E94" s="20" t="str">
        <f t="shared" si="2"/>
        <v>junio 2024</v>
      </c>
      <c r="F94" s="22">
        <v>45457.0</v>
      </c>
      <c r="G94" s="24">
        <f t="shared" ref="G94:H94" si="99">F94</f>
        <v>45457</v>
      </c>
      <c r="H94" s="26">
        <f t="shared" si="99"/>
        <v>45457</v>
      </c>
      <c r="I94" s="14" t="s">
        <v>259</v>
      </c>
      <c r="J94" s="14" t="s">
        <v>285</v>
      </c>
      <c r="K94" s="27">
        <v>7.0E7</v>
      </c>
      <c r="L94" s="29">
        <v>2.09</v>
      </c>
      <c r="M94" s="14"/>
      <c r="N94" s="14"/>
      <c r="O94" s="14"/>
      <c r="P94" s="14" t="s">
        <v>84</v>
      </c>
      <c r="Q94" s="36"/>
      <c r="R94" s="36"/>
      <c r="S94" s="36"/>
      <c r="T94" s="36"/>
      <c r="V94" s="31"/>
    </row>
    <row r="95">
      <c r="A95" s="14" t="s">
        <v>76</v>
      </c>
      <c r="B95" s="14" t="s">
        <v>625</v>
      </c>
      <c r="C95" s="116" t="s">
        <v>626</v>
      </c>
      <c r="D95" s="14" t="s">
        <v>40</v>
      </c>
      <c r="E95" s="20" t="str">
        <f t="shared" si="2"/>
        <v>junio 2024</v>
      </c>
      <c r="F95" s="22">
        <v>45464.0</v>
      </c>
      <c r="G95" s="24">
        <f t="shared" ref="G95:H95" si="100">F95</f>
        <v>45464</v>
      </c>
      <c r="H95" s="26">
        <f t="shared" si="100"/>
        <v>45464</v>
      </c>
      <c r="I95" s="14" t="s">
        <v>259</v>
      </c>
      <c r="J95" s="14" t="s">
        <v>304</v>
      </c>
      <c r="K95" s="27">
        <v>5.0E8</v>
      </c>
      <c r="L95" s="29" t="s">
        <v>618</v>
      </c>
      <c r="M95" s="14"/>
      <c r="N95" s="14"/>
      <c r="O95" s="14"/>
      <c r="P95" s="14" t="s">
        <v>75</v>
      </c>
      <c r="Q95" s="36"/>
      <c r="R95" s="36"/>
      <c r="S95" s="36"/>
      <c r="T95" s="36"/>
      <c r="V95" s="31"/>
    </row>
    <row r="96">
      <c r="A96" s="14" t="s">
        <v>93</v>
      </c>
      <c r="B96" s="14" t="s">
        <v>628</v>
      </c>
      <c r="C96" s="14" t="s">
        <v>629</v>
      </c>
      <c r="D96" s="14" t="s">
        <v>40</v>
      </c>
      <c r="E96" s="20" t="str">
        <f t="shared" si="2"/>
        <v>junio 2024</v>
      </c>
      <c r="F96" s="22">
        <v>45464.0</v>
      </c>
      <c r="G96" s="24">
        <f t="shared" ref="G96:H96" si="101">F96</f>
        <v>45464</v>
      </c>
      <c r="H96" s="26">
        <f t="shared" si="101"/>
        <v>45464</v>
      </c>
      <c r="I96" s="14" t="s">
        <v>259</v>
      </c>
      <c r="J96" s="14" t="s">
        <v>285</v>
      </c>
      <c r="K96" s="27">
        <v>5.0E8</v>
      </c>
      <c r="L96" s="29" t="s">
        <v>618</v>
      </c>
      <c r="M96" s="31"/>
      <c r="N96" s="31"/>
      <c r="O96" s="31"/>
      <c r="Q96" s="36"/>
      <c r="R96" s="36"/>
      <c r="S96" s="36"/>
      <c r="T96" s="36"/>
      <c r="V96" s="31"/>
    </row>
    <row r="97">
      <c r="A97" s="14" t="s">
        <v>93</v>
      </c>
      <c r="B97" s="14" t="s">
        <v>631</v>
      </c>
      <c r="C97" s="14" t="s">
        <v>632</v>
      </c>
      <c r="D97" s="14" t="s">
        <v>40</v>
      </c>
      <c r="E97" s="20" t="str">
        <f t="shared" si="2"/>
        <v>junio 2024</v>
      </c>
      <c r="F97" s="22">
        <v>45464.0</v>
      </c>
      <c r="G97" s="24">
        <f t="shared" ref="G97:H97" si="102">F97</f>
        <v>45464</v>
      </c>
      <c r="H97" s="26">
        <f t="shared" si="102"/>
        <v>45464</v>
      </c>
      <c r="I97" s="14" t="s">
        <v>259</v>
      </c>
      <c r="J97" s="14" t="s">
        <v>285</v>
      </c>
      <c r="K97" s="27">
        <v>5.0E8</v>
      </c>
      <c r="L97" s="29">
        <v>1.69</v>
      </c>
      <c r="M97" s="31"/>
      <c r="N97" s="31"/>
      <c r="O97" s="31"/>
      <c r="Q97" s="36"/>
      <c r="R97" s="36"/>
      <c r="S97" s="36"/>
      <c r="T97" s="36"/>
      <c r="V97" s="31"/>
    </row>
    <row r="98">
      <c r="A98" s="14" t="s">
        <v>93</v>
      </c>
      <c r="B98" s="14" t="s">
        <v>637</v>
      </c>
      <c r="C98" s="14" t="s">
        <v>638</v>
      </c>
      <c r="D98" s="14" t="s">
        <v>40</v>
      </c>
      <c r="E98" s="20" t="str">
        <f t="shared" si="2"/>
        <v>junio 2024</v>
      </c>
      <c r="F98" s="22">
        <v>45456.0</v>
      </c>
      <c r="G98" s="24">
        <f t="shared" ref="G98:H98" si="103">F98</f>
        <v>45456</v>
      </c>
      <c r="H98" s="26">
        <f t="shared" si="103"/>
        <v>45456</v>
      </c>
      <c r="I98" s="14" t="s">
        <v>90</v>
      </c>
      <c r="K98" s="27">
        <v>5.0E7</v>
      </c>
      <c r="L98" s="29" t="s">
        <v>142</v>
      </c>
      <c r="M98" s="31"/>
      <c r="N98" s="31"/>
      <c r="O98" s="31"/>
      <c r="Q98" s="36"/>
      <c r="R98" s="36"/>
      <c r="S98" s="36"/>
      <c r="T98" s="36"/>
      <c r="V98" s="31"/>
    </row>
    <row r="99">
      <c r="A99" s="14" t="s">
        <v>93</v>
      </c>
      <c r="B99" s="14" t="s">
        <v>641</v>
      </c>
      <c r="C99" s="14" t="s">
        <v>642</v>
      </c>
      <c r="D99" s="14" t="s">
        <v>40</v>
      </c>
      <c r="E99" s="20" t="str">
        <f t="shared" si="2"/>
        <v>junio 2024</v>
      </c>
      <c r="F99" s="22">
        <v>45450.0</v>
      </c>
      <c r="G99" s="24">
        <f t="shared" ref="G99:H99" si="104">F99</f>
        <v>45450</v>
      </c>
      <c r="H99" s="26">
        <f t="shared" si="104"/>
        <v>45450</v>
      </c>
      <c r="I99" s="14" t="s">
        <v>259</v>
      </c>
      <c r="J99" s="57" t="s">
        <v>260</v>
      </c>
      <c r="K99" s="27">
        <v>5.0E7</v>
      </c>
      <c r="L99" s="29" t="s">
        <v>646</v>
      </c>
      <c r="M99" s="31"/>
      <c r="N99" s="31"/>
      <c r="O99" s="31"/>
      <c r="Q99" s="36"/>
      <c r="R99" s="36"/>
      <c r="S99" s="36"/>
      <c r="T99" s="36"/>
      <c r="V99" s="31"/>
    </row>
    <row r="100">
      <c r="A100" s="14" t="s">
        <v>93</v>
      </c>
      <c r="B100" s="14" t="s">
        <v>648</v>
      </c>
      <c r="C100" s="14" t="s">
        <v>649</v>
      </c>
      <c r="D100" s="14" t="s">
        <v>40</v>
      </c>
      <c r="E100" s="20" t="str">
        <f t="shared" si="2"/>
        <v>junio 2024</v>
      </c>
      <c r="F100" s="22">
        <v>45450.0</v>
      </c>
      <c r="G100" s="24">
        <f t="shared" ref="G100:H100" si="105">F100</f>
        <v>45450</v>
      </c>
      <c r="H100" s="26">
        <f t="shared" si="105"/>
        <v>45450</v>
      </c>
      <c r="I100" s="14" t="s">
        <v>259</v>
      </c>
      <c r="J100" s="57" t="s">
        <v>260</v>
      </c>
      <c r="K100" s="27">
        <v>5.0E7</v>
      </c>
      <c r="L100" s="29" t="s">
        <v>646</v>
      </c>
      <c r="M100" s="31"/>
      <c r="N100" s="31"/>
      <c r="O100" s="31"/>
      <c r="Q100" s="36"/>
      <c r="R100" s="36"/>
      <c r="S100" s="36"/>
      <c r="T100" s="36"/>
      <c r="V100" s="31"/>
    </row>
    <row r="101">
      <c r="A101" s="14" t="s">
        <v>76</v>
      </c>
      <c r="B101" s="14" t="s">
        <v>653</v>
      </c>
      <c r="C101" s="15" t="s">
        <v>654</v>
      </c>
      <c r="D101" s="14" t="s">
        <v>40</v>
      </c>
      <c r="E101" s="20" t="str">
        <f t="shared" si="2"/>
        <v>junio 2024</v>
      </c>
      <c r="F101" s="22">
        <v>45470.0</v>
      </c>
      <c r="G101" s="24">
        <f t="shared" ref="G101:H101" si="106">F101</f>
        <v>45470</v>
      </c>
      <c r="H101" s="26">
        <f t="shared" si="106"/>
        <v>45470</v>
      </c>
      <c r="I101" s="14" t="s">
        <v>259</v>
      </c>
      <c r="J101" s="14" t="s">
        <v>304</v>
      </c>
      <c r="K101" s="27">
        <v>6.0E7</v>
      </c>
      <c r="L101" s="29">
        <v>2.05</v>
      </c>
      <c r="M101" s="14"/>
      <c r="N101" s="14"/>
      <c r="O101" s="14"/>
      <c r="P101" s="14" t="s">
        <v>84</v>
      </c>
      <c r="Q101" s="36"/>
      <c r="R101" s="36"/>
      <c r="S101" s="36"/>
      <c r="T101" s="36"/>
      <c r="V101" s="31"/>
    </row>
    <row r="102">
      <c r="A102" s="14" t="s">
        <v>76</v>
      </c>
      <c r="B102" s="14" t="s">
        <v>656</v>
      </c>
      <c r="C102" s="124" t="s">
        <v>657</v>
      </c>
      <c r="D102" s="14" t="s">
        <v>40</v>
      </c>
      <c r="E102" s="20" t="str">
        <f t="shared" si="2"/>
        <v>julio 2024</v>
      </c>
      <c r="F102" s="22">
        <v>45475.0</v>
      </c>
      <c r="G102" s="24">
        <f t="shared" ref="G102:H102" si="107">F102</f>
        <v>45475</v>
      </c>
      <c r="H102" s="26">
        <f t="shared" si="107"/>
        <v>45475</v>
      </c>
      <c r="I102" s="14" t="s">
        <v>90</v>
      </c>
      <c r="K102" s="27">
        <v>7.0E7</v>
      </c>
      <c r="L102" s="29">
        <v>1.89</v>
      </c>
      <c r="M102" s="14"/>
      <c r="N102" s="14"/>
      <c r="O102" s="14"/>
      <c r="P102" s="14" t="s">
        <v>75</v>
      </c>
      <c r="Q102" s="36"/>
      <c r="R102" s="36"/>
      <c r="S102" s="36"/>
      <c r="T102" s="36"/>
      <c r="V102" s="31"/>
    </row>
    <row r="103">
      <c r="A103" s="14" t="s">
        <v>76</v>
      </c>
      <c r="B103" s="125" t="s">
        <v>660</v>
      </c>
      <c r="C103" s="126" t="s">
        <v>662</v>
      </c>
      <c r="D103" s="14" t="s">
        <v>40</v>
      </c>
      <c r="E103" s="20" t="str">
        <f t="shared" si="2"/>
        <v>julio 2024</v>
      </c>
      <c r="F103" s="22">
        <v>45475.0</v>
      </c>
      <c r="G103" s="24">
        <f t="shared" ref="G103:H103" si="108">F103</f>
        <v>45475</v>
      </c>
      <c r="H103" s="26">
        <f t="shared" si="108"/>
        <v>45475</v>
      </c>
      <c r="I103" s="14" t="s">
        <v>259</v>
      </c>
      <c r="J103" s="14" t="s">
        <v>500</v>
      </c>
      <c r="K103" s="27">
        <v>5.0E7</v>
      </c>
      <c r="L103" s="29" t="s">
        <v>663</v>
      </c>
      <c r="M103" s="31"/>
      <c r="N103" s="31"/>
      <c r="O103" s="31"/>
      <c r="Q103" s="36"/>
      <c r="R103" s="36"/>
      <c r="S103" s="36"/>
      <c r="T103" s="36"/>
      <c r="V103" s="31"/>
    </row>
    <row r="104">
      <c r="A104" s="14" t="s">
        <v>76</v>
      </c>
      <c r="B104" s="127" t="s">
        <v>665</v>
      </c>
      <c r="C104" s="128" t="s">
        <v>666</v>
      </c>
      <c r="D104" s="14" t="s">
        <v>40</v>
      </c>
      <c r="E104" s="20" t="str">
        <f t="shared" si="2"/>
        <v>julio 2024</v>
      </c>
      <c r="F104" s="22">
        <v>45475.0</v>
      </c>
      <c r="G104" s="24">
        <f t="shared" ref="G104:H104" si="109">F104</f>
        <v>45475</v>
      </c>
      <c r="H104" s="26">
        <f t="shared" si="109"/>
        <v>45475</v>
      </c>
      <c r="I104" s="14" t="s">
        <v>259</v>
      </c>
      <c r="J104" s="14" t="s">
        <v>500</v>
      </c>
      <c r="K104" s="27">
        <v>5.0E7</v>
      </c>
      <c r="L104" s="29" t="s">
        <v>663</v>
      </c>
      <c r="M104" s="31"/>
      <c r="N104" s="31"/>
      <c r="O104" s="31"/>
      <c r="Q104" s="36"/>
      <c r="R104" s="36"/>
      <c r="S104" s="36"/>
      <c r="T104" s="36"/>
      <c r="V104" s="31"/>
    </row>
    <row r="105">
      <c r="A105" s="14" t="s">
        <v>117</v>
      </c>
      <c r="B105" s="14" t="s">
        <v>667</v>
      </c>
      <c r="C105" s="14" t="s">
        <v>668</v>
      </c>
      <c r="D105" s="14" t="s">
        <v>40</v>
      </c>
      <c r="E105" s="20" t="str">
        <f t="shared" si="2"/>
        <v>julio 2024</v>
      </c>
      <c r="F105" s="22">
        <v>45475.0</v>
      </c>
      <c r="G105" s="24">
        <f t="shared" ref="G105:H105" si="110">F105</f>
        <v>45475</v>
      </c>
      <c r="H105" s="26">
        <f t="shared" si="110"/>
        <v>45475</v>
      </c>
      <c r="I105" s="14" t="s">
        <v>259</v>
      </c>
      <c r="J105" s="14" t="s">
        <v>500</v>
      </c>
      <c r="K105" s="27">
        <v>1.5E8</v>
      </c>
      <c r="L105" s="29">
        <v>1.79</v>
      </c>
      <c r="M105" s="14"/>
      <c r="N105" s="14"/>
      <c r="O105" s="14"/>
      <c r="P105" s="14" t="s">
        <v>84</v>
      </c>
      <c r="Q105" s="36"/>
      <c r="R105" s="36"/>
      <c r="S105" s="36"/>
      <c r="T105" s="36"/>
      <c r="V105" s="31"/>
    </row>
    <row r="106">
      <c r="A106" s="14" t="s">
        <v>117</v>
      </c>
      <c r="B106" s="14" t="s">
        <v>675</v>
      </c>
      <c r="C106" s="14" t="s">
        <v>676</v>
      </c>
      <c r="D106" s="14" t="s">
        <v>40</v>
      </c>
      <c r="E106" s="20" t="str">
        <f t="shared" si="2"/>
        <v>julio 2024</v>
      </c>
      <c r="F106" s="22">
        <v>45478.0</v>
      </c>
      <c r="G106" s="24">
        <f t="shared" ref="G106:H106" si="111">F106</f>
        <v>45478</v>
      </c>
      <c r="H106" s="26">
        <f t="shared" si="111"/>
        <v>45478</v>
      </c>
      <c r="I106" s="14" t="s">
        <v>90</v>
      </c>
      <c r="K106" s="27">
        <v>1.0E8</v>
      </c>
      <c r="L106" s="29">
        <v>2.19</v>
      </c>
      <c r="M106" s="31"/>
      <c r="N106" s="31"/>
      <c r="O106" s="31"/>
      <c r="Q106" s="36"/>
      <c r="R106" s="36"/>
      <c r="S106" s="36"/>
      <c r="T106" s="36"/>
      <c r="V106" s="31"/>
    </row>
    <row r="107">
      <c r="A107" s="14" t="s">
        <v>76</v>
      </c>
      <c r="B107" s="14" t="s">
        <v>677</v>
      </c>
      <c r="C107" s="116" t="s">
        <v>678</v>
      </c>
      <c r="D107" s="14" t="s">
        <v>40</v>
      </c>
      <c r="E107" s="20" t="str">
        <f t="shared" si="2"/>
        <v>julio 2024</v>
      </c>
      <c r="F107" s="22">
        <v>45481.0</v>
      </c>
      <c r="G107" s="24">
        <f t="shared" ref="G107:H107" si="112">F107</f>
        <v>45481</v>
      </c>
      <c r="H107" s="26">
        <f t="shared" si="112"/>
        <v>45481</v>
      </c>
      <c r="I107" s="14" t="s">
        <v>259</v>
      </c>
      <c r="J107" s="14" t="s">
        <v>304</v>
      </c>
      <c r="K107" s="27">
        <v>2.0E8</v>
      </c>
      <c r="L107" s="29">
        <v>1.99</v>
      </c>
      <c r="M107" s="14"/>
      <c r="N107" s="14"/>
      <c r="O107" s="14"/>
      <c r="P107" s="14" t="s">
        <v>75</v>
      </c>
      <c r="Q107" s="36"/>
      <c r="R107" s="36"/>
      <c r="S107" s="36"/>
      <c r="T107" s="36"/>
      <c r="V107" s="31"/>
    </row>
    <row r="108">
      <c r="A108" s="14" t="s">
        <v>679</v>
      </c>
      <c r="B108" s="14" t="s">
        <v>680</v>
      </c>
      <c r="C108" s="14" t="s">
        <v>681</v>
      </c>
      <c r="D108" s="14" t="s">
        <v>40</v>
      </c>
      <c r="E108" s="20" t="str">
        <f t="shared" si="2"/>
        <v>julio 2024</v>
      </c>
      <c r="F108" s="22">
        <v>45478.0</v>
      </c>
      <c r="G108" s="24">
        <f t="shared" ref="G108:H108" si="113">F108</f>
        <v>45478</v>
      </c>
      <c r="H108" s="26">
        <f t="shared" si="113"/>
        <v>45478</v>
      </c>
      <c r="I108" s="14" t="s">
        <v>90</v>
      </c>
      <c r="K108" s="27">
        <v>2.0E7</v>
      </c>
      <c r="L108" s="29">
        <v>2.05</v>
      </c>
      <c r="M108" s="31"/>
      <c r="N108" s="31"/>
      <c r="O108" s="31"/>
      <c r="Q108" s="36"/>
      <c r="R108" s="36"/>
      <c r="S108" s="36"/>
      <c r="T108" s="36"/>
      <c r="V108" s="31"/>
    </row>
    <row r="109">
      <c r="A109" s="14" t="s">
        <v>679</v>
      </c>
      <c r="B109" s="130" t="s">
        <v>683</v>
      </c>
      <c r="C109" s="14" t="s">
        <v>684</v>
      </c>
      <c r="D109" s="14" t="s">
        <v>40</v>
      </c>
      <c r="E109" s="20" t="str">
        <f t="shared" si="2"/>
        <v>julio 2024</v>
      </c>
      <c r="F109" s="22">
        <v>45479.0</v>
      </c>
      <c r="G109" s="24">
        <f t="shared" ref="G109:H109" si="114">F109</f>
        <v>45479</v>
      </c>
      <c r="H109" s="26">
        <f t="shared" si="114"/>
        <v>45479</v>
      </c>
      <c r="I109" s="14" t="s">
        <v>90</v>
      </c>
      <c r="K109" s="27">
        <v>2.0E7</v>
      </c>
      <c r="L109" s="29">
        <v>2.05</v>
      </c>
      <c r="M109" s="31"/>
      <c r="N109" s="31"/>
      <c r="O109" s="31"/>
      <c r="Q109" s="36"/>
      <c r="R109" s="36"/>
      <c r="S109" s="36"/>
      <c r="T109" s="36"/>
      <c r="V109" s="31"/>
    </row>
    <row r="110">
      <c r="A110" s="14" t="s">
        <v>76</v>
      </c>
      <c r="B110" s="112" t="s">
        <v>685</v>
      </c>
      <c r="C110" s="114" t="s">
        <v>686</v>
      </c>
      <c r="D110" s="14" t="s">
        <v>40</v>
      </c>
      <c r="E110" s="20" t="str">
        <f t="shared" si="2"/>
        <v>julio 2024</v>
      </c>
      <c r="F110" s="22">
        <v>45481.0</v>
      </c>
      <c r="G110" s="24">
        <f t="shared" ref="G110:H110" si="115">F110</f>
        <v>45481</v>
      </c>
      <c r="H110" s="26">
        <f t="shared" si="115"/>
        <v>45481</v>
      </c>
      <c r="I110" s="14" t="s">
        <v>259</v>
      </c>
      <c r="J110" s="14" t="s">
        <v>285</v>
      </c>
      <c r="K110" s="27">
        <v>2.0E7</v>
      </c>
      <c r="L110" s="29" t="s">
        <v>687</v>
      </c>
      <c r="M110" s="31"/>
      <c r="N110" s="31"/>
      <c r="O110" s="31"/>
      <c r="Q110" s="36"/>
      <c r="R110" s="36"/>
      <c r="S110" s="36"/>
      <c r="T110" s="36"/>
      <c r="V110" s="31"/>
    </row>
    <row r="111">
      <c r="A111" s="14" t="s">
        <v>36</v>
      </c>
      <c r="B111" s="14" t="s">
        <v>689</v>
      </c>
      <c r="C111" s="14" t="s">
        <v>690</v>
      </c>
      <c r="D111" s="14" t="s">
        <v>40</v>
      </c>
      <c r="E111" s="20" t="str">
        <f t="shared" si="2"/>
        <v>julio 2024</v>
      </c>
      <c r="F111" s="22">
        <v>45475.0</v>
      </c>
      <c r="G111" s="24">
        <f t="shared" ref="G111:H111" si="116">F111</f>
        <v>45475</v>
      </c>
      <c r="H111" s="26">
        <f t="shared" si="116"/>
        <v>45475</v>
      </c>
      <c r="I111" s="14" t="s">
        <v>90</v>
      </c>
      <c r="K111" s="27">
        <v>1.2E8</v>
      </c>
      <c r="L111" s="29" t="s">
        <v>692</v>
      </c>
      <c r="M111" s="31"/>
      <c r="N111" s="31"/>
      <c r="O111" s="31"/>
      <c r="Q111" s="36"/>
      <c r="R111" s="36"/>
      <c r="S111" s="36"/>
      <c r="T111" s="36"/>
      <c r="V111" s="31"/>
    </row>
    <row r="112">
      <c r="A112" s="14" t="s">
        <v>36</v>
      </c>
      <c r="B112" s="14" t="s">
        <v>695</v>
      </c>
      <c r="C112" s="14" t="s">
        <v>696</v>
      </c>
      <c r="D112" s="14" t="s">
        <v>40</v>
      </c>
      <c r="E112" s="20" t="str">
        <f t="shared" si="2"/>
        <v>julio 2024</v>
      </c>
      <c r="F112" s="22">
        <v>45478.0</v>
      </c>
      <c r="G112" s="24">
        <f t="shared" ref="G112:H112" si="117">F112</f>
        <v>45478</v>
      </c>
      <c r="H112" s="26">
        <f t="shared" si="117"/>
        <v>45478</v>
      </c>
      <c r="I112" s="14" t="s">
        <v>90</v>
      </c>
      <c r="K112" s="27">
        <v>2.0E7</v>
      </c>
      <c r="L112" s="29" t="s">
        <v>687</v>
      </c>
      <c r="M112" s="31"/>
      <c r="N112" s="31"/>
      <c r="O112" s="31"/>
      <c r="Q112" s="36"/>
      <c r="R112" s="36"/>
      <c r="S112" s="36"/>
      <c r="T112" s="36"/>
      <c r="V112" s="31"/>
    </row>
    <row r="113">
      <c r="A113" s="14" t="s">
        <v>93</v>
      </c>
      <c r="B113" s="14" t="s">
        <v>699</v>
      </c>
      <c r="C113" s="14" t="s">
        <v>700</v>
      </c>
      <c r="D113" s="14" t="s">
        <v>40</v>
      </c>
      <c r="E113" s="20" t="str">
        <f t="shared" si="2"/>
        <v>julio 2024</v>
      </c>
      <c r="F113" s="22">
        <v>45483.0</v>
      </c>
      <c r="G113" s="24">
        <f t="shared" ref="G113:H113" si="118">F113</f>
        <v>45483</v>
      </c>
      <c r="H113" s="26">
        <f t="shared" si="118"/>
        <v>45483</v>
      </c>
      <c r="I113" s="14" t="s">
        <v>259</v>
      </c>
      <c r="J113" s="14" t="s">
        <v>304</v>
      </c>
      <c r="K113" s="27">
        <v>7.0E7</v>
      </c>
      <c r="L113" s="29" t="s">
        <v>701</v>
      </c>
      <c r="M113" s="14"/>
      <c r="N113" s="14"/>
      <c r="O113" s="14"/>
      <c r="P113" s="14" t="s">
        <v>75</v>
      </c>
      <c r="Q113" s="36"/>
      <c r="R113" s="36"/>
      <c r="S113" s="36"/>
      <c r="T113" s="36"/>
      <c r="V113" s="31"/>
    </row>
    <row r="114">
      <c r="A114" s="14" t="s">
        <v>117</v>
      </c>
      <c r="B114" s="14" t="s">
        <v>702</v>
      </c>
      <c r="C114" s="14" t="s">
        <v>703</v>
      </c>
      <c r="D114" s="14" t="s">
        <v>40</v>
      </c>
      <c r="E114" s="20" t="str">
        <f t="shared" si="2"/>
        <v>julio 2024</v>
      </c>
      <c r="F114" s="22">
        <v>45489.0</v>
      </c>
      <c r="G114" s="24">
        <f t="shared" ref="G114:H114" si="119">F114</f>
        <v>45489</v>
      </c>
      <c r="H114" s="26">
        <f t="shared" si="119"/>
        <v>45489</v>
      </c>
      <c r="I114" s="14" t="s">
        <v>259</v>
      </c>
      <c r="J114" s="14" t="s">
        <v>285</v>
      </c>
      <c r="K114" s="27">
        <v>2.0E7</v>
      </c>
      <c r="L114" s="29" t="s">
        <v>704</v>
      </c>
      <c r="M114" s="31"/>
      <c r="N114" s="31"/>
      <c r="O114" s="31"/>
      <c r="Q114" s="36"/>
      <c r="R114" s="36"/>
      <c r="S114" s="36"/>
      <c r="T114" s="36"/>
      <c r="V114" s="31"/>
    </row>
    <row r="115">
      <c r="A115" s="14" t="s">
        <v>117</v>
      </c>
      <c r="B115" s="14" t="s">
        <v>707</v>
      </c>
      <c r="C115" s="14" t="s">
        <v>708</v>
      </c>
      <c r="D115" s="14" t="s">
        <v>40</v>
      </c>
      <c r="E115" s="20" t="str">
        <f t="shared" si="2"/>
        <v>julio 2024</v>
      </c>
      <c r="F115" s="22">
        <v>45490.0</v>
      </c>
      <c r="G115" s="24">
        <f t="shared" ref="G115:H115" si="120">F115</f>
        <v>45490</v>
      </c>
      <c r="H115" s="26">
        <f t="shared" si="120"/>
        <v>45490</v>
      </c>
      <c r="I115" s="14" t="s">
        <v>90</v>
      </c>
      <c r="K115" s="27">
        <v>1.2E8</v>
      </c>
      <c r="L115" s="29" t="s">
        <v>710</v>
      </c>
      <c r="M115" s="31"/>
      <c r="N115" s="31"/>
      <c r="O115" s="31"/>
      <c r="Q115" s="36"/>
      <c r="R115" s="36"/>
      <c r="S115" s="36"/>
      <c r="T115" s="36"/>
      <c r="V115" s="31"/>
    </row>
    <row r="116">
      <c r="A116" s="14" t="s">
        <v>76</v>
      </c>
      <c r="B116" s="14" t="s">
        <v>711</v>
      </c>
      <c r="C116" s="14" t="s">
        <v>712</v>
      </c>
      <c r="D116" s="14" t="s">
        <v>40</v>
      </c>
      <c r="E116" s="20" t="str">
        <f t="shared" si="2"/>
        <v>julio 2024</v>
      </c>
      <c r="F116" s="22">
        <v>45489.0</v>
      </c>
      <c r="G116" s="24">
        <f t="shared" ref="G116:H116" si="121">F116</f>
        <v>45489</v>
      </c>
      <c r="H116" s="26">
        <f t="shared" si="121"/>
        <v>45489</v>
      </c>
      <c r="I116" s="14" t="s">
        <v>90</v>
      </c>
      <c r="K116" s="27">
        <v>2.0E7</v>
      </c>
      <c r="L116" s="29" t="s">
        <v>464</v>
      </c>
      <c r="M116" s="31"/>
      <c r="N116" s="31"/>
      <c r="O116" s="31"/>
      <c r="Q116" s="36"/>
      <c r="R116" s="36"/>
      <c r="S116" s="36"/>
      <c r="T116" s="36"/>
      <c r="V116" s="31"/>
    </row>
    <row r="117">
      <c r="A117" s="14" t="s">
        <v>713</v>
      </c>
      <c r="B117" s="14" t="s">
        <v>714</v>
      </c>
      <c r="C117" s="14" t="s">
        <v>715</v>
      </c>
      <c r="D117" s="14" t="s">
        <v>40</v>
      </c>
      <c r="E117" s="20" t="str">
        <f t="shared" si="2"/>
        <v>julio 2024</v>
      </c>
      <c r="F117" s="22">
        <v>45490.0</v>
      </c>
      <c r="G117" s="24">
        <f t="shared" ref="G117:H117" si="122">F117</f>
        <v>45490</v>
      </c>
      <c r="H117" s="26">
        <f t="shared" si="122"/>
        <v>45490</v>
      </c>
      <c r="I117" s="14" t="s">
        <v>259</v>
      </c>
      <c r="J117" s="57" t="s">
        <v>260</v>
      </c>
      <c r="K117" s="27">
        <v>3.0E7</v>
      </c>
      <c r="L117" s="29">
        <v>2.29</v>
      </c>
      <c r="M117" s="31"/>
      <c r="N117" s="31"/>
      <c r="O117" s="31"/>
      <c r="Q117" s="36"/>
      <c r="R117" s="36"/>
      <c r="S117" s="36"/>
      <c r="T117" s="36"/>
      <c r="V117" s="31"/>
    </row>
    <row r="118">
      <c r="A118" s="14" t="s">
        <v>679</v>
      </c>
      <c r="B118" s="14" t="s">
        <v>716</v>
      </c>
      <c r="C118" s="14" t="s">
        <v>717</v>
      </c>
      <c r="D118" s="14" t="s">
        <v>40</v>
      </c>
      <c r="E118" s="20" t="str">
        <f t="shared" si="2"/>
        <v>julio 2024</v>
      </c>
      <c r="F118" s="22">
        <v>45491.0</v>
      </c>
      <c r="G118" s="24">
        <f t="shared" ref="G118:H118" si="123">F118</f>
        <v>45491</v>
      </c>
      <c r="H118" s="26">
        <f t="shared" si="123"/>
        <v>45491</v>
      </c>
      <c r="I118" s="14" t="s">
        <v>90</v>
      </c>
      <c r="K118" s="27">
        <v>5.0E8</v>
      </c>
      <c r="L118" s="29">
        <v>1.79</v>
      </c>
      <c r="M118" s="14"/>
      <c r="N118" s="14"/>
      <c r="O118" s="14"/>
      <c r="P118" s="14" t="s">
        <v>84</v>
      </c>
      <c r="Q118" s="36"/>
      <c r="R118" s="36"/>
      <c r="S118" s="36"/>
      <c r="T118" s="36"/>
      <c r="V118" s="31"/>
    </row>
    <row r="119">
      <c r="A119" s="14" t="s">
        <v>93</v>
      </c>
      <c r="B119" s="14" t="s">
        <v>718</v>
      </c>
      <c r="C119" s="14" t="s">
        <v>719</v>
      </c>
      <c r="D119" s="14" t="s">
        <v>40</v>
      </c>
      <c r="E119" s="20" t="str">
        <f t="shared" si="2"/>
        <v>julio 2024</v>
      </c>
      <c r="F119" s="22">
        <v>45491.0</v>
      </c>
      <c r="G119" s="24">
        <f t="shared" ref="G119:H119" si="124">F119</f>
        <v>45491</v>
      </c>
      <c r="H119" s="26">
        <f t="shared" si="124"/>
        <v>45491</v>
      </c>
      <c r="I119" s="14" t="s">
        <v>90</v>
      </c>
      <c r="K119" s="27">
        <v>1.0E8</v>
      </c>
      <c r="L119" s="29">
        <v>1.79</v>
      </c>
      <c r="M119" s="14"/>
      <c r="N119" s="14"/>
      <c r="O119" s="14"/>
      <c r="P119" s="14" t="s">
        <v>75</v>
      </c>
      <c r="Q119" s="36"/>
      <c r="R119" s="36"/>
      <c r="S119" s="36"/>
      <c r="T119" s="36"/>
      <c r="V119" s="31"/>
    </row>
    <row r="120">
      <c r="A120" s="14" t="s">
        <v>679</v>
      </c>
      <c r="B120" s="14" t="s">
        <v>724</v>
      </c>
      <c r="C120" s="14" t="s">
        <v>725</v>
      </c>
      <c r="D120" s="14" t="s">
        <v>40</v>
      </c>
      <c r="E120" s="20" t="str">
        <f t="shared" si="2"/>
        <v>julio 2024</v>
      </c>
      <c r="F120" s="22">
        <v>45491.0</v>
      </c>
      <c r="G120" s="24">
        <f t="shared" ref="G120:H120" si="125">F120</f>
        <v>45491</v>
      </c>
      <c r="H120" s="26">
        <f t="shared" si="125"/>
        <v>45491</v>
      </c>
      <c r="I120" s="14" t="s">
        <v>259</v>
      </c>
      <c r="J120" s="14" t="s">
        <v>726</v>
      </c>
      <c r="K120" s="27">
        <v>4.0E7</v>
      </c>
      <c r="L120" s="29" t="s">
        <v>727</v>
      </c>
      <c r="M120" s="31"/>
      <c r="N120" s="31"/>
      <c r="O120" s="31"/>
      <c r="Q120" s="36"/>
      <c r="R120" s="36"/>
      <c r="S120" s="36"/>
      <c r="T120" s="36"/>
      <c r="V120" s="31"/>
    </row>
    <row r="121">
      <c r="A121" s="14" t="s">
        <v>76</v>
      </c>
      <c r="B121" s="134" t="s">
        <v>728</v>
      </c>
      <c r="C121" s="135" t="s">
        <v>729</v>
      </c>
      <c r="D121" s="14" t="s">
        <v>40</v>
      </c>
      <c r="E121" s="20" t="str">
        <f t="shared" si="2"/>
        <v>julio 2024</v>
      </c>
      <c r="F121" s="22">
        <v>45499.0</v>
      </c>
      <c r="G121" s="24">
        <f t="shared" ref="G121:H121" si="126">F121</f>
        <v>45499</v>
      </c>
      <c r="H121" s="26">
        <f t="shared" si="126"/>
        <v>45499</v>
      </c>
      <c r="I121" s="14" t="s">
        <v>259</v>
      </c>
      <c r="J121" s="14" t="s">
        <v>304</v>
      </c>
      <c r="K121" s="27">
        <v>4.0E7</v>
      </c>
      <c r="L121" s="29" t="s">
        <v>731</v>
      </c>
      <c r="M121" s="31"/>
      <c r="N121" s="31"/>
      <c r="O121" s="31"/>
      <c r="Q121" s="36"/>
      <c r="R121" s="36"/>
      <c r="S121" s="36"/>
      <c r="T121" s="36"/>
      <c r="V121" s="31"/>
    </row>
    <row r="122">
      <c r="A122" s="14" t="s">
        <v>117</v>
      </c>
      <c r="B122" s="14" t="s">
        <v>732</v>
      </c>
      <c r="C122" s="14" t="s">
        <v>733</v>
      </c>
      <c r="D122" s="14" t="s">
        <v>40</v>
      </c>
      <c r="E122" s="20" t="str">
        <f t="shared" si="2"/>
        <v>julio 2024</v>
      </c>
      <c r="F122" s="22">
        <v>45502.0</v>
      </c>
      <c r="G122" s="24">
        <f t="shared" ref="G122:H122" si="127">F122</f>
        <v>45502</v>
      </c>
      <c r="H122" s="26">
        <f t="shared" si="127"/>
        <v>45502</v>
      </c>
      <c r="I122" s="14" t="s">
        <v>90</v>
      </c>
      <c r="K122" s="27">
        <v>5.0E7</v>
      </c>
      <c r="L122" s="29">
        <v>2.19</v>
      </c>
      <c r="M122" s="31"/>
      <c r="N122" s="31"/>
      <c r="O122" s="31"/>
      <c r="Q122" s="36"/>
      <c r="R122" s="36"/>
      <c r="S122" s="36"/>
      <c r="T122" s="36"/>
      <c r="V122" s="31"/>
    </row>
    <row r="123">
      <c r="A123" s="14" t="s">
        <v>736</v>
      </c>
      <c r="B123" s="14" t="s">
        <v>737</v>
      </c>
      <c r="C123" s="14" t="s">
        <v>738</v>
      </c>
      <c r="D123" s="14" t="s">
        <v>40</v>
      </c>
      <c r="E123" s="20" t="str">
        <f t="shared" si="2"/>
        <v>julio 2024</v>
      </c>
      <c r="F123" s="22">
        <v>45503.0</v>
      </c>
      <c r="G123" s="24">
        <f t="shared" ref="G123:H123" si="128">F123</f>
        <v>45503</v>
      </c>
      <c r="H123" s="26">
        <f t="shared" si="128"/>
        <v>45503</v>
      </c>
      <c r="I123" s="14" t="s">
        <v>90</v>
      </c>
      <c r="K123" s="27">
        <v>2.0E7</v>
      </c>
      <c r="L123" s="78"/>
      <c r="M123" s="31"/>
      <c r="N123" s="31"/>
      <c r="O123" s="31"/>
      <c r="Q123" s="36"/>
      <c r="R123" s="36"/>
      <c r="S123" s="36"/>
      <c r="T123" s="36"/>
      <c r="V123" s="31"/>
    </row>
    <row r="124">
      <c r="A124" s="14" t="s">
        <v>679</v>
      </c>
      <c r="B124" s="14" t="s">
        <v>739</v>
      </c>
      <c r="C124" s="14" t="s">
        <v>740</v>
      </c>
      <c r="D124" s="14" t="s">
        <v>40</v>
      </c>
      <c r="E124" s="20" t="str">
        <f t="shared" si="2"/>
        <v>julio 2024</v>
      </c>
      <c r="F124" s="22">
        <v>45504.0</v>
      </c>
      <c r="G124" s="24">
        <f t="shared" ref="G124:H124" si="129">F124</f>
        <v>45504</v>
      </c>
      <c r="H124" s="26">
        <f t="shared" si="129"/>
        <v>45504</v>
      </c>
      <c r="I124" s="14" t="s">
        <v>90</v>
      </c>
      <c r="K124" s="27">
        <v>7.0E7</v>
      </c>
      <c r="L124" s="78"/>
      <c r="M124" s="31"/>
      <c r="N124" s="31"/>
      <c r="O124" s="31"/>
      <c r="Q124" s="36"/>
      <c r="R124" s="36"/>
      <c r="S124" s="36"/>
      <c r="T124" s="36"/>
      <c r="V124" s="31"/>
    </row>
    <row r="125">
      <c r="A125" s="14" t="s">
        <v>76</v>
      </c>
      <c r="B125" s="14" t="s">
        <v>741</v>
      </c>
      <c r="C125" s="14" t="s">
        <v>742</v>
      </c>
      <c r="D125" s="14" t="s">
        <v>40</v>
      </c>
      <c r="E125" s="20" t="str">
        <f t="shared" si="2"/>
        <v>agosto 2024</v>
      </c>
      <c r="F125" s="22">
        <v>45505.0</v>
      </c>
      <c r="G125" s="24">
        <f t="shared" ref="G125:H125" si="130">F125</f>
        <v>45505</v>
      </c>
      <c r="H125" s="26">
        <f t="shared" si="130"/>
        <v>45505</v>
      </c>
      <c r="I125" s="14" t="s">
        <v>90</v>
      </c>
      <c r="K125" s="27">
        <v>4.0E7</v>
      </c>
      <c r="L125" s="29">
        <v>1.99</v>
      </c>
      <c r="M125" s="31"/>
      <c r="N125" s="31"/>
      <c r="O125" s="31"/>
      <c r="Q125" s="36"/>
      <c r="R125" s="36"/>
      <c r="S125" s="36"/>
      <c r="T125" s="36"/>
      <c r="V125" s="31"/>
    </row>
    <row r="126">
      <c r="A126" s="14" t="s">
        <v>76</v>
      </c>
      <c r="B126" s="14" t="s">
        <v>746</v>
      </c>
      <c r="C126" s="14" t="s">
        <v>747</v>
      </c>
      <c r="D126" s="14" t="s">
        <v>40</v>
      </c>
      <c r="E126" s="20" t="str">
        <f t="shared" si="2"/>
        <v>agosto 2024</v>
      </c>
      <c r="F126" s="22">
        <v>45505.0</v>
      </c>
      <c r="G126" s="24">
        <f t="shared" ref="G126:H126" si="131">F126</f>
        <v>45505</v>
      </c>
      <c r="H126" s="26">
        <f t="shared" si="131"/>
        <v>45505</v>
      </c>
      <c r="I126" s="14" t="s">
        <v>90</v>
      </c>
      <c r="K126" s="27">
        <v>4.0E7</v>
      </c>
      <c r="L126" s="29">
        <v>1.99</v>
      </c>
      <c r="M126" s="31"/>
      <c r="N126" s="31"/>
      <c r="O126" s="31"/>
      <c r="Q126" s="36"/>
      <c r="R126" s="36"/>
      <c r="S126" s="36"/>
      <c r="T126" s="36"/>
      <c r="V126" s="31"/>
    </row>
    <row r="127">
      <c r="A127" s="14" t="s">
        <v>76</v>
      </c>
      <c r="B127" s="14" t="s">
        <v>749</v>
      </c>
      <c r="C127" s="14" t="s">
        <v>750</v>
      </c>
      <c r="D127" s="14" t="s">
        <v>40</v>
      </c>
      <c r="E127" s="20" t="str">
        <f t="shared" si="2"/>
        <v>agosto 2024</v>
      </c>
      <c r="F127" s="22">
        <v>45506.0</v>
      </c>
      <c r="G127" s="24">
        <f t="shared" ref="G127:H127" si="132">F127</f>
        <v>45506</v>
      </c>
      <c r="H127" s="26">
        <f t="shared" si="132"/>
        <v>45506</v>
      </c>
      <c r="I127" s="14" t="s">
        <v>90</v>
      </c>
      <c r="K127" s="27">
        <v>3.0E8</v>
      </c>
      <c r="L127" s="29">
        <v>1.99</v>
      </c>
      <c r="M127" s="31"/>
      <c r="N127" s="31"/>
      <c r="O127" s="31"/>
      <c r="Q127" s="36"/>
      <c r="R127" s="36"/>
      <c r="S127" s="36"/>
      <c r="T127" s="36"/>
      <c r="V127" s="31"/>
    </row>
    <row r="128">
      <c r="A128" s="14" t="s">
        <v>76</v>
      </c>
      <c r="B128" s="14" t="s">
        <v>751</v>
      </c>
      <c r="C128" s="14" t="s">
        <v>752</v>
      </c>
      <c r="D128" s="14" t="s">
        <v>40</v>
      </c>
      <c r="E128" s="20" t="str">
        <f t="shared" si="2"/>
        <v>agosto 2024</v>
      </c>
      <c r="F128" s="22">
        <v>45505.0</v>
      </c>
      <c r="G128" s="24">
        <f t="shared" ref="G128:H128" si="133">F128</f>
        <v>45505</v>
      </c>
      <c r="H128" s="26">
        <f t="shared" si="133"/>
        <v>45505</v>
      </c>
      <c r="I128" s="14" t="s">
        <v>259</v>
      </c>
      <c r="J128" s="14" t="s">
        <v>500</v>
      </c>
      <c r="K128" s="27">
        <v>1.0E8</v>
      </c>
      <c r="L128" s="29">
        <v>1.99</v>
      </c>
      <c r="M128" s="31"/>
      <c r="N128" s="31"/>
      <c r="O128" s="31"/>
      <c r="Q128" s="36"/>
      <c r="R128" s="36"/>
      <c r="S128" s="36"/>
      <c r="T128" s="36"/>
      <c r="V128" s="31"/>
    </row>
    <row r="129">
      <c r="A129" s="14" t="s">
        <v>76</v>
      </c>
      <c r="B129" s="14" t="s">
        <v>753</v>
      </c>
      <c r="C129" s="15" t="s">
        <v>754</v>
      </c>
      <c r="D129" s="14" t="s">
        <v>40</v>
      </c>
      <c r="E129" s="20" t="str">
        <f t="shared" si="2"/>
        <v>agosto 2024</v>
      </c>
      <c r="F129" s="22">
        <v>45509.0</v>
      </c>
      <c r="G129" s="24">
        <f t="shared" ref="G129:H129" si="134">F129</f>
        <v>45509</v>
      </c>
      <c r="H129" s="26">
        <f t="shared" si="134"/>
        <v>45509</v>
      </c>
      <c r="I129" s="14" t="s">
        <v>259</v>
      </c>
      <c r="J129" s="14" t="s">
        <v>304</v>
      </c>
      <c r="K129" s="27">
        <v>3.0E8</v>
      </c>
      <c r="L129" s="29">
        <v>1.49</v>
      </c>
      <c r="M129" s="14"/>
      <c r="N129" s="14"/>
      <c r="O129" s="14"/>
      <c r="P129" s="14" t="s">
        <v>75</v>
      </c>
      <c r="Q129" s="36"/>
      <c r="R129" s="36"/>
      <c r="S129" s="36"/>
      <c r="T129" s="36"/>
      <c r="V129" s="31"/>
    </row>
    <row r="130">
      <c r="A130" s="14" t="s">
        <v>76</v>
      </c>
      <c r="B130" s="14" t="s">
        <v>757</v>
      </c>
      <c r="C130" s="14" t="s">
        <v>758</v>
      </c>
      <c r="D130" s="14" t="s">
        <v>40</v>
      </c>
      <c r="E130" s="20" t="str">
        <f t="shared" si="2"/>
        <v>agosto 2024</v>
      </c>
      <c r="F130" s="22">
        <v>45509.0</v>
      </c>
      <c r="G130" s="24">
        <f t="shared" ref="G130:H130" si="135">F130</f>
        <v>45509</v>
      </c>
      <c r="H130" s="26">
        <f t="shared" si="135"/>
        <v>45509</v>
      </c>
      <c r="I130" s="14" t="s">
        <v>90</v>
      </c>
      <c r="K130" s="27">
        <v>2.0E7</v>
      </c>
      <c r="L130" s="29" t="s">
        <v>760</v>
      </c>
      <c r="M130" s="31"/>
      <c r="N130" s="31"/>
      <c r="O130" s="31"/>
      <c r="Q130" s="36"/>
      <c r="R130" s="36"/>
      <c r="S130" s="36"/>
      <c r="T130" s="36"/>
      <c r="V130" s="31"/>
    </row>
    <row r="131">
      <c r="A131" s="14" t="s">
        <v>36</v>
      </c>
      <c r="B131" s="14" t="s">
        <v>761</v>
      </c>
      <c r="C131" s="112" t="s">
        <v>762</v>
      </c>
      <c r="D131" s="14" t="s">
        <v>40</v>
      </c>
      <c r="E131" s="20" t="str">
        <f t="shared" si="2"/>
        <v>agosto 2024</v>
      </c>
      <c r="F131" s="22">
        <v>45506.0</v>
      </c>
      <c r="G131" s="24">
        <f t="shared" ref="G131:H131" si="136">F131</f>
        <v>45506</v>
      </c>
      <c r="H131" s="26">
        <f t="shared" si="136"/>
        <v>45506</v>
      </c>
      <c r="I131" s="14" t="s">
        <v>259</v>
      </c>
      <c r="J131" s="14" t="s">
        <v>285</v>
      </c>
      <c r="K131" s="27">
        <v>5.0E7</v>
      </c>
      <c r="L131" s="29" t="s">
        <v>104</v>
      </c>
      <c r="M131" s="31"/>
      <c r="N131" s="31"/>
      <c r="O131" s="31"/>
      <c r="Q131" s="36"/>
      <c r="R131" s="36"/>
      <c r="S131" s="36"/>
      <c r="T131" s="36"/>
      <c r="V131" s="31"/>
    </row>
    <row r="132">
      <c r="A132" s="14" t="s">
        <v>76</v>
      </c>
      <c r="B132" s="14" t="s">
        <v>763</v>
      </c>
      <c r="C132" s="14" t="s">
        <v>764</v>
      </c>
      <c r="D132" s="14" t="s">
        <v>40</v>
      </c>
      <c r="E132" s="20" t="str">
        <f t="shared" si="2"/>
        <v>agosto 2024</v>
      </c>
      <c r="F132" s="22">
        <v>45512.0</v>
      </c>
      <c r="G132" s="24">
        <f t="shared" ref="G132:H132" si="137">F132</f>
        <v>45512</v>
      </c>
      <c r="H132" s="26">
        <f t="shared" si="137"/>
        <v>45512</v>
      </c>
      <c r="I132" s="14" t="s">
        <v>90</v>
      </c>
      <c r="K132" s="27">
        <v>5.0E7</v>
      </c>
      <c r="L132" s="78"/>
      <c r="M132" s="31"/>
      <c r="N132" s="31"/>
      <c r="O132" s="31"/>
      <c r="Q132" s="36"/>
      <c r="R132" s="36"/>
      <c r="S132" s="36"/>
      <c r="T132" s="36"/>
      <c r="V132" s="31"/>
    </row>
    <row r="133">
      <c r="A133" s="14" t="s">
        <v>76</v>
      </c>
      <c r="B133" s="14" t="s">
        <v>765</v>
      </c>
      <c r="C133" s="14" t="s">
        <v>766</v>
      </c>
      <c r="D133" s="14" t="s">
        <v>40</v>
      </c>
      <c r="E133" s="20" t="str">
        <f t="shared" si="2"/>
        <v>agosto 2024</v>
      </c>
      <c r="F133" s="22">
        <v>45512.0</v>
      </c>
      <c r="G133" s="24">
        <f t="shared" ref="G133:H133" si="138">F133</f>
        <v>45512</v>
      </c>
      <c r="H133" s="26">
        <f t="shared" si="138"/>
        <v>45512</v>
      </c>
      <c r="I133" s="14" t="s">
        <v>259</v>
      </c>
      <c r="J133" s="14" t="s">
        <v>304</v>
      </c>
      <c r="K133" s="88"/>
      <c r="L133" s="78"/>
      <c r="M133" s="31"/>
      <c r="N133" s="31"/>
      <c r="O133" s="31"/>
      <c r="Q133" s="36"/>
      <c r="R133" s="36"/>
      <c r="S133" s="36"/>
      <c r="T133" s="36"/>
      <c r="V133" s="31"/>
    </row>
    <row r="134">
      <c r="A134" s="14" t="s">
        <v>93</v>
      </c>
      <c r="B134" s="14" t="s">
        <v>767</v>
      </c>
      <c r="C134" s="14" t="s">
        <v>768</v>
      </c>
      <c r="D134" s="14" t="s">
        <v>40</v>
      </c>
      <c r="E134" s="20" t="str">
        <f t="shared" si="2"/>
        <v>agosto 2024</v>
      </c>
      <c r="F134" s="22">
        <v>45512.0</v>
      </c>
      <c r="G134" s="24">
        <f t="shared" ref="G134:H134" si="139">F134</f>
        <v>45512</v>
      </c>
      <c r="H134" s="26">
        <f t="shared" si="139"/>
        <v>45512</v>
      </c>
      <c r="I134" s="14" t="s">
        <v>90</v>
      </c>
      <c r="K134" s="27">
        <v>2.0E7</v>
      </c>
      <c r="L134" s="29" t="s">
        <v>104</v>
      </c>
      <c r="M134" s="31"/>
      <c r="N134" s="31"/>
      <c r="O134" s="31"/>
      <c r="Q134" s="36"/>
      <c r="R134" s="36"/>
      <c r="S134" s="36"/>
      <c r="T134" s="36"/>
      <c r="V134" s="31"/>
    </row>
    <row r="135">
      <c r="A135" s="14" t="s">
        <v>76</v>
      </c>
      <c r="B135" s="14" t="s">
        <v>769</v>
      </c>
      <c r="C135" s="14" t="s">
        <v>770</v>
      </c>
      <c r="D135" s="14" t="s">
        <v>40</v>
      </c>
      <c r="E135" s="20" t="str">
        <f t="shared" si="2"/>
        <v>agosto 2024</v>
      </c>
      <c r="F135" s="22">
        <v>45513.0</v>
      </c>
      <c r="G135" s="24">
        <f t="shared" ref="G135:H135" si="140">F135</f>
        <v>45513</v>
      </c>
      <c r="H135" s="26">
        <f t="shared" si="140"/>
        <v>45513</v>
      </c>
      <c r="I135" s="14" t="s">
        <v>259</v>
      </c>
      <c r="J135" s="14" t="s">
        <v>304</v>
      </c>
      <c r="K135" s="27">
        <v>1.0E8</v>
      </c>
      <c r="L135" s="29">
        <v>1.99</v>
      </c>
      <c r="M135" s="14"/>
      <c r="N135" s="14"/>
      <c r="O135" s="14"/>
      <c r="P135" s="14" t="s">
        <v>75</v>
      </c>
      <c r="Q135" s="36"/>
      <c r="R135" s="36"/>
      <c r="S135" s="36"/>
      <c r="T135" s="36"/>
      <c r="V135" s="31"/>
    </row>
    <row r="136">
      <c r="A136" s="14" t="s">
        <v>679</v>
      </c>
      <c r="B136" s="14" t="s">
        <v>771</v>
      </c>
      <c r="C136" s="14" t="s">
        <v>772</v>
      </c>
      <c r="D136" s="14" t="s">
        <v>40</v>
      </c>
      <c r="E136" s="20" t="str">
        <f t="shared" si="2"/>
        <v>agosto 2024</v>
      </c>
      <c r="F136" s="22">
        <v>45517.0</v>
      </c>
      <c r="G136" s="24">
        <f t="shared" ref="G136:H136" si="141">F136</f>
        <v>45517</v>
      </c>
      <c r="H136" s="26">
        <f t="shared" si="141"/>
        <v>45517</v>
      </c>
      <c r="I136" s="14" t="s">
        <v>90</v>
      </c>
      <c r="K136" s="27">
        <v>4.0E7</v>
      </c>
      <c r="L136" s="29" t="s">
        <v>773</v>
      </c>
      <c r="M136" s="31"/>
      <c r="N136" s="31"/>
      <c r="O136" s="31"/>
      <c r="Q136" s="36"/>
      <c r="R136" s="36"/>
      <c r="S136" s="36"/>
      <c r="T136" s="36"/>
      <c r="V136" s="31"/>
    </row>
    <row r="137">
      <c r="A137" s="14" t="s">
        <v>679</v>
      </c>
      <c r="B137" s="14" t="s">
        <v>774</v>
      </c>
      <c r="C137" s="14" t="s">
        <v>775</v>
      </c>
      <c r="D137" s="14" t="s">
        <v>40</v>
      </c>
      <c r="E137" s="20" t="str">
        <f t="shared" si="2"/>
        <v>agosto 2024</v>
      </c>
      <c r="F137" s="22">
        <v>45519.0</v>
      </c>
      <c r="G137" s="24">
        <f t="shared" ref="G137:H137" si="142">F137</f>
        <v>45519</v>
      </c>
      <c r="H137" s="26">
        <f t="shared" si="142"/>
        <v>45519</v>
      </c>
      <c r="I137" s="14" t="s">
        <v>259</v>
      </c>
      <c r="J137" s="137" t="s">
        <v>260</v>
      </c>
      <c r="K137" s="27">
        <v>5.0E7</v>
      </c>
      <c r="L137" s="29">
        <v>1.99</v>
      </c>
      <c r="M137" s="31"/>
      <c r="N137" s="31"/>
      <c r="O137" s="31"/>
      <c r="Q137" s="36"/>
      <c r="R137" s="36"/>
      <c r="S137" s="36"/>
      <c r="T137" s="36"/>
      <c r="V137" s="31"/>
    </row>
    <row r="138">
      <c r="A138" s="14" t="s">
        <v>679</v>
      </c>
      <c r="B138" s="14" t="s">
        <v>776</v>
      </c>
      <c r="C138" s="14" t="s">
        <v>777</v>
      </c>
      <c r="D138" s="14" t="s">
        <v>40</v>
      </c>
      <c r="E138" s="20" t="str">
        <f t="shared" si="2"/>
        <v>agosto 2024</v>
      </c>
      <c r="F138" s="22">
        <v>45520.0</v>
      </c>
      <c r="G138" s="24">
        <f t="shared" ref="G138:H138" si="143">F138</f>
        <v>45520</v>
      </c>
      <c r="H138" s="26">
        <f t="shared" si="143"/>
        <v>45520</v>
      </c>
      <c r="I138" s="14" t="s">
        <v>90</v>
      </c>
      <c r="K138" s="27">
        <v>3.0E7</v>
      </c>
      <c r="L138" s="29">
        <v>1.99</v>
      </c>
      <c r="M138" s="31"/>
      <c r="N138" s="31"/>
      <c r="O138" s="31"/>
      <c r="Q138" s="36"/>
      <c r="R138" s="36"/>
      <c r="S138" s="36"/>
      <c r="T138" s="36"/>
      <c r="V138" s="31"/>
    </row>
    <row r="139">
      <c r="A139" s="14" t="s">
        <v>679</v>
      </c>
      <c r="B139" s="14" t="s">
        <v>778</v>
      </c>
      <c r="C139" s="14" t="s">
        <v>779</v>
      </c>
      <c r="D139" s="14" t="s">
        <v>40</v>
      </c>
      <c r="E139" s="20" t="str">
        <f t="shared" si="2"/>
        <v>agosto 2024</v>
      </c>
      <c r="F139" s="22">
        <v>45520.0</v>
      </c>
      <c r="G139" s="24">
        <f t="shared" ref="G139:H139" si="144">F139</f>
        <v>45520</v>
      </c>
      <c r="H139" s="26">
        <f t="shared" si="144"/>
        <v>45520</v>
      </c>
      <c r="I139" s="14" t="s">
        <v>90</v>
      </c>
      <c r="K139" s="27">
        <v>1.5E8</v>
      </c>
      <c r="L139" s="29">
        <v>1.99</v>
      </c>
      <c r="M139" s="31"/>
      <c r="N139" s="31"/>
      <c r="O139" s="31"/>
      <c r="Q139" s="36"/>
      <c r="R139" s="36"/>
      <c r="S139" s="36"/>
      <c r="T139" s="36"/>
      <c r="V139" s="31"/>
    </row>
    <row r="140">
      <c r="A140" s="14" t="s">
        <v>679</v>
      </c>
      <c r="B140" s="14" t="s">
        <v>780</v>
      </c>
      <c r="C140" s="14" t="s">
        <v>781</v>
      </c>
      <c r="D140" s="14" t="s">
        <v>40</v>
      </c>
      <c r="E140" s="20" t="str">
        <f t="shared" si="2"/>
        <v>agosto 2024</v>
      </c>
      <c r="F140" s="22">
        <v>45525.0</v>
      </c>
      <c r="G140" s="24">
        <f t="shared" ref="G140:H140" si="145">F140</f>
        <v>45525</v>
      </c>
      <c r="H140" s="26">
        <f t="shared" si="145"/>
        <v>45525</v>
      </c>
      <c r="I140" s="14" t="s">
        <v>259</v>
      </c>
      <c r="J140" s="14" t="s">
        <v>726</v>
      </c>
      <c r="K140" s="27">
        <v>5.0E7</v>
      </c>
      <c r="L140" s="29" t="s">
        <v>773</v>
      </c>
      <c r="M140" s="31"/>
      <c r="N140" s="31"/>
      <c r="O140" s="31"/>
      <c r="Q140" s="36"/>
      <c r="R140" s="36"/>
      <c r="S140" s="36"/>
      <c r="T140" s="36"/>
      <c r="V140" s="31"/>
    </row>
    <row r="141">
      <c r="A141" s="14" t="s">
        <v>36</v>
      </c>
      <c r="B141" s="14" t="s">
        <v>782</v>
      </c>
      <c r="C141" s="14" t="s">
        <v>783</v>
      </c>
      <c r="D141" s="14" t="s">
        <v>40</v>
      </c>
      <c r="E141" s="20" t="str">
        <f t="shared" si="2"/>
        <v>agosto 2024</v>
      </c>
      <c r="F141" s="22">
        <v>45532.0</v>
      </c>
      <c r="G141" s="24">
        <f t="shared" ref="G141:H141" si="146">F141</f>
        <v>45532</v>
      </c>
      <c r="H141" s="26">
        <f t="shared" si="146"/>
        <v>45532</v>
      </c>
      <c r="I141" s="14" t="s">
        <v>259</v>
      </c>
      <c r="J141" s="137" t="s">
        <v>260</v>
      </c>
      <c r="K141" s="27">
        <v>3.0E7</v>
      </c>
      <c r="L141" s="29" t="s">
        <v>784</v>
      </c>
      <c r="M141" s="14"/>
      <c r="N141" s="14"/>
      <c r="O141" s="14"/>
      <c r="P141" s="14"/>
      <c r="Q141" s="36"/>
      <c r="R141" s="36"/>
      <c r="S141" s="36"/>
      <c r="T141" s="36"/>
      <c r="V141" s="31"/>
    </row>
    <row r="142">
      <c r="A142" s="14" t="s">
        <v>76</v>
      </c>
      <c r="B142" s="14" t="s">
        <v>785</v>
      </c>
      <c r="C142" s="14" t="s">
        <v>786</v>
      </c>
      <c r="D142" s="14" t="s">
        <v>40</v>
      </c>
      <c r="E142" s="20" t="str">
        <f t="shared" si="2"/>
        <v>septiembre 2024</v>
      </c>
      <c r="F142" s="22">
        <v>45537.0</v>
      </c>
      <c r="G142" s="24">
        <f t="shared" ref="G142:H142" si="147">F142</f>
        <v>45537</v>
      </c>
      <c r="H142" s="26">
        <f t="shared" si="147"/>
        <v>45537</v>
      </c>
      <c r="I142" s="14" t="s">
        <v>90</v>
      </c>
      <c r="K142" s="27">
        <v>1.6E8</v>
      </c>
      <c r="L142" s="78"/>
      <c r="M142" s="14"/>
      <c r="N142" s="14"/>
      <c r="O142" s="14"/>
      <c r="P142" s="14" t="s">
        <v>84</v>
      </c>
      <c r="Q142" s="36"/>
      <c r="R142" s="36"/>
      <c r="S142" s="36"/>
      <c r="T142" s="36"/>
      <c r="V142" s="31"/>
    </row>
    <row r="143">
      <c r="A143" s="14" t="s">
        <v>76</v>
      </c>
      <c r="B143" s="14" t="s">
        <v>787</v>
      </c>
      <c r="C143" s="14" t="s">
        <v>788</v>
      </c>
      <c r="D143" s="14" t="s">
        <v>40</v>
      </c>
      <c r="E143" s="20" t="str">
        <f t="shared" si="2"/>
        <v>septiembre 2024</v>
      </c>
      <c r="F143" s="22">
        <v>45537.0</v>
      </c>
      <c r="G143" s="24">
        <f t="shared" ref="G143:H143" si="148">F143</f>
        <v>45537</v>
      </c>
      <c r="H143" s="26">
        <f t="shared" si="148"/>
        <v>45537</v>
      </c>
      <c r="I143" s="14" t="s">
        <v>90</v>
      </c>
      <c r="K143" s="27">
        <v>5.0E7</v>
      </c>
      <c r="L143" s="78"/>
      <c r="M143" s="14"/>
      <c r="N143" s="14"/>
      <c r="O143" s="14"/>
      <c r="P143" s="14" t="s">
        <v>84</v>
      </c>
      <c r="Q143" s="36"/>
      <c r="R143" s="36"/>
      <c r="S143" s="36"/>
      <c r="T143" s="36"/>
      <c r="V143" s="31"/>
    </row>
    <row r="144">
      <c r="A144" s="14" t="s">
        <v>76</v>
      </c>
      <c r="B144" s="14" t="s">
        <v>789</v>
      </c>
      <c r="C144" s="138" t="s">
        <v>983</v>
      </c>
      <c r="D144" s="14" t="s">
        <v>40</v>
      </c>
      <c r="E144" s="20" t="str">
        <f t="shared" si="2"/>
        <v>septiembre 2024</v>
      </c>
      <c r="F144" s="22">
        <v>45537.0</v>
      </c>
      <c r="G144" s="24">
        <f t="shared" ref="G144:H144" si="149">F144</f>
        <v>45537</v>
      </c>
      <c r="H144" s="26">
        <f t="shared" si="149"/>
        <v>45537</v>
      </c>
      <c r="I144" s="14" t="s">
        <v>259</v>
      </c>
      <c r="J144" s="14" t="s">
        <v>304</v>
      </c>
      <c r="K144" s="27">
        <v>1.0E8</v>
      </c>
      <c r="L144" s="78"/>
      <c r="M144" s="14"/>
      <c r="N144" s="14"/>
      <c r="O144" s="14"/>
      <c r="P144" s="14" t="s">
        <v>75</v>
      </c>
      <c r="Q144" s="36"/>
      <c r="R144" s="36"/>
      <c r="S144" s="36"/>
      <c r="T144" s="36"/>
      <c r="V144" s="31"/>
    </row>
    <row r="145">
      <c r="A145" s="14" t="s">
        <v>76</v>
      </c>
      <c r="B145" s="14" t="s">
        <v>791</v>
      </c>
      <c r="C145" s="139" t="s">
        <v>792</v>
      </c>
      <c r="D145" s="14" t="s">
        <v>40</v>
      </c>
      <c r="E145" s="20" t="str">
        <f t="shared" si="2"/>
        <v>septiembre 2024</v>
      </c>
      <c r="F145" s="22">
        <v>45537.0</v>
      </c>
      <c r="G145" s="24">
        <f t="shared" ref="G145:H145" si="150">F145</f>
        <v>45537</v>
      </c>
      <c r="H145" s="26">
        <f t="shared" si="150"/>
        <v>45537</v>
      </c>
      <c r="I145" s="14" t="s">
        <v>259</v>
      </c>
      <c r="J145" s="14" t="s">
        <v>304</v>
      </c>
      <c r="K145" s="27">
        <v>1.0E8</v>
      </c>
      <c r="L145" s="78"/>
      <c r="M145" s="14"/>
      <c r="N145" s="14"/>
      <c r="O145" s="14"/>
      <c r="P145" s="14" t="s">
        <v>75</v>
      </c>
      <c r="Q145" s="36"/>
      <c r="R145" s="36"/>
      <c r="S145" s="36"/>
      <c r="T145" s="36"/>
      <c r="V145" s="31"/>
    </row>
    <row r="146">
      <c r="A146" s="14" t="s">
        <v>36</v>
      </c>
      <c r="B146" s="14" t="s">
        <v>793</v>
      </c>
      <c r="C146" s="140" t="s">
        <v>794</v>
      </c>
      <c r="D146" s="14" t="s">
        <v>40</v>
      </c>
      <c r="E146" s="20" t="str">
        <f t="shared" si="2"/>
        <v>septiembre 2024</v>
      </c>
      <c r="F146" s="22">
        <v>45539.0</v>
      </c>
      <c r="G146" s="24">
        <f t="shared" ref="G146:H146" si="151">F146</f>
        <v>45539</v>
      </c>
      <c r="H146" s="26">
        <f t="shared" si="151"/>
        <v>45539</v>
      </c>
      <c r="I146" s="14" t="s">
        <v>90</v>
      </c>
      <c r="K146" s="27">
        <v>2.0E8</v>
      </c>
      <c r="L146" s="78"/>
      <c r="M146" s="14"/>
      <c r="N146" s="14"/>
      <c r="O146" s="14"/>
      <c r="P146" s="14" t="s">
        <v>75</v>
      </c>
      <c r="Q146" s="36"/>
      <c r="R146" s="36"/>
      <c r="S146" s="36"/>
      <c r="T146" s="36"/>
      <c r="V146" s="31"/>
    </row>
    <row r="147">
      <c r="A147" s="14" t="s">
        <v>76</v>
      </c>
      <c r="B147" s="14" t="s">
        <v>795</v>
      </c>
      <c r="C147" s="138" t="s">
        <v>993</v>
      </c>
      <c r="D147" s="14" t="s">
        <v>40</v>
      </c>
      <c r="E147" s="20" t="str">
        <f t="shared" si="2"/>
        <v>septiembre 2024</v>
      </c>
      <c r="F147" s="22">
        <v>45540.0</v>
      </c>
      <c r="G147" s="24">
        <f t="shared" ref="G147:H147" si="152">F147</f>
        <v>45540</v>
      </c>
      <c r="H147" s="26">
        <f t="shared" si="152"/>
        <v>45540</v>
      </c>
      <c r="I147" s="14" t="s">
        <v>259</v>
      </c>
      <c r="J147" s="141" t="s">
        <v>726</v>
      </c>
      <c r="K147" s="27">
        <v>4.0E7</v>
      </c>
      <c r="L147" s="78"/>
      <c r="M147" s="31"/>
      <c r="N147" s="31"/>
      <c r="O147" s="31"/>
      <c r="Q147" s="36"/>
      <c r="R147" s="36"/>
      <c r="S147" s="36"/>
      <c r="T147" s="36"/>
      <c r="V147" s="31"/>
    </row>
    <row r="148">
      <c r="A148" s="14" t="s">
        <v>93</v>
      </c>
      <c r="B148" s="14" t="s">
        <v>798</v>
      </c>
      <c r="C148" s="14" t="s">
        <v>800</v>
      </c>
      <c r="D148" s="14" t="s">
        <v>40</v>
      </c>
      <c r="E148" s="20" t="str">
        <f t="shared" si="2"/>
        <v>septiembre 2024</v>
      </c>
      <c r="F148" s="22">
        <v>45540.0</v>
      </c>
      <c r="G148" s="24">
        <f t="shared" ref="G148:H148" si="153">F148</f>
        <v>45540</v>
      </c>
      <c r="H148" s="26">
        <f t="shared" si="153"/>
        <v>45540</v>
      </c>
      <c r="I148" s="14" t="s">
        <v>90</v>
      </c>
      <c r="K148" s="27">
        <v>4.0E8</v>
      </c>
      <c r="L148" s="29" t="s">
        <v>803</v>
      </c>
      <c r="M148" s="14"/>
      <c r="N148" s="14"/>
      <c r="O148" s="14"/>
      <c r="P148" s="14" t="s">
        <v>84</v>
      </c>
      <c r="Q148" s="36"/>
      <c r="R148" s="36"/>
      <c r="S148" s="36"/>
      <c r="T148" s="36"/>
      <c r="V148" s="31"/>
    </row>
    <row r="149">
      <c r="A149" s="14" t="s">
        <v>76</v>
      </c>
      <c r="B149" s="14" t="s">
        <v>804</v>
      </c>
      <c r="C149" s="138" t="s">
        <v>1004</v>
      </c>
      <c r="D149" s="14" t="s">
        <v>40</v>
      </c>
      <c r="E149" s="20" t="str">
        <f t="shared" si="2"/>
        <v>septiembre 2024</v>
      </c>
      <c r="F149" s="22">
        <v>45558.0</v>
      </c>
      <c r="G149" s="24">
        <f t="shared" ref="G149:H149" si="154">F149</f>
        <v>45558</v>
      </c>
      <c r="H149" s="26">
        <f t="shared" si="154"/>
        <v>45558</v>
      </c>
      <c r="I149" s="14" t="s">
        <v>90</v>
      </c>
      <c r="K149" s="27">
        <v>4.0E7</v>
      </c>
      <c r="L149" s="29" t="s">
        <v>464</v>
      </c>
      <c r="M149" s="31"/>
      <c r="N149" s="31"/>
      <c r="O149" s="31"/>
      <c r="Q149" s="36"/>
      <c r="R149" s="36"/>
      <c r="S149" s="36"/>
      <c r="T149" s="36"/>
      <c r="V149" s="31"/>
    </row>
    <row r="150">
      <c r="A150" s="14" t="s">
        <v>36</v>
      </c>
      <c r="B150" s="14" t="s">
        <v>806</v>
      </c>
      <c r="C150" s="142" t="s">
        <v>807</v>
      </c>
      <c r="D150" s="14" t="s">
        <v>40</v>
      </c>
      <c r="E150" s="20" t="str">
        <f t="shared" si="2"/>
        <v>septiembre 2024</v>
      </c>
      <c r="F150" s="22">
        <v>45565.0</v>
      </c>
      <c r="G150" s="24">
        <f t="shared" ref="G150:H150" si="155">F150</f>
        <v>45565</v>
      </c>
      <c r="H150" s="26">
        <f t="shared" si="155"/>
        <v>45565</v>
      </c>
      <c r="I150" s="14" t="s">
        <v>90</v>
      </c>
      <c r="J150" s="14"/>
      <c r="K150" s="27">
        <v>3.0E8</v>
      </c>
      <c r="L150" s="29" t="s">
        <v>808</v>
      </c>
      <c r="M150" s="31"/>
      <c r="N150" s="31"/>
      <c r="O150" s="31"/>
      <c r="Q150" s="36"/>
      <c r="R150" s="36"/>
      <c r="S150" s="36"/>
      <c r="T150" s="36"/>
      <c r="V150" s="31"/>
    </row>
    <row r="151">
      <c r="A151" s="14" t="s">
        <v>76</v>
      </c>
      <c r="B151" s="14" t="s">
        <v>811</v>
      </c>
      <c r="C151" s="142" t="s">
        <v>812</v>
      </c>
      <c r="D151" s="14" t="s">
        <v>40</v>
      </c>
      <c r="E151" s="20" t="str">
        <f t="shared" si="2"/>
        <v>octubre 2024</v>
      </c>
      <c r="F151" s="22">
        <v>45566.0</v>
      </c>
      <c r="G151" s="24">
        <f t="shared" ref="G151:H151" si="156">F151</f>
        <v>45566</v>
      </c>
      <c r="H151" s="26">
        <f t="shared" si="156"/>
        <v>45566</v>
      </c>
      <c r="I151" s="14" t="s">
        <v>259</v>
      </c>
      <c r="J151" s="14" t="s">
        <v>285</v>
      </c>
      <c r="K151" s="27">
        <v>3.0E7</v>
      </c>
      <c r="L151" s="29" t="s">
        <v>569</v>
      </c>
      <c r="M151" s="31"/>
      <c r="N151" s="31"/>
      <c r="O151" s="31"/>
      <c r="Q151" s="36"/>
      <c r="R151" s="36"/>
      <c r="S151" s="36"/>
      <c r="T151" s="36"/>
      <c r="V151" s="31"/>
    </row>
    <row r="152">
      <c r="A152" s="14" t="s">
        <v>76</v>
      </c>
      <c r="B152" s="14" t="s">
        <v>814</v>
      </c>
      <c r="C152" s="14" t="s">
        <v>1019</v>
      </c>
      <c r="D152" s="14" t="s">
        <v>40</v>
      </c>
      <c r="E152" s="20" t="str">
        <f t="shared" si="2"/>
        <v>octubre 2024</v>
      </c>
      <c r="F152" s="22">
        <v>45566.0</v>
      </c>
      <c r="G152" s="24">
        <f t="shared" ref="G152:H152" si="157">F152</f>
        <v>45566</v>
      </c>
      <c r="H152" s="26">
        <f t="shared" si="157"/>
        <v>45566</v>
      </c>
      <c r="I152" s="14" t="s">
        <v>90</v>
      </c>
      <c r="K152" s="27">
        <v>3.0E8</v>
      </c>
      <c r="L152" s="29">
        <v>2.09</v>
      </c>
      <c r="M152" s="31"/>
      <c r="N152" s="31"/>
      <c r="O152" s="31"/>
      <c r="Q152" s="36"/>
      <c r="R152" s="36"/>
      <c r="S152" s="36"/>
      <c r="T152" s="36"/>
      <c r="V152" s="31"/>
    </row>
    <row r="153">
      <c r="A153" s="14" t="s">
        <v>76</v>
      </c>
      <c r="B153" s="14" t="s">
        <v>816</v>
      </c>
      <c r="C153" s="14" t="s">
        <v>1022</v>
      </c>
      <c r="D153" s="14" t="s">
        <v>40</v>
      </c>
      <c r="E153" s="20" t="str">
        <f t="shared" si="2"/>
        <v>octubre 2024</v>
      </c>
      <c r="F153" s="22">
        <v>45566.0</v>
      </c>
      <c r="G153" s="24">
        <f t="shared" ref="G153:H153" si="158">F153</f>
        <v>45566</v>
      </c>
      <c r="H153" s="26">
        <f t="shared" si="158"/>
        <v>45566</v>
      </c>
      <c r="I153" s="14" t="s">
        <v>259</v>
      </c>
      <c r="J153" s="137" t="s">
        <v>260</v>
      </c>
      <c r="K153" s="27">
        <v>3.0E8</v>
      </c>
      <c r="L153" s="29">
        <v>1.89</v>
      </c>
      <c r="M153" s="14"/>
      <c r="N153" s="14"/>
      <c r="O153" s="14"/>
      <c r="P153" s="14" t="s">
        <v>75</v>
      </c>
      <c r="Q153" s="36"/>
      <c r="R153" s="36"/>
      <c r="S153" s="36"/>
      <c r="T153" s="36"/>
      <c r="V153" s="31"/>
    </row>
    <row r="154">
      <c r="A154" s="14" t="s">
        <v>76</v>
      </c>
      <c r="B154" s="14" t="s">
        <v>818</v>
      </c>
      <c r="C154" s="138" t="s">
        <v>1025</v>
      </c>
      <c r="D154" s="14" t="s">
        <v>40</v>
      </c>
      <c r="E154" s="20" t="str">
        <f t="shared" si="2"/>
        <v>octubre 2024</v>
      </c>
      <c r="F154" s="22">
        <v>45566.0</v>
      </c>
      <c r="G154" s="24">
        <f t="shared" ref="G154:H154" si="159">F154</f>
        <v>45566</v>
      </c>
      <c r="H154" s="26">
        <f t="shared" si="159"/>
        <v>45566</v>
      </c>
      <c r="I154" s="14" t="s">
        <v>90</v>
      </c>
      <c r="K154" s="27">
        <v>1.0E8</v>
      </c>
      <c r="L154" s="29">
        <v>1.99</v>
      </c>
      <c r="M154" s="31"/>
      <c r="N154" s="31"/>
      <c r="O154" s="31"/>
      <c r="Q154" s="36"/>
      <c r="R154" s="36"/>
      <c r="S154" s="36"/>
      <c r="T154" s="36"/>
      <c r="V154" s="31"/>
    </row>
    <row r="155">
      <c r="A155" s="14" t="s">
        <v>36</v>
      </c>
      <c r="B155" s="14" t="s">
        <v>822</v>
      </c>
      <c r="C155" s="138" t="s">
        <v>823</v>
      </c>
      <c r="D155" s="14" t="s">
        <v>40</v>
      </c>
      <c r="E155" s="20" t="str">
        <f t="shared" si="2"/>
        <v>octubre 2024</v>
      </c>
      <c r="F155" s="22">
        <v>45572.0</v>
      </c>
      <c r="G155" s="24">
        <f t="shared" ref="G155:H155" si="160">F155</f>
        <v>45572</v>
      </c>
      <c r="H155" s="26">
        <f t="shared" si="160"/>
        <v>45572</v>
      </c>
      <c r="I155" s="14" t="s">
        <v>90</v>
      </c>
      <c r="J155" s="57"/>
      <c r="K155" s="27">
        <v>4.0E7</v>
      </c>
      <c r="L155" s="29">
        <v>1.99</v>
      </c>
      <c r="M155" s="14"/>
      <c r="N155" s="14"/>
      <c r="O155" s="14"/>
      <c r="P155" s="14"/>
      <c r="Q155" s="36"/>
      <c r="R155" s="36"/>
      <c r="S155" s="36"/>
      <c r="T155" s="36"/>
      <c r="V155" s="31"/>
    </row>
    <row r="156">
      <c r="A156" s="14" t="s">
        <v>76</v>
      </c>
      <c r="B156" s="14" t="s">
        <v>824</v>
      </c>
      <c r="C156" s="138" t="s">
        <v>825</v>
      </c>
      <c r="D156" s="14" t="s">
        <v>40</v>
      </c>
      <c r="E156" s="20" t="str">
        <f t="shared" si="2"/>
        <v>octubre 2024</v>
      </c>
      <c r="F156" s="22">
        <v>45573.0</v>
      </c>
      <c r="G156" s="24">
        <f t="shared" ref="G156:H156" si="161">F156</f>
        <v>45573</v>
      </c>
      <c r="H156" s="26">
        <f t="shared" si="161"/>
        <v>45573</v>
      </c>
      <c r="I156" s="14" t="s">
        <v>259</v>
      </c>
      <c r="J156" s="57" t="s">
        <v>590</v>
      </c>
      <c r="K156" s="27">
        <v>8.0E7</v>
      </c>
      <c r="L156" s="29">
        <v>2.19</v>
      </c>
      <c r="M156" s="31"/>
      <c r="N156" s="31"/>
      <c r="O156" s="31"/>
      <c r="Q156" s="36"/>
      <c r="R156" s="36"/>
      <c r="S156" s="36"/>
      <c r="T156" s="36"/>
      <c r="V156" s="31"/>
    </row>
    <row r="157">
      <c r="A157" s="14" t="s">
        <v>76</v>
      </c>
      <c r="B157" s="14" t="s">
        <v>826</v>
      </c>
      <c r="C157" s="138" t="s">
        <v>828</v>
      </c>
      <c r="D157" s="14" t="s">
        <v>40</v>
      </c>
      <c r="E157" s="20" t="str">
        <f t="shared" si="2"/>
        <v>octubre 2024</v>
      </c>
      <c r="F157" s="22">
        <v>45573.0</v>
      </c>
      <c r="G157" s="24">
        <f t="shared" ref="G157:H157" si="162">F157</f>
        <v>45573</v>
      </c>
      <c r="H157" s="26">
        <f t="shared" si="162"/>
        <v>45573</v>
      </c>
      <c r="I157" s="14" t="s">
        <v>90</v>
      </c>
      <c r="K157" s="27">
        <v>6.0E7</v>
      </c>
      <c r="L157" s="29">
        <v>1.99</v>
      </c>
      <c r="M157" s="31"/>
      <c r="N157" s="31"/>
      <c r="O157" s="31"/>
      <c r="Q157" s="36"/>
      <c r="R157" s="36"/>
      <c r="S157" s="36"/>
      <c r="T157" s="36"/>
      <c r="V157" s="31"/>
    </row>
    <row r="158">
      <c r="A158" s="14" t="s">
        <v>76</v>
      </c>
      <c r="B158" s="14" t="s">
        <v>831</v>
      </c>
      <c r="C158" s="138" t="s">
        <v>832</v>
      </c>
      <c r="D158" s="14" t="s">
        <v>40</v>
      </c>
      <c r="E158" s="20" t="str">
        <f t="shared" si="2"/>
        <v>octubre 2024</v>
      </c>
      <c r="F158" s="22">
        <v>45573.0</v>
      </c>
      <c r="G158" s="24">
        <f t="shared" ref="G158:H158" si="163">F158</f>
        <v>45573</v>
      </c>
      <c r="H158" s="26">
        <f t="shared" si="163"/>
        <v>45573</v>
      </c>
      <c r="I158" s="14" t="s">
        <v>90</v>
      </c>
      <c r="K158" s="27">
        <v>2.0E7</v>
      </c>
      <c r="L158" s="29" t="s">
        <v>464</v>
      </c>
      <c r="M158" s="31"/>
      <c r="N158" s="31"/>
      <c r="O158" s="31"/>
      <c r="Q158" s="36"/>
      <c r="R158" s="36"/>
      <c r="S158" s="36"/>
      <c r="T158" s="36"/>
      <c r="V158" s="31"/>
    </row>
    <row r="159">
      <c r="A159" s="14" t="s">
        <v>76</v>
      </c>
      <c r="B159" s="14" t="s">
        <v>833</v>
      </c>
      <c r="C159" s="138" t="s">
        <v>834</v>
      </c>
      <c r="D159" s="14" t="s">
        <v>40</v>
      </c>
      <c r="E159" s="20" t="str">
        <f t="shared" si="2"/>
        <v>octubre 2024</v>
      </c>
      <c r="F159" s="22">
        <v>45573.0</v>
      </c>
      <c r="G159" s="24">
        <f t="shared" ref="G159:H159" si="164">F159</f>
        <v>45573</v>
      </c>
      <c r="H159" s="26">
        <f t="shared" si="164"/>
        <v>45573</v>
      </c>
      <c r="I159" s="14" t="s">
        <v>90</v>
      </c>
      <c r="K159" s="27">
        <v>2.0E7</v>
      </c>
      <c r="L159" s="29" t="s">
        <v>464</v>
      </c>
      <c r="M159" s="31"/>
      <c r="N159" s="31"/>
      <c r="O159" s="31"/>
      <c r="Q159" s="36"/>
      <c r="R159" s="36"/>
      <c r="S159" s="36"/>
      <c r="T159" s="36"/>
      <c r="V159" s="31"/>
    </row>
    <row r="160">
      <c r="A160" s="14" t="s">
        <v>76</v>
      </c>
      <c r="B160" s="14" t="s">
        <v>837</v>
      </c>
      <c r="C160" s="138" t="s">
        <v>838</v>
      </c>
      <c r="D160" s="14" t="s">
        <v>40</v>
      </c>
      <c r="E160" s="20" t="str">
        <f t="shared" si="2"/>
        <v>octubre 2024</v>
      </c>
      <c r="F160" s="22">
        <v>45573.0</v>
      </c>
      <c r="G160" s="24">
        <f t="shared" ref="G160:H160" si="165">F160</f>
        <v>45573</v>
      </c>
      <c r="H160" s="26">
        <f t="shared" si="165"/>
        <v>45573</v>
      </c>
      <c r="I160" s="14" t="s">
        <v>90</v>
      </c>
      <c r="K160" s="27">
        <v>2.0E7</v>
      </c>
      <c r="L160" s="29" t="s">
        <v>464</v>
      </c>
      <c r="M160" s="31"/>
      <c r="N160" s="31"/>
      <c r="O160" s="31"/>
      <c r="Q160" s="36"/>
      <c r="R160" s="36"/>
      <c r="S160" s="36"/>
      <c r="T160" s="36"/>
      <c r="V160" s="31"/>
    </row>
    <row r="161">
      <c r="A161" s="14" t="s">
        <v>76</v>
      </c>
      <c r="B161" s="14" t="s">
        <v>840</v>
      </c>
      <c r="C161" s="14" t="s">
        <v>841</v>
      </c>
      <c r="D161" s="14" t="s">
        <v>40</v>
      </c>
      <c r="E161" s="20" t="str">
        <f t="shared" si="2"/>
        <v>octubre 2024</v>
      </c>
      <c r="F161" s="22">
        <v>45574.0</v>
      </c>
      <c r="G161" s="24">
        <f t="shared" ref="G161:H161" si="166">F161</f>
        <v>45574</v>
      </c>
      <c r="H161" s="26">
        <f t="shared" si="166"/>
        <v>45574</v>
      </c>
      <c r="I161" s="14" t="s">
        <v>90</v>
      </c>
      <c r="K161" s="27">
        <v>3.0E7</v>
      </c>
      <c r="L161" s="29" t="s">
        <v>464</v>
      </c>
      <c r="M161" s="31"/>
      <c r="N161" s="31"/>
      <c r="O161" s="31"/>
      <c r="Q161" s="36"/>
      <c r="R161" s="36"/>
      <c r="S161" s="36"/>
      <c r="T161" s="36"/>
      <c r="V161" s="31"/>
    </row>
    <row r="162">
      <c r="A162" s="14" t="s">
        <v>117</v>
      </c>
      <c r="B162" s="14" t="s">
        <v>843</v>
      </c>
      <c r="C162" s="14" t="s">
        <v>844</v>
      </c>
      <c r="D162" s="14" t="s">
        <v>40</v>
      </c>
      <c r="E162" s="20" t="str">
        <f t="shared" si="2"/>
        <v>octubre 2024</v>
      </c>
      <c r="F162" s="22">
        <v>45573.0</v>
      </c>
      <c r="G162" s="24">
        <f t="shared" ref="G162:H162" si="167">F162</f>
        <v>45573</v>
      </c>
      <c r="H162" s="26">
        <f t="shared" si="167"/>
        <v>45573</v>
      </c>
      <c r="I162" s="14" t="s">
        <v>90</v>
      </c>
      <c r="K162" s="27">
        <v>5.0E7</v>
      </c>
      <c r="L162" s="29" t="s">
        <v>464</v>
      </c>
      <c r="M162" s="31"/>
      <c r="N162" s="31"/>
      <c r="O162" s="31"/>
      <c r="Q162" s="36"/>
      <c r="R162" s="36"/>
      <c r="S162" s="36"/>
      <c r="T162" s="36"/>
      <c r="V162" s="31"/>
    </row>
    <row r="163">
      <c r="A163" s="14" t="s">
        <v>117</v>
      </c>
      <c r="B163" s="14" t="s">
        <v>848</v>
      </c>
      <c r="C163" s="14" t="s">
        <v>849</v>
      </c>
      <c r="D163" s="14" t="s">
        <v>40</v>
      </c>
      <c r="E163" s="20" t="str">
        <f t="shared" si="2"/>
        <v>octubre 2024</v>
      </c>
      <c r="F163" s="22">
        <v>45573.0</v>
      </c>
      <c r="G163" s="24">
        <f t="shared" ref="G163:H163" si="168">F163</f>
        <v>45573</v>
      </c>
      <c r="H163" s="26">
        <f t="shared" si="168"/>
        <v>45573</v>
      </c>
      <c r="I163" s="14" t="s">
        <v>90</v>
      </c>
      <c r="K163" s="27">
        <v>1.5E8</v>
      </c>
      <c r="L163" s="29" t="s">
        <v>850</v>
      </c>
      <c r="M163" s="31"/>
      <c r="N163" s="31"/>
      <c r="O163" s="31"/>
      <c r="Q163" s="36"/>
      <c r="R163" s="36"/>
      <c r="S163" s="36"/>
      <c r="T163" s="36"/>
      <c r="V163" s="31"/>
    </row>
    <row r="164">
      <c r="A164" s="14" t="s">
        <v>93</v>
      </c>
      <c r="B164" s="14" t="s">
        <v>851</v>
      </c>
      <c r="C164" s="14" t="s">
        <v>852</v>
      </c>
      <c r="D164" s="14" t="s">
        <v>40</v>
      </c>
      <c r="E164" s="20" t="str">
        <f t="shared" si="2"/>
        <v>octubre 2024</v>
      </c>
      <c r="F164" s="22">
        <v>45569.0</v>
      </c>
      <c r="G164" s="24">
        <f t="shared" ref="G164:H164" si="169">F164</f>
        <v>45569</v>
      </c>
      <c r="H164" s="26">
        <f t="shared" si="169"/>
        <v>45569</v>
      </c>
      <c r="I164" s="14" t="s">
        <v>259</v>
      </c>
      <c r="J164" s="137" t="s">
        <v>260</v>
      </c>
      <c r="K164" s="27">
        <v>5.0E7</v>
      </c>
      <c r="L164" s="29" t="s">
        <v>853</v>
      </c>
      <c r="M164" s="31"/>
      <c r="N164" s="31"/>
      <c r="O164" s="31"/>
      <c r="Q164" s="36"/>
      <c r="R164" s="36"/>
      <c r="S164" s="36"/>
      <c r="T164" s="36"/>
      <c r="V164" s="31"/>
    </row>
    <row r="165">
      <c r="A165" s="14" t="s">
        <v>36</v>
      </c>
      <c r="B165" s="14" t="s">
        <v>854</v>
      </c>
      <c r="C165" s="124" t="s">
        <v>855</v>
      </c>
      <c r="D165" s="14" t="s">
        <v>40</v>
      </c>
      <c r="E165" s="20" t="str">
        <f t="shared" si="2"/>
        <v>octubre 2024</v>
      </c>
      <c r="F165" s="22">
        <v>45581.0</v>
      </c>
      <c r="G165" s="24">
        <f t="shared" ref="G165:H165" si="170">F165</f>
        <v>45581</v>
      </c>
      <c r="H165" s="26">
        <f t="shared" si="170"/>
        <v>45581</v>
      </c>
      <c r="I165" s="14" t="s">
        <v>90</v>
      </c>
      <c r="K165" s="27">
        <v>2.0E8</v>
      </c>
      <c r="L165" s="29">
        <v>1.89</v>
      </c>
      <c r="M165" s="14"/>
      <c r="N165" s="14"/>
      <c r="O165" s="14"/>
      <c r="P165" s="14"/>
      <c r="Q165" s="36"/>
      <c r="R165" s="36"/>
      <c r="S165" s="36"/>
      <c r="T165" s="36"/>
      <c r="V165" s="31"/>
    </row>
    <row r="166">
      <c r="A166" s="14" t="s">
        <v>76</v>
      </c>
      <c r="B166" s="14" t="s">
        <v>857</v>
      </c>
      <c r="C166" s="124" t="s">
        <v>858</v>
      </c>
      <c r="D166" s="14" t="s">
        <v>40</v>
      </c>
      <c r="E166" s="20" t="str">
        <f t="shared" si="2"/>
        <v>octubre 2024</v>
      </c>
      <c r="F166" s="22">
        <v>45582.0</v>
      </c>
      <c r="G166" s="24">
        <f t="shared" ref="G166:H166" si="171">F166</f>
        <v>45582</v>
      </c>
      <c r="H166" s="26">
        <f t="shared" si="171"/>
        <v>45582</v>
      </c>
      <c r="I166" s="14" t="s">
        <v>90</v>
      </c>
      <c r="K166" s="27">
        <v>2.0E8</v>
      </c>
      <c r="L166" s="29">
        <v>1.89</v>
      </c>
      <c r="M166" s="14"/>
      <c r="N166" s="14"/>
      <c r="O166" s="14"/>
      <c r="P166" s="14" t="s">
        <v>75</v>
      </c>
      <c r="Q166" s="36"/>
      <c r="R166" s="36"/>
      <c r="S166" s="36"/>
      <c r="T166" s="36"/>
      <c r="V166" s="31"/>
    </row>
    <row r="167">
      <c r="A167" s="14" t="s">
        <v>36</v>
      </c>
      <c r="B167" s="14" t="s">
        <v>861</v>
      </c>
      <c r="C167" s="14" t="s">
        <v>862</v>
      </c>
      <c r="D167" s="14" t="s">
        <v>40</v>
      </c>
      <c r="E167" s="20" t="str">
        <f t="shared" si="2"/>
        <v>octubre 2024</v>
      </c>
      <c r="F167" s="22">
        <v>45583.0</v>
      </c>
      <c r="G167" s="24">
        <f t="shared" ref="G167:H167" si="172">F167</f>
        <v>45583</v>
      </c>
      <c r="H167" s="26">
        <f t="shared" si="172"/>
        <v>45583</v>
      </c>
      <c r="I167" s="14" t="s">
        <v>90</v>
      </c>
      <c r="K167" s="27">
        <v>2.0E8</v>
      </c>
      <c r="L167" s="29" t="s">
        <v>863</v>
      </c>
      <c r="M167" s="14"/>
      <c r="N167" s="14"/>
      <c r="O167" s="14"/>
      <c r="P167" s="14" t="s">
        <v>84</v>
      </c>
      <c r="Q167" s="36"/>
      <c r="R167" s="36"/>
      <c r="S167" s="36"/>
      <c r="T167" s="36"/>
      <c r="V167" s="31"/>
    </row>
    <row r="168">
      <c r="A168" s="14" t="s">
        <v>76</v>
      </c>
      <c r="B168" s="14" t="s">
        <v>864</v>
      </c>
      <c r="C168" s="14" t="s">
        <v>865</v>
      </c>
      <c r="D168" s="14" t="s">
        <v>40</v>
      </c>
      <c r="E168" s="20" t="str">
        <f t="shared" si="2"/>
        <v>octubre 2024</v>
      </c>
      <c r="F168" s="22">
        <v>45590.0</v>
      </c>
      <c r="G168" s="24">
        <f t="shared" ref="G168:H168" si="173">F168</f>
        <v>45590</v>
      </c>
      <c r="H168" s="26">
        <f t="shared" si="173"/>
        <v>45590</v>
      </c>
      <c r="I168" s="14" t="s">
        <v>90</v>
      </c>
      <c r="K168" s="27">
        <v>8.0E7</v>
      </c>
      <c r="L168" s="29">
        <v>1.99</v>
      </c>
      <c r="M168" s="31"/>
      <c r="N168" s="31"/>
      <c r="O168" s="31"/>
      <c r="Q168" s="36"/>
      <c r="R168" s="36"/>
      <c r="S168" s="36"/>
      <c r="T168" s="36"/>
      <c r="V168" s="31"/>
    </row>
    <row r="169">
      <c r="A169" s="14" t="s">
        <v>36</v>
      </c>
      <c r="B169" s="14" t="s">
        <v>866</v>
      </c>
      <c r="C169" s="15" t="s">
        <v>867</v>
      </c>
      <c r="D169" s="14" t="s">
        <v>40</v>
      </c>
      <c r="E169" s="20" t="str">
        <f t="shared" si="2"/>
        <v>octubre 2024</v>
      </c>
      <c r="F169" s="22">
        <v>45590.0</v>
      </c>
      <c r="G169" s="24">
        <f t="shared" ref="G169:H169" si="174">F169</f>
        <v>45590</v>
      </c>
      <c r="H169" s="26">
        <f t="shared" si="174"/>
        <v>45590</v>
      </c>
      <c r="I169" s="14" t="s">
        <v>259</v>
      </c>
      <c r="J169" s="14" t="s">
        <v>285</v>
      </c>
      <c r="K169" s="27">
        <v>4.0E7</v>
      </c>
      <c r="L169" s="29" t="s">
        <v>104</v>
      </c>
      <c r="M169" s="31"/>
      <c r="N169" s="31"/>
      <c r="O169" s="31"/>
      <c r="Q169" s="36"/>
      <c r="R169" s="36"/>
      <c r="S169" s="36"/>
      <c r="T169" s="36"/>
      <c r="V169" s="31"/>
    </row>
    <row r="170">
      <c r="A170" s="14" t="s">
        <v>76</v>
      </c>
      <c r="B170" s="14" t="s">
        <v>869</v>
      </c>
      <c r="C170" s="15" t="s">
        <v>870</v>
      </c>
      <c r="D170" s="14" t="s">
        <v>40</v>
      </c>
      <c r="E170" s="20" t="str">
        <f t="shared" si="2"/>
        <v>noviembre 2024</v>
      </c>
      <c r="F170" s="22">
        <v>45597.0</v>
      </c>
      <c r="G170" s="24">
        <f t="shared" ref="G170:H170" si="175">F170</f>
        <v>45597</v>
      </c>
      <c r="H170" s="26">
        <f t="shared" si="175"/>
        <v>45597</v>
      </c>
      <c r="I170" s="14" t="s">
        <v>259</v>
      </c>
      <c r="J170" s="141" t="s">
        <v>726</v>
      </c>
      <c r="K170" s="27">
        <v>5.0E7</v>
      </c>
      <c r="L170" s="29" t="s">
        <v>142</v>
      </c>
      <c r="M170" s="31"/>
      <c r="N170" s="31"/>
      <c r="O170" s="31"/>
      <c r="Q170" s="36"/>
      <c r="R170" s="36"/>
      <c r="S170" s="36"/>
      <c r="T170" s="36"/>
      <c r="V170" s="31"/>
    </row>
    <row r="171">
      <c r="A171" s="14" t="s">
        <v>76</v>
      </c>
      <c r="B171" s="14" t="s">
        <v>874</v>
      </c>
      <c r="C171" s="15" t="s">
        <v>875</v>
      </c>
      <c r="D171" s="14" t="s">
        <v>40</v>
      </c>
      <c r="E171" s="20" t="str">
        <f t="shared" si="2"/>
        <v>noviembre 2024</v>
      </c>
      <c r="F171" s="22">
        <v>45597.0</v>
      </c>
      <c r="G171" s="24">
        <f t="shared" ref="G171:H171" si="176">F171</f>
        <v>45597</v>
      </c>
      <c r="H171" s="26">
        <f t="shared" si="176"/>
        <v>45597</v>
      </c>
      <c r="I171" s="14" t="s">
        <v>259</v>
      </c>
      <c r="J171" s="14" t="s">
        <v>304</v>
      </c>
      <c r="K171" s="27">
        <v>2.0E7</v>
      </c>
      <c r="L171" s="29">
        <v>2.09</v>
      </c>
      <c r="M171" s="31"/>
      <c r="N171" s="31"/>
      <c r="O171" s="31"/>
      <c r="Q171" s="36"/>
      <c r="R171" s="36"/>
      <c r="S171" s="36"/>
      <c r="T171" s="36"/>
      <c r="V171" s="31"/>
    </row>
    <row r="172">
      <c r="A172" s="14" t="s">
        <v>76</v>
      </c>
      <c r="B172" s="14" t="s">
        <v>876</v>
      </c>
      <c r="C172" s="15" t="s">
        <v>877</v>
      </c>
      <c r="D172" s="14" t="s">
        <v>40</v>
      </c>
      <c r="E172" s="20" t="str">
        <f t="shared" si="2"/>
        <v>noviembre 2024</v>
      </c>
      <c r="F172" s="22">
        <v>45597.0</v>
      </c>
      <c r="G172" s="24">
        <f t="shared" ref="G172:H172" si="177">F172</f>
        <v>45597</v>
      </c>
      <c r="H172" s="26">
        <f t="shared" si="177"/>
        <v>45597</v>
      </c>
      <c r="I172" s="14" t="s">
        <v>259</v>
      </c>
      <c r="J172" s="14" t="s">
        <v>304</v>
      </c>
      <c r="K172" s="27">
        <v>2.0E7</v>
      </c>
      <c r="L172" s="29">
        <v>2.09</v>
      </c>
      <c r="M172" s="31"/>
      <c r="N172" s="31"/>
      <c r="O172" s="31"/>
      <c r="Q172" s="36"/>
      <c r="R172" s="36"/>
      <c r="S172" s="36"/>
      <c r="T172" s="36"/>
      <c r="V172" s="31"/>
    </row>
    <row r="173">
      <c r="A173" s="14" t="s">
        <v>76</v>
      </c>
      <c r="B173" s="14" t="s">
        <v>881</v>
      </c>
      <c r="C173" s="15" t="s">
        <v>882</v>
      </c>
      <c r="D173" s="14" t="s">
        <v>40</v>
      </c>
      <c r="E173" s="20" t="str">
        <f t="shared" si="2"/>
        <v>noviembre 2024</v>
      </c>
      <c r="F173" s="22">
        <v>45597.0</v>
      </c>
      <c r="G173" s="24">
        <f t="shared" ref="G173:H173" si="178">F173</f>
        <v>45597</v>
      </c>
      <c r="H173" s="26">
        <f t="shared" si="178"/>
        <v>45597</v>
      </c>
      <c r="I173" s="14" t="s">
        <v>259</v>
      </c>
      <c r="J173" s="14" t="s">
        <v>304</v>
      </c>
      <c r="K173" s="27">
        <v>2.0E7</v>
      </c>
      <c r="L173" s="29">
        <v>2.09</v>
      </c>
      <c r="M173" s="31"/>
      <c r="N173" s="31"/>
      <c r="O173" s="31"/>
      <c r="Q173" s="36"/>
      <c r="R173" s="36"/>
      <c r="S173" s="36"/>
      <c r="T173" s="36"/>
      <c r="V173" s="31"/>
    </row>
    <row r="174">
      <c r="A174" s="14" t="s">
        <v>117</v>
      </c>
      <c r="B174" s="14" t="s">
        <v>883</v>
      </c>
      <c r="C174" s="14" t="s">
        <v>884</v>
      </c>
      <c r="D174" s="14" t="s">
        <v>40</v>
      </c>
      <c r="E174" s="20" t="str">
        <f t="shared" si="2"/>
        <v>noviembre 2024</v>
      </c>
      <c r="F174" s="22">
        <v>45597.0</v>
      </c>
      <c r="G174" s="24">
        <f t="shared" ref="G174:H174" si="179">F174</f>
        <v>45597</v>
      </c>
      <c r="H174" s="26">
        <f t="shared" si="179"/>
        <v>45597</v>
      </c>
      <c r="I174" s="14" t="s">
        <v>90</v>
      </c>
      <c r="K174" s="27">
        <v>4.0E7</v>
      </c>
      <c r="L174" s="29" t="s">
        <v>887</v>
      </c>
      <c r="M174" s="14"/>
      <c r="N174" s="14"/>
      <c r="O174" s="14"/>
      <c r="P174" s="14" t="s">
        <v>84</v>
      </c>
      <c r="Q174" s="36"/>
      <c r="R174" s="36"/>
      <c r="S174" s="36"/>
      <c r="T174" s="36"/>
      <c r="V174" s="31"/>
    </row>
    <row r="175">
      <c r="A175" s="14" t="s">
        <v>36</v>
      </c>
      <c r="B175" s="14" t="s">
        <v>889</v>
      </c>
      <c r="C175" s="14" t="s">
        <v>890</v>
      </c>
      <c r="D175" s="14" t="s">
        <v>40</v>
      </c>
      <c r="E175" s="20" t="str">
        <f t="shared" si="2"/>
        <v>noviembre 2024</v>
      </c>
      <c r="F175" s="22">
        <v>45602.0</v>
      </c>
      <c r="G175" s="24">
        <f t="shared" ref="G175:H175" si="180">F175</f>
        <v>45602</v>
      </c>
      <c r="H175" s="26">
        <f t="shared" si="180"/>
        <v>45602</v>
      </c>
      <c r="I175" s="14" t="s">
        <v>259</v>
      </c>
      <c r="J175" s="137" t="s">
        <v>260</v>
      </c>
      <c r="K175" s="27">
        <v>2.5E8</v>
      </c>
      <c r="L175" s="29" t="s">
        <v>891</v>
      </c>
      <c r="M175" s="14"/>
      <c r="N175" s="14"/>
      <c r="O175" s="14"/>
      <c r="P175" s="14"/>
      <c r="Q175" s="36"/>
      <c r="R175" s="36"/>
      <c r="S175" s="36"/>
      <c r="T175" s="36"/>
      <c r="V175" s="31"/>
    </row>
    <row r="176">
      <c r="A176" s="14" t="s">
        <v>76</v>
      </c>
      <c r="B176" s="14" t="s">
        <v>892</v>
      </c>
      <c r="C176" s="112" t="s">
        <v>893</v>
      </c>
      <c r="D176" s="14" t="s">
        <v>40</v>
      </c>
      <c r="E176" s="20" t="str">
        <f t="shared" si="2"/>
        <v>noviembre 2024</v>
      </c>
      <c r="F176" s="22">
        <v>45602.0</v>
      </c>
      <c r="G176" s="24">
        <f t="shared" ref="G176:H176" si="181">F176</f>
        <v>45602</v>
      </c>
      <c r="H176" s="26">
        <f t="shared" si="181"/>
        <v>45602</v>
      </c>
      <c r="I176" s="14" t="s">
        <v>259</v>
      </c>
      <c r="J176" s="14" t="s">
        <v>304</v>
      </c>
      <c r="K176" s="88"/>
      <c r="L176" s="78"/>
      <c r="M176" s="14"/>
      <c r="N176" s="14"/>
      <c r="O176" s="14"/>
      <c r="P176" s="14" t="s">
        <v>84</v>
      </c>
      <c r="Q176" s="36"/>
      <c r="R176" s="36"/>
      <c r="S176" s="36"/>
      <c r="T176" s="36"/>
      <c r="V176" s="31"/>
    </row>
    <row r="177">
      <c r="A177" s="14" t="s">
        <v>76</v>
      </c>
      <c r="B177" s="14" t="s">
        <v>892</v>
      </c>
      <c r="C177" s="112" t="s">
        <v>895</v>
      </c>
      <c r="D177" s="14" t="s">
        <v>40</v>
      </c>
      <c r="E177" s="20" t="str">
        <f t="shared" si="2"/>
        <v>noviembre 2024</v>
      </c>
      <c r="F177" s="22">
        <v>45602.0</v>
      </c>
      <c r="G177" s="24">
        <f t="shared" ref="G177:H177" si="182">F177</f>
        <v>45602</v>
      </c>
      <c r="H177" s="26">
        <f t="shared" si="182"/>
        <v>45602</v>
      </c>
      <c r="I177" s="14" t="s">
        <v>259</v>
      </c>
      <c r="J177" s="14" t="s">
        <v>304</v>
      </c>
      <c r="K177" s="88"/>
      <c r="L177" s="78"/>
      <c r="M177" s="14"/>
      <c r="N177" s="14"/>
      <c r="O177" s="14"/>
      <c r="P177" s="14" t="s">
        <v>84</v>
      </c>
      <c r="Q177" s="36"/>
      <c r="R177" s="36"/>
      <c r="S177" s="36"/>
      <c r="T177" s="36"/>
      <c r="V177" s="31"/>
    </row>
    <row r="178">
      <c r="A178" s="14" t="s">
        <v>76</v>
      </c>
      <c r="B178" s="14" t="s">
        <v>892</v>
      </c>
      <c r="C178" s="112" t="s">
        <v>897</v>
      </c>
      <c r="D178" s="14" t="s">
        <v>40</v>
      </c>
      <c r="E178" s="20" t="str">
        <f t="shared" si="2"/>
        <v>noviembre 2024</v>
      </c>
      <c r="F178" s="22">
        <v>45602.0</v>
      </c>
      <c r="G178" s="24">
        <f t="shared" ref="G178:H178" si="183">F178</f>
        <v>45602</v>
      </c>
      <c r="H178" s="26">
        <f t="shared" si="183"/>
        <v>45602</v>
      </c>
      <c r="I178" s="14" t="s">
        <v>259</v>
      </c>
      <c r="J178" s="14" t="s">
        <v>304</v>
      </c>
      <c r="K178" s="88"/>
      <c r="L178" s="78"/>
      <c r="M178" s="14"/>
      <c r="N178" s="14"/>
      <c r="O178" s="14"/>
      <c r="P178" s="14" t="s">
        <v>84</v>
      </c>
      <c r="Q178" s="36"/>
      <c r="R178" s="36"/>
      <c r="S178" s="36"/>
      <c r="T178" s="36"/>
      <c r="V178" s="31"/>
    </row>
    <row r="179">
      <c r="A179" s="14" t="s">
        <v>76</v>
      </c>
      <c r="B179" s="14" t="s">
        <v>892</v>
      </c>
      <c r="C179" s="112" t="s">
        <v>898</v>
      </c>
      <c r="D179" s="14" t="s">
        <v>40</v>
      </c>
      <c r="E179" s="20" t="str">
        <f t="shared" si="2"/>
        <v>noviembre 2024</v>
      </c>
      <c r="F179" s="22">
        <v>45602.0</v>
      </c>
      <c r="G179" s="24">
        <f t="shared" ref="G179:H179" si="184">F179</f>
        <v>45602</v>
      </c>
      <c r="H179" s="26">
        <f t="shared" si="184"/>
        <v>45602</v>
      </c>
      <c r="I179" s="14" t="s">
        <v>259</v>
      </c>
      <c r="J179" s="14" t="s">
        <v>304</v>
      </c>
      <c r="K179" s="88"/>
      <c r="L179" s="78"/>
      <c r="M179" s="14"/>
      <c r="N179" s="14"/>
      <c r="O179" s="14"/>
      <c r="P179" s="14" t="s">
        <v>84</v>
      </c>
      <c r="Q179" s="36"/>
      <c r="R179" s="36"/>
      <c r="S179" s="36"/>
      <c r="T179" s="36"/>
      <c r="V179" s="31"/>
    </row>
    <row r="180">
      <c r="A180" s="14" t="s">
        <v>76</v>
      </c>
      <c r="B180" s="14" t="s">
        <v>892</v>
      </c>
      <c r="C180" s="112" t="s">
        <v>901</v>
      </c>
      <c r="D180" s="14" t="s">
        <v>40</v>
      </c>
      <c r="E180" s="20" t="str">
        <f t="shared" si="2"/>
        <v>noviembre 2024</v>
      </c>
      <c r="F180" s="22">
        <v>45602.0</v>
      </c>
      <c r="G180" s="24">
        <f t="shared" ref="G180:H180" si="185">F180</f>
        <v>45602</v>
      </c>
      <c r="H180" s="26">
        <f t="shared" si="185"/>
        <v>45602</v>
      </c>
      <c r="I180" s="14" t="s">
        <v>259</v>
      </c>
      <c r="J180" s="14" t="s">
        <v>304</v>
      </c>
      <c r="K180" s="88"/>
      <c r="L180" s="78"/>
      <c r="M180" s="14"/>
      <c r="N180" s="14"/>
      <c r="O180" s="14"/>
      <c r="P180" s="14" t="s">
        <v>84</v>
      </c>
      <c r="Q180" s="36"/>
      <c r="R180" s="36"/>
      <c r="S180" s="36"/>
      <c r="T180" s="36"/>
      <c r="V180" s="31"/>
    </row>
    <row r="181">
      <c r="A181" s="14" t="s">
        <v>76</v>
      </c>
      <c r="B181" s="14" t="s">
        <v>892</v>
      </c>
      <c r="C181" s="112" t="s">
        <v>902</v>
      </c>
      <c r="D181" s="14" t="s">
        <v>40</v>
      </c>
      <c r="E181" s="20" t="str">
        <f t="shared" si="2"/>
        <v>noviembre 2024</v>
      </c>
      <c r="F181" s="22">
        <v>45602.0</v>
      </c>
      <c r="G181" s="24">
        <f t="shared" ref="G181:H181" si="186">F181</f>
        <v>45602</v>
      </c>
      <c r="H181" s="26">
        <f t="shared" si="186"/>
        <v>45602</v>
      </c>
      <c r="I181" s="14" t="s">
        <v>259</v>
      </c>
      <c r="J181" s="14" t="s">
        <v>304</v>
      </c>
      <c r="K181" s="88"/>
      <c r="L181" s="78"/>
      <c r="M181" s="14"/>
      <c r="N181" s="14"/>
      <c r="O181" s="14"/>
      <c r="P181" s="14" t="s">
        <v>84</v>
      </c>
      <c r="Q181" s="36"/>
      <c r="R181" s="36"/>
      <c r="S181" s="36"/>
      <c r="T181" s="36"/>
      <c r="V181" s="31"/>
    </row>
    <row r="182">
      <c r="A182" s="14" t="s">
        <v>76</v>
      </c>
      <c r="B182" s="14" t="s">
        <v>892</v>
      </c>
      <c r="C182" s="112" t="s">
        <v>903</v>
      </c>
      <c r="D182" s="14" t="s">
        <v>40</v>
      </c>
      <c r="E182" s="20" t="str">
        <f t="shared" si="2"/>
        <v>noviembre 2024</v>
      </c>
      <c r="F182" s="22">
        <v>45602.0</v>
      </c>
      <c r="G182" s="24">
        <f t="shared" ref="G182:H182" si="187">F182</f>
        <v>45602</v>
      </c>
      <c r="H182" s="26">
        <f t="shared" si="187"/>
        <v>45602</v>
      </c>
      <c r="I182" s="14" t="s">
        <v>259</v>
      </c>
      <c r="J182" s="14" t="s">
        <v>304</v>
      </c>
      <c r="K182" s="88"/>
      <c r="L182" s="78"/>
      <c r="M182" s="14"/>
      <c r="N182" s="14"/>
      <c r="O182" s="14"/>
      <c r="P182" s="14" t="s">
        <v>84</v>
      </c>
      <c r="Q182" s="36"/>
      <c r="R182" s="36"/>
      <c r="S182" s="36"/>
      <c r="T182" s="36"/>
      <c r="V182" s="31"/>
    </row>
    <row r="183">
      <c r="A183" s="14" t="s">
        <v>76</v>
      </c>
      <c r="B183" s="14" t="s">
        <v>892</v>
      </c>
      <c r="C183" s="112" t="s">
        <v>906</v>
      </c>
      <c r="D183" s="14" t="s">
        <v>40</v>
      </c>
      <c r="E183" s="20" t="str">
        <f t="shared" si="2"/>
        <v>noviembre 2024</v>
      </c>
      <c r="F183" s="22">
        <v>45602.0</v>
      </c>
      <c r="G183" s="24">
        <f t="shared" ref="G183:H183" si="188">F183</f>
        <v>45602</v>
      </c>
      <c r="H183" s="26">
        <f t="shared" si="188"/>
        <v>45602</v>
      </c>
      <c r="I183" s="14" t="s">
        <v>259</v>
      </c>
      <c r="J183" s="14" t="s">
        <v>304</v>
      </c>
      <c r="K183" s="88"/>
      <c r="L183" s="78"/>
      <c r="M183" s="14"/>
      <c r="N183" s="14"/>
      <c r="O183" s="14"/>
      <c r="P183" s="14" t="s">
        <v>84</v>
      </c>
      <c r="Q183" s="36"/>
      <c r="R183" s="36"/>
      <c r="S183" s="36"/>
      <c r="T183" s="36"/>
      <c r="V183" s="31"/>
    </row>
    <row r="184">
      <c r="A184" s="14" t="s">
        <v>76</v>
      </c>
      <c r="B184" s="14" t="s">
        <v>892</v>
      </c>
      <c r="C184" s="112" t="s">
        <v>907</v>
      </c>
      <c r="D184" s="14" t="s">
        <v>40</v>
      </c>
      <c r="E184" s="20" t="str">
        <f t="shared" si="2"/>
        <v>noviembre 2024</v>
      </c>
      <c r="F184" s="22">
        <v>45602.0</v>
      </c>
      <c r="G184" s="24">
        <f t="shared" ref="G184:H184" si="189">F184</f>
        <v>45602</v>
      </c>
      <c r="H184" s="26">
        <f t="shared" si="189"/>
        <v>45602</v>
      </c>
      <c r="I184" s="14" t="s">
        <v>259</v>
      </c>
      <c r="J184" s="14" t="s">
        <v>304</v>
      </c>
      <c r="K184" s="88"/>
      <c r="L184" s="78"/>
      <c r="M184" s="14"/>
      <c r="N184" s="14"/>
      <c r="O184" s="14"/>
      <c r="P184" s="14" t="s">
        <v>84</v>
      </c>
      <c r="Q184" s="36"/>
      <c r="R184" s="36"/>
      <c r="S184" s="36"/>
      <c r="T184" s="36"/>
      <c r="V184" s="31"/>
    </row>
    <row r="185">
      <c r="A185" s="14" t="s">
        <v>76</v>
      </c>
      <c r="B185" s="14" t="s">
        <v>911</v>
      </c>
      <c r="C185" s="112" t="s">
        <v>912</v>
      </c>
      <c r="D185" s="14" t="s">
        <v>40</v>
      </c>
      <c r="E185" s="20" t="str">
        <f t="shared" si="2"/>
        <v>noviembre 2024</v>
      </c>
      <c r="F185" s="22">
        <v>45609.0</v>
      </c>
      <c r="G185" s="24">
        <f t="shared" ref="G185:H185" si="190">F185</f>
        <v>45609</v>
      </c>
      <c r="H185" s="26">
        <f t="shared" si="190"/>
        <v>45609</v>
      </c>
      <c r="I185" s="14" t="s">
        <v>259</v>
      </c>
      <c r="J185" s="14" t="s">
        <v>500</v>
      </c>
      <c r="K185" s="27">
        <v>5.0E7</v>
      </c>
      <c r="L185" s="29" t="s">
        <v>915</v>
      </c>
      <c r="M185" s="31"/>
      <c r="N185" s="31"/>
      <c r="O185" s="31"/>
      <c r="Q185" s="36"/>
      <c r="R185" s="36"/>
      <c r="S185" s="36"/>
      <c r="T185" s="36"/>
      <c r="V185" s="31"/>
    </row>
    <row r="186">
      <c r="A186" s="14" t="s">
        <v>117</v>
      </c>
      <c r="B186" s="14" t="s">
        <v>918</v>
      </c>
      <c r="C186" s="14" t="s">
        <v>919</v>
      </c>
      <c r="D186" s="14" t="s">
        <v>40</v>
      </c>
      <c r="E186" s="20" t="str">
        <f t="shared" si="2"/>
        <v>noviembre 2024</v>
      </c>
      <c r="F186" s="22">
        <v>45619.0</v>
      </c>
      <c r="G186" s="24">
        <f t="shared" ref="G186:H186" si="191">F186</f>
        <v>45619</v>
      </c>
      <c r="H186" s="26">
        <f t="shared" si="191"/>
        <v>45619</v>
      </c>
      <c r="I186" s="14" t="s">
        <v>90</v>
      </c>
      <c r="K186" s="27">
        <v>2.0E7</v>
      </c>
      <c r="L186" s="29" t="s">
        <v>923</v>
      </c>
      <c r="M186" s="31"/>
      <c r="N186" s="31"/>
      <c r="O186" s="31"/>
      <c r="Q186" s="36"/>
      <c r="R186" s="36"/>
      <c r="S186" s="36"/>
      <c r="T186" s="36"/>
      <c r="V186" s="31"/>
    </row>
    <row r="187">
      <c r="A187" s="14" t="s">
        <v>117</v>
      </c>
      <c r="B187" s="14" t="s">
        <v>925</v>
      </c>
      <c r="C187" s="14" t="s">
        <v>926</v>
      </c>
      <c r="D187" s="14" t="s">
        <v>40</v>
      </c>
      <c r="E187" s="20" t="str">
        <f t="shared" si="2"/>
        <v>noviembre 2024</v>
      </c>
      <c r="F187" s="22">
        <v>45619.0</v>
      </c>
      <c r="G187" s="24">
        <f t="shared" ref="G187:H187" si="192">F187</f>
        <v>45619</v>
      </c>
      <c r="H187" s="26">
        <f t="shared" si="192"/>
        <v>45619</v>
      </c>
      <c r="I187" s="14" t="s">
        <v>259</v>
      </c>
      <c r="J187" s="141" t="s">
        <v>726</v>
      </c>
      <c r="K187" s="27">
        <v>5.0E7</v>
      </c>
      <c r="L187" s="29" t="s">
        <v>927</v>
      </c>
      <c r="M187" s="31"/>
      <c r="N187" s="31"/>
      <c r="O187" s="31"/>
      <c r="Q187" s="36"/>
      <c r="R187" s="36"/>
      <c r="S187" s="36"/>
      <c r="T187" s="36"/>
      <c r="V187" s="31"/>
    </row>
    <row r="188">
      <c r="A188" s="14" t="s">
        <v>117</v>
      </c>
      <c r="B188" s="14" t="s">
        <v>929</v>
      </c>
      <c r="C188" s="14" t="s">
        <v>930</v>
      </c>
      <c r="D188" s="14" t="s">
        <v>40</v>
      </c>
      <c r="E188" s="20" t="str">
        <f t="shared" si="2"/>
        <v>noviembre 2024</v>
      </c>
      <c r="F188" s="22">
        <v>45619.0</v>
      </c>
      <c r="G188" s="24">
        <f t="shared" ref="G188:H188" si="193">F188</f>
        <v>45619</v>
      </c>
      <c r="H188" s="26">
        <f t="shared" si="193"/>
        <v>45619</v>
      </c>
      <c r="I188" s="14" t="s">
        <v>259</v>
      </c>
      <c r="J188" s="141" t="s">
        <v>726</v>
      </c>
      <c r="K188" s="27">
        <v>5.0E7</v>
      </c>
      <c r="L188" s="29" t="s">
        <v>927</v>
      </c>
      <c r="M188" s="31"/>
      <c r="N188" s="31"/>
      <c r="O188" s="31"/>
      <c r="Q188" s="36"/>
      <c r="R188" s="36"/>
      <c r="S188" s="36"/>
      <c r="T188" s="36"/>
      <c r="V188" s="31"/>
    </row>
    <row r="189">
      <c r="A189" s="14" t="s">
        <v>117</v>
      </c>
      <c r="B189" s="14" t="s">
        <v>933</v>
      </c>
      <c r="C189" s="14" t="s">
        <v>934</v>
      </c>
      <c r="D189" s="14" t="s">
        <v>40</v>
      </c>
      <c r="E189" s="20" t="str">
        <f t="shared" si="2"/>
        <v>noviembre 2024</v>
      </c>
      <c r="F189" s="22">
        <v>45619.0</v>
      </c>
      <c r="G189" s="24">
        <f t="shared" ref="G189:H189" si="194">F189</f>
        <v>45619</v>
      </c>
      <c r="H189" s="26">
        <f t="shared" si="194"/>
        <v>45619</v>
      </c>
      <c r="I189" s="14" t="s">
        <v>259</v>
      </c>
      <c r="J189" s="141" t="s">
        <v>726</v>
      </c>
      <c r="K189" s="27">
        <v>5.0E7</v>
      </c>
      <c r="L189" s="29" t="s">
        <v>935</v>
      </c>
      <c r="M189" s="31"/>
      <c r="N189" s="31"/>
      <c r="O189" s="31"/>
      <c r="Q189" s="36"/>
      <c r="R189" s="36"/>
      <c r="S189" s="36"/>
      <c r="T189" s="36"/>
      <c r="V189" s="31"/>
    </row>
    <row r="190">
      <c r="A190" s="14" t="s">
        <v>117</v>
      </c>
      <c r="B190" s="14" t="s">
        <v>936</v>
      </c>
      <c r="C190" s="14" t="s">
        <v>937</v>
      </c>
      <c r="D190" s="14" t="s">
        <v>40</v>
      </c>
      <c r="E190" s="20" t="str">
        <f t="shared" si="2"/>
        <v>noviembre 2024</v>
      </c>
      <c r="F190" s="22">
        <v>45619.0</v>
      </c>
      <c r="G190" s="24">
        <f t="shared" ref="G190:H190" si="195">F190</f>
        <v>45619</v>
      </c>
      <c r="H190" s="26">
        <f t="shared" si="195"/>
        <v>45619</v>
      </c>
      <c r="I190" s="14" t="s">
        <v>259</v>
      </c>
      <c r="J190" s="141" t="s">
        <v>726</v>
      </c>
      <c r="K190" s="27">
        <v>5.0E7</v>
      </c>
      <c r="L190" s="29" t="s">
        <v>935</v>
      </c>
      <c r="M190" s="31"/>
      <c r="N190" s="31"/>
      <c r="O190" s="31"/>
      <c r="Q190" s="36"/>
      <c r="R190" s="36"/>
      <c r="S190" s="36"/>
      <c r="T190" s="36"/>
      <c r="V190" s="31"/>
    </row>
    <row r="191">
      <c r="A191" s="14" t="s">
        <v>76</v>
      </c>
      <c r="B191" s="124" t="s">
        <v>938</v>
      </c>
      <c r="C191" s="112" t="s">
        <v>939</v>
      </c>
      <c r="D191" s="14" t="s">
        <v>40</v>
      </c>
      <c r="E191" s="20" t="str">
        <f t="shared" si="2"/>
        <v>noviembre 2024</v>
      </c>
      <c r="F191" s="22">
        <v>45624.0</v>
      </c>
      <c r="G191" s="24">
        <f t="shared" ref="G191:H191" si="196">F191</f>
        <v>45624</v>
      </c>
      <c r="H191" s="26">
        <f t="shared" si="196"/>
        <v>45624</v>
      </c>
      <c r="I191" s="14" t="s">
        <v>90</v>
      </c>
      <c r="K191" s="27">
        <v>2.0E7</v>
      </c>
      <c r="L191" s="29"/>
      <c r="M191" s="31"/>
      <c r="N191" s="31"/>
      <c r="O191" s="31"/>
      <c r="Q191" s="36"/>
      <c r="R191" s="36"/>
      <c r="S191" s="36"/>
      <c r="T191" s="36"/>
      <c r="V191" s="31"/>
    </row>
    <row r="192">
      <c r="A192" s="14" t="s">
        <v>76</v>
      </c>
      <c r="B192" s="124" t="s">
        <v>942</v>
      </c>
      <c r="C192" s="112" t="s">
        <v>943</v>
      </c>
      <c r="D192" s="14" t="s">
        <v>40</v>
      </c>
      <c r="E192" s="20" t="str">
        <f t="shared" si="2"/>
        <v>noviembre 2024</v>
      </c>
      <c r="F192" s="22">
        <v>45624.0</v>
      </c>
      <c r="G192" s="24">
        <f t="shared" ref="G192:H192" si="197">F192</f>
        <v>45624</v>
      </c>
      <c r="H192" s="26">
        <f t="shared" si="197"/>
        <v>45624</v>
      </c>
      <c r="I192" s="14" t="s">
        <v>90</v>
      </c>
      <c r="K192" s="27">
        <v>2.0E7</v>
      </c>
      <c r="L192" s="29"/>
      <c r="M192" s="31"/>
      <c r="N192" s="31"/>
      <c r="O192" s="31"/>
      <c r="Q192" s="36"/>
      <c r="R192" s="36"/>
      <c r="S192" s="36"/>
      <c r="T192" s="36"/>
      <c r="V192" s="31"/>
    </row>
    <row r="193">
      <c r="A193" s="14" t="s">
        <v>76</v>
      </c>
      <c r="B193" s="124" t="s">
        <v>944</v>
      </c>
      <c r="C193" s="112" t="s">
        <v>945</v>
      </c>
      <c r="D193" s="14" t="s">
        <v>40</v>
      </c>
      <c r="E193" s="20" t="str">
        <f t="shared" si="2"/>
        <v>noviembre 2024</v>
      </c>
      <c r="F193" s="22">
        <v>45624.0</v>
      </c>
      <c r="G193" s="24">
        <f t="shared" ref="G193:H193" si="198">F193</f>
        <v>45624</v>
      </c>
      <c r="H193" s="26">
        <f t="shared" si="198"/>
        <v>45624</v>
      </c>
      <c r="I193" s="14" t="s">
        <v>90</v>
      </c>
      <c r="K193" s="27">
        <v>5.0E7</v>
      </c>
      <c r="L193" s="29"/>
      <c r="M193" s="31"/>
      <c r="N193" s="31"/>
      <c r="O193" s="31"/>
      <c r="Q193" s="36"/>
      <c r="R193" s="36"/>
      <c r="S193" s="36"/>
      <c r="T193" s="36"/>
      <c r="V193" s="31"/>
    </row>
    <row r="194">
      <c r="A194" s="14" t="s">
        <v>76</v>
      </c>
      <c r="B194" s="112" t="s">
        <v>947</v>
      </c>
      <c r="C194" s="112" t="s">
        <v>948</v>
      </c>
      <c r="D194" s="14" t="s">
        <v>40</v>
      </c>
      <c r="E194" s="20" t="str">
        <f t="shared" si="2"/>
        <v>diciembre 2024</v>
      </c>
      <c r="F194" s="22">
        <v>45628.0</v>
      </c>
      <c r="G194" s="24">
        <f t="shared" ref="G194:H194" si="199">F194</f>
        <v>45628</v>
      </c>
      <c r="H194" s="26">
        <f t="shared" si="199"/>
        <v>45628</v>
      </c>
      <c r="I194" s="14" t="s">
        <v>90</v>
      </c>
      <c r="K194" s="27">
        <v>5.0E7</v>
      </c>
      <c r="L194" s="29" t="s">
        <v>951</v>
      </c>
      <c r="M194" s="31"/>
      <c r="N194" s="31"/>
      <c r="O194" s="31"/>
      <c r="Q194" s="36"/>
      <c r="R194" s="36"/>
      <c r="S194" s="36"/>
      <c r="T194" s="36"/>
      <c r="V194" s="31"/>
    </row>
    <row r="195">
      <c r="A195" s="14" t="s">
        <v>76</v>
      </c>
      <c r="B195" s="152" t="s">
        <v>952</v>
      </c>
      <c r="C195" s="152" t="s">
        <v>954</v>
      </c>
      <c r="D195" s="14" t="s">
        <v>40</v>
      </c>
      <c r="E195" s="20" t="str">
        <f t="shared" si="2"/>
        <v>diciembre 2024</v>
      </c>
      <c r="F195" s="22">
        <v>45628.0</v>
      </c>
      <c r="G195" s="24">
        <f t="shared" ref="G195:H195" si="200">F195</f>
        <v>45628</v>
      </c>
      <c r="H195" s="26">
        <f t="shared" si="200"/>
        <v>45628</v>
      </c>
      <c r="I195" s="14" t="s">
        <v>90</v>
      </c>
      <c r="K195" s="27">
        <v>8.0E7</v>
      </c>
      <c r="L195" s="29" t="s">
        <v>951</v>
      </c>
      <c r="M195" s="31"/>
      <c r="N195" s="31"/>
      <c r="O195" s="31"/>
      <c r="Q195" s="36"/>
      <c r="R195" s="36"/>
      <c r="S195" s="36"/>
      <c r="T195" s="36"/>
      <c r="V195" s="31"/>
    </row>
    <row r="196">
      <c r="A196" s="14" t="s">
        <v>76</v>
      </c>
      <c r="B196" s="14" t="s">
        <v>957</v>
      </c>
      <c r="C196" s="15" t="s">
        <v>958</v>
      </c>
      <c r="D196" s="14" t="s">
        <v>40</v>
      </c>
      <c r="E196" s="20" t="str">
        <f t="shared" si="2"/>
        <v>diciembre 2024</v>
      </c>
      <c r="F196" s="22">
        <v>45630.0</v>
      </c>
      <c r="G196" s="24">
        <f t="shared" ref="G196:H196" si="201">F196</f>
        <v>45630</v>
      </c>
      <c r="H196" s="26">
        <f t="shared" si="201"/>
        <v>45630</v>
      </c>
      <c r="I196" s="14" t="s">
        <v>90</v>
      </c>
      <c r="K196" s="27">
        <v>2.5E8</v>
      </c>
      <c r="L196" s="29">
        <v>1.99</v>
      </c>
      <c r="M196" s="14"/>
      <c r="N196" s="14"/>
      <c r="O196" s="14"/>
      <c r="P196" s="14" t="s">
        <v>84</v>
      </c>
      <c r="Q196" s="36"/>
      <c r="R196" s="36"/>
      <c r="S196" s="36"/>
      <c r="T196" s="36"/>
      <c r="V196" s="31"/>
    </row>
    <row r="197">
      <c r="A197" s="14" t="s">
        <v>76</v>
      </c>
      <c r="B197" s="14" t="s">
        <v>961</v>
      </c>
      <c r="C197" s="112" t="s">
        <v>962</v>
      </c>
      <c r="D197" s="14" t="s">
        <v>40</v>
      </c>
      <c r="E197" s="20" t="str">
        <f t="shared" si="2"/>
        <v>diciembre 2024</v>
      </c>
      <c r="F197" s="22">
        <v>45630.0</v>
      </c>
      <c r="G197" s="24">
        <f t="shared" ref="G197:H197" si="202">F197</f>
        <v>45630</v>
      </c>
      <c r="H197" s="26">
        <f t="shared" si="202"/>
        <v>45630</v>
      </c>
      <c r="I197" s="14" t="s">
        <v>90</v>
      </c>
      <c r="K197" s="27">
        <v>2.5E8</v>
      </c>
      <c r="L197" s="29">
        <v>1.99</v>
      </c>
      <c r="M197" s="14"/>
      <c r="N197" s="14"/>
      <c r="O197" s="14"/>
      <c r="P197" s="14" t="s">
        <v>84</v>
      </c>
      <c r="Q197" s="36"/>
      <c r="R197" s="36"/>
      <c r="S197" s="36"/>
      <c r="T197" s="36"/>
      <c r="V197" s="31"/>
    </row>
    <row r="198">
      <c r="A198" s="14" t="s">
        <v>679</v>
      </c>
      <c r="B198" s="14" t="s">
        <v>963</v>
      </c>
      <c r="C198" s="112" t="s">
        <v>964</v>
      </c>
      <c r="D198" s="14" t="s">
        <v>40</v>
      </c>
      <c r="E198" s="20" t="str">
        <f t="shared" si="2"/>
        <v>diciembre 2024</v>
      </c>
      <c r="F198" s="22">
        <v>45636.0</v>
      </c>
      <c r="G198" s="24">
        <f t="shared" ref="G198:H198" si="203">F198</f>
        <v>45636</v>
      </c>
      <c r="H198" s="26">
        <f t="shared" si="203"/>
        <v>45636</v>
      </c>
      <c r="I198" s="14" t="s">
        <v>259</v>
      </c>
      <c r="K198" s="27">
        <v>1.0E8</v>
      </c>
      <c r="L198" s="29">
        <v>1.99</v>
      </c>
      <c r="M198" s="14"/>
      <c r="N198" s="14"/>
      <c r="O198" s="14"/>
      <c r="P198" s="14"/>
      <c r="Q198" s="36"/>
      <c r="R198" s="36"/>
      <c r="S198" s="36"/>
      <c r="T198" s="36"/>
      <c r="V198" s="31"/>
    </row>
    <row r="199">
      <c r="A199" s="14" t="s">
        <v>679</v>
      </c>
      <c r="B199" s="14" t="s">
        <v>965</v>
      </c>
      <c r="C199" s="124" t="s">
        <v>966</v>
      </c>
      <c r="D199" s="14" t="s">
        <v>40</v>
      </c>
      <c r="E199" s="20" t="str">
        <f t="shared" si="2"/>
        <v>diciembre 2024</v>
      </c>
      <c r="F199" s="22">
        <v>45636.0</v>
      </c>
      <c r="G199" s="24">
        <f t="shared" ref="G199:H199" si="204">F199</f>
        <v>45636</v>
      </c>
      <c r="H199" s="26">
        <f t="shared" si="204"/>
        <v>45636</v>
      </c>
      <c r="I199" s="14" t="s">
        <v>259</v>
      </c>
      <c r="K199" s="27">
        <v>2.5E8</v>
      </c>
      <c r="L199" s="29">
        <v>1.99</v>
      </c>
      <c r="M199" s="14"/>
      <c r="N199" s="14"/>
      <c r="O199" s="14"/>
      <c r="P199" s="14"/>
      <c r="Q199" s="36"/>
      <c r="R199" s="36"/>
      <c r="S199" s="36"/>
      <c r="T199" s="36"/>
      <c r="V199" s="31"/>
    </row>
    <row r="200">
      <c r="A200" s="14" t="s">
        <v>679</v>
      </c>
      <c r="B200" s="14" t="s">
        <v>970</v>
      </c>
      <c r="C200" s="124" t="s">
        <v>971</v>
      </c>
      <c r="D200" s="14" t="s">
        <v>40</v>
      </c>
      <c r="E200" s="20" t="str">
        <f t="shared" si="2"/>
        <v>diciembre 2024</v>
      </c>
      <c r="F200" s="22">
        <v>45636.0</v>
      </c>
      <c r="G200" s="24">
        <f t="shared" ref="G200:H200" si="205">F200</f>
        <v>45636</v>
      </c>
      <c r="H200" s="26">
        <f t="shared" si="205"/>
        <v>45636</v>
      </c>
      <c r="I200" s="14" t="s">
        <v>259</v>
      </c>
      <c r="K200" s="27">
        <v>7.0E7</v>
      </c>
      <c r="L200" s="29">
        <v>1.99</v>
      </c>
      <c r="M200" s="14"/>
      <c r="N200" s="14"/>
      <c r="O200" s="14"/>
      <c r="P200" s="14"/>
      <c r="Q200" s="36"/>
      <c r="R200" s="36"/>
      <c r="S200" s="36"/>
      <c r="T200" s="36"/>
      <c r="V200" s="31"/>
    </row>
    <row r="201">
      <c r="A201" s="14" t="s">
        <v>36</v>
      </c>
      <c r="B201" s="156" t="s">
        <v>975</v>
      </c>
      <c r="C201" s="112" t="s">
        <v>976</v>
      </c>
      <c r="D201" s="14" t="s">
        <v>40</v>
      </c>
      <c r="E201" s="20" t="str">
        <f t="shared" si="2"/>
        <v>diciembre 2024</v>
      </c>
      <c r="F201" s="22">
        <v>45631.0</v>
      </c>
      <c r="G201" s="24">
        <f t="shared" ref="G201:H201" si="206">F201</f>
        <v>45631</v>
      </c>
      <c r="H201" s="26">
        <f t="shared" si="206"/>
        <v>45631</v>
      </c>
      <c r="I201" s="14" t="s">
        <v>259</v>
      </c>
      <c r="J201" s="14" t="s">
        <v>260</v>
      </c>
      <c r="K201" s="27">
        <v>5.0E7</v>
      </c>
      <c r="L201" s="29" t="s">
        <v>951</v>
      </c>
      <c r="M201" s="31"/>
      <c r="N201" s="31"/>
      <c r="O201" s="31"/>
      <c r="Q201" s="36"/>
      <c r="R201" s="36"/>
      <c r="S201" s="36"/>
      <c r="T201" s="36"/>
      <c r="V201" s="31"/>
    </row>
    <row r="202">
      <c r="A202" s="14" t="s">
        <v>117</v>
      </c>
      <c r="B202" s="14" t="s">
        <v>977</v>
      </c>
      <c r="C202" s="112" t="s">
        <v>978</v>
      </c>
      <c r="D202" s="14" t="s">
        <v>40</v>
      </c>
      <c r="E202" s="20" t="str">
        <f t="shared" si="2"/>
        <v>diciembre 2024</v>
      </c>
      <c r="F202" s="22">
        <v>45631.0</v>
      </c>
      <c r="G202" s="24">
        <f t="shared" ref="G202:H202" si="207">F202</f>
        <v>45631</v>
      </c>
      <c r="H202" s="26">
        <f t="shared" si="207"/>
        <v>45631</v>
      </c>
      <c r="I202" s="14" t="s">
        <v>259</v>
      </c>
      <c r="J202" s="14" t="s">
        <v>285</v>
      </c>
      <c r="K202" s="27">
        <v>1.2E8</v>
      </c>
      <c r="L202" s="29" t="s">
        <v>980</v>
      </c>
      <c r="M202" s="31"/>
      <c r="N202" s="31"/>
      <c r="O202" s="31"/>
      <c r="Q202" s="36"/>
      <c r="R202" s="36"/>
      <c r="S202" s="36"/>
      <c r="T202" s="36"/>
      <c r="V202" s="31"/>
    </row>
    <row r="203">
      <c r="A203" s="14" t="s">
        <v>117</v>
      </c>
      <c r="B203" s="14" t="s">
        <v>981</v>
      </c>
      <c r="C203" s="14" t="s">
        <v>982</v>
      </c>
      <c r="D203" s="14" t="s">
        <v>40</v>
      </c>
      <c r="E203" s="20" t="str">
        <f t="shared" si="2"/>
        <v>enero 2025</v>
      </c>
      <c r="F203" s="22">
        <v>45658.0</v>
      </c>
      <c r="G203" s="24">
        <f t="shared" ref="G203:H203" si="208">F203</f>
        <v>45658</v>
      </c>
      <c r="H203" s="26">
        <f t="shared" si="208"/>
        <v>45658</v>
      </c>
      <c r="I203" s="14" t="s">
        <v>259</v>
      </c>
      <c r="J203" s="14" t="s">
        <v>285</v>
      </c>
      <c r="K203" s="27">
        <v>7.0E7</v>
      </c>
      <c r="L203" s="29">
        <v>1.79</v>
      </c>
      <c r="M203" s="14"/>
      <c r="N203" s="14"/>
      <c r="O203" s="14"/>
      <c r="P203" s="14" t="s">
        <v>339</v>
      </c>
      <c r="Q203" s="163"/>
      <c r="R203" s="163"/>
      <c r="S203" s="36"/>
      <c r="T203" s="36"/>
      <c r="V203" s="31"/>
    </row>
    <row r="204">
      <c r="A204" s="14" t="s">
        <v>117</v>
      </c>
      <c r="B204" s="14" t="s">
        <v>981</v>
      </c>
      <c r="C204" s="14" t="s">
        <v>986</v>
      </c>
      <c r="D204" s="14" t="s">
        <v>40</v>
      </c>
      <c r="E204" s="20" t="str">
        <f t="shared" si="2"/>
        <v>enero 2025</v>
      </c>
      <c r="F204" s="22">
        <v>45658.0</v>
      </c>
      <c r="G204" s="24">
        <f t="shared" ref="G204:H204" si="209">F204</f>
        <v>45658</v>
      </c>
      <c r="H204" s="26">
        <f t="shared" si="209"/>
        <v>45658</v>
      </c>
      <c r="I204" s="14" t="s">
        <v>259</v>
      </c>
      <c r="J204" s="14" t="s">
        <v>285</v>
      </c>
      <c r="K204" s="27">
        <v>1.5E8</v>
      </c>
      <c r="L204" s="29">
        <v>1.79</v>
      </c>
      <c r="M204" s="14"/>
      <c r="N204" s="14"/>
      <c r="O204" s="14"/>
      <c r="P204" s="14" t="s">
        <v>339</v>
      </c>
      <c r="Q204" s="163"/>
      <c r="R204" s="163"/>
      <c r="S204" s="36"/>
      <c r="T204" s="36"/>
      <c r="V204" s="31"/>
    </row>
    <row r="205">
      <c r="A205" s="14" t="s">
        <v>117</v>
      </c>
      <c r="B205" s="14" t="s">
        <v>981</v>
      </c>
      <c r="C205" s="14" t="s">
        <v>989</v>
      </c>
      <c r="D205" s="14" t="s">
        <v>40</v>
      </c>
      <c r="E205" s="20" t="str">
        <f t="shared" si="2"/>
        <v>enero 2025</v>
      </c>
      <c r="F205" s="22">
        <v>45658.0</v>
      </c>
      <c r="G205" s="24">
        <f t="shared" ref="G205:H205" si="210">F205</f>
        <v>45658</v>
      </c>
      <c r="H205" s="26">
        <f t="shared" si="210"/>
        <v>45658</v>
      </c>
      <c r="I205" s="14" t="s">
        <v>259</v>
      </c>
      <c r="J205" s="14" t="s">
        <v>285</v>
      </c>
      <c r="K205" s="27">
        <v>2.5E8</v>
      </c>
      <c r="L205" s="29">
        <v>1.79</v>
      </c>
      <c r="M205" s="14"/>
      <c r="N205" s="14"/>
      <c r="O205" s="14"/>
      <c r="P205" s="14" t="s">
        <v>339</v>
      </c>
      <c r="Q205" s="163"/>
      <c r="R205" s="163"/>
      <c r="S205" s="36"/>
      <c r="T205" s="36"/>
      <c r="V205" s="31"/>
    </row>
    <row r="206">
      <c r="A206" s="14" t="s">
        <v>117</v>
      </c>
      <c r="B206" s="14" t="s">
        <v>981</v>
      </c>
      <c r="C206" s="14" t="s">
        <v>990</v>
      </c>
      <c r="D206" s="14" t="s">
        <v>40</v>
      </c>
      <c r="E206" s="20" t="str">
        <f t="shared" si="2"/>
        <v>enero 2025</v>
      </c>
      <c r="F206" s="22">
        <v>45658.0</v>
      </c>
      <c r="G206" s="24">
        <f t="shared" ref="G206:H206" si="211">F206</f>
        <v>45658</v>
      </c>
      <c r="H206" s="26">
        <f t="shared" si="211"/>
        <v>45658</v>
      </c>
      <c r="I206" s="14" t="s">
        <v>259</v>
      </c>
      <c r="J206" s="14" t="s">
        <v>285</v>
      </c>
      <c r="K206" s="27">
        <v>7.0E7</v>
      </c>
      <c r="L206" s="29">
        <v>1.79</v>
      </c>
      <c r="M206" s="14"/>
      <c r="N206" s="14"/>
      <c r="O206" s="14"/>
      <c r="P206" s="14" t="s">
        <v>339</v>
      </c>
      <c r="Q206" s="163"/>
      <c r="R206" s="163"/>
      <c r="S206" s="36"/>
      <c r="T206" s="36"/>
      <c r="V206" s="31"/>
    </row>
    <row r="207">
      <c r="A207" s="14" t="s">
        <v>36</v>
      </c>
      <c r="B207" s="14" t="s">
        <v>992</v>
      </c>
      <c r="C207" s="140" t="s">
        <v>994</v>
      </c>
      <c r="D207" s="14" t="s">
        <v>40</v>
      </c>
      <c r="E207" s="20" t="str">
        <f t="shared" si="2"/>
        <v>enero 2025</v>
      </c>
      <c r="F207" s="22">
        <v>45678.0</v>
      </c>
      <c r="G207" s="24">
        <f t="shared" ref="G207:H207" si="212">F207</f>
        <v>45678</v>
      </c>
      <c r="H207" s="26">
        <f t="shared" si="212"/>
        <v>45678</v>
      </c>
      <c r="I207" s="14" t="s">
        <v>90</v>
      </c>
      <c r="K207" s="27">
        <v>7.0E7</v>
      </c>
      <c r="L207" s="29" t="s">
        <v>704</v>
      </c>
      <c r="M207" s="14"/>
      <c r="N207" s="14"/>
      <c r="O207" s="14"/>
      <c r="P207" s="14" t="s">
        <v>75</v>
      </c>
      <c r="Q207" s="35" t="s">
        <v>995</v>
      </c>
      <c r="R207" s="35" t="s">
        <v>996</v>
      </c>
      <c r="S207" s="36"/>
      <c r="T207" s="36"/>
      <c r="V207" s="31"/>
    </row>
    <row r="208">
      <c r="A208" s="14" t="s">
        <v>208</v>
      </c>
      <c r="B208" s="14" t="s">
        <v>997</v>
      </c>
      <c r="C208" s="14" t="s">
        <v>998</v>
      </c>
      <c r="D208" s="14" t="s">
        <v>40</v>
      </c>
      <c r="E208" s="20" t="str">
        <f t="shared" si="2"/>
        <v>enero 2025</v>
      </c>
      <c r="F208" s="22">
        <v>45667.0</v>
      </c>
      <c r="G208" s="24">
        <f t="shared" ref="G208:H208" si="213">F208</f>
        <v>45667</v>
      </c>
      <c r="H208" s="26">
        <f t="shared" si="213"/>
        <v>45667</v>
      </c>
      <c r="I208" s="14" t="s">
        <v>259</v>
      </c>
      <c r="J208" s="14" t="s">
        <v>260</v>
      </c>
      <c r="K208" s="27">
        <v>9.0E7</v>
      </c>
      <c r="L208" s="29" t="s">
        <v>999</v>
      </c>
      <c r="M208" s="31"/>
      <c r="N208" s="31"/>
      <c r="O208" s="31"/>
      <c r="Q208" s="35"/>
      <c r="R208" s="36"/>
      <c r="S208" s="36"/>
      <c r="T208" s="36"/>
      <c r="V208" s="31"/>
    </row>
    <row r="209">
      <c r="A209" s="14" t="s">
        <v>736</v>
      </c>
      <c r="B209" s="14" t="s">
        <v>1001</v>
      </c>
      <c r="C209" s="37" t="s">
        <v>1003</v>
      </c>
      <c r="D209" s="14" t="s">
        <v>40</v>
      </c>
      <c r="E209" s="20" t="str">
        <f t="shared" si="2"/>
        <v>enero 2025</v>
      </c>
      <c r="F209" s="22">
        <v>45679.0</v>
      </c>
      <c r="G209" s="24">
        <f t="shared" ref="G209:H209" si="214">F209</f>
        <v>45679</v>
      </c>
      <c r="H209" s="26">
        <f t="shared" si="214"/>
        <v>45679</v>
      </c>
      <c r="I209" s="14" t="s">
        <v>90</v>
      </c>
      <c r="K209" s="27">
        <v>2.0E7</v>
      </c>
      <c r="L209" s="29" t="s">
        <v>1005</v>
      </c>
      <c r="M209" s="31"/>
      <c r="N209" s="31"/>
      <c r="O209" s="31"/>
      <c r="Q209" s="35"/>
      <c r="R209" s="36"/>
      <c r="S209" s="36"/>
      <c r="T209" s="36"/>
      <c r="V209" s="31"/>
    </row>
    <row r="210">
      <c r="A210" s="14" t="s">
        <v>679</v>
      </c>
      <c r="B210" s="14" t="s">
        <v>1006</v>
      </c>
      <c r="C210" s="37" t="s">
        <v>1007</v>
      </c>
      <c r="D210" s="14" t="s">
        <v>40</v>
      </c>
      <c r="E210" s="20" t="str">
        <f t="shared" si="2"/>
        <v>enero 2025</v>
      </c>
      <c r="F210" s="22">
        <v>45672.0</v>
      </c>
      <c r="G210" s="24">
        <f t="shared" ref="G210:H210" si="215">F210</f>
        <v>45672</v>
      </c>
      <c r="H210" s="26">
        <f t="shared" si="215"/>
        <v>45672</v>
      </c>
      <c r="I210" s="14" t="s">
        <v>259</v>
      </c>
      <c r="K210" s="27">
        <v>3.0E7</v>
      </c>
      <c r="L210" s="29" t="s">
        <v>1008</v>
      </c>
      <c r="M210" s="31"/>
      <c r="N210" s="31"/>
      <c r="O210" s="31"/>
      <c r="Q210" s="35"/>
      <c r="R210" s="36"/>
      <c r="S210" s="36"/>
      <c r="T210" s="36"/>
      <c r="V210" s="31"/>
    </row>
    <row r="211">
      <c r="A211" s="14" t="s">
        <v>736</v>
      </c>
      <c r="B211" s="14" t="s">
        <v>1009</v>
      </c>
      <c r="C211" s="14" t="s">
        <v>1010</v>
      </c>
      <c r="D211" s="14" t="s">
        <v>40</v>
      </c>
      <c r="E211" s="20" t="str">
        <f t="shared" si="2"/>
        <v>enero 2025</v>
      </c>
      <c r="F211" s="22">
        <v>45679.0</v>
      </c>
      <c r="G211" s="24">
        <f t="shared" ref="G211:H211" si="216">F211</f>
        <v>45679</v>
      </c>
      <c r="H211" s="26">
        <f t="shared" si="216"/>
        <v>45679</v>
      </c>
      <c r="I211" s="14" t="s">
        <v>90</v>
      </c>
      <c r="K211" s="27">
        <v>2.0E7</v>
      </c>
      <c r="L211" s="29" t="s">
        <v>1005</v>
      </c>
      <c r="M211" s="31"/>
      <c r="N211" s="31"/>
      <c r="O211" s="31"/>
      <c r="Q211" s="35"/>
      <c r="R211" s="36"/>
      <c r="S211" s="36"/>
      <c r="T211" s="36"/>
      <c r="V211" s="31"/>
    </row>
    <row r="212">
      <c r="A212" s="14" t="s">
        <v>1012</v>
      </c>
      <c r="B212" s="14" t="s">
        <v>1013</v>
      </c>
      <c r="C212" s="14" t="s">
        <v>1014</v>
      </c>
      <c r="D212" s="14" t="s">
        <v>40</v>
      </c>
      <c r="E212" s="20" t="str">
        <f t="shared" si="2"/>
        <v>enero 2025</v>
      </c>
      <c r="F212" s="22">
        <v>45673.0</v>
      </c>
      <c r="G212" s="24">
        <f t="shared" ref="G212:H212" si="217">F212</f>
        <v>45673</v>
      </c>
      <c r="H212" s="26">
        <f t="shared" si="217"/>
        <v>45673</v>
      </c>
      <c r="I212" s="14" t="s">
        <v>259</v>
      </c>
      <c r="J212" s="14" t="s">
        <v>304</v>
      </c>
      <c r="K212" s="27">
        <v>2.0E7</v>
      </c>
      <c r="L212" s="29" t="s">
        <v>1016</v>
      </c>
      <c r="M212" s="14"/>
      <c r="N212" s="14"/>
      <c r="O212" s="14"/>
      <c r="P212" s="14" t="s">
        <v>339</v>
      </c>
      <c r="Q212" s="35"/>
      <c r="R212" s="36"/>
      <c r="S212" s="36"/>
      <c r="T212" s="36"/>
      <c r="V212" s="31"/>
    </row>
    <row r="213">
      <c r="A213" s="14" t="s">
        <v>208</v>
      </c>
      <c r="B213" s="14" t="s">
        <v>1017</v>
      </c>
      <c r="C213" s="14" t="s">
        <v>1018</v>
      </c>
      <c r="D213" s="14" t="s">
        <v>40</v>
      </c>
      <c r="E213" s="20" t="str">
        <f t="shared" si="2"/>
        <v>enero 2025</v>
      </c>
      <c r="F213" s="22">
        <v>45679.0</v>
      </c>
      <c r="G213" s="24">
        <f t="shared" ref="G213:H213" si="218">F213</f>
        <v>45679</v>
      </c>
      <c r="H213" s="26">
        <f t="shared" si="218"/>
        <v>45679</v>
      </c>
      <c r="I213" s="14" t="s">
        <v>259</v>
      </c>
      <c r="J213" s="14" t="s">
        <v>260</v>
      </c>
      <c r="K213" s="27">
        <v>3.0E7</v>
      </c>
      <c r="L213" s="29" t="s">
        <v>1020</v>
      </c>
      <c r="M213" s="31"/>
      <c r="N213" s="31"/>
      <c r="O213" s="31"/>
      <c r="Q213" s="35"/>
      <c r="R213" s="36"/>
      <c r="S213" s="36"/>
      <c r="T213" s="36"/>
      <c r="V213" s="31"/>
    </row>
    <row r="214">
      <c r="A214" s="14" t="s">
        <v>117</v>
      </c>
      <c r="B214" s="14" t="s">
        <v>981</v>
      </c>
      <c r="C214" s="14" t="s">
        <v>1021</v>
      </c>
      <c r="D214" s="14" t="s">
        <v>40</v>
      </c>
      <c r="E214" s="20" t="str">
        <f t="shared" si="2"/>
        <v>febrero 2025</v>
      </c>
      <c r="F214" s="22">
        <v>45689.0</v>
      </c>
      <c r="G214" s="24">
        <f t="shared" ref="G214:H214" si="219">F214</f>
        <v>45689</v>
      </c>
      <c r="H214" s="26">
        <f t="shared" si="219"/>
        <v>45689</v>
      </c>
      <c r="I214" s="14" t="s">
        <v>90</v>
      </c>
      <c r="K214" s="27">
        <v>1.0E8</v>
      </c>
      <c r="L214" s="29">
        <v>1.79</v>
      </c>
      <c r="M214" s="14"/>
      <c r="N214" s="14"/>
      <c r="O214" s="14"/>
      <c r="P214" s="14" t="s">
        <v>339</v>
      </c>
      <c r="Q214" s="163"/>
      <c r="R214" s="163"/>
      <c r="S214" s="36"/>
      <c r="T214" s="36"/>
      <c r="V214" s="31"/>
    </row>
    <row r="215">
      <c r="A215" s="14" t="s">
        <v>679</v>
      </c>
      <c r="B215" s="14" t="s">
        <v>1023</v>
      </c>
      <c r="C215" s="14" t="s">
        <v>1024</v>
      </c>
      <c r="D215" s="14" t="s">
        <v>40</v>
      </c>
      <c r="E215" s="20" t="str">
        <f t="shared" si="2"/>
        <v>febrero 2025</v>
      </c>
      <c r="F215" s="22">
        <v>45689.0</v>
      </c>
      <c r="G215" s="24">
        <f t="shared" ref="G215:H215" si="220">F215</f>
        <v>45689</v>
      </c>
      <c r="H215" s="26">
        <f t="shared" si="220"/>
        <v>45689</v>
      </c>
      <c r="I215" s="14" t="s">
        <v>90</v>
      </c>
      <c r="K215" s="27">
        <v>3.0E7</v>
      </c>
      <c r="L215" s="29" t="s">
        <v>618</v>
      </c>
      <c r="M215" s="14"/>
      <c r="N215" s="14"/>
      <c r="O215" s="14"/>
      <c r="P215" s="14"/>
      <c r="Q215" s="163"/>
      <c r="R215" s="163"/>
      <c r="S215" s="36"/>
      <c r="T215" s="36"/>
      <c r="V215" s="31"/>
    </row>
    <row r="216">
      <c r="A216" s="14" t="s">
        <v>679</v>
      </c>
      <c r="B216" s="14" t="s">
        <v>1026</v>
      </c>
      <c r="C216" s="14" t="s">
        <v>1027</v>
      </c>
      <c r="D216" s="14" t="s">
        <v>40</v>
      </c>
      <c r="E216" s="20" t="str">
        <f t="shared" si="2"/>
        <v>febrero 2025</v>
      </c>
      <c r="F216" s="22">
        <v>45694.0</v>
      </c>
      <c r="G216" s="24">
        <f t="shared" ref="G216:H216" si="221">F216</f>
        <v>45694</v>
      </c>
      <c r="H216" s="26">
        <f t="shared" si="221"/>
        <v>45694</v>
      </c>
      <c r="I216" s="14" t="s">
        <v>90</v>
      </c>
      <c r="K216" s="27">
        <v>4.0E7</v>
      </c>
      <c r="L216" s="29" t="s">
        <v>1029</v>
      </c>
      <c r="M216" s="14"/>
      <c r="N216" s="14"/>
      <c r="O216" s="14"/>
      <c r="P216" s="14"/>
      <c r="Q216" s="163"/>
      <c r="R216" s="163"/>
      <c r="S216" s="36"/>
      <c r="T216" s="36"/>
      <c r="V216" s="31"/>
    </row>
    <row r="217">
      <c r="A217" s="14" t="s">
        <v>679</v>
      </c>
      <c r="B217" s="14" t="s">
        <v>1031</v>
      </c>
      <c r="C217" s="14" t="s">
        <v>1032</v>
      </c>
      <c r="D217" s="14" t="s">
        <v>40</v>
      </c>
      <c r="E217" s="20" t="str">
        <f t="shared" si="2"/>
        <v>febrero 2025</v>
      </c>
      <c r="F217" s="22">
        <v>45698.0</v>
      </c>
      <c r="G217" s="24">
        <f t="shared" ref="G217:H217" si="222">F217</f>
        <v>45698</v>
      </c>
      <c r="H217" s="26">
        <f t="shared" si="222"/>
        <v>45698</v>
      </c>
      <c r="I217" s="14" t="s">
        <v>90</v>
      </c>
      <c r="K217" s="27">
        <v>6.0E7</v>
      </c>
      <c r="L217" s="29" t="s">
        <v>1033</v>
      </c>
      <c r="M217" s="14"/>
      <c r="N217" s="14"/>
      <c r="O217" s="14"/>
      <c r="P217" s="14"/>
      <c r="Q217" s="163"/>
      <c r="R217" s="163"/>
      <c r="S217" s="36"/>
      <c r="T217" s="36"/>
      <c r="V217" s="31"/>
    </row>
    <row r="218">
      <c r="A218" s="14" t="s">
        <v>679</v>
      </c>
      <c r="B218" s="14" t="s">
        <v>1034</v>
      </c>
      <c r="C218" s="14" t="s">
        <v>1035</v>
      </c>
      <c r="D218" s="14" t="s">
        <v>40</v>
      </c>
      <c r="E218" s="20" t="str">
        <f t="shared" si="2"/>
        <v>febrero 2025</v>
      </c>
      <c r="F218" s="22">
        <v>45709.0</v>
      </c>
      <c r="G218" s="24">
        <f t="shared" ref="G218:H218" si="223">F218</f>
        <v>45709</v>
      </c>
      <c r="H218" s="26">
        <f t="shared" si="223"/>
        <v>45709</v>
      </c>
      <c r="I218" s="14" t="s">
        <v>259</v>
      </c>
      <c r="J218" s="14" t="s">
        <v>260</v>
      </c>
      <c r="K218" s="27">
        <v>1.0E8</v>
      </c>
      <c r="L218" s="29" t="s">
        <v>1036</v>
      </c>
      <c r="M218" s="14"/>
      <c r="N218" s="14"/>
      <c r="O218" s="14"/>
      <c r="P218" s="14"/>
      <c r="Q218" s="163"/>
      <c r="R218" s="163"/>
      <c r="S218" s="36"/>
      <c r="T218" s="36"/>
      <c r="V218" s="31"/>
    </row>
    <row r="219">
      <c r="A219" s="14" t="s">
        <v>36</v>
      </c>
      <c r="B219" s="14" t="s">
        <v>1037</v>
      </c>
      <c r="C219" s="140" t="s">
        <v>1038</v>
      </c>
      <c r="D219" s="14" t="s">
        <v>40</v>
      </c>
      <c r="E219" s="20" t="str">
        <f t="shared" si="2"/>
        <v>febrero 2025</v>
      </c>
      <c r="F219" s="22">
        <v>45691.0</v>
      </c>
      <c r="G219" s="24">
        <f t="shared" ref="G219:H219" si="224">F219</f>
        <v>45691</v>
      </c>
      <c r="H219" s="26">
        <f t="shared" si="224"/>
        <v>45691</v>
      </c>
      <c r="I219" s="14" t="s">
        <v>259</v>
      </c>
      <c r="J219" s="14" t="s">
        <v>260</v>
      </c>
      <c r="K219" s="27">
        <v>4.0E7</v>
      </c>
      <c r="L219" s="29" t="s">
        <v>915</v>
      </c>
      <c r="M219" s="31"/>
      <c r="N219" s="31"/>
      <c r="O219" s="31"/>
      <c r="Q219" s="36"/>
      <c r="R219" s="36"/>
      <c r="S219" s="36"/>
      <c r="T219" s="36"/>
      <c r="V219" s="31"/>
    </row>
    <row r="220">
      <c r="A220" s="14" t="s">
        <v>36</v>
      </c>
      <c r="B220" s="14" t="s">
        <v>1039</v>
      </c>
      <c r="C220" s="140" t="s">
        <v>1040</v>
      </c>
      <c r="D220" s="14" t="s">
        <v>40</v>
      </c>
      <c r="E220" s="20" t="str">
        <f t="shared" si="2"/>
        <v>febrero 2025</v>
      </c>
      <c r="F220" s="22">
        <v>45696.0</v>
      </c>
      <c r="G220" s="24">
        <f t="shared" ref="G220:H220" si="225">F220</f>
        <v>45696</v>
      </c>
      <c r="H220" s="26">
        <f t="shared" si="225"/>
        <v>45696</v>
      </c>
      <c r="I220" s="14" t="s">
        <v>259</v>
      </c>
      <c r="J220" s="14" t="s">
        <v>260</v>
      </c>
      <c r="K220" s="27">
        <v>9.0E7</v>
      </c>
      <c r="L220" s="29" t="s">
        <v>999</v>
      </c>
      <c r="M220" s="31"/>
      <c r="N220" s="31"/>
      <c r="O220" s="31"/>
      <c r="Q220" s="36"/>
      <c r="R220" s="36"/>
      <c r="S220" s="36"/>
      <c r="T220" s="36"/>
      <c r="V220" s="31"/>
    </row>
    <row r="221">
      <c r="A221" s="14" t="s">
        <v>117</v>
      </c>
      <c r="B221" s="14" t="s">
        <v>1043</v>
      </c>
      <c r="C221" s="14" t="s">
        <v>1044</v>
      </c>
      <c r="D221" s="14" t="s">
        <v>40</v>
      </c>
      <c r="E221" s="20" t="str">
        <f t="shared" si="2"/>
        <v>febrero 2025</v>
      </c>
      <c r="F221" s="22">
        <v>45698.0</v>
      </c>
      <c r="G221" s="24">
        <f t="shared" ref="G221:H221" si="226">F221</f>
        <v>45698</v>
      </c>
      <c r="H221" s="26">
        <f t="shared" si="226"/>
        <v>45698</v>
      </c>
      <c r="I221" s="14" t="s">
        <v>90</v>
      </c>
      <c r="K221" s="27">
        <v>6.0E7</v>
      </c>
      <c r="L221" s="29" t="s">
        <v>999</v>
      </c>
      <c r="M221" s="14"/>
      <c r="N221" s="14"/>
      <c r="O221" s="14"/>
      <c r="P221" s="14" t="s">
        <v>84</v>
      </c>
      <c r="Q221" s="36"/>
      <c r="R221" s="36"/>
      <c r="S221" s="36"/>
      <c r="T221" s="36"/>
      <c r="V221" s="31"/>
    </row>
    <row r="222">
      <c r="A222" s="14" t="s">
        <v>1045</v>
      </c>
      <c r="B222" s="14" t="s">
        <v>1046</v>
      </c>
      <c r="C222" s="15" t="s">
        <v>1047</v>
      </c>
      <c r="D222" s="14" t="s">
        <v>40</v>
      </c>
      <c r="E222" s="20" t="str">
        <f t="shared" si="2"/>
        <v>febrero 2025</v>
      </c>
      <c r="F222" s="22">
        <v>45696.0</v>
      </c>
      <c r="G222" s="24">
        <f t="shared" ref="G222:H222" si="227">F222</f>
        <v>45696</v>
      </c>
      <c r="H222" s="26">
        <f t="shared" si="227"/>
        <v>45696</v>
      </c>
      <c r="I222" s="14" t="s">
        <v>90</v>
      </c>
      <c r="K222" s="27">
        <v>1.0E7</v>
      </c>
      <c r="L222" s="29" t="s">
        <v>91</v>
      </c>
      <c r="M222" s="31"/>
      <c r="N222" s="31"/>
      <c r="O222" s="31"/>
      <c r="Q222" s="36"/>
      <c r="R222" s="36"/>
      <c r="S222" s="36"/>
      <c r="T222" s="36"/>
      <c r="V222" s="31"/>
    </row>
    <row r="223">
      <c r="A223" s="14" t="s">
        <v>1045</v>
      </c>
      <c r="B223" s="14" t="s">
        <v>1048</v>
      </c>
      <c r="C223" s="15" t="s">
        <v>1049</v>
      </c>
      <c r="D223" s="14" t="s">
        <v>40</v>
      </c>
      <c r="E223" s="20" t="str">
        <f t="shared" si="2"/>
        <v>febrero 2025</v>
      </c>
      <c r="F223" s="22">
        <v>45705.0</v>
      </c>
      <c r="G223" s="24">
        <f t="shared" ref="G223:H223" si="228">F223</f>
        <v>45705</v>
      </c>
      <c r="H223" s="26">
        <f t="shared" si="228"/>
        <v>45705</v>
      </c>
      <c r="I223" s="14" t="s">
        <v>90</v>
      </c>
      <c r="K223" s="27">
        <v>2.0E7</v>
      </c>
      <c r="L223" s="29" t="s">
        <v>91</v>
      </c>
      <c r="M223" s="31"/>
      <c r="N223" s="31"/>
      <c r="O223" s="31"/>
      <c r="Q223" s="36"/>
      <c r="R223" s="36"/>
      <c r="S223" s="36"/>
      <c r="T223" s="36"/>
      <c r="V223" s="31"/>
    </row>
    <row r="224">
      <c r="A224" s="14" t="s">
        <v>117</v>
      </c>
      <c r="B224" s="14" t="s">
        <v>1053</v>
      </c>
      <c r="C224" s="14" t="s">
        <v>1054</v>
      </c>
      <c r="D224" s="14" t="s">
        <v>40</v>
      </c>
      <c r="E224" s="20" t="str">
        <f t="shared" si="2"/>
        <v>febrero 2025</v>
      </c>
      <c r="F224" s="22">
        <v>45701.0</v>
      </c>
      <c r="G224" s="24">
        <f t="shared" ref="G224:H224" si="229">F224</f>
        <v>45701</v>
      </c>
      <c r="H224" s="26">
        <f t="shared" si="229"/>
        <v>45701</v>
      </c>
      <c r="I224" s="14" t="s">
        <v>90</v>
      </c>
      <c r="K224" s="27">
        <v>2.0E7</v>
      </c>
      <c r="L224" s="29" t="s">
        <v>1055</v>
      </c>
      <c r="M224" s="31"/>
      <c r="N224" s="31"/>
      <c r="O224" s="31"/>
      <c r="Q224" s="36"/>
      <c r="R224" s="36"/>
      <c r="S224" s="36"/>
      <c r="T224" s="36"/>
      <c r="V224" s="31"/>
    </row>
    <row r="225">
      <c r="A225" s="14" t="s">
        <v>36</v>
      </c>
      <c r="B225" s="14" t="s">
        <v>1056</v>
      </c>
      <c r="C225" s="177" t="s">
        <v>1057</v>
      </c>
      <c r="D225" s="14" t="s">
        <v>40</v>
      </c>
      <c r="E225" s="20" t="str">
        <f t="shared" si="2"/>
        <v>febrero 2025</v>
      </c>
      <c r="F225" s="22">
        <v>45706.0</v>
      </c>
      <c r="G225" s="24">
        <f t="shared" ref="G225:H225" si="230">F225</f>
        <v>45706</v>
      </c>
      <c r="H225" s="26">
        <f t="shared" si="230"/>
        <v>45706</v>
      </c>
      <c r="I225" s="14" t="s">
        <v>90</v>
      </c>
      <c r="K225" s="27">
        <v>1.5E8</v>
      </c>
      <c r="L225" s="29" t="s">
        <v>999</v>
      </c>
      <c r="M225" s="14"/>
      <c r="N225" s="14"/>
      <c r="O225" s="14"/>
      <c r="P225" s="14" t="s">
        <v>75</v>
      </c>
      <c r="Q225" s="36"/>
      <c r="R225" s="36"/>
      <c r="S225" s="36"/>
      <c r="T225" s="36"/>
      <c r="V225" s="31"/>
    </row>
    <row r="226">
      <c r="A226" s="14" t="s">
        <v>1045</v>
      </c>
      <c r="B226" s="14" t="s">
        <v>1060</v>
      </c>
      <c r="C226" s="15" t="s">
        <v>1061</v>
      </c>
      <c r="D226" s="14" t="s">
        <v>40</v>
      </c>
      <c r="E226" s="20" t="str">
        <f t="shared" si="2"/>
        <v>febrero 2025</v>
      </c>
      <c r="F226" s="22">
        <v>45709.0</v>
      </c>
      <c r="G226" s="24">
        <f t="shared" ref="G226:H226" si="231">F226</f>
        <v>45709</v>
      </c>
      <c r="H226" s="26">
        <f t="shared" si="231"/>
        <v>45709</v>
      </c>
      <c r="I226" s="14" t="s">
        <v>90</v>
      </c>
      <c r="K226" s="27">
        <v>2.0E7</v>
      </c>
      <c r="L226" s="29" t="s">
        <v>91</v>
      </c>
      <c r="M226" s="31"/>
      <c r="N226" s="31"/>
      <c r="O226" s="31"/>
      <c r="Q226" s="36"/>
      <c r="R226" s="36"/>
      <c r="S226" s="36"/>
      <c r="T226" s="36"/>
      <c r="V226" s="31"/>
    </row>
    <row r="227">
      <c r="A227" s="14" t="s">
        <v>736</v>
      </c>
      <c r="B227" s="14" t="s">
        <v>1062</v>
      </c>
      <c r="C227" s="27" t="s">
        <v>1063</v>
      </c>
      <c r="D227" s="14" t="s">
        <v>40</v>
      </c>
      <c r="E227" s="20" t="str">
        <f t="shared" si="2"/>
        <v>febrero 2025</v>
      </c>
      <c r="F227" s="22">
        <v>45706.0</v>
      </c>
      <c r="G227" s="24">
        <f t="shared" ref="G227:H227" si="232">F227</f>
        <v>45706</v>
      </c>
      <c r="H227" s="26">
        <f t="shared" si="232"/>
        <v>45706</v>
      </c>
      <c r="I227" s="14" t="s">
        <v>90</v>
      </c>
      <c r="K227" s="27">
        <v>1.0E7</v>
      </c>
      <c r="L227" s="78"/>
      <c r="M227" s="31"/>
      <c r="N227" s="31"/>
      <c r="O227" s="31"/>
      <c r="Q227" s="36"/>
      <c r="R227" s="36"/>
      <c r="S227" s="36"/>
      <c r="T227" s="36"/>
      <c r="V227" s="31"/>
    </row>
    <row r="228">
      <c r="A228" s="14" t="s">
        <v>736</v>
      </c>
      <c r="B228" s="14" t="s">
        <v>1071</v>
      </c>
      <c r="C228" s="27" t="s">
        <v>1072</v>
      </c>
      <c r="D228" s="14" t="s">
        <v>40</v>
      </c>
      <c r="E228" s="20" t="str">
        <f t="shared" si="2"/>
        <v>febrero 2025</v>
      </c>
      <c r="F228" s="22">
        <v>45709.0</v>
      </c>
      <c r="G228" s="24">
        <f t="shared" ref="G228:H228" si="233">F228</f>
        <v>45709</v>
      </c>
      <c r="H228" s="26">
        <f t="shared" si="233"/>
        <v>45709</v>
      </c>
      <c r="I228" s="14" t="s">
        <v>259</v>
      </c>
      <c r="J228" s="141" t="s">
        <v>726</v>
      </c>
      <c r="K228" s="27">
        <v>6.0E7</v>
      </c>
      <c r="L228" s="78"/>
      <c r="M228" s="14"/>
      <c r="N228" s="14"/>
      <c r="O228" s="14"/>
      <c r="P228" s="14" t="s">
        <v>75</v>
      </c>
      <c r="Q228" s="36"/>
      <c r="R228" s="36"/>
      <c r="S228" s="36"/>
      <c r="T228" s="36"/>
      <c r="V228" s="31"/>
    </row>
    <row r="229">
      <c r="A229" s="14" t="s">
        <v>736</v>
      </c>
      <c r="B229" s="14" t="s">
        <v>1073</v>
      </c>
      <c r="C229" s="27" t="s">
        <v>1074</v>
      </c>
      <c r="D229" s="14" t="s">
        <v>40</v>
      </c>
      <c r="E229" s="20" t="str">
        <f t="shared" si="2"/>
        <v>febrero 2025</v>
      </c>
      <c r="F229" s="22">
        <v>45691.0</v>
      </c>
      <c r="G229" s="24">
        <f t="shared" ref="G229:H229" si="234">F229</f>
        <v>45691</v>
      </c>
      <c r="H229" s="26">
        <f t="shared" si="234"/>
        <v>45691</v>
      </c>
      <c r="I229" s="14" t="s">
        <v>259</v>
      </c>
      <c r="J229" s="14" t="s">
        <v>304</v>
      </c>
      <c r="K229" s="27">
        <v>1.0E7</v>
      </c>
      <c r="L229" s="78"/>
      <c r="M229" s="31"/>
      <c r="N229" s="31"/>
      <c r="O229" s="31"/>
      <c r="Q229" s="36"/>
      <c r="R229" s="36"/>
      <c r="S229" s="36"/>
      <c r="T229" s="36"/>
      <c r="V229" s="31"/>
    </row>
    <row r="230">
      <c r="A230" s="34" t="s">
        <v>1075</v>
      </c>
      <c r="B230" s="34" t="s">
        <v>1077</v>
      </c>
      <c r="C230" s="184" t="s">
        <v>1078</v>
      </c>
      <c r="D230" s="34" t="s">
        <v>40</v>
      </c>
      <c r="E230" s="20" t="str">
        <f t="shared" si="2"/>
        <v>febrero 2025</v>
      </c>
      <c r="F230" s="22">
        <v>45693.0</v>
      </c>
      <c r="G230" s="24">
        <f t="shared" ref="G230:H230" si="235">F230</f>
        <v>45693</v>
      </c>
      <c r="H230" s="26">
        <f t="shared" si="235"/>
        <v>45693</v>
      </c>
      <c r="I230" s="34" t="s">
        <v>90</v>
      </c>
      <c r="J230" s="34"/>
      <c r="K230" s="187">
        <v>2.0E7</v>
      </c>
      <c r="L230" s="188" t="s">
        <v>1005</v>
      </c>
      <c r="M230" s="34"/>
      <c r="N230" s="34"/>
      <c r="O230" s="34"/>
      <c r="P230" s="34"/>
      <c r="Q230" s="36"/>
      <c r="R230" s="36"/>
      <c r="S230" s="36"/>
      <c r="T230" s="36"/>
      <c r="V230" s="31"/>
    </row>
    <row r="231">
      <c r="A231" s="34" t="s">
        <v>1075</v>
      </c>
      <c r="B231" s="34" t="s">
        <v>1089</v>
      </c>
      <c r="C231" s="184" t="s">
        <v>1090</v>
      </c>
      <c r="D231" s="34" t="s">
        <v>40</v>
      </c>
      <c r="E231" s="20" t="str">
        <f t="shared" si="2"/>
        <v>febrero 2025</v>
      </c>
      <c r="F231" s="22">
        <v>45693.0</v>
      </c>
      <c r="G231" s="24">
        <f t="shared" ref="G231:H231" si="236">F231</f>
        <v>45693</v>
      </c>
      <c r="H231" s="26">
        <f t="shared" si="236"/>
        <v>45693</v>
      </c>
      <c r="I231" s="34" t="s">
        <v>90</v>
      </c>
      <c r="J231" s="34"/>
      <c r="K231" s="187">
        <v>2.0E7</v>
      </c>
      <c r="L231" s="188" t="s">
        <v>1005</v>
      </c>
      <c r="M231" s="34"/>
      <c r="N231" s="34"/>
      <c r="O231" s="34"/>
      <c r="P231" s="34"/>
      <c r="Q231" s="36"/>
      <c r="R231" s="36"/>
      <c r="S231" s="36"/>
      <c r="T231" s="36"/>
      <c r="V231" s="31"/>
    </row>
    <row r="232">
      <c r="A232" s="34" t="s">
        <v>1075</v>
      </c>
      <c r="B232" s="184" t="s">
        <v>1095</v>
      </c>
      <c r="C232" s="184" t="s">
        <v>1097</v>
      </c>
      <c r="D232" s="34" t="s">
        <v>40</v>
      </c>
      <c r="E232" s="20" t="str">
        <f t="shared" si="2"/>
        <v>febrero 2025</v>
      </c>
      <c r="F232" s="22">
        <v>45693.0</v>
      </c>
      <c r="G232" s="24">
        <f t="shared" ref="G232:H232" si="237">F232</f>
        <v>45693</v>
      </c>
      <c r="H232" s="26">
        <f t="shared" si="237"/>
        <v>45693</v>
      </c>
      <c r="I232" s="34" t="s">
        <v>90</v>
      </c>
      <c r="J232" s="34"/>
      <c r="K232" s="189">
        <v>6.0E7</v>
      </c>
      <c r="L232" s="188" t="s">
        <v>1036</v>
      </c>
      <c r="M232" s="34"/>
      <c r="N232" s="34"/>
      <c r="O232" s="34"/>
      <c r="P232" s="34"/>
      <c r="Q232" s="36"/>
      <c r="R232" s="36"/>
      <c r="S232" s="36"/>
      <c r="T232" s="36"/>
      <c r="V232" s="31"/>
    </row>
    <row r="233">
      <c r="A233" s="34" t="s">
        <v>1075</v>
      </c>
      <c r="B233" s="34" t="s">
        <v>1105</v>
      </c>
      <c r="C233" s="184" t="s">
        <v>1107</v>
      </c>
      <c r="D233" s="34" t="s">
        <v>40</v>
      </c>
      <c r="E233" s="20" t="str">
        <f t="shared" si="2"/>
        <v>febrero 2025</v>
      </c>
      <c r="F233" s="22">
        <v>45693.0</v>
      </c>
      <c r="G233" s="24">
        <f t="shared" ref="G233:H233" si="238">F233</f>
        <v>45693</v>
      </c>
      <c r="H233" s="26">
        <f t="shared" si="238"/>
        <v>45693</v>
      </c>
      <c r="I233" s="34" t="s">
        <v>90</v>
      </c>
      <c r="J233" s="34"/>
      <c r="K233" s="189">
        <v>6.0E7</v>
      </c>
      <c r="L233" s="188" t="s">
        <v>1036</v>
      </c>
      <c r="M233" s="34"/>
      <c r="N233" s="34"/>
      <c r="O233" s="34"/>
      <c r="P233" s="34"/>
      <c r="Q233" s="36"/>
      <c r="R233" s="36"/>
      <c r="S233" s="36"/>
      <c r="T233" s="36"/>
      <c r="V233" s="31"/>
    </row>
    <row r="234">
      <c r="A234" s="34" t="s">
        <v>1075</v>
      </c>
      <c r="B234" s="34" t="s">
        <v>1113</v>
      </c>
      <c r="C234" s="184" t="s">
        <v>1114</v>
      </c>
      <c r="D234" s="34" t="s">
        <v>40</v>
      </c>
      <c r="E234" s="20" t="str">
        <f t="shared" si="2"/>
        <v>febrero 2025</v>
      </c>
      <c r="F234" s="22">
        <v>45693.0</v>
      </c>
      <c r="G234" s="24">
        <f t="shared" ref="G234:H234" si="239">F234</f>
        <v>45693</v>
      </c>
      <c r="H234" s="26">
        <f t="shared" si="239"/>
        <v>45693</v>
      </c>
      <c r="I234" s="34" t="s">
        <v>90</v>
      </c>
      <c r="J234" s="34"/>
      <c r="K234" s="189">
        <v>6.0E7</v>
      </c>
      <c r="L234" s="188" t="s">
        <v>1036</v>
      </c>
      <c r="M234" s="34"/>
      <c r="N234" s="34"/>
      <c r="O234" s="34"/>
      <c r="P234" s="34"/>
      <c r="Q234" s="36"/>
      <c r="R234" s="36"/>
      <c r="S234" s="36"/>
      <c r="T234" s="36"/>
      <c r="V234" s="31"/>
    </row>
    <row r="235">
      <c r="A235" s="34" t="s">
        <v>1075</v>
      </c>
      <c r="B235" s="34" t="s">
        <v>1122</v>
      </c>
      <c r="C235" s="184" t="s">
        <v>1123</v>
      </c>
      <c r="D235" s="34" t="s">
        <v>40</v>
      </c>
      <c r="E235" s="20" t="str">
        <f t="shared" si="2"/>
        <v>febrero 2025</v>
      </c>
      <c r="F235" s="22">
        <v>45693.0</v>
      </c>
      <c r="G235" s="24">
        <f t="shared" ref="G235:H235" si="240">F235</f>
        <v>45693</v>
      </c>
      <c r="H235" s="26">
        <f t="shared" si="240"/>
        <v>45693</v>
      </c>
      <c r="I235" s="123" t="s">
        <v>259</v>
      </c>
      <c r="J235" s="34"/>
      <c r="K235" s="190">
        <v>3.2E8</v>
      </c>
      <c r="L235" s="188">
        <v>1.79</v>
      </c>
      <c r="M235" s="34"/>
      <c r="N235" s="34"/>
      <c r="O235" s="34"/>
      <c r="P235" s="34" t="s">
        <v>75</v>
      </c>
      <c r="Q235" s="36"/>
      <c r="R235" s="36"/>
      <c r="S235" s="36"/>
      <c r="T235" s="36"/>
      <c r="V235" s="31"/>
    </row>
    <row r="236">
      <c r="A236" s="14" t="s">
        <v>36</v>
      </c>
      <c r="B236" s="14" t="s">
        <v>1129</v>
      </c>
      <c r="C236" s="14" t="s">
        <v>1130</v>
      </c>
      <c r="D236" s="14" t="s">
        <v>40</v>
      </c>
      <c r="E236" s="20" t="str">
        <f t="shared" si="2"/>
        <v>marzo 2025</v>
      </c>
      <c r="F236" s="22">
        <v>45723.0</v>
      </c>
      <c r="G236" s="24">
        <f t="shared" ref="G236:H236" si="241">F236</f>
        <v>45723</v>
      </c>
      <c r="H236" s="26">
        <f t="shared" si="241"/>
        <v>45723</v>
      </c>
      <c r="I236" s="14" t="s">
        <v>259</v>
      </c>
      <c r="J236" s="141" t="s">
        <v>726</v>
      </c>
      <c r="K236" s="27">
        <v>4.0E7</v>
      </c>
      <c r="L236" s="29" t="s">
        <v>1134</v>
      </c>
      <c r="M236" s="31"/>
      <c r="N236" s="31"/>
      <c r="O236" s="31"/>
      <c r="Q236" s="36"/>
      <c r="R236" s="36"/>
      <c r="S236" s="36"/>
      <c r="T236" s="36"/>
      <c r="V236" s="31"/>
    </row>
    <row r="237">
      <c r="A237" s="14" t="s">
        <v>36</v>
      </c>
      <c r="B237" s="14" t="s">
        <v>1136</v>
      </c>
      <c r="C237" s="14" t="s">
        <v>1137</v>
      </c>
      <c r="D237" s="14" t="s">
        <v>40</v>
      </c>
      <c r="E237" s="20" t="str">
        <f t="shared" si="2"/>
        <v>marzo 2025</v>
      </c>
      <c r="F237" s="22">
        <v>45727.0</v>
      </c>
      <c r="G237" s="24">
        <f t="shared" ref="G237:H237" si="242">F237</f>
        <v>45727</v>
      </c>
      <c r="H237" s="26">
        <f t="shared" si="242"/>
        <v>45727</v>
      </c>
      <c r="I237" s="14" t="s">
        <v>259</v>
      </c>
      <c r="J237" s="141" t="s">
        <v>726</v>
      </c>
      <c r="K237" s="27">
        <v>4.5E8</v>
      </c>
      <c r="L237" s="29" t="s">
        <v>1143</v>
      </c>
      <c r="M237" s="14"/>
      <c r="N237" s="14"/>
      <c r="O237" s="14"/>
      <c r="P237" s="14" t="s">
        <v>75</v>
      </c>
      <c r="Q237" s="36"/>
      <c r="R237" s="36"/>
      <c r="S237" s="36"/>
      <c r="T237" s="36"/>
      <c r="V237" s="31"/>
    </row>
    <row r="238">
      <c r="A238" s="14" t="s">
        <v>36</v>
      </c>
      <c r="B238" s="14" t="s">
        <v>1145</v>
      </c>
      <c r="C238" s="14" t="s">
        <v>1146</v>
      </c>
      <c r="D238" s="14" t="s">
        <v>40</v>
      </c>
      <c r="E238" s="20" t="str">
        <f t="shared" si="2"/>
        <v>marzo 2025</v>
      </c>
      <c r="F238" s="22">
        <v>45727.0</v>
      </c>
      <c r="G238" s="24">
        <f t="shared" ref="G238:H238" si="243">F238</f>
        <v>45727</v>
      </c>
      <c r="H238" s="26">
        <f t="shared" si="243"/>
        <v>45727</v>
      </c>
      <c r="I238" s="14" t="s">
        <v>90</v>
      </c>
      <c r="K238" s="27">
        <v>7.0E7</v>
      </c>
      <c r="L238" s="29" t="s">
        <v>1153</v>
      </c>
      <c r="M238" s="14"/>
      <c r="N238" s="14"/>
      <c r="O238" s="14"/>
      <c r="P238" s="14" t="s">
        <v>75</v>
      </c>
      <c r="Q238" s="36"/>
      <c r="R238" s="36"/>
      <c r="S238" s="36"/>
      <c r="T238" s="36"/>
      <c r="V238" s="31"/>
    </row>
    <row r="239">
      <c r="A239" s="14" t="s">
        <v>117</v>
      </c>
      <c r="B239" s="14" t="s">
        <v>1157</v>
      </c>
      <c r="C239" s="14" t="s">
        <v>1158</v>
      </c>
      <c r="D239" s="14" t="s">
        <v>40</v>
      </c>
      <c r="E239" s="20" t="str">
        <f t="shared" si="2"/>
        <v>marzo 2025</v>
      </c>
      <c r="F239" s="22">
        <v>45727.0</v>
      </c>
      <c r="G239" s="24">
        <f t="shared" ref="G239:H239" si="244">F239</f>
        <v>45727</v>
      </c>
      <c r="H239" s="26">
        <f t="shared" si="244"/>
        <v>45727</v>
      </c>
      <c r="I239" s="14" t="s">
        <v>259</v>
      </c>
      <c r="J239" s="141" t="s">
        <v>726</v>
      </c>
      <c r="K239" s="27">
        <v>2.0E7</v>
      </c>
      <c r="L239" s="29" t="s">
        <v>1016</v>
      </c>
      <c r="M239" s="31"/>
      <c r="N239" s="31"/>
      <c r="O239" s="31"/>
      <c r="Q239" s="36"/>
      <c r="R239" s="36"/>
      <c r="S239" s="36"/>
      <c r="T239" s="36"/>
      <c r="V239" s="31"/>
    </row>
    <row r="240">
      <c r="A240" s="14" t="s">
        <v>117</v>
      </c>
      <c r="B240" s="14" t="s">
        <v>1162</v>
      </c>
      <c r="C240" s="14" t="s">
        <v>1163</v>
      </c>
      <c r="D240" s="14" t="s">
        <v>40</v>
      </c>
      <c r="E240" s="20" t="str">
        <f t="shared" si="2"/>
        <v>marzo 2025</v>
      </c>
      <c r="F240" s="22">
        <v>45729.0</v>
      </c>
      <c r="G240" s="24">
        <f t="shared" ref="G240:H240" si="245">F240</f>
        <v>45729</v>
      </c>
      <c r="H240" s="26">
        <f t="shared" si="245"/>
        <v>45729</v>
      </c>
      <c r="I240" s="14" t="s">
        <v>259</v>
      </c>
      <c r="J240" s="141" t="s">
        <v>726</v>
      </c>
      <c r="K240" s="27">
        <v>2.5E8</v>
      </c>
      <c r="L240" s="188" t="s">
        <v>1036</v>
      </c>
      <c r="M240" s="14"/>
      <c r="N240" s="14" t="s">
        <v>84</v>
      </c>
      <c r="O240" s="14"/>
      <c r="P240" s="14" t="s">
        <v>84</v>
      </c>
      <c r="Q240" s="36"/>
      <c r="R240" s="36"/>
      <c r="S240" s="36"/>
      <c r="T240" s="36"/>
      <c r="V240" s="31"/>
    </row>
    <row r="241">
      <c r="A241" s="34" t="s">
        <v>1075</v>
      </c>
      <c r="B241" s="34" t="s">
        <v>1169</v>
      </c>
      <c r="C241" s="38" t="s">
        <v>1170</v>
      </c>
      <c r="D241" s="34" t="s">
        <v>40</v>
      </c>
      <c r="E241" s="20" t="str">
        <f t="shared" si="2"/>
        <v>marzo 2025</v>
      </c>
      <c r="F241" s="22">
        <v>45721.0</v>
      </c>
      <c r="G241" s="24">
        <f t="shared" ref="G241:H241" si="246">F241</f>
        <v>45721</v>
      </c>
      <c r="H241" s="26">
        <f t="shared" si="246"/>
        <v>45721</v>
      </c>
      <c r="I241" s="34" t="s">
        <v>90</v>
      </c>
      <c r="J241" s="34"/>
      <c r="K241" s="190">
        <v>9.0E7</v>
      </c>
      <c r="L241" s="188" t="s">
        <v>1174</v>
      </c>
      <c r="M241" s="34"/>
      <c r="N241" s="34"/>
      <c r="O241" s="34"/>
      <c r="P241" s="34"/>
      <c r="Q241" s="36"/>
      <c r="R241" s="36"/>
      <c r="S241" s="36"/>
      <c r="T241" s="36"/>
      <c r="V241" s="31"/>
    </row>
    <row r="242">
      <c r="A242" s="34" t="s">
        <v>1075</v>
      </c>
      <c r="B242" s="34" t="s">
        <v>1180</v>
      </c>
      <c r="C242" s="191" t="s">
        <v>1181</v>
      </c>
      <c r="D242" s="34" t="s">
        <v>40</v>
      </c>
      <c r="E242" s="20" t="str">
        <f t="shared" si="2"/>
        <v>marzo 2025</v>
      </c>
      <c r="F242" s="22">
        <v>45721.0</v>
      </c>
      <c r="G242" s="24">
        <f t="shared" ref="G242:H242" si="247">F242</f>
        <v>45721</v>
      </c>
      <c r="H242" s="26">
        <f t="shared" si="247"/>
        <v>45721</v>
      </c>
      <c r="I242" s="34" t="s">
        <v>90</v>
      </c>
      <c r="J242" s="34"/>
      <c r="K242" s="190">
        <v>2.5E8</v>
      </c>
      <c r="L242" s="188" t="s">
        <v>1174</v>
      </c>
      <c r="M242" s="34"/>
      <c r="N242" s="34"/>
      <c r="O242" s="34"/>
      <c r="P242" s="34"/>
      <c r="Q242" s="36"/>
      <c r="R242" s="36"/>
      <c r="S242" s="36"/>
      <c r="T242" s="36"/>
      <c r="V242" s="31"/>
    </row>
    <row r="243">
      <c r="A243" s="14" t="s">
        <v>1045</v>
      </c>
      <c r="B243" s="14" t="s">
        <v>1190</v>
      </c>
      <c r="C243" s="15" t="s">
        <v>1191</v>
      </c>
      <c r="D243" s="14" t="s">
        <v>40</v>
      </c>
      <c r="E243" s="20" t="str">
        <f t="shared" si="2"/>
        <v>marzo 2025</v>
      </c>
      <c r="F243" s="22">
        <v>45734.0</v>
      </c>
      <c r="G243" s="24">
        <f t="shared" ref="G243:H243" si="248">F243</f>
        <v>45734</v>
      </c>
      <c r="H243" s="26">
        <f t="shared" si="248"/>
        <v>45734</v>
      </c>
      <c r="I243" s="14" t="s">
        <v>90</v>
      </c>
      <c r="K243" s="27">
        <v>1.0E7</v>
      </c>
      <c r="L243" s="29" t="s">
        <v>1195</v>
      </c>
      <c r="M243" s="31"/>
      <c r="N243" s="31"/>
      <c r="O243" s="31"/>
      <c r="Q243" s="36"/>
      <c r="R243" s="36"/>
      <c r="S243" s="36"/>
      <c r="T243" s="36"/>
      <c r="V243" s="31"/>
    </row>
    <row r="244">
      <c r="A244" s="14" t="s">
        <v>1045</v>
      </c>
      <c r="B244" s="14" t="s">
        <v>1198</v>
      </c>
      <c r="C244" s="15" t="s">
        <v>1199</v>
      </c>
      <c r="D244" s="14" t="s">
        <v>40</v>
      </c>
      <c r="E244" s="20" t="str">
        <f t="shared" si="2"/>
        <v>marzo 2025</v>
      </c>
      <c r="F244" s="22">
        <v>45734.0</v>
      </c>
      <c r="G244" s="24">
        <f t="shared" ref="G244:H244" si="249">F244</f>
        <v>45734</v>
      </c>
      <c r="H244" s="26">
        <f t="shared" si="249"/>
        <v>45734</v>
      </c>
      <c r="I244" s="14" t="s">
        <v>90</v>
      </c>
      <c r="K244" s="27">
        <v>1000000.0</v>
      </c>
      <c r="L244" s="29" t="s">
        <v>1203</v>
      </c>
      <c r="M244" s="31"/>
      <c r="N244" s="31"/>
      <c r="O244" s="31"/>
      <c r="Q244" s="36"/>
      <c r="R244" s="36"/>
      <c r="S244" s="36"/>
      <c r="T244" s="36"/>
      <c r="V244" s="31"/>
    </row>
    <row r="245">
      <c r="A245" s="14" t="s">
        <v>736</v>
      </c>
      <c r="B245" s="14" t="s">
        <v>1205</v>
      </c>
      <c r="C245" s="27" t="s">
        <v>1207</v>
      </c>
      <c r="D245" s="14" t="s">
        <v>40</v>
      </c>
      <c r="E245" s="20" t="str">
        <f t="shared" si="2"/>
        <v>marzo 2025</v>
      </c>
      <c r="F245" s="22">
        <v>45717.0</v>
      </c>
      <c r="G245" s="24">
        <f t="shared" ref="G245:H245" si="250">F245</f>
        <v>45717</v>
      </c>
      <c r="H245" s="26">
        <f t="shared" si="250"/>
        <v>45717</v>
      </c>
      <c r="I245" s="14" t="s">
        <v>259</v>
      </c>
      <c r="J245" s="141" t="s">
        <v>726</v>
      </c>
      <c r="K245" s="27">
        <v>5.0E7</v>
      </c>
      <c r="L245" s="29" t="s">
        <v>1210</v>
      </c>
      <c r="M245" s="14"/>
      <c r="N245" s="14"/>
      <c r="O245" s="14"/>
      <c r="P245" s="14" t="s">
        <v>75</v>
      </c>
      <c r="Q245" s="36"/>
      <c r="R245" s="36"/>
      <c r="S245" s="36"/>
      <c r="T245" s="36"/>
      <c r="V245" s="31"/>
    </row>
    <row r="246">
      <c r="A246" s="14" t="s">
        <v>736</v>
      </c>
      <c r="B246" s="14" t="s">
        <v>1213</v>
      </c>
      <c r="C246" s="27" t="s">
        <v>1214</v>
      </c>
      <c r="D246" s="14" t="s">
        <v>40</v>
      </c>
      <c r="E246" s="20" t="str">
        <f t="shared" si="2"/>
        <v>marzo 2025</v>
      </c>
      <c r="F246" s="22">
        <v>45724.0</v>
      </c>
      <c r="G246" s="24">
        <f t="shared" ref="G246:H246" si="251">F246</f>
        <v>45724</v>
      </c>
      <c r="H246" s="26">
        <f t="shared" si="251"/>
        <v>45724</v>
      </c>
      <c r="I246" s="14" t="s">
        <v>259</v>
      </c>
      <c r="J246" s="14" t="s">
        <v>285</v>
      </c>
      <c r="K246" s="27">
        <v>4.0E7</v>
      </c>
      <c r="L246" s="29" t="s">
        <v>1210</v>
      </c>
      <c r="M246" s="31"/>
      <c r="N246" s="31"/>
      <c r="O246" s="31"/>
      <c r="Q246" s="36"/>
      <c r="R246" s="36"/>
      <c r="S246" s="36"/>
      <c r="T246" s="36"/>
      <c r="V246" s="31"/>
    </row>
    <row r="247">
      <c r="A247" s="14" t="s">
        <v>736</v>
      </c>
      <c r="B247" s="14" t="s">
        <v>1222</v>
      </c>
      <c r="C247" s="27" t="s">
        <v>1224</v>
      </c>
      <c r="D247" s="14" t="s">
        <v>40</v>
      </c>
      <c r="E247" s="20" t="str">
        <f t="shared" si="2"/>
        <v>marzo 2025</v>
      </c>
      <c r="F247" s="22">
        <v>45726.0</v>
      </c>
      <c r="G247" s="24">
        <f t="shared" ref="G247:H247" si="252">F247</f>
        <v>45726</v>
      </c>
      <c r="H247" s="26">
        <f t="shared" si="252"/>
        <v>45726</v>
      </c>
      <c r="I247" s="14" t="s">
        <v>90</v>
      </c>
      <c r="K247" s="27">
        <v>2.0E7</v>
      </c>
      <c r="L247" s="29" t="s">
        <v>1203</v>
      </c>
      <c r="M247" s="31"/>
      <c r="N247" s="31"/>
      <c r="O247" s="31"/>
      <c r="Q247" s="36"/>
      <c r="R247" s="36"/>
      <c r="S247" s="36"/>
      <c r="T247" s="36"/>
      <c r="V247" s="31"/>
    </row>
    <row r="248">
      <c r="A248" s="14" t="s">
        <v>736</v>
      </c>
      <c r="B248" s="14" t="s">
        <v>1235</v>
      </c>
      <c r="C248" s="27" t="s">
        <v>1236</v>
      </c>
      <c r="D248" s="14" t="s">
        <v>40</v>
      </c>
      <c r="E248" s="20" t="str">
        <f t="shared" si="2"/>
        <v>marzo 2025</v>
      </c>
      <c r="F248" s="22">
        <v>45726.0</v>
      </c>
      <c r="G248" s="24">
        <f t="shared" ref="G248:H248" si="253">F248</f>
        <v>45726</v>
      </c>
      <c r="H248" s="26">
        <f t="shared" si="253"/>
        <v>45726</v>
      </c>
      <c r="I248" s="14" t="s">
        <v>90</v>
      </c>
      <c r="K248" s="27">
        <v>5000000.0</v>
      </c>
      <c r="L248" s="29" t="s">
        <v>1203</v>
      </c>
      <c r="M248" s="31"/>
      <c r="N248" s="31"/>
      <c r="O248" s="31"/>
      <c r="Q248" s="36"/>
      <c r="R248" s="36"/>
      <c r="S248" s="36"/>
      <c r="T248" s="36"/>
      <c r="V248" s="31"/>
    </row>
    <row r="249">
      <c r="A249" s="14" t="s">
        <v>736</v>
      </c>
      <c r="B249" s="14" t="s">
        <v>1244</v>
      </c>
      <c r="C249" s="27" t="s">
        <v>1245</v>
      </c>
      <c r="D249" s="14" t="s">
        <v>40</v>
      </c>
      <c r="E249" s="20" t="str">
        <f t="shared" si="2"/>
        <v>marzo 2025</v>
      </c>
      <c r="F249" s="22">
        <v>45734.0</v>
      </c>
      <c r="G249" s="24">
        <f t="shared" ref="G249:H249" si="254">F249</f>
        <v>45734</v>
      </c>
      <c r="H249" s="26">
        <f t="shared" si="254"/>
        <v>45734</v>
      </c>
      <c r="I249" s="14" t="s">
        <v>90</v>
      </c>
      <c r="K249" s="27">
        <v>1.0E7</v>
      </c>
      <c r="L249" s="29" t="s">
        <v>1203</v>
      </c>
      <c r="M249" s="31"/>
      <c r="N249" s="31"/>
      <c r="O249" s="31"/>
      <c r="Q249" s="36"/>
      <c r="R249" s="36"/>
      <c r="S249" s="36"/>
      <c r="T249" s="36"/>
      <c r="V249" s="31"/>
    </row>
    <row r="250" ht="15.75" customHeight="1">
      <c r="A250" s="14" t="s">
        <v>736</v>
      </c>
      <c r="B250" s="14" t="s">
        <v>1253</v>
      </c>
      <c r="C250" s="192" t="s">
        <v>1254</v>
      </c>
      <c r="D250" s="14" t="s">
        <v>40</v>
      </c>
      <c r="E250" s="20" t="str">
        <f t="shared" si="2"/>
        <v>marzo 2025</v>
      </c>
      <c r="F250" s="22">
        <v>45739.0</v>
      </c>
      <c r="G250" s="24">
        <f t="shared" ref="G250:H250" si="255">F250</f>
        <v>45739</v>
      </c>
      <c r="H250" s="26">
        <f t="shared" si="255"/>
        <v>45739</v>
      </c>
      <c r="I250" s="14" t="s">
        <v>90</v>
      </c>
      <c r="K250" s="27">
        <v>1000000.0</v>
      </c>
      <c r="L250" s="29" t="s">
        <v>1203</v>
      </c>
      <c r="M250" s="31"/>
      <c r="N250" s="31"/>
      <c r="O250" s="31"/>
      <c r="Q250" s="36"/>
      <c r="R250" s="36"/>
      <c r="S250" s="36"/>
      <c r="T250" s="36"/>
      <c r="V250" s="31"/>
    </row>
    <row r="251" ht="15.75" customHeight="1">
      <c r="A251" s="14" t="s">
        <v>36</v>
      </c>
      <c r="B251" s="14" t="s">
        <v>1266</v>
      </c>
      <c r="C251" s="193" t="s">
        <v>1267</v>
      </c>
      <c r="D251" s="14" t="s">
        <v>40</v>
      </c>
      <c r="E251" s="20" t="str">
        <f t="shared" si="2"/>
        <v>marzo 2025</v>
      </c>
      <c r="F251" s="22">
        <v>45736.0</v>
      </c>
      <c r="G251" s="24">
        <f t="shared" ref="G251:H251" si="256">F251</f>
        <v>45736</v>
      </c>
      <c r="H251" s="26">
        <f t="shared" si="256"/>
        <v>45736</v>
      </c>
      <c r="I251" s="14" t="s">
        <v>90</v>
      </c>
      <c r="K251" s="27">
        <v>8.0E7</v>
      </c>
      <c r="L251" s="29" t="s">
        <v>1210</v>
      </c>
      <c r="M251" s="31"/>
      <c r="N251" s="31"/>
      <c r="O251" s="31"/>
      <c r="Q251" s="36"/>
      <c r="R251" s="36"/>
      <c r="S251" s="36"/>
      <c r="T251" s="36"/>
      <c r="V251" s="31"/>
    </row>
    <row r="252">
      <c r="A252" s="14" t="s">
        <v>1045</v>
      </c>
      <c r="B252" s="14" t="s">
        <v>1277</v>
      </c>
      <c r="C252" s="27" t="s">
        <v>1279</v>
      </c>
      <c r="D252" s="14" t="s">
        <v>40</v>
      </c>
      <c r="E252" s="20" t="str">
        <f t="shared" si="2"/>
        <v>marzo 2025</v>
      </c>
      <c r="F252" s="22">
        <v>45738.0</v>
      </c>
      <c r="G252" s="24">
        <f t="shared" ref="G252:H252" si="257">F252</f>
        <v>45738</v>
      </c>
      <c r="H252" s="26">
        <f t="shared" si="257"/>
        <v>45738</v>
      </c>
      <c r="I252" s="14" t="s">
        <v>90</v>
      </c>
      <c r="K252" s="27">
        <v>2.0E7</v>
      </c>
      <c r="L252" s="29" t="s">
        <v>1008</v>
      </c>
      <c r="M252" s="31"/>
      <c r="N252" s="31"/>
      <c r="O252" s="31"/>
      <c r="Q252" s="36"/>
      <c r="R252" s="36"/>
      <c r="S252" s="36"/>
      <c r="T252" s="36"/>
      <c r="V252" s="31"/>
    </row>
    <row r="253">
      <c r="A253" s="14" t="s">
        <v>1045</v>
      </c>
      <c r="B253" s="14" t="s">
        <v>1286</v>
      </c>
      <c r="C253" s="14" t="s">
        <v>1287</v>
      </c>
      <c r="D253" s="14" t="s">
        <v>40</v>
      </c>
      <c r="E253" s="20" t="str">
        <f t="shared" si="2"/>
        <v>marzo 2025</v>
      </c>
      <c r="F253" s="22">
        <v>45745.0</v>
      </c>
      <c r="G253" s="24">
        <f t="shared" ref="G253:H253" si="258">F253</f>
        <v>45745</v>
      </c>
      <c r="H253" s="26">
        <f t="shared" si="258"/>
        <v>45745</v>
      </c>
      <c r="I253" s="14" t="s">
        <v>90</v>
      </c>
      <c r="K253" s="27">
        <v>1.0E7</v>
      </c>
      <c r="L253" s="29" t="s">
        <v>1203</v>
      </c>
      <c r="M253" s="31"/>
      <c r="N253" s="31"/>
      <c r="O253" s="31"/>
      <c r="Q253" s="36"/>
      <c r="R253" s="36"/>
      <c r="S253" s="36"/>
      <c r="T253" s="36"/>
      <c r="V253" s="31"/>
    </row>
    <row r="254">
      <c r="A254" s="14" t="s">
        <v>679</v>
      </c>
      <c r="B254" s="14" t="s">
        <v>1297</v>
      </c>
      <c r="C254" s="14" t="s">
        <v>1298</v>
      </c>
      <c r="D254" s="14" t="s">
        <v>40</v>
      </c>
      <c r="E254" s="20" t="str">
        <f t="shared" si="2"/>
        <v>marzo 2025</v>
      </c>
      <c r="F254" s="22">
        <v>45729.0</v>
      </c>
      <c r="G254" s="24">
        <f t="shared" ref="G254:H254" si="259">F254</f>
        <v>45729</v>
      </c>
      <c r="H254" s="26">
        <f t="shared" si="259"/>
        <v>45729</v>
      </c>
      <c r="I254" s="14" t="s">
        <v>259</v>
      </c>
      <c r="K254" s="27">
        <v>4.0E7</v>
      </c>
      <c r="L254" s="29" t="s">
        <v>1195</v>
      </c>
      <c r="M254" s="31"/>
      <c r="N254" s="31"/>
      <c r="O254" s="31"/>
      <c r="Q254" s="36"/>
      <c r="R254" s="36"/>
      <c r="S254" s="36"/>
      <c r="T254" s="36"/>
      <c r="V254" s="31"/>
    </row>
    <row r="255">
      <c r="A255" s="14" t="s">
        <v>679</v>
      </c>
      <c r="B255" s="14" t="s">
        <v>1308</v>
      </c>
      <c r="C255" s="14" t="s">
        <v>1309</v>
      </c>
      <c r="D255" s="14" t="s">
        <v>40</v>
      </c>
      <c r="E255" s="20" t="str">
        <f t="shared" si="2"/>
        <v>marzo 2025</v>
      </c>
      <c r="F255" s="22">
        <v>45733.0</v>
      </c>
      <c r="G255" s="24">
        <f t="shared" ref="G255:H255" si="260">F255</f>
        <v>45733</v>
      </c>
      <c r="H255" s="26">
        <f t="shared" si="260"/>
        <v>45733</v>
      </c>
      <c r="I255" s="14" t="s">
        <v>90</v>
      </c>
      <c r="K255" s="27">
        <v>5.0E7</v>
      </c>
      <c r="L255" s="29" t="s">
        <v>1203</v>
      </c>
      <c r="M255" s="31"/>
      <c r="N255" s="31"/>
      <c r="O255" s="31"/>
      <c r="Q255" s="36"/>
      <c r="R255" s="36"/>
      <c r="S255" s="36"/>
      <c r="T255" s="36"/>
      <c r="V255" s="31"/>
    </row>
    <row r="256">
      <c r="A256" s="14" t="s">
        <v>1012</v>
      </c>
      <c r="B256" s="14" t="s">
        <v>1313</v>
      </c>
      <c r="C256" s="15" t="s">
        <v>1315</v>
      </c>
      <c r="D256" s="14" t="s">
        <v>40</v>
      </c>
      <c r="E256" s="20" t="str">
        <f t="shared" si="2"/>
        <v>marzo 2025</v>
      </c>
      <c r="F256" s="22">
        <v>45721.0</v>
      </c>
      <c r="G256" s="24">
        <f t="shared" ref="G256:H256" si="261">F256</f>
        <v>45721</v>
      </c>
      <c r="H256" s="26">
        <f t="shared" si="261"/>
        <v>45721</v>
      </c>
      <c r="I256" s="14" t="s">
        <v>90</v>
      </c>
      <c r="K256" s="27">
        <v>1.0E7</v>
      </c>
      <c r="L256" s="29" t="s">
        <v>1203</v>
      </c>
      <c r="M256" s="14"/>
      <c r="N256" s="14"/>
      <c r="O256" s="14"/>
      <c r="P256" s="14"/>
      <c r="Q256" s="36"/>
      <c r="R256" s="36"/>
      <c r="S256" s="36"/>
      <c r="T256" s="36"/>
      <c r="V256" s="31"/>
    </row>
    <row r="257">
      <c r="A257" s="14" t="s">
        <v>1012</v>
      </c>
      <c r="B257" s="14" t="s">
        <v>1320</v>
      </c>
      <c r="C257" s="15" t="s">
        <v>1321</v>
      </c>
      <c r="D257" s="14" t="s">
        <v>40</v>
      </c>
      <c r="E257" s="20" t="str">
        <f t="shared" si="2"/>
        <v>marzo 2025</v>
      </c>
      <c r="F257" s="22">
        <v>45729.0</v>
      </c>
      <c r="G257" s="24">
        <f t="shared" ref="G257:H257" si="262">F257</f>
        <v>45729</v>
      </c>
      <c r="H257" s="26">
        <f t="shared" si="262"/>
        <v>45729</v>
      </c>
      <c r="I257" s="14" t="s">
        <v>90</v>
      </c>
      <c r="K257" s="27">
        <v>2.0E7</v>
      </c>
      <c r="L257" s="29" t="s">
        <v>1203</v>
      </c>
      <c r="M257" s="14"/>
      <c r="N257" s="14"/>
      <c r="O257" s="14"/>
      <c r="P257" s="14"/>
      <c r="Q257" s="36"/>
      <c r="R257" s="36"/>
      <c r="S257" s="36"/>
      <c r="T257" s="36"/>
      <c r="V257" s="31"/>
    </row>
    <row r="258">
      <c r="A258" s="14" t="s">
        <v>1012</v>
      </c>
      <c r="B258" s="14" t="s">
        <v>1325</v>
      </c>
      <c r="C258" s="15" t="s">
        <v>1327</v>
      </c>
      <c r="D258" s="14" t="s">
        <v>40</v>
      </c>
      <c r="E258" s="20" t="str">
        <f t="shared" si="2"/>
        <v>marzo 2025</v>
      </c>
      <c r="F258" s="22">
        <v>45719.0</v>
      </c>
      <c r="G258" s="24">
        <f t="shared" ref="G258:H258" si="263">F258</f>
        <v>45719</v>
      </c>
      <c r="H258" s="26">
        <f t="shared" si="263"/>
        <v>45719</v>
      </c>
      <c r="I258" s="14" t="s">
        <v>90</v>
      </c>
      <c r="K258" s="27">
        <v>7.0E7</v>
      </c>
      <c r="L258" s="29" t="s">
        <v>1203</v>
      </c>
      <c r="M258" s="14"/>
      <c r="N258" s="14"/>
      <c r="O258" s="14"/>
      <c r="P258" s="14"/>
      <c r="Q258" s="36"/>
      <c r="R258" s="36"/>
      <c r="S258" s="36"/>
      <c r="T258" s="36"/>
      <c r="V258" s="31"/>
    </row>
    <row r="259">
      <c r="A259" s="14" t="s">
        <v>1012</v>
      </c>
      <c r="B259" s="14" t="s">
        <v>1331</v>
      </c>
      <c r="C259" s="15" t="s">
        <v>1332</v>
      </c>
      <c r="D259" s="14" t="s">
        <v>40</v>
      </c>
      <c r="E259" s="20" t="str">
        <f t="shared" si="2"/>
        <v>marzo 2025</v>
      </c>
      <c r="F259" s="22">
        <v>45721.0</v>
      </c>
      <c r="G259" s="24">
        <f t="shared" ref="G259:H259" si="264">F259</f>
        <v>45721</v>
      </c>
      <c r="H259" s="26">
        <f t="shared" si="264"/>
        <v>45721</v>
      </c>
      <c r="I259" s="14" t="s">
        <v>90</v>
      </c>
      <c r="K259" s="27">
        <v>1.5E7</v>
      </c>
      <c r="L259" s="29" t="s">
        <v>1203</v>
      </c>
      <c r="M259" s="14"/>
      <c r="N259" s="14"/>
      <c r="O259" s="14"/>
      <c r="P259" s="14"/>
      <c r="Q259" s="36"/>
      <c r="R259" s="36"/>
      <c r="S259" s="36"/>
      <c r="T259" s="36"/>
      <c r="V259" s="31"/>
    </row>
    <row r="260">
      <c r="A260" s="14" t="s">
        <v>1045</v>
      </c>
      <c r="B260" s="14" t="s">
        <v>1338</v>
      </c>
      <c r="C260" s="15" t="s">
        <v>1339</v>
      </c>
      <c r="D260" s="14" t="s">
        <v>40</v>
      </c>
      <c r="E260" s="20" t="str">
        <f t="shared" si="2"/>
        <v>abril 2025</v>
      </c>
      <c r="F260" s="22">
        <v>45748.0</v>
      </c>
      <c r="G260" s="24">
        <f t="shared" ref="G260:H260" si="265">F260</f>
        <v>45748</v>
      </c>
      <c r="H260" s="26">
        <f t="shared" si="265"/>
        <v>45748</v>
      </c>
      <c r="I260" s="14" t="s">
        <v>90</v>
      </c>
      <c r="K260" s="27">
        <v>8.0E7</v>
      </c>
      <c r="L260" s="29" t="s">
        <v>1210</v>
      </c>
      <c r="M260" s="14"/>
      <c r="N260" s="14"/>
      <c r="O260" s="14"/>
      <c r="P260" s="14" t="s">
        <v>75</v>
      </c>
      <c r="Q260" s="36"/>
      <c r="R260" s="36"/>
      <c r="S260" s="36"/>
      <c r="T260" s="36"/>
      <c r="V260" s="31"/>
    </row>
    <row r="261">
      <c r="A261" s="14" t="s">
        <v>117</v>
      </c>
      <c r="B261" s="14" t="s">
        <v>1345</v>
      </c>
      <c r="C261" s="14" t="s">
        <v>1346</v>
      </c>
      <c r="D261" s="14" t="s">
        <v>40</v>
      </c>
      <c r="E261" s="20" t="str">
        <f t="shared" si="2"/>
        <v>abril 2025</v>
      </c>
      <c r="F261" s="22">
        <v>45749.0</v>
      </c>
      <c r="G261" s="24">
        <f t="shared" ref="G261:H261" si="266">F261</f>
        <v>45749</v>
      </c>
      <c r="H261" s="26">
        <f t="shared" si="266"/>
        <v>45749</v>
      </c>
      <c r="I261" s="14" t="s">
        <v>90</v>
      </c>
      <c r="K261" s="27">
        <v>3.0E7</v>
      </c>
      <c r="L261" s="29">
        <v>1.79</v>
      </c>
      <c r="M261" s="14"/>
      <c r="N261" s="14"/>
      <c r="O261" s="14"/>
      <c r="P261" s="14" t="s">
        <v>84</v>
      </c>
      <c r="Q261" s="36"/>
      <c r="R261" s="36"/>
      <c r="S261" s="36"/>
      <c r="T261" s="36"/>
      <c r="V261" s="31"/>
    </row>
    <row r="262">
      <c r="A262" s="14" t="s">
        <v>1045</v>
      </c>
      <c r="B262" s="14" t="s">
        <v>1351</v>
      </c>
      <c r="C262" s="15" t="s">
        <v>1352</v>
      </c>
      <c r="D262" s="14" t="s">
        <v>40</v>
      </c>
      <c r="E262" s="20" t="str">
        <f t="shared" si="2"/>
        <v>abril 2025</v>
      </c>
      <c r="F262" s="22">
        <v>45750.0</v>
      </c>
      <c r="G262" s="24">
        <f t="shared" ref="G262:H262" si="267">F262</f>
        <v>45750</v>
      </c>
      <c r="H262" s="26">
        <f t="shared" si="267"/>
        <v>45750</v>
      </c>
      <c r="I262" s="14" t="s">
        <v>90</v>
      </c>
      <c r="K262" s="27">
        <v>2.0E7</v>
      </c>
      <c r="L262" s="29" t="s">
        <v>1203</v>
      </c>
      <c r="M262" s="31"/>
      <c r="N262" s="31"/>
      <c r="O262" s="31"/>
      <c r="Q262" s="36"/>
      <c r="R262" s="36"/>
      <c r="S262" s="36"/>
      <c r="T262" s="36"/>
      <c r="V262" s="31"/>
    </row>
    <row r="263">
      <c r="A263" s="14" t="s">
        <v>1045</v>
      </c>
      <c r="B263" s="14" t="s">
        <v>1357</v>
      </c>
      <c r="C263" s="15" t="s">
        <v>1358</v>
      </c>
      <c r="D263" s="14" t="s">
        <v>40</v>
      </c>
      <c r="E263" s="20" t="str">
        <f t="shared" si="2"/>
        <v>abril 2025</v>
      </c>
      <c r="F263" s="22">
        <v>45751.0</v>
      </c>
      <c r="G263" s="24">
        <f t="shared" ref="G263:H263" si="268">F263</f>
        <v>45751</v>
      </c>
      <c r="H263" s="26">
        <f t="shared" si="268"/>
        <v>45751</v>
      </c>
      <c r="I263" s="14" t="s">
        <v>90</v>
      </c>
      <c r="K263" s="27">
        <v>1.0E7</v>
      </c>
      <c r="L263" s="29" t="s">
        <v>1203</v>
      </c>
      <c r="M263" s="31"/>
      <c r="N263" s="31"/>
      <c r="O263" s="31"/>
      <c r="Q263" s="36"/>
      <c r="R263" s="36"/>
      <c r="S263" s="36"/>
      <c r="T263" s="36"/>
      <c r="V263" s="31"/>
    </row>
    <row r="264">
      <c r="A264" s="14" t="s">
        <v>1045</v>
      </c>
      <c r="B264" s="14" t="s">
        <v>1363</v>
      </c>
      <c r="C264" s="15" t="s">
        <v>1364</v>
      </c>
      <c r="D264" s="14" t="s">
        <v>40</v>
      </c>
      <c r="E264" s="20" t="str">
        <f t="shared" si="2"/>
        <v>abril 2025</v>
      </c>
      <c r="F264" s="22">
        <v>45750.0</v>
      </c>
      <c r="G264" s="24">
        <f t="shared" ref="G264:H264" si="269">F264</f>
        <v>45750</v>
      </c>
      <c r="H264" s="26">
        <f t="shared" si="269"/>
        <v>45750</v>
      </c>
      <c r="I264" s="14" t="s">
        <v>90</v>
      </c>
      <c r="K264" s="27">
        <v>4.0E7</v>
      </c>
      <c r="L264" s="29" t="s">
        <v>1210</v>
      </c>
      <c r="M264" s="31"/>
      <c r="N264" s="31"/>
      <c r="O264" s="31"/>
      <c r="Q264" s="36"/>
      <c r="R264" s="36"/>
      <c r="S264" s="36"/>
      <c r="T264" s="36"/>
      <c r="V264" s="31"/>
    </row>
    <row r="265">
      <c r="A265" s="14" t="s">
        <v>208</v>
      </c>
      <c r="B265" s="14" t="s">
        <v>1373</v>
      </c>
      <c r="C265" s="14" t="s">
        <v>1374</v>
      </c>
      <c r="D265" s="14" t="s">
        <v>40</v>
      </c>
      <c r="E265" s="20" t="str">
        <f t="shared" si="2"/>
        <v>marzo 2025</v>
      </c>
      <c r="F265" s="22">
        <v>45728.0</v>
      </c>
      <c r="G265" s="24">
        <f t="shared" ref="G265:H265" si="270">F265</f>
        <v>45728</v>
      </c>
      <c r="H265" s="26">
        <f t="shared" si="270"/>
        <v>45728</v>
      </c>
      <c r="I265" s="14" t="s">
        <v>90</v>
      </c>
      <c r="K265" s="27">
        <v>2.0E7</v>
      </c>
      <c r="L265" s="29" t="s">
        <v>1203</v>
      </c>
      <c r="M265" s="31"/>
      <c r="N265" s="31"/>
      <c r="O265" s="31"/>
      <c r="Q265" s="36"/>
      <c r="R265" s="36"/>
      <c r="S265" s="36"/>
      <c r="T265" s="36"/>
      <c r="V265" s="31"/>
    </row>
    <row r="266">
      <c r="A266" s="14" t="s">
        <v>208</v>
      </c>
      <c r="B266" s="14" t="s">
        <v>1378</v>
      </c>
      <c r="C266" s="15" t="s">
        <v>1379</v>
      </c>
      <c r="D266" s="14" t="s">
        <v>40</v>
      </c>
      <c r="E266" s="20" t="str">
        <f t="shared" si="2"/>
        <v>marzo 2025</v>
      </c>
      <c r="F266" s="22">
        <v>45733.0</v>
      </c>
      <c r="G266" s="24">
        <f t="shared" ref="G266:H266" si="271">F266</f>
        <v>45733</v>
      </c>
      <c r="H266" s="26">
        <f t="shared" si="271"/>
        <v>45733</v>
      </c>
      <c r="I266" s="14" t="s">
        <v>259</v>
      </c>
      <c r="K266" s="27">
        <v>8.0E7</v>
      </c>
      <c r="L266" s="29" t="s">
        <v>1384</v>
      </c>
      <c r="M266" s="14"/>
      <c r="N266" s="14"/>
      <c r="O266" s="14"/>
      <c r="P266" s="14" t="s">
        <v>84</v>
      </c>
      <c r="Q266" s="36"/>
      <c r="R266" s="36"/>
      <c r="S266" s="36"/>
      <c r="T266" s="36"/>
      <c r="V266" s="31"/>
    </row>
    <row r="267">
      <c r="A267" s="14" t="s">
        <v>208</v>
      </c>
      <c r="B267" s="14" t="s">
        <v>1386</v>
      </c>
      <c r="C267" s="90" t="s">
        <v>1388</v>
      </c>
      <c r="D267" s="14" t="s">
        <v>40</v>
      </c>
      <c r="E267" s="20" t="str">
        <f t="shared" si="2"/>
        <v>marzo 2025</v>
      </c>
      <c r="F267" s="22">
        <v>45733.0</v>
      </c>
      <c r="G267" s="24">
        <f t="shared" ref="G267:H267" si="272">F267</f>
        <v>45733</v>
      </c>
      <c r="H267" s="26">
        <f t="shared" si="272"/>
        <v>45733</v>
      </c>
      <c r="I267" s="14" t="s">
        <v>259</v>
      </c>
      <c r="K267" s="27">
        <v>7.0E7</v>
      </c>
      <c r="L267" s="195" t="s">
        <v>1384</v>
      </c>
      <c r="M267" s="14"/>
      <c r="N267" s="14"/>
      <c r="O267" s="14"/>
      <c r="P267" s="14" t="s">
        <v>84</v>
      </c>
      <c r="Q267" s="36"/>
      <c r="R267" s="36"/>
      <c r="S267" s="36"/>
      <c r="T267" s="36"/>
      <c r="V267" s="31"/>
    </row>
    <row r="268">
      <c r="A268" s="14" t="s">
        <v>208</v>
      </c>
      <c r="B268" s="14" t="s">
        <v>1393</v>
      </c>
      <c r="C268" s="196" t="s">
        <v>1395</v>
      </c>
      <c r="D268" s="14" t="s">
        <v>40</v>
      </c>
      <c r="E268" s="20" t="str">
        <f t="shared" si="2"/>
        <v>marzo 2025</v>
      </c>
      <c r="F268" s="22">
        <v>45719.0</v>
      </c>
      <c r="G268" s="24">
        <f t="shared" ref="G268:H268" si="273">F268</f>
        <v>45719</v>
      </c>
      <c r="H268" s="26">
        <f t="shared" si="273"/>
        <v>45719</v>
      </c>
      <c r="I268" s="14" t="s">
        <v>259</v>
      </c>
      <c r="K268" s="27">
        <v>3.0E8</v>
      </c>
      <c r="L268" s="197" t="s">
        <v>1399</v>
      </c>
      <c r="M268" s="31"/>
      <c r="N268" s="31"/>
      <c r="O268" s="31"/>
      <c r="Q268" s="36"/>
      <c r="R268" s="36"/>
      <c r="S268" s="36"/>
      <c r="T268" s="36"/>
      <c r="V268" s="31"/>
    </row>
    <row r="269">
      <c r="A269" s="14" t="s">
        <v>241</v>
      </c>
      <c r="B269" s="14" t="s">
        <v>1402</v>
      </c>
      <c r="C269" s="196" t="s">
        <v>1403</v>
      </c>
      <c r="D269" s="14" t="s">
        <v>40</v>
      </c>
      <c r="E269" s="20" t="str">
        <f t="shared" si="2"/>
        <v>marzo 2025</v>
      </c>
      <c r="F269" s="22">
        <v>45743.0</v>
      </c>
      <c r="G269" s="24">
        <f t="shared" ref="G269:H269" si="274">F269</f>
        <v>45743</v>
      </c>
      <c r="H269" s="26">
        <f t="shared" si="274"/>
        <v>45743</v>
      </c>
      <c r="I269" s="14"/>
      <c r="J269" s="31" t="s">
        <v>117</v>
      </c>
      <c r="K269" s="27">
        <v>0.0</v>
      </c>
      <c r="L269" s="197"/>
      <c r="M269" s="31"/>
      <c r="N269" s="31"/>
      <c r="O269" s="31"/>
      <c r="Q269" s="36"/>
      <c r="R269" s="36"/>
      <c r="S269" s="36"/>
      <c r="T269" s="36"/>
      <c r="V269" s="31"/>
    </row>
    <row r="270">
      <c r="A270" s="14" t="s">
        <v>36</v>
      </c>
      <c r="B270" s="14" t="s">
        <v>1410</v>
      </c>
      <c r="C270" s="15" t="s">
        <v>1411</v>
      </c>
      <c r="D270" s="14" t="s">
        <v>40</v>
      </c>
      <c r="E270" s="20" t="str">
        <f t="shared" si="2"/>
        <v>abril 2025</v>
      </c>
      <c r="F270" s="22">
        <v>45748.0</v>
      </c>
      <c r="G270" s="24">
        <f t="shared" ref="G270:H270" si="275">F270</f>
        <v>45748</v>
      </c>
      <c r="H270" s="26">
        <f t="shared" si="275"/>
        <v>45748</v>
      </c>
      <c r="I270" s="14" t="s">
        <v>90</v>
      </c>
      <c r="J270" s="14"/>
      <c r="K270" s="27">
        <v>2.0E7</v>
      </c>
      <c r="L270" s="29"/>
      <c r="M270" s="14"/>
      <c r="N270" s="14"/>
      <c r="O270" s="14"/>
      <c r="P270" s="14"/>
      <c r="Q270" s="36"/>
      <c r="R270" s="36"/>
      <c r="S270" s="36"/>
      <c r="T270" s="36"/>
      <c r="V270" s="31"/>
    </row>
    <row r="271">
      <c r="A271" s="14" t="s">
        <v>1045</v>
      </c>
      <c r="B271" s="14" t="s">
        <v>1423</v>
      </c>
      <c r="C271" s="15" t="s">
        <v>1424</v>
      </c>
      <c r="D271" s="14" t="s">
        <v>40</v>
      </c>
      <c r="E271" s="20" t="str">
        <f t="shared" si="2"/>
        <v>abril 2025</v>
      </c>
      <c r="F271" s="22">
        <v>45755.0</v>
      </c>
      <c r="G271" s="24">
        <f t="shared" ref="G271:H271" si="276">F271</f>
        <v>45755</v>
      </c>
      <c r="H271" s="26">
        <f t="shared" si="276"/>
        <v>45755</v>
      </c>
      <c r="I271" s="14" t="s">
        <v>259</v>
      </c>
      <c r="J271" s="14" t="s">
        <v>260</v>
      </c>
      <c r="K271" s="27">
        <v>3.0E8</v>
      </c>
      <c r="L271" s="29" t="s">
        <v>1429</v>
      </c>
      <c r="M271" s="14"/>
      <c r="N271" s="14"/>
      <c r="O271" s="14"/>
      <c r="P271" s="14" t="s">
        <v>84</v>
      </c>
      <c r="Q271" s="36"/>
      <c r="R271" s="36"/>
      <c r="S271" s="36"/>
      <c r="T271" s="36"/>
      <c r="V271" s="31"/>
    </row>
    <row r="272">
      <c r="A272" s="14" t="s">
        <v>1045</v>
      </c>
      <c r="B272" s="14" t="s">
        <v>1432</v>
      </c>
      <c r="C272" s="15" t="s">
        <v>1433</v>
      </c>
      <c r="D272" s="14" t="s">
        <v>40</v>
      </c>
      <c r="E272" s="20" t="str">
        <f t="shared" si="2"/>
        <v>abril 2025</v>
      </c>
      <c r="F272" s="22">
        <v>45761.0</v>
      </c>
      <c r="G272" s="24">
        <f t="shared" ref="G272:H272" si="277">F272</f>
        <v>45761</v>
      </c>
      <c r="H272" s="26">
        <f t="shared" si="277"/>
        <v>45761</v>
      </c>
      <c r="I272" s="14" t="s">
        <v>259</v>
      </c>
      <c r="J272" s="14" t="s">
        <v>285</v>
      </c>
      <c r="K272" s="27">
        <v>2.3E7</v>
      </c>
      <c r="L272" s="29" t="s">
        <v>1008</v>
      </c>
      <c r="M272" s="31"/>
      <c r="N272" s="31"/>
      <c r="O272" s="31"/>
      <c r="Q272" s="36"/>
      <c r="R272" s="36"/>
      <c r="S272" s="36"/>
      <c r="T272" s="36"/>
      <c r="V272" s="31"/>
    </row>
    <row r="273">
      <c r="A273" s="34" t="s">
        <v>1075</v>
      </c>
      <c r="B273" s="34" t="s">
        <v>1439</v>
      </c>
      <c r="C273" s="34" t="s">
        <v>1440</v>
      </c>
      <c r="D273" s="34" t="s">
        <v>40</v>
      </c>
      <c r="E273" s="20" t="str">
        <f t="shared" si="2"/>
        <v>abril 2025</v>
      </c>
      <c r="F273" s="22">
        <v>45750.0</v>
      </c>
      <c r="G273" s="24">
        <f t="shared" ref="G273:H273" si="278">F273</f>
        <v>45750</v>
      </c>
      <c r="H273" s="26">
        <f t="shared" si="278"/>
        <v>45750</v>
      </c>
      <c r="I273" s="34" t="s">
        <v>90</v>
      </c>
      <c r="J273" s="34"/>
      <c r="K273" s="190">
        <v>5.0E7</v>
      </c>
      <c r="L273" s="188" t="s">
        <v>1443</v>
      </c>
      <c r="M273" s="34"/>
      <c r="N273" s="34"/>
      <c r="O273" s="34"/>
      <c r="P273" s="34"/>
      <c r="Q273" s="36"/>
      <c r="R273" s="36"/>
      <c r="S273" s="36"/>
      <c r="T273" s="36"/>
      <c r="V273" s="31"/>
    </row>
    <row r="274">
      <c r="A274" s="34" t="s">
        <v>1075</v>
      </c>
      <c r="B274" s="34" t="s">
        <v>1445</v>
      </c>
      <c r="C274" s="38" t="s">
        <v>1446</v>
      </c>
      <c r="D274" s="34" t="s">
        <v>40</v>
      </c>
      <c r="E274" s="20" t="str">
        <f t="shared" si="2"/>
        <v>abril 2025</v>
      </c>
      <c r="F274" s="22">
        <v>45751.0</v>
      </c>
      <c r="G274" s="24">
        <f t="shared" ref="G274:H274" si="279">F274</f>
        <v>45751</v>
      </c>
      <c r="H274" s="26">
        <f t="shared" si="279"/>
        <v>45751</v>
      </c>
      <c r="I274" s="34" t="s">
        <v>90</v>
      </c>
      <c r="J274" s="34"/>
      <c r="K274" s="190">
        <v>2.5E8</v>
      </c>
      <c r="L274" s="188">
        <v>1.99</v>
      </c>
      <c r="M274" s="34"/>
      <c r="N274" s="34"/>
      <c r="O274" s="34"/>
      <c r="P274" s="34" t="s">
        <v>75</v>
      </c>
      <c r="Q274" s="36"/>
      <c r="R274" s="36"/>
      <c r="S274" s="36"/>
      <c r="T274" s="36"/>
      <c r="V274" s="31"/>
    </row>
    <row r="275">
      <c r="A275" s="34" t="s">
        <v>1075</v>
      </c>
      <c r="B275" s="34" t="s">
        <v>1451</v>
      </c>
      <c r="C275" s="191" t="s">
        <v>1452</v>
      </c>
      <c r="D275" s="34" t="s">
        <v>40</v>
      </c>
      <c r="E275" s="20" t="str">
        <f t="shared" si="2"/>
        <v>abril 2025</v>
      </c>
      <c r="F275" s="22">
        <v>45756.0</v>
      </c>
      <c r="G275" s="24">
        <f t="shared" ref="G275:H275" si="280">F275</f>
        <v>45756</v>
      </c>
      <c r="H275" s="26">
        <f t="shared" si="280"/>
        <v>45756</v>
      </c>
      <c r="I275" s="34" t="s">
        <v>259</v>
      </c>
      <c r="J275" s="14" t="s">
        <v>304</v>
      </c>
      <c r="K275" s="190">
        <v>1.8E8</v>
      </c>
      <c r="L275" s="188">
        <v>1.99</v>
      </c>
      <c r="M275" s="34"/>
      <c r="N275" s="34"/>
      <c r="O275" s="34"/>
      <c r="P275" s="34" t="s">
        <v>84</v>
      </c>
      <c r="Q275" s="36"/>
      <c r="R275" s="36"/>
      <c r="S275" s="36"/>
      <c r="T275" s="36"/>
      <c r="V275" s="31"/>
    </row>
    <row r="276">
      <c r="A276" s="34" t="s">
        <v>1075</v>
      </c>
      <c r="B276" s="34" t="s">
        <v>1457</v>
      </c>
      <c r="C276" s="191" t="s">
        <v>1459</v>
      </c>
      <c r="D276" s="34" t="s">
        <v>40</v>
      </c>
      <c r="E276" s="20" t="str">
        <f t="shared" si="2"/>
        <v>abril 2025</v>
      </c>
      <c r="F276" s="22">
        <v>45756.0</v>
      </c>
      <c r="G276" s="24">
        <f t="shared" ref="G276:H276" si="281">F276</f>
        <v>45756</v>
      </c>
      <c r="H276" s="26">
        <f t="shared" si="281"/>
        <v>45756</v>
      </c>
      <c r="I276" s="34" t="s">
        <v>259</v>
      </c>
      <c r="J276" s="14" t="s">
        <v>304</v>
      </c>
      <c r="K276" s="190">
        <v>7.0E7</v>
      </c>
      <c r="L276" s="188">
        <v>1.99</v>
      </c>
      <c r="M276" s="34"/>
      <c r="N276" s="34"/>
      <c r="O276" s="34"/>
      <c r="P276" s="34" t="s">
        <v>84</v>
      </c>
      <c r="Q276" s="36"/>
      <c r="R276" s="36"/>
      <c r="S276" s="36"/>
      <c r="T276" s="36"/>
      <c r="V276" s="31"/>
    </row>
    <row r="277">
      <c r="A277" s="14" t="s">
        <v>1464</v>
      </c>
      <c r="B277" s="14" t="s">
        <v>1465</v>
      </c>
      <c r="C277" s="14" t="s">
        <v>1467</v>
      </c>
      <c r="D277" s="14" t="s">
        <v>40</v>
      </c>
      <c r="E277" s="20" t="str">
        <f t="shared" si="2"/>
        <v>abril 2025</v>
      </c>
      <c r="F277" s="22">
        <v>45749.0</v>
      </c>
      <c r="G277" s="24">
        <f t="shared" ref="G277:H277" si="282">F277</f>
        <v>45749</v>
      </c>
      <c r="H277" s="26">
        <f t="shared" si="282"/>
        <v>45749</v>
      </c>
      <c r="I277" s="14" t="s">
        <v>90</v>
      </c>
      <c r="K277" s="27">
        <v>1.0E7</v>
      </c>
      <c r="L277" s="29" t="s">
        <v>1016</v>
      </c>
      <c r="M277" s="31"/>
      <c r="N277" s="31"/>
      <c r="O277" s="31"/>
      <c r="Q277" s="36"/>
      <c r="R277" s="36"/>
      <c r="S277" s="36"/>
      <c r="T277" s="36"/>
      <c r="V277" s="31"/>
    </row>
    <row r="278">
      <c r="A278" s="14" t="s">
        <v>1464</v>
      </c>
      <c r="B278" s="14" t="s">
        <v>1473</v>
      </c>
      <c r="C278" s="14" t="s">
        <v>1474</v>
      </c>
      <c r="D278" s="14" t="s">
        <v>40</v>
      </c>
      <c r="E278" s="20" t="str">
        <f t="shared" si="2"/>
        <v>abril 2025</v>
      </c>
      <c r="F278" s="22">
        <v>45757.0</v>
      </c>
      <c r="G278" s="24">
        <f t="shared" ref="G278:H278" si="283">F278</f>
        <v>45757</v>
      </c>
      <c r="H278" s="26">
        <f t="shared" si="283"/>
        <v>45757</v>
      </c>
      <c r="I278" s="14" t="s">
        <v>259</v>
      </c>
      <c r="J278" s="14" t="s">
        <v>285</v>
      </c>
      <c r="K278" s="27">
        <v>4.8E8</v>
      </c>
      <c r="L278" s="29" t="s">
        <v>1477</v>
      </c>
      <c r="M278" s="31"/>
      <c r="N278" s="31"/>
      <c r="O278" s="31"/>
      <c r="Q278" s="36"/>
      <c r="R278" s="36"/>
      <c r="S278" s="36"/>
      <c r="T278" s="36"/>
      <c r="V278" s="31"/>
    </row>
    <row r="279">
      <c r="A279" s="14" t="s">
        <v>1464</v>
      </c>
      <c r="B279" s="14" t="s">
        <v>1479</v>
      </c>
      <c r="C279" s="14" t="s">
        <v>1480</v>
      </c>
      <c r="D279" s="14" t="s">
        <v>40</v>
      </c>
      <c r="E279" s="20" t="str">
        <f t="shared" si="2"/>
        <v>abril 2025</v>
      </c>
      <c r="F279" s="22">
        <v>45768.0</v>
      </c>
      <c r="G279" s="24">
        <f t="shared" ref="G279:H279" si="284">F279</f>
        <v>45768</v>
      </c>
      <c r="H279" s="26">
        <f t="shared" si="284"/>
        <v>45768</v>
      </c>
      <c r="I279" s="14" t="s">
        <v>90</v>
      </c>
      <c r="K279" s="27">
        <v>1.0E7</v>
      </c>
      <c r="L279" s="29" t="s">
        <v>1016</v>
      </c>
      <c r="M279" s="31"/>
      <c r="N279" s="31"/>
      <c r="O279" s="31"/>
      <c r="Q279" s="36"/>
      <c r="R279" s="36"/>
      <c r="S279" s="36"/>
      <c r="T279" s="36"/>
      <c r="V279" s="31"/>
    </row>
    <row r="280">
      <c r="A280" s="14" t="s">
        <v>736</v>
      </c>
      <c r="B280" s="14" t="s">
        <v>1485</v>
      </c>
      <c r="C280" s="27" t="s">
        <v>1486</v>
      </c>
      <c r="D280" s="14" t="s">
        <v>40</v>
      </c>
      <c r="E280" s="20" t="str">
        <f t="shared" si="2"/>
        <v>abril 2025</v>
      </c>
      <c r="F280" s="22">
        <v>45749.0</v>
      </c>
      <c r="G280" s="24">
        <f t="shared" ref="G280:H280" si="285">F280</f>
        <v>45749</v>
      </c>
      <c r="H280" s="26">
        <f t="shared" si="285"/>
        <v>45749</v>
      </c>
      <c r="I280" s="14" t="s">
        <v>90</v>
      </c>
      <c r="K280" s="27">
        <v>2.0E7</v>
      </c>
      <c r="L280" s="29" t="s">
        <v>1203</v>
      </c>
      <c r="M280" s="31"/>
      <c r="N280" s="31"/>
      <c r="O280" s="31"/>
      <c r="Q280" s="36"/>
      <c r="R280" s="36"/>
      <c r="S280" s="36"/>
      <c r="T280" s="36"/>
      <c r="V280" s="31"/>
    </row>
    <row r="281">
      <c r="A281" s="14" t="s">
        <v>736</v>
      </c>
      <c r="B281" s="14" t="s">
        <v>1501</v>
      </c>
      <c r="C281" s="27" t="s">
        <v>1502</v>
      </c>
      <c r="D281" s="14" t="s">
        <v>40</v>
      </c>
      <c r="E281" s="20" t="str">
        <f t="shared" si="2"/>
        <v>abril 2025</v>
      </c>
      <c r="F281" s="22">
        <v>45750.0</v>
      </c>
      <c r="G281" s="24">
        <f t="shared" ref="G281:H281" si="286">F281</f>
        <v>45750</v>
      </c>
      <c r="H281" s="26">
        <f t="shared" si="286"/>
        <v>45750</v>
      </c>
      <c r="I281" s="14" t="s">
        <v>90</v>
      </c>
      <c r="K281" s="27">
        <v>5.0E7</v>
      </c>
      <c r="L281" s="29" t="s">
        <v>1203</v>
      </c>
      <c r="M281" s="31"/>
      <c r="N281" s="31"/>
      <c r="O281" s="31"/>
      <c r="Q281" s="36"/>
      <c r="R281" s="36"/>
      <c r="S281" s="36"/>
      <c r="T281" s="36"/>
      <c r="V281" s="31"/>
    </row>
    <row r="282">
      <c r="A282" s="14" t="s">
        <v>736</v>
      </c>
      <c r="B282" s="14" t="s">
        <v>1509</v>
      </c>
      <c r="C282" s="27" t="s">
        <v>1510</v>
      </c>
      <c r="D282" s="14" t="s">
        <v>40</v>
      </c>
      <c r="E282" s="20" t="str">
        <f t="shared" si="2"/>
        <v>abril 2025</v>
      </c>
      <c r="F282" s="22">
        <v>45758.0</v>
      </c>
      <c r="G282" s="24">
        <f t="shared" ref="G282:H282" si="287">F282</f>
        <v>45758</v>
      </c>
      <c r="H282" s="26">
        <f t="shared" si="287"/>
        <v>45758</v>
      </c>
      <c r="I282" s="14" t="s">
        <v>90</v>
      </c>
      <c r="K282" s="27">
        <v>4.0E7</v>
      </c>
      <c r="L282" s="29" t="s">
        <v>1210</v>
      </c>
      <c r="M282" s="31"/>
      <c r="N282" s="31"/>
      <c r="O282" s="31"/>
      <c r="Q282" s="36"/>
      <c r="R282" s="36"/>
      <c r="S282" s="36"/>
      <c r="T282" s="36"/>
      <c r="V282" s="31"/>
    </row>
    <row r="283">
      <c r="A283" s="14" t="s">
        <v>736</v>
      </c>
      <c r="B283" s="14" t="s">
        <v>1514</v>
      </c>
      <c r="C283" s="27" t="s">
        <v>1516</v>
      </c>
      <c r="D283" s="14" t="s">
        <v>40</v>
      </c>
      <c r="E283" s="20" t="str">
        <f t="shared" si="2"/>
        <v>abril 2025</v>
      </c>
      <c r="F283" s="22">
        <v>45757.0</v>
      </c>
      <c r="G283" s="24">
        <f t="shared" ref="G283:H283" si="288">F283</f>
        <v>45757</v>
      </c>
      <c r="H283" s="26">
        <f t="shared" si="288"/>
        <v>45757</v>
      </c>
      <c r="I283" s="14" t="s">
        <v>259</v>
      </c>
      <c r="J283" s="14" t="s">
        <v>304</v>
      </c>
      <c r="K283" s="27">
        <v>2.0E7</v>
      </c>
      <c r="L283" s="29" t="s">
        <v>1203</v>
      </c>
      <c r="M283" s="31"/>
      <c r="N283" s="31"/>
      <c r="O283" s="31"/>
      <c r="Q283" s="36"/>
      <c r="R283" s="36"/>
      <c r="S283" s="36"/>
      <c r="T283" s="36"/>
      <c r="V283" s="31"/>
    </row>
    <row r="284">
      <c r="A284" s="14" t="s">
        <v>679</v>
      </c>
      <c r="B284" s="14" t="s">
        <v>1521</v>
      </c>
      <c r="C284" s="14" t="s">
        <v>1522</v>
      </c>
      <c r="D284" s="14" t="s">
        <v>40</v>
      </c>
      <c r="E284" s="20" t="str">
        <f t="shared" si="2"/>
        <v>abril 2025</v>
      </c>
      <c r="F284" s="22">
        <v>45777.0</v>
      </c>
      <c r="G284" s="24">
        <f t="shared" ref="G284:H284" si="289">F284</f>
        <v>45777</v>
      </c>
      <c r="H284" s="26">
        <f t="shared" si="289"/>
        <v>45777</v>
      </c>
      <c r="I284" s="14" t="s">
        <v>90</v>
      </c>
      <c r="K284" s="27">
        <v>8.0E7</v>
      </c>
      <c r="L284" s="29" t="s">
        <v>1033</v>
      </c>
      <c r="M284" s="31"/>
      <c r="N284" s="31"/>
      <c r="O284" s="31"/>
      <c r="Q284" s="36"/>
      <c r="R284" s="36"/>
      <c r="S284" s="36"/>
      <c r="T284" s="36"/>
      <c r="V284" s="31"/>
    </row>
    <row r="285">
      <c r="A285" s="14" t="s">
        <v>679</v>
      </c>
      <c r="B285" s="14" t="s">
        <v>1527</v>
      </c>
      <c r="C285" s="14" t="s">
        <v>1528</v>
      </c>
      <c r="D285" s="14" t="s">
        <v>40</v>
      </c>
      <c r="E285" s="20" t="str">
        <f t="shared" si="2"/>
        <v>abril 2025</v>
      </c>
      <c r="F285" s="22">
        <v>45757.0</v>
      </c>
      <c r="G285" s="24">
        <f t="shared" ref="G285:H285" si="290">F285</f>
        <v>45757</v>
      </c>
      <c r="H285" s="26">
        <f t="shared" si="290"/>
        <v>45757</v>
      </c>
      <c r="I285" s="14" t="s">
        <v>259</v>
      </c>
      <c r="J285" s="14" t="s">
        <v>304</v>
      </c>
      <c r="K285" s="27">
        <v>4.0E7</v>
      </c>
      <c r="L285" s="29" t="s">
        <v>1210</v>
      </c>
      <c r="M285" s="31"/>
      <c r="N285" s="31"/>
      <c r="O285" s="31"/>
      <c r="Q285" s="36"/>
      <c r="R285" s="36"/>
      <c r="S285" s="36"/>
      <c r="T285" s="36"/>
      <c r="V285" s="31"/>
    </row>
    <row r="286">
      <c r="A286" s="14" t="s">
        <v>208</v>
      </c>
      <c r="B286" s="37" t="s">
        <v>1533</v>
      </c>
      <c r="C286" s="116" t="s">
        <v>1534</v>
      </c>
      <c r="D286" s="14" t="s">
        <v>40</v>
      </c>
      <c r="E286" s="20" t="str">
        <f t="shared" si="2"/>
        <v>abril 2025</v>
      </c>
      <c r="F286" s="22">
        <v>45750.0</v>
      </c>
      <c r="G286" s="24">
        <f t="shared" ref="G286:H286" si="291">F286</f>
        <v>45750</v>
      </c>
      <c r="H286" s="26">
        <f t="shared" si="291"/>
        <v>45750</v>
      </c>
      <c r="I286" s="14" t="s">
        <v>259</v>
      </c>
      <c r="J286" s="14" t="s">
        <v>285</v>
      </c>
      <c r="K286" s="27">
        <v>5.0E7</v>
      </c>
      <c r="L286" s="29" t="s">
        <v>1210</v>
      </c>
      <c r="M286" s="31"/>
      <c r="N286" s="31"/>
      <c r="O286" s="31"/>
      <c r="Q286" s="36"/>
      <c r="R286" s="36"/>
      <c r="S286" s="36"/>
      <c r="T286" s="36"/>
      <c r="V286" s="31"/>
    </row>
    <row r="287">
      <c r="A287" s="14" t="s">
        <v>208</v>
      </c>
      <c r="B287" s="37" t="s">
        <v>1537</v>
      </c>
      <c r="C287" s="15" t="s">
        <v>1539</v>
      </c>
      <c r="D287" s="14" t="s">
        <v>40</v>
      </c>
      <c r="E287" s="20" t="str">
        <f t="shared" si="2"/>
        <v>abril 2025</v>
      </c>
      <c r="F287" s="22">
        <v>45757.0</v>
      </c>
      <c r="G287" s="24">
        <f t="shared" ref="G287:H287" si="292">F287</f>
        <v>45757</v>
      </c>
      <c r="H287" s="26">
        <f t="shared" si="292"/>
        <v>45757</v>
      </c>
      <c r="I287" s="14" t="s">
        <v>259</v>
      </c>
      <c r="J287" s="14" t="s">
        <v>260</v>
      </c>
      <c r="K287" s="27">
        <v>4.0E7</v>
      </c>
      <c r="L287" s="29" t="s">
        <v>1210</v>
      </c>
      <c r="M287" s="31"/>
      <c r="N287" s="31"/>
      <c r="O287" s="31"/>
      <c r="Q287" s="36"/>
      <c r="R287" s="36"/>
      <c r="S287" s="36"/>
      <c r="T287" s="36"/>
      <c r="V287" s="31"/>
    </row>
    <row r="288">
      <c r="A288" s="14" t="s">
        <v>1012</v>
      </c>
      <c r="B288" s="14" t="s">
        <v>1546</v>
      </c>
      <c r="C288" s="15" t="s">
        <v>1548</v>
      </c>
      <c r="D288" s="14" t="s">
        <v>40</v>
      </c>
      <c r="E288" s="20" t="str">
        <f t="shared" si="2"/>
        <v>abril 2025</v>
      </c>
      <c r="F288" s="22">
        <v>45750.0</v>
      </c>
      <c r="G288" s="24">
        <f t="shared" ref="G288:H288" si="293">F288</f>
        <v>45750</v>
      </c>
      <c r="H288" s="26">
        <f t="shared" si="293"/>
        <v>45750</v>
      </c>
      <c r="I288" s="14" t="s">
        <v>90</v>
      </c>
      <c r="K288" s="27">
        <v>2.0E7</v>
      </c>
      <c r="L288" s="29" t="s">
        <v>1203</v>
      </c>
      <c r="M288" s="31"/>
      <c r="N288" s="31"/>
      <c r="O288" s="31"/>
      <c r="Q288" s="36"/>
      <c r="R288" s="36"/>
      <c r="S288" s="36"/>
      <c r="T288" s="36"/>
      <c r="V288" s="31"/>
    </row>
    <row r="289">
      <c r="A289" s="14" t="s">
        <v>1012</v>
      </c>
      <c r="B289" s="14" t="s">
        <v>1552</v>
      </c>
      <c r="C289" s="15" t="s">
        <v>1554</v>
      </c>
      <c r="D289" s="14" t="s">
        <v>40</v>
      </c>
      <c r="E289" s="20" t="str">
        <f t="shared" si="2"/>
        <v>abril 2025</v>
      </c>
      <c r="F289" s="22">
        <v>45751.0</v>
      </c>
      <c r="G289" s="24">
        <f t="shared" ref="G289:H289" si="294">F289</f>
        <v>45751</v>
      </c>
      <c r="H289" s="26">
        <f t="shared" si="294"/>
        <v>45751</v>
      </c>
      <c r="I289" s="14" t="s">
        <v>259</v>
      </c>
      <c r="J289" s="14" t="s">
        <v>260</v>
      </c>
      <c r="K289" s="27">
        <v>2.0E7</v>
      </c>
      <c r="L289" s="29" t="s">
        <v>1203</v>
      </c>
      <c r="M289" s="31"/>
      <c r="N289" s="31"/>
      <c r="O289" s="31"/>
      <c r="Q289" s="36"/>
      <c r="R289" s="36"/>
      <c r="S289" s="36"/>
      <c r="T289" s="36"/>
      <c r="V289" s="31"/>
    </row>
    <row r="290">
      <c r="A290" s="14" t="s">
        <v>1045</v>
      </c>
      <c r="B290" s="14" t="s">
        <v>1557</v>
      </c>
      <c r="C290" s="15" t="s">
        <v>1558</v>
      </c>
      <c r="D290" s="14" t="s">
        <v>40</v>
      </c>
      <c r="E290" s="20" t="str">
        <f t="shared" si="2"/>
        <v>mayo 2025</v>
      </c>
      <c r="F290" s="22">
        <v>45779.0</v>
      </c>
      <c r="G290" s="24">
        <f t="shared" ref="G290:H290" si="295">F290</f>
        <v>45779</v>
      </c>
      <c r="H290" s="26">
        <f t="shared" si="295"/>
        <v>45779</v>
      </c>
      <c r="I290" s="14" t="s">
        <v>90</v>
      </c>
      <c r="K290" s="27">
        <v>2.5E7</v>
      </c>
      <c r="L290" s="29" t="s">
        <v>1008</v>
      </c>
      <c r="M290" s="31"/>
      <c r="N290" s="31"/>
      <c r="O290" s="31"/>
      <c r="Q290" s="36"/>
      <c r="R290" s="36"/>
      <c r="S290" s="36"/>
      <c r="T290" s="36"/>
      <c r="V290" s="31"/>
    </row>
    <row r="291">
      <c r="A291" s="14" t="s">
        <v>1045</v>
      </c>
      <c r="B291" s="14" t="s">
        <v>1564</v>
      </c>
      <c r="C291" s="15" t="s">
        <v>1565</v>
      </c>
      <c r="D291" s="14" t="s">
        <v>40</v>
      </c>
      <c r="E291" s="20" t="str">
        <f t="shared" si="2"/>
        <v>mayo 2025</v>
      </c>
      <c r="F291" s="22">
        <v>45779.0</v>
      </c>
      <c r="G291" s="24">
        <f t="shared" ref="G291:H291" si="296">F291</f>
        <v>45779</v>
      </c>
      <c r="H291" s="26">
        <f t="shared" si="296"/>
        <v>45779</v>
      </c>
      <c r="I291" s="14" t="s">
        <v>90</v>
      </c>
      <c r="K291" s="27">
        <v>1.0E7</v>
      </c>
      <c r="L291" s="29" t="s">
        <v>1203</v>
      </c>
      <c r="M291" s="31"/>
      <c r="N291" s="31"/>
      <c r="O291" s="31"/>
      <c r="Q291" s="36"/>
      <c r="R291" s="36"/>
      <c r="S291" s="36"/>
      <c r="T291" s="36"/>
      <c r="V291" s="31"/>
    </row>
    <row r="292">
      <c r="A292" s="14" t="s">
        <v>117</v>
      </c>
      <c r="B292" s="14" t="s">
        <v>1570</v>
      </c>
      <c r="C292" s="14" t="s">
        <v>1571</v>
      </c>
      <c r="D292" s="14" t="s">
        <v>40</v>
      </c>
      <c r="E292" s="20" t="str">
        <f t="shared" si="2"/>
        <v>mayo 2025</v>
      </c>
      <c r="F292" s="22">
        <v>45779.0</v>
      </c>
      <c r="G292" s="24">
        <f t="shared" ref="G292:H292" si="297">F292</f>
        <v>45779</v>
      </c>
      <c r="H292" s="26">
        <f t="shared" si="297"/>
        <v>45779</v>
      </c>
      <c r="I292" s="14" t="s">
        <v>90</v>
      </c>
      <c r="K292" s="27">
        <v>1.6E8</v>
      </c>
      <c r="L292" s="29">
        <v>1.79</v>
      </c>
      <c r="M292" s="14"/>
      <c r="N292" s="14"/>
      <c r="O292" s="14"/>
      <c r="P292" s="14" t="s">
        <v>84</v>
      </c>
      <c r="Q292" s="36"/>
      <c r="R292" s="36"/>
      <c r="S292" s="36"/>
      <c r="T292" s="36"/>
      <c r="V292" s="31"/>
    </row>
    <row r="293">
      <c r="A293" s="14" t="s">
        <v>1012</v>
      </c>
      <c r="B293" s="14" t="s">
        <v>1576</v>
      </c>
      <c r="C293" s="14" t="s">
        <v>1578</v>
      </c>
      <c r="D293" s="14" t="s">
        <v>40</v>
      </c>
      <c r="E293" s="20" t="str">
        <f t="shared" si="2"/>
        <v>mayo 2025</v>
      </c>
      <c r="F293" s="22">
        <v>45779.0</v>
      </c>
      <c r="G293" s="24">
        <f t="shared" ref="G293:H293" si="298">F293</f>
        <v>45779</v>
      </c>
      <c r="H293" s="26">
        <f t="shared" si="298"/>
        <v>45779</v>
      </c>
      <c r="I293" s="14" t="s">
        <v>259</v>
      </c>
      <c r="J293" s="14" t="s">
        <v>1583</v>
      </c>
      <c r="K293" s="27">
        <v>2.0E8</v>
      </c>
      <c r="L293" s="29" t="s">
        <v>1584</v>
      </c>
      <c r="M293" s="14"/>
      <c r="N293" s="14"/>
      <c r="O293" s="14"/>
      <c r="P293" s="14"/>
      <c r="Q293" s="36"/>
      <c r="R293" s="36"/>
      <c r="S293" s="36"/>
      <c r="T293" s="36"/>
      <c r="V293" s="31"/>
    </row>
    <row r="294">
      <c r="A294" s="14" t="s">
        <v>1012</v>
      </c>
      <c r="B294" s="14" t="s">
        <v>1587</v>
      </c>
      <c r="C294" s="14" t="s">
        <v>1588</v>
      </c>
      <c r="D294" s="14" t="s">
        <v>40</v>
      </c>
      <c r="E294" s="20" t="str">
        <f t="shared" si="2"/>
        <v>mayo 2025</v>
      </c>
      <c r="F294" s="22">
        <v>45782.0</v>
      </c>
      <c r="G294" s="24">
        <f t="shared" ref="G294:H294" si="299">F294</f>
        <v>45782</v>
      </c>
      <c r="H294" s="26">
        <f t="shared" si="299"/>
        <v>45782</v>
      </c>
      <c r="I294" s="14" t="s">
        <v>259</v>
      </c>
      <c r="J294" s="14" t="s">
        <v>260</v>
      </c>
      <c r="K294" s="27">
        <v>2.0E8</v>
      </c>
      <c r="L294" s="29">
        <v>1.85</v>
      </c>
      <c r="M294" s="14"/>
      <c r="N294" s="14"/>
      <c r="O294" s="14"/>
      <c r="P294" s="14" t="s">
        <v>84</v>
      </c>
      <c r="Q294" s="36"/>
      <c r="R294" s="36"/>
      <c r="S294" s="36"/>
      <c r="T294" s="36"/>
      <c r="V294" s="31"/>
    </row>
    <row r="295">
      <c r="A295" s="123" t="s">
        <v>1012</v>
      </c>
      <c r="B295" s="14" t="s">
        <v>1587</v>
      </c>
      <c r="C295" s="14" t="s">
        <v>1588</v>
      </c>
      <c r="D295" s="123" t="s">
        <v>40</v>
      </c>
      <c r="E295" s="20" t="str">
        <f t="shared" si="2"/>
        <v>mayo 2025</v>
      </c>
      <c r="F295" s="22">
        <v>45782.0</v>
      </c>
      <c r="G295" s="24">
        <f t="shared" ref="G295:H295" si="300">F295</f>
        <v>45782</v>
      </c>
      <c r="H295" s="26">
        <f t="shared" si="300"/>
        <v>45782</v>
      </c>
      <c r="I295" s="123" t="s">
        <v>1596</v>
      </c>
      <c r="J295" s="14" t="s">
        <v>260</v>
      </c>
      <c r="K295" s="198">
        <v>8.0E7</v>
      </c>
      <c r="L295" s="62">
        <v>0.017</v>
      </c>
      <c r="M295" s="14"/>
      <c r="N295" s="14"/>
      <c r="O295" s="14"/>
      <c r="P295" s="14"/>
      <c r="Q295" s="36"/>
      <c r="R295" s="36"/>
      <c r="S295" s="36"/>
      <c r="T295" s="36"/>
      <c r="V295" s="31"/>
    </row>
    <row r="296">
      <c r="A296" s="34" t="s">
        <v>1075</v>
      </c>
      <c r="B296" s="34" t="s">
        <v>1600</v>
      </c>
      <c r="C296" s="38" t="s">
        <v>1601</v>
      </c>
      <c r="D296" s="34" t="s">
        <v>40</v>
      </c>
      <c r="E296" s="20" t="str">
        <f t="shared" si="2"/>
        <v>mayo 2025</v>
      </c>
      <c r="F296" s="22">
        <v>45779.0</v>
      </c>
      <c r="G296" s="24">
        <f t="shared" ref="G296:H296" si="301">F296</f>
        <v>45779</v>
      </c>
      <c r="H296" s="26">
        <f t="shared" si="301"/>
        <v>45779</v>
      </c>
      <c r="I296" s="34" t="s">
        <v>90</v>
      </c>
      <c r="J296" s="34"/>
      <c r="K296" s="199">
        <v>2.0E7</v>
      </c>
      <c r="L296" s="78"/>
      <c r="M296" s="14"/>
      <c r="N296" s="14"/>
      <c r="O296" s="14"/>
      <c r="P296" s="14"/>
      <c r="Q296" s="36"/>
      <c r="R296" s="36"/>
      <c r="S296" s="36"/>
      <c r="T296" s="36"/>
      <c r="V296" s="31"/>
    </row>
    <row r="297">
      <c r="A297" s="34" t="s">
        <v>1075</v>
      </c>
      <c r="B297" s="34" t="s">
        <v>1608</v>
      </c>
      <c r="C297" s="38" t="s">
        <v>1609</v>
      </c>
      <c r="D297" s="34" t="s">
        <v>40</v>
      </c>
      <c r="E297" s="20" t="str">
        <f t="shared" si="2"/>
        <v>mayo 2025</v>
      </c>
      <c r="F297" s="22">
        <v>45779.0</v>
      </c>
      <c r="G297" s="24">
        <f t="shared" ref="G297:H297" si="302">F297</f>
        <v>45779</v>
      </c>
      <c r="H297" s="26">
        <f t="shared" si="302"/>
        <v>45779</v>
      </c>
      <c r="I297" s="34" t="s">
        <v>90</v>
      </c>
      <c r="J297" s="34"/>
      <c r="K297" s="199">
        <v>4.0E7</v>
      </c>
      <c r="L297" s="78"/>
      <c r="M297" s="14"/>
      <c r="N297" s="14"/>
      <c r="O297" s="14"/>
      <c r="P297" s="14"/>
      <c r="Q297" s="36"/>
      <c r="R297" s="36"/>
      <c r="S297" s="36"/>
      <c r="T297" s="36"/>
      <c r="V297" s="31"/>
    </row>
    <row r="298">
      <c r="A298" s="14" t="s">
        <v>1045</v>
      </c>
      <c r="B298" s="14" t="s">
        <v>1616</v>
      </c>
      <c r="C298" s="14" t="s">
        <v>1617</v>
      </c>
      <c r="D298" s="14" t="s">
        <v>40</v>
      </c>
      <c r="E298" s="20" t="str">
        <f t="shared" si="2"/>
        <v>mayo 2025</v>
      </c>
      <c r="F298" s="22">
        <v>45784.0</v>
      </c>
      <c r="G298" s="24">
        <f t="shared" ref="G298:H298" si="303">F298</f>
        <v>45784</v>
      </c>
      <c r="H298" s="26">
        <f t="shared" si="303"/>
        <v>45784</v>
      </c>
      <c r="I298" s="14" t="s">
        <v>90</v>
      </c>
      <c r="K298" s="27">
        <v>2.0E8</v>
      </c>
      <c r="L298" s="29">
        <v>1.99</v>
      </c>
      <c r="M298" s="14"/>
      <c r="N298" s="14"/>
      <c r="O298" s="14"/>
      <c r="P298" s="14" t="s">
        <v>75</v>
      </c>
      <c r="Q298" s="36"/>
      <c r="R298" s="36"/>
      <c r="S298" s="36"/>
      <c r="T298" s="36"/>
      <c r="V298" s="31"/>
    </row>
    <row r="299">
      <c r="A299" s="14" t="s">
        <v>36</v>
      </c>
      <c r="B299" s="14" t="s">
        <v>1623</v>
      </c>
      <c r="C299" s="14" t="s">
        <v>1624</v>
      </c>
      <c r="D299" s="14" t="s">
        <v>40</v>
      </c>
      <c r="E299" s="20" t="str">
        <f t="shared" si="2"/>
        <v>mayo 2025</v>
      </c>
      <c r="F299" s="22">
        <v>45783.0</v>
      </c>
      <c r="G299" s="24">
        <f t="shared" ref="G299:H299" si="304">F299</f>
        <v>45783</v>
      </c>
      <c r="H299" s="26">
        <f t="shared" si="304"/>
        <v>45783</v>
      </c>
      <c r="I299" s="14" t="s">
        <v>90</v>
      </c>
      <c r="K299" s="27">
        <v>2.0E7</v>
      </c>
      <c r="L299" s="29" t="s">
        <v>915</v>
      </c>
      <c r="M299" s="31"/>
      <c r="N299" s="31"/>
      <c r="O299" s="31"/>
      <c r="Q299" s="36"/>
      <c r="R299" s="36"/>
      <c r="S299" s="36"/>
      <c r="T299" s="36"/>
      <c r="V299" s="31"/>
    </row>
    <row r="300">
      <c r="A300" s="14" t="s">
        <v>679</v>
      </c>
      <c r="B300" s="14" t="s">
        <v>1628</v>
      </c>
      <c r="C300" s="14" t="s">
        <v>1630</v>
      </c>
      <c r="D300" s="14" t="s">
        <v>40</v>
      </c>
      <c r="E300" s="20" t="str">
        <f t="shared" si="2"/>
        <v>mayo 2025</v>
      </c>
      <c r="F300" s="22">
        <v>45786.0</v>
      </c>
      <c r="G300" s="24">
        <f t="shared" ref="G300:H300" si="305">F300</f>
        <v>45786</v>
      </c>
      <c r="H300" s="26">
        <f t="shared" si="305"/>
        <v>45786</v>
      </c>
      <c r="I300" s="14" t="s">
        <v>90</v>
      </c>
      <c r="K300" s="27">
        <v>2.0E7</v>
      </c>
      <c r="L300" s="29" t="s">
        <v>887</v>
      </c>
      <c r="M300" s="31"/>
      <c r="N300" s="31"/>
      <c r="O300" s="31"/>
      <c r="Q300" s="36"/>
      <c r="R300" s="36"/>
      <c r="S300" s="36"/>
      <c r="T300" s="36"/>
      <c r="V300" s="31"/>
    </row>
    <row r="301">
      <c r="A301" s="14" t="s">
        <v>679</v>
      </c>
      <c r="B301" s="14" t="s">
        <v>1635</v>
      </c>
      <c r="C301" s="14" t="s">
        <v>1636</v>
      </c>
      <c r="D301" s="14" t="s">
        <v>40</v>
      </c>
      <c r="E301" s="20" t="str">
        <f t="shared" si="2"/>
        <v>mayo 2025</v>
      </c>
      <c r="F301" s="22">
        <v>45786.0</v>
      </c>
      <c r="G301" s="24">
        <f t="shared" ref="G301:H301" si="306">F301</f>
        <v>45786</v>
      </c>
      <c r="H301" s="26">
        <f t="shared" si="306"/>
        <v>45786</v>
      </c>
      <c r="I301" s="14" t="s">
        <v>90</v>
      </c>
      <c r="K301" s="27">
        <v>3.5E8</v>
      </c>
      <c r="L301" s="29" t="s">
        <v>1640</v>
      </c>
      <c r="M301" s="31"/>
      <c r="N301" s="31"/>
      <c r="O301" s="31"/>
      <c r="Q301" s="36"/>
      <c r="R301" s="36"/>
      <c r="S301" s="36"/>
      <c r="T301" s="36"/>
      <c r="V301" s="31"/>
    </row>
    <row r="302">
      <c r="A302" s="14" t="s">
        <v>736</v>
      </c>
      <c r="B302" s="27" t="s">
        <v>1643</v>
      </c>
      <c r="C302" s="27" t="s">
        <v>1644</v>
      </c>
      <c r="D302" s="14" t="s">
        <v>40</v>
      </c>
      <c r="E302" s="20" t="str">
        <f t="shared" si="2"/>
        <v>mayo 2025</v>
      </c>
      <c r="F302" s="22">
        <v>45784.0</v>
      </c>
      <c r="G302" s="24">
        <f t="shared" ref="G302:H302" si="307">F302</f>
        <v>45784</v>
      </c>
      <c r="H302" s="26">
        <f t="shared" si="307"/>
        <v>45784</v>
      </c>
      <c r="I302" s="14" t="s">
        <v>90</v>
      </c>
      <c r="K302" s="27">
        <v>2.0E7</v>
      </c>
      <c r="L302" s="29" t="s">
        <v>1203</v>
      </c>
      <c r="M302" s="31"/>
      <c r="N302" s="31"/>
      <c r="O302" s="31"/>
      <c r="Q302" s="36"/>
      <c r="R302" s="36"/>
      <c r="S302" s="36"/>
      <c r="T302" s="36"/>
      <c r="V302" s="31"/>
    </row>
    <row r="303">
      <c r="A303" s="14" t="s">
        <v>736</v>
      </c>
      <c r="B303" s="27" t="s">
        <v>1649</v>
      </c>
      <c r="C303" s="27" t="s">
        <v>1650</v>
      </c>
      <c r="D303" s="14" t="s">
        <v>40</v>
      </c>
      <c r="E303" s="20" t="str">
        <f t="shared" si="2"/>
        <v>mayo 2025</v>
      </c>
      <c r="F303" s="22">
        <v>45784.0</v>
      </c>
      <c r="G303" s="24">
        <f t="shared" ref="G303:H303" si="308">F303</f>
        <v>45784</v>
      </c>
      <c r="H303" s="26">
        <f t="shared" si="308"/>
        <v>45784</v>
      </c>
      <c r="I303" s="14" t="s">
        <v>90</v>
      </c>
      <c r="K303" s="27">
        <v>1.0E7</v>
      </c>
      <c r="L303" s="29" t="s">
        <v>1203</v>
      </c>
      <c r="M303" s="31"/>
      <c r="N303" s="31"/>
      <c r="O303" s="31"/>
      <c r="Q303" s="36"/>
      <c r="R303" s="36"/>
      <c r="S303" s="36"/>
      <c r="T303" s="36"/>
      <c r="V303" s="31"/>
    </row>
    <row r="304">
      <c r="A304" s="14" t="s">
        <v>736</v>
      </c>
      <c r="B304" s="14" t="s">
        <v>1655</v>
      </c>
      <c r="C304" s="27" t="s">
        <v>1656</v>
      </c>
      <c r="D304" s="14" t="s">
        <v>40</v>
      </c>
      <c r="E304" s="20" t="str">
        <f t="shared" si="2"/>
        <v>mayo 2025</v>
      </c>
      <c r="F304" s="22">
        <v>45783.0</v>
      </c>
      <c r="G304" s="24">
        <f t="shared" ref="G304:H304" si="309">F304</f>
        <v>45783</v>
      </c>
      <c r="H304" s="26">
        <f t="shared" si="309"/>
        <v>45783</v>
      </c>
      <c r="I304" s="14" t="s">
        <v>90</v>
      </c>
      <c r="K304" s="27">
        <v>5.0E7</v>
      </c>
      <c r="L304" s="29" t="s">
        <v>1660</v>
      </c>
      <c r="M304" s="31"/>
      <c r="N304" s="31"/>
      <c r="O304" s="31"/>
      <c r="Q304" s="36"/>
      <c r="R304" s="36"/>
      <c r="S304" s="36"/>
      <c r="T304" s="36"/>
      <c r="V304" s="31"/>
    </row>
    <row r="305">
      <c r="A305" s="14" t="s">
        <v>1045</v>
      </c>
      <c r="B305" s="14" t="s">
        <v>1662</v>
      </c>
      <c r="C305" s="15" t="s">
        <v>1664</v>
      </c>
      <c r="D305" s="14" t="s">
        <v>40</v>
      </c>
      <c r="E305" s="20" t="str">
        <f t="shared" si="2"/>
        <v>mayo 2025</v>
      </c>
      <c r="F305" s="22">
        <v>45790.0</v>
      </c>
      <c r="G305" s="24">
        <f t="shared" ref="G305:H305" si="310">F305</f>
        <v>45790</v>
      </c>
      <c r="H305" s="26">
        <f t="shared" si="310"/>
        <v>45790</v>
      </c>
      <c r="I305" s="14" t="s">
        <v>90</v>
      </c>
      <c r="K305" s="27">
        <v>1.5E7</v>
      </c>
      <c r="L305" s="29" t="s">
        <v>1203</v>
      </c>
      <c r="M305" s="31"/>
      <c r="N305" s="31"/>
      <c r="O305" s="31"/>
      <c r="Q305" s="36"/>
      <c r="R305" s="36"/>
      <c r="S305" s="36"/>
      <c r="T305" s="36"/>
      <c r="V305" s="31"/>
    </row>
    <row r="306">
      <c r="A306" s="14" t="s">
        <v>117</v>
      </c>
      <c r="B306" s="14" t="s">
        <v>1670</v>
      </c>
      <c r="C306" s="14" t="s">
        <v>1671</v>
      </c>
      <c r="D306" s="14" t="s">
        <v>40</v>
      </c>
      <c r="E306" s="20" t="str">
        <f t="shared" si="2"/>
        <v>mayo 2025</v>
      </c>
      <c r="F306" s="22">
        <v>45790.0</v>
      </c>
      <c r="G306" s="24">
        <f t="shared" ref="G306:H306" si="311">F306</f>
        <v>45790</v>
      </c>
      <c r="H306" s="26">
        <f t="shared" si="311"/>
        <v>45790</v>
      </c>
      <c r="I306" s="14" t="s">
        <v>90</v>
      </c>
      <c r="K306" s="27">
        <v>5.0E7</v>
      </c>
      <c r="L306" s="78"/>
      <c r="M306" s="31"/>
      <c r="N306" s="31"/>
      <c r="O306" s="31"/>
      <c r="Q306" s="36"/>
      <c r="R306" s="36"/>
      <c r="S306" s="36"/>
      <c r="T306" s="36"/>
      <c r="V306" s="31"/>
    </row>
    <row r="307">
      <c r="A307" s="14" t="s">
        <v>117</v>
      </c>
      <c r="B307" s="14" t="s">
        <v>1676</v>
      </c>
      <c r="C307" s="14" t="s">
        <v>1677</v>
      </c>
      <c r="D307" s="14" t="s">
        <v>40</v>
      </c>
      <c r="E307" s="20" t="str">
        <f t="shared" si="2"/>
        <v>mayo 2025</v>
      </c>
      <c r="F307" s="22">
        <v>45793.0</v>
      </c>
      <c r="G307" s="24">
        <f t="shared" ref="G307:H307" si="312">F307</f>
        <v>45793</v>
      </c>
      <c r="H307" s="26">
        <f t="shared" si="312"/>
        <v>45793</v>
      </c>
      <c r="I307" s="14" t="s">
        <v>90</v>
      </c>
      <c r="K307" s="27">
        <v>2.5E7</v>
      </c>
      <c r="L307" s="29">
        <v>2.19</v>
      </c>
      <c r="M307" s="31"/>
      <c r="N307" s="31"/>
      <c r="O307" s="31"/>
      <c r="Q307" s="36"/>
      <c r="R307" s="36"/>
      <c r="S307" s="36"/>
      <c r="T307" s="36"/>
      <c r="V307" s="31"/>
    </row>
    <row r="308">
      <c r="A308" s="14" t="s">
        <v>36</v>
      </c>
      <c r="B308" s="14" t="s">
        <v>1680</v>
      </c>
      <c r="C308" s="14" t="s">
        <v>1681</v>
      </c>
      <c r="D308" s="14" t="s">
        <v>40</v>
      </c>
      <c r="E308" s="20" t="str">
        <f t="shared" si="2"/>
        <v>mayo 2025</v>
      </c>
      <c r="F308" s="22">
        <v>45793.0</v>
      </c>
      <c r="G308" s="24">
        <f t="shared" ref="G308:H308" si="313">F308</f>
        <v>45793</v>
      </c>
      <c r="H308" s="26">
        <f t="shared" si="313"/>
        <v>45793</v>
      </c>
      <c r="I308" s="14" t="s">
        <v>90</v>
      </c>
      <c r="K308" s="27">
        <v>2.5E8</v>
      </c>
      <c r="L308" s="29" t="s">
        <v>1143</v>
      </c>
      <c r="M308" s="14"/>
      <c r="N308" s="14"/>
      <c r="O308" s="14"/>
      <c r="P308" s="14" t="s">
        <v>84</v>
      </c>
      <c r="Q308" s="36"/>
      <c r="R308" s="36"/>
      <c r="S308" s="36"/>
      <c r="T308" s="36"/>
      <c r="V308" s="31"/>
    </row>
    <row r="309">
      <c r="A309" s="14" t="s">
        <v>679</v>
      </c>
      <c r="B309" s="14" t="s">
        <v>1688</v>
      </c>
      <c r="C309" s="14" t="s">
        <v>1689</v>
      </c>
      <c r="D309" s="14" t="s">
        <v>40</v>
      </c>
      <c r="E309" s="20" t="str">
        <f t="shared" si="2"/>
        <v>mayo 2025</v>
      </c>
      <c r="F309" s="22">
        <v>45790.0</v>
      </c>
      <c r="G309" s="24">
        <f t="shared" ref="G309:H309" si="314">F309</f>
        <v>45790</v>
      </c>
      <c r="H309" s="26">
        <f t="shared" si="314"/>
        <v>45790</v>
      </c>
      <c r="I309" s="14" t="s">
        <v>90</v>
      </c>
      <c r="K309" s="27">
        <v>1.0E7</v>
      </c>
      <c r="L309" s="29" t="s">
        <v>1203</v>
      </c>
      <c r="M309" s="31"/>
      <c r="N309" s="31"/>
      <c r="O309" s="31"/>
      <c r="Q309" s="36"/>
      <c r="R309" s="36"/>
      <c r="S309" s="36"/>
      <c r="T309" s="36"/>
      <c r="V309" s="31"/>
    </row>
    <row r="310">
      <c r="A310" s="14" t="s">
        <v>736</v>
      </c>
      <c r="B310" s="14" t="s">
        <v>1694</v>
      </c>
      <c r="C310" s="27" t="s">
        <v>1696</v>
      </c>
      <c r="D310" s="14" t="s">
        <v>40</v>
      </c>
      <c r="E310" s="20" t="str">
        <f t="shared" si="2"/>
        <v>mayo 2025</v>
      </c>
      <c r="F310" s="22">
        <v>45796.0</v>
      </c>
      <c r="G310" s="24">
        <f t="shared" ref="G310:H310" si="315">F310</f>
        <v>45796</v>
      </c>
      <c r="H310" s="26">
        <f t="shared" si="315"/>
        <v>45796</v>
      </c>
      <c r="I310" s="14" t="s">
        <v>90</v>
      </c>
      <c r="K310" s="27">
        <v>1.0E7</v>
      </c>
      <c r="L310" s="29" t="s">
        <v>1203</v>
      </c>
      <c r="M310" s="31"/>
      <c r="N310" s="31"/>
      <c r="O310" s="31"/>
      <c r="Q310" s="36"/>
      <c r="R310" s="36"/>
      <c r="S310" s="36"/>
      <c r="T310" s="36"/>
      <c r="V310" s="31"/>
    </row>
    <row r="311">
      <c r="A311" s="14" t="s">
        <v>736</v>
      </c>
      <c r="B311" s="14" t="s">
        <v>1701</v>
      </c>
      <c r="C311" s="27" t="s">
        <v>1702</v>
      </c>
      <c r="D311" s="14" t="s">
        <v>40</v>
      </c>
      <c r="E311" s="20" t="str">
        <f t="shared" si="2"/>
        <v>mayo 2025</v>
      </c>
      <c r="F311" s="22">
        <v>45797.0</v>
      </c>
      <c r="G311" s="24">
        <f t="shared" ref="G311:H311" si="316">F311</f>
        <v>45797</v>
      </c>
      <c r="H311" s="26">
        <f t="shared" si="316"/>
        <v>45797</v>
      </c>
      <c r="I311" s="14" t="s">
        <v>259</v>
      </c>
      <c r="J311" s="14" t="s">
        <v>1709</v>
      </c>
      <c r="K311" s="27">
        <v>1.5E7</v>
      </c>
      <c r="L311" s="29" t="s">
        <v>1203</v>
      </c>
      <c r="M311" s="31"/>
      <c r="N311" s="31"/>
      <c r="O311" s="31"/>
      <c r="Q311" s="36"/>
      <c r="R311" s="36"/>
      <c r="S311" s="36"/>
      <c r="T311" s="36"/>
      <c r="V311" s="31"/>
    </row>
    <row r="312">
      <c r="A312" s="14" t="s">
        <v>208</v>
      </c>
      <c r="B312" s="14" t="s">
        <v>1711</v>
      </c>
      <c r="C312" s="15" t="s">
        <v>1712</v>
      </c>
      <c r="D312" s="14" t="s">
        <v>40</v>
      </c>
      <c r="E312" s="20" t="str">
        <f t="shared" si="2"/>
        <v>mayo 2025</v>
      </c>
      <c r="F312" s="22">
        <v>45790.0</v>
      </c>
      <c r="G312" s="24">
        <f t="shared" ref="G312:H312" si="317">F312</f>
        <v>45790</v>
      </c>
      <c r="H312" s="26">
        <f t="shared" si="317"/>
        <v>45790</v>
      </c>
      <c r="I312" s="14" t="s">
        <v>90</v>
      </c>
      <c r="K312" s="27">
        <v>1.5E7</v>
      </c>
      <c r="L312" s="29" t="s">
        <v>1203</v>
      </c>
      <c r="M312" s="31"/>
      <c r="N312" s="31"/>
      <c r="O312" s="31"/>
      <c r="Q312" s="36"/>
      <c r="R312" s="36"/>
      <c r="S312" s="36"/>
      <c r="T312" s="36"/>
      <c r="V312" s="31"/>
    </row>
    <row r="313">
      <c r="A313" s="14" t="s">
        <v>208</v>
      </c>
      <c r="B313" s="14" t="s">
        <v>1717</v>
      </c>
      <c r="C313" s="15" t="s">
        <v>1719</v>
      </c>
      <c r="D313" s="14" t="s">
        <v>40</v>
      </c>
      <c r="E313" s="20" t="str">
        <f t="shared" si="2"/>
        <v>mayo 2025</v>
      </c>
      <c r="F313" s="22">
        <v>45799.0</v>
      </c>
      <c r="G313" s="24">
        <f t="shared" ref="G313:H313" si="318">F313</f>
        <v>45799</v>
      </c>
      <c r="H313" s="26">
        <f t="shared" si="318"/>
        <v>45799</v>
      </c>
      <c r="I313" s="14" t="s">
        <v>259</v>
      </c>
      <c r="J313" s="14" t="s">
        <v>1709</v>
      </c>
      <c r="K313" s="27">
        <v>4.0E7</v>
      </c>
      <c r="L313" s="29" t="s">
        <v>1210</v>
      </c>
      <c r="M313" s="31"/>
      <c r="N313" s="31"/>
      <c r="O313" s="31"/>
      <c r="Q313" s="36"/>
      <c r="R313" s="36"/>
      <c r="S313" s="36"/>
      <c r="T313" s="36"/>
      <c r="V313" s="31"/>
    </row>
    <row r="314">
      <c r="A314" s="14" t="s">
        <v>208</v>
      </c>
      <c r="B314" s="14" t="s">
        <v>1724</v>
      </c>
      <c r="C314" s="15" t="s">
        <v>1725</v>
      </c>
      <c r="D314" s="14" t="s">
        <v>40</v>
      </c>
      <c r="E314" s="20" t="str">
        <f t="shared" si="2"/>
        <v>mayo 2025</v>
      </c>
      <c r="F314" s="22">
        <v>45800.0</v>
      </c>
      <c r="G314" s="24">
        <f t="shared" ref="G314:H314" si="319">F314</f>
        <v>45800</v>
      </c>
      <c r="H314" s="26">
        <f t="shared" si="319"/>
        <v>45800</v>
      </c>
      <c r="I314" s="14" t="s">
        <v>90</v>
      </c>
      <c r="K314" s="27">
        <v>2.0E7</v>
      </c>
      <c r="L314" s="29" t="s">
        <v>1008</v>
      </c>
      <c r="M314" s="31"/>
      <c r="N314" s="31"/>
      <c r="O314" s="31"/>
      <c r="Q314" s="36"/>
      <c r="R314" s="36"/>
      <c r="S314" s="36"/>
      <c r="T314" s="36"/>
      <c r="V314" s="31"/>
    </row>
    <row r="315">
      <c r="A315" s="14" t="s">
        <v>241</v>
      </c>
      <c r="B315" s="14" t="s">
        <v>1730</v>
      </c>
      <c r="C315" s="15" t="s">
        <v>1731</v>
      </c>
      <c r="D315" s="14" t="s">
        <v>40</v>
      </c>
      <c r="E315" s="20" t="str">
        <f t="shared" si="2"/>
        <v>mayo 2025</v>
      </c>
      <c r="F315" s="22">
        <v>45799.0</v>
      </c>
      <c r="G315" s="24">
        <f t="shared" ref="G315:H315" si="320">F315</f>
        <v>45799</v>
      </c>
      <c r="H315" s="26">
        <f t="shared" si="320"/>
        <v>45799</v>
      </c>
      <c r="I315" s="14" t="s">
        <v>90</v>
      </c>
      <c r="J315" s="14" t="s">
        <v>66</v>
      </c>
      <c r="K315" s="27">
        <v>1000.0</v>
      </c>
      <c r="L315" s="29" t="s">
        <v>1016</v>
      </c>
      <c r="M315" s="31"/>
      <c r="N315" s="31"/>
      <c r="O315" s="31"/>
      <c r="Q315" s="36"/>
      <c r="R315" s="36"/>
      <c r="S315" s="36"/>
      <c r="T315" s="36"/>
      <c r="V315" s="31"/>
    </row>
    <row r="316">
      <c r="A316" s="14" t="s">
        <v>241</v>
      </c>
      <c r="B316" s="14" t="s">
        <v>1735</v>
      </c>
      <c r="C316" s="15" t="s">
        <v>1736</v>
      </c>
      <c r="D316" s="14" t="s">
        <v>40</v>
      </c>
      <c r="E316" s="20" t="str">
        <f t="shared" si="2"/>
        <v>mayo 2025</v>
      </c>
      <c r="F316" s="22">
        <v>45779.0</v>
      </c>
      <c r="G316" s="24">
        <f t="shared" ref="G316:H316" si="321">F316</f>
        <v>45779</v>
      </c>
      <c r="H316" s="26">
        <f t="shared" si="321"/>
        <v>45779</v>
      </c>
      <c r="I316" s="14" t="s">
        <v>90</v>
      </c>
      <c r="J316" s="14" t="s">
        <v>66</v>
      </c>
      <c r="K316" s="27">
        <v>1.0E8</v>
      </c>
      <c r="L316" s="29" t="s">
        <v>1739</v>
      </c>
      <c r="M316" s="31"/>
      <c r="N316" s="31"/>
      <c r="O316" s="31"/>
      <c r="Q316" s="36"/>
      <c r="R316" s="36"/>
      <c r="S316" s="36"/>
      <c r="T316" s="36"/>
      <c r="V316" s="31"/>
    </row>
    <row r="317">
      <c r="A317" s="14" t="s">
        <v>1464</v>
      </c>
      <c r="B317" s="14" t="s">
        <v>1741</v>
      </c>
      <c r="C317" s="14" t="s">
        <v>1742</v>
      </c>
      <c r="D317" s="14" t="s">
        <v>40</v>
      </c>
      <c r="E317" s="20" t="str">
        <f t="shared" si="2"/>
        <v>mayo 2025</v>
      </c>
      <c r="F317" s="22">
        <v>45779.0</v>
      </c>
      <c r="G317" s="24">
        <f t="shared" ref="G317:H317" si="322">F317</f>
        <v>45779</v>
      </c>
      <c r="H317" s="26">
        <f t="shared" si="322"/>
        <v>45779</v>
      </c>
      <c r="I317" s="14" t="s">
        <v>90</v>
      </c>
      <c r="K317" s="27">
        <v>5000000.0</v>
      </c>
      <c r="L317" s="29" t="s">
        <v>1203</v>
      </c>
      <c r="M317" s="31"/>
      <c r="N317" s="31"/>
      <c r="O317" s="31"/>
      <c r="Q317" s="36"/>
      <c r="R317" s="36"/>
      <c r="S317" s="36"/>
      <c r="T317" s="36"/>
      <c r="V317" s="31"/>
    </row>
    <row r="318">
      <c r="A318" s="14" t="s">
        <v>1464</v>
      </c>
      <c r="B318" s="14" t="s">
        <v>1747</v>
      </c>
      <c r="C318" s="14" t="s">
        <v>1749</v>
      </c>
      <c r="D318" s="14" t="s">
        <v>40</v>
      </c>
      <c r="E318" s="20" t="str">
        <f t="shared" si="2"/>
        <v>mayo 2025</v>
      </c>
      <c r="F318" s="22">
        <v>45779.0</v>
      </c>
      <c r="G318" s="24">
        <f t="shared" ref="G318:H318" si="323">F318</f>
        <v>45779</v>
      </c>
      <c r="H318" s="26">
        <f t="shared" si="323"/>
        <v>45779</v>
      </c>
      <c r="I318" s="14" t="s">
        <v>90</v>
      </c>
      <c r="K318" s="27">
        <v>5000000.0</v>
      </c>
      <c r="L318" s="29" t="s">
        <v>1203</v>
      </c>
      <c r="M318" s="31"/>
      <c r="N318" s="31"/>
      <c r="O318" s="31"/>
      <c r="Q318" s="36"/>
      <c r="R318" s="36"/>
      <c r="S318" s="36"/>
      <c r="T318" s="36"/>
      <c r="V318" s="31"/>
    </row>
    <row r="319">
      <c r="A319" s="14" t="s">
        <v>1464</v>
      </c>
      <c r="B319" s="14" t="s">
        <v>1754</v>
      </c>
      <c r="C319" s="14" t="s">
        <v>1755</v>
      </c>
      <c r="D319" s="14" t="s">
        <v>40</v>
      </c>
      <c r="E319" s="20" t="str">
        <f t="shared" si="2"/>
        <v>mayo 2025</v>
      </c>
      <c r="F319" s="22">
        <v>45779.0</v>
      </c>
      <c r="G319" s="24">
        <f t="shared" ref="G319:H319" si="324">F319</f>
        <v>45779</v>
      </c>
      <c r="H319" s="26">
        <f t="shared" si="324"/>
        <v>45779</v>
      </c>
      <c r="I319" s="14" t="s">
        <v>90</v>
      </c>
      <c r="K319" s="27">
        <v>5000000.0</v>
      </c>
      <c r="L319" s="29" t="s">
        <v>1203</v>
      </c>
      <c r="M319" s="31"/>
      <c r="N319" s="31"/>
      <c r="O319" s="31"/>
      <c r="Q319" s="36"/>
      <c r="R319" s="36"/>
      <c r="S319" s="36"/>
      <c r="T319" s="36"/>
      <c r="V319" s="31"/>
    </row>
    <row r="320">
      <c r="A320" s="14" t="s">
        <v>1464</v>
      </c>
      <c r="B320" s="14" t="s">
        <v>1760</v>
      </c>
      <c r="C320" s="14" t="s">
        <v>1762</v>
      </c>
      <c r="D320" s="14" t="s">
        <v>40</v>
      </c>
      <c r="E320" s="20" t="str">
        <f t="shared" si="2"/>
        <v>mayo 2025</v>
      </c>
      <c r="F320" s="22">
        <v>45789.0</v>
      </c>
      <c r="G320" s="24">
        <f t="shared" ref="G320:H320" si="325">F320</f>
        <v>45789</v>
      </c>
      <c r="H320" s="26">
        <f t="shared" si="325"/>
        <v>45789</v>
      </c>
      <c r="I320" s="14" t="s">
        <v>90</v>
      </c>
      <c r="K320" s="27">
        <v>5000000.0</v>
      </c>
      <c r="L320" s="29" t="s">
        <v>1203</v>
      </c>
      <c r="M320" s="31"/>
      <c r="N320" s="31"/>
      <c r="O320" s="31"/>
      <c r="Q320" s="36"/>
      <c r="R320" s="36"/>
      <c r="S320" s="36"/>
      <c r="T320" s="36"/>
      <c r="V320" s="31"/>
    </row>
    <row r="321">
      <c r="A321" s="14" t="s">
        <v>1012</v>
      </c>
      <c r="B321" s="14" t="s">
        <v>1766</v>
      </c>
      <c r="C321" s="14" t="s">
        <v>1767</v>
      </c>
      <c r="D321" s="14" t="s">
        <v>40</v>
      </c>
      <c r="E321" s="20" t="str">
        <f t="shared" si="2"/>
        <v>junio 2025</v>
      </c>
      <c r="F321" s="22">
        <v>45812.0</v>
      </c>
      <c r="G321" s="24">
        <f t="shared" ref="G321:H321" si="326">F321</f>
        <v>45812</v>
      </c>
      <c r="H321" s="26">
        <f t="shared" si="326"/>
        <v>45812</v>
      </c>
      <c r="I321" s="14" t="s">
        <v>259</v>
      </c>
      <c r="J321" s="14" t="s">
        <v>304</v>
      </c>
      <c r="K321" s="27">
        <v>3.0E8</v>
      </c>
      <c r="L321" s="29" t="s">
        <v>1771</v>
      </c>
      <c r="M321" s="31"/>
      <c r="N321" s="31"/>
      <c r="O321" s="31"/>
      <c r="Q321" s="36"/>
      <c r="R321" s="36"/>
      <c r="S321" s="36"/>
      <c r="T321" s="36"/>
      <c r="V321" s="31"/>
    </row>
    <row r="322">
      <c r="A322" s="14" t="s">
        <v>679</v>
      </c>
      <c r="B322" s="14" t="s">
        <v>1776</v>
      </c>
      <c r="C322" s="14" t="s">
        <v>1778</v>
      </c>
      <c r="D322" s="14" t="s">
        <v>40</v>
      </c>
      <c r="E322" s="20" t="str">
        <f t="shared" si="2"/>
        <v>junio 2025</v>
      </c>
      <c r="F322" s="22">
        <v>45809.0</v>
      </c>
      <c r="G322" s="24">
        <f t="shared" ref="G322:H322" si="327">F322</f>
        <v>45809</v>
      </c>
      <c r="H322" s="26">
        <f t="shared" si="327"/>
        <v>45809</v>
      </c>
      <c r="I322" s="14" t="s">
        <v>90</v>
      </c>
      <c r="K322" s="27">
        <v>1.7E8</v>
      </c>
      <c r="L322" s="29" t="s">
        <v>1782</v>
      </c>
      <c r="M322" s="31"/>
      <c r="N322" s="31"/>
      <c r="O322" s="31"/>
      <c r="Q322" s="36"/>
      <c r="R322" s="36"/>
      <c r="S322" s="36"/>
      <c r="T322" s="36"/>
      <c r="V322" s="31"/>
    </row>
    <row r="323">
      <c r="A323" s="14" t="s">
        <v>1787</v>
      </c>
      <c r="B323" s="14" t="s">
        <v>1788</v>
      </c>
      <c r="C323" s="14" t="s">
        <v>1789</v>
      </c>
      <c r="D323" s="14" t="s">
        <v>40</v>
      </c>
      <c r="E323" s="20" t="str">
        <f t="shared" si="2"/>
        <v>junio 2025</v>
      </c>
      <c r="F323" s="22">
        <v>45811.0</v>
      </c>
      <c r="G323" s="24">
        <f t="shared" ref="G323:H323" si="328">F323</f>
        <v>45811</v>
      </c>
      <c r="H323" s="26">
        <f t="shared" si="328"/>
        <v>45811</v>
      </c>
      <c r="I323" s="14" t="s">
        <v>90</v>
      </c>
      <c r="K323" s="27">
        <v>6.0E7</v>
      </c>
      <c r="L323" s="29" t="s">
        <v>1210</v>
      </c>
      <c r="M323" s="31"/>
      <c r="N323" s="14" t="s">
        <v>84</v>
      </c>
      <c r="O323" s="31"/>
      <c r="Q323" s="36"/>
      <c r="R323" s="36"/>
      <c r="S323" s="36"/>
      <c r="T323" s="36"/>
      <c r="V323" s="31"/>
    </row>
    <row r="324">
      <c r="A324" s="14" t="s">
        <v>1787</v>
      </c>
      <c r="B324" s="14" t="s">
        <v>1796</v>
      </c>
      <c r="C324" s="14" t="s">
        <v>1798</v>
      </c>
      <c r="D324" s="14" t="s">
        <v>40</v>
      </c>
      <c r="E324" s="20" t="str">
        <f t="shared" si="2"/>
        <v>junio 2025</v>
      </c>
      <c r="F324" s="22">
        <v>45811.0</v>
      </c>
      <c r="G324" s="24">
        <f t="shared" ref="G324:H324" si="329">F324</f>
        <v>45811</v>
      </c>
      <c r="H324" s="26">
        <f t="shared" si="329"/>
        <v>45811</v>
      </c>
      <c r="I324" s="14" t="s">
        <v>90</v>
      </c>
      <c r="K324" s="27">
        <v>6000000.0</v>
      </c>
      <c r="L324" s="29" t="s">
        <v>1203</v>
      </c>
      <c r="M324" s="31"/>
      <c r="N324" s="14" t="s">
        <v>84</v>
      </c>
      <c r="O324" s="31"/>
      <c r="Q324" s="36"/>
      <c r="R324" s="36"/>
      <c r="S324" s="36"/>
      <c r="T324" s="36"/>
      <c r="V324" s="31"/>
    </row>
    <row r="325">
      <c r="A325" s="14" t="s">
        <v>1787</v>
      </c>
      <c r="B325" s="14" t="s">
        <v>1799</v>
      </c>
      <c r="C325" s="14" t="s">
        <v>1800</v>
      </c>
      <c r="D325" s="14" t="s">
        <v>40</v>
      </c>
      <c r="E325" s="20" t="str">
        <f t="shared" si="2"/>
        <v>junio 2025</v>
      </c>
      <c r="F325" s="22">
        <v>45812.0</v>
      </c>
      <c r="G325" s="24">
        <f t="shared" ref="G325:H325" si="330">F325</f>
        <v>45812</v>
      </c>
      <c r="H325" s="26">
        <f t="shared" si="330"/>
        <v>45812</v>
      </c>
      <c r="I325" s="14" t="s">
        <v>90</v>
      </c>
      <c r="K325" s="27">
        <v>1.0E8</v>
      </c>
      <c r="L325" s="29" t="s">
        <v>1210</v>
      </c>
      <c r="M325" s="31"/>
      <c r="N325" s="14" t="s">
        <v>84</v>
      </c>
      <c r="O325" s="31"/>
      <c r="Q325" s="36"/>
      <c r="R325" s="36"/>
      <c r="S325" s="36"/>
      <c r="T325" s="36"/>
      <c r="V325" s="31"/>
    </row>
    <row r="326">
      <c r="A326" s="14" t="s">
        <v>679</v>
      </c>
      <c r="B326" s="14" t="s">
        <v>1801</v>
      </c>
      <c r="C326" s="14" t="s">
        <v>1802</v>
      </c>
      <c r="D326" s="14" t="s">
        <v>40</v>
      </c>
      <c r="E326" s="20" t="str">
        <f t="shared" si="2"/>
        <v>junio 2025</v>
      </c>
      <c r="F326" s="22">
        <v>45813.0</v>
      </c>
      <c r="G326" s="24">
        <f t="shared" ref="G326:H326" si="331">F326</f>
        <v>45813</v>
      </c>
      <c r="H326" s="26">
        <f t="shared" si="331"/>
        <v>45813</v>
      </c>
      <c r="I326" s="14" t="s">
        <v>90</v>
      </c>
      <c r="K326" s="27">
        <v>1.0E7</v>
      </c>
      <c r="L326" s="29" t="s">
        <v>1203</v>
      </c>
      <c r="M326" s="31"/>
      <c r="N326" s="31"/>
      <c r="O326" s="31"/>
      <c r="Q326" s="36"/>
      <c r="R326" s="36"/>
      <c r="S326" s="36"/>
      <c r="T326" s="36"/>
      <c r="V326" s="31"/>
    </row>
    <row r="327">
      <c r="A327" s="14" t="s">
        <v>679</v>
      </c>
      <c r="B327" s="14" t="s">
        <v>1803</v>
      </c>
      <c r="C327" s="14" t="s">
        <v>1804</v>
      </c>
      <c r="D327" s="14" t="s">
        <v>40</v>
      </c>
      <c r="E327" s="20" t="str">
        <f t="shared" si="2"/>
        <v>junio 2025</v>
      </c>
      <c r="F327" s="22">
        <v>45824.0</v>
      </c>
      <c r="G327" s="24">
        <f t="shared" ref="G327:H327" si="332">F327</f>
        <v>45824</v>
      </c>
      <c r="H327" s="26">
        <f t="shared" si="332"/>
        <v>45824</v>
      </c>
      <c r="I327" s="14" t="s">
        <v>90</v>
      </c>
      <c r="K327" s="27">
        <v>5.0E7</v>
      </c>
      <c r="L327" s="29" t="s">
        <v>1008</v>
      </c>
      <c r="M327" s="31"/>
      <c r="N327" s="31"/>
      <c r="O327" s="31"/>
      <c r="Q327" s="36"/>
      <c r="R327" s="36"/>
      <c r="S327" s="36"/>
      <c r="T327" s="36"/>
      <c r="V327" s="31"/>
    </row>
    <row r="328">
      <c r="A328" s="14" t="s">
        <v>679</v>
      </c>
      <c r="B328" s="14" t="s">
        <v>1805</v>
      </c>
      <c r="C328" s="14" t="s">
        <v>1806</v>
      </c>
      <c r="D328" s="14" t="s">
        <v>40</v>
      </c>
      <c r="E328" s="20" t="str">
        <f t="shared" si="2"/>
        <v>junio 2025</v>
      </c>
      <c r="F328" s="22">
        <v>45825.0</v>
      </c>
      <c r="G328" s="24">
        <f t="shared" ref="G328:H328" si="333">F328</f>
        <v>45825</v>
      </c>
      <c r="H328" s="26">
        <f t="shared" si="333"/>
        <v>45825</v>
      </c>
      <c r="I328" s="14" t="s">
        <v>90</v>
      </c>
      <c r="K328" s="27">
        <v>1.0E7</v>
      </c>
      <c r="L328" s="29" t="s">
        <v>1210</v>
      </c>
      <c r="M328" s="31"/>
      <c r="N328" s="31"/>
      <c r="O328" s="31"/>
      <c r="Q328" s="36"/>
      <c r="R328" s="36"/>
      <c r="S328" s="36"/>
      <c r="T328" s="36"/>
      <c r="V328" s="31"/>
    </row>
    <row r="329">
      <c r="A329" s="14" t="s">
        <v>679</v>
      </c>
      <c r="B329" s="14" t="s">
        <v>1807</v>
      </c>
      <c r="C329" s="14" t="s">
        <v>1808</v>
      </c>
      <c r="D329" s="14" t="s">
        <v>40</v>
      </c>
      <c r="E329" s="20" t="str">
        <f t="shared" si="2"/>
        <v>junio 2025</v>
      </c>
      <c r="F329" s="22">
        <v>45826.0</v>
      </c>
      <c r="G329" s="24">
        <f t="shared" ref="G329:H329" si="334">F329</f>
        <v>45826</v>
      </c>
      <c r="H329" s="26">
        <f t="shared" si="334"/>
        <v>45826</v>
      </c>
      <c r="I329" s="14" t="s">
        <v>90</v>
      </c>
      <c r="K329" s="27">
        <v>1.4E8</v>
      </c>
      <c r="L329" s="29" t="s">
        <v>1809</v>
      </c>
      <c r="M329" s="31"/>
      <c r="N329" s="31"/>
      <c r="O329" s="31"/>
      <c r="Q329" s="36"/>
      <c r="R329" s="36"/>
      <c r="S329" s="36"/>
      <c r="T329" s="36"/>
      <c r="V329" s="31"/>
    </row>
    <row r="330">
      <c r="A330" s="14" t="s">
        <v>679</v>
      </c>
      <c r="B330" s="14" t="s">
        <v>1807</v>
      </c>
      <c r="C330" s="14" t="s">
        <v>1808</v>
      </c>
      <c r="D330" s="14" t="s">
        <v>40</v>
      </c>
      <c r="E330" s="20" t="str">
        <f t="shared" si="2"/>
        <v>junio 2025</v>
      </c>
      <c r="F330" s="22">
        <v>45826.0</v>
      </c>
      <c r="G330" s="24">
        <f t="shared" ref="G330:H330" si="335">F330</f>
        <v>45826</v>
      </c>
      <c r="H330" s="26">
        <f t="shared" si="335"/>
        <v>45826</v>
      </c>
      <c r="I330" s="14" t="s">
        <v>1596</v>
      </c>
      <c r="K330" s="27">
        <v>3.6E7</v>
      </c>
      <c r="L330" s="200">
        <v>0.02</v>
      </c>
      <c r="M330" s="31"/>
      <c r="N330" s="31"/>
      <c r="O330" s="31"/>
      <c r="Q330" s="36"/>
      <c r="R330" s="36"/>
      <c r="S330" s="36"/>
      <c r="T330" s="36"/>
      <c r="V330" s="31"/>
    </row>
    <row r="331">
      <c r="A331" s="14" t="s">
        <v>679</v>
      </c>
      <c r="B331" s="14" t="s">
        <v>1810</v>
      </c>
      <c r="C331" s="14" t="s">
        <v>1811</v>
      </c>
      <c r="D331" s="14" t="s">
        <v>40</v>
      </c>
      <c r="E331" s="20" t="str">
        <f t="shared" si="2"/>
        <v>junio 2025</v>
      </c>
      <c r="F331" s="22">
        <v>45828.0</v>
      </c>
      <c r="G331" s="24">
        <f t="shared" ref="G331:H331" si="336">F331</f>
        <v>45828</v>
      </c>
      <c r="H331" s="26">
        <f t="shared" si="336"/>
        <v>45828</v>
      </c>
      <c r="I331" s="14" t="s">
        <v>90</v>
      </c>
      <c r="K331" s="27">
        <v>4000000.0</v>
      </c>
      <c r="L331" s="29" t="s">
        <v>1203</v>
      </c>
      <c r="M331" s="31"/>
      <c r="N331" s="31"/>
      <c r="O331" s="31"/>
      <c r="Q331" s="36"/>
      <c r="R331" s="36"/>
      <c r="S331" s="36"/>
      <c r="T331" s="36"/>
      <c r="V331" s="31"/>
    </row>
    <row r="332">
      <c r="A332" s="14" t="s">
        <v>679</v>
      </c>
      <c r="B332" s="14" t="s">
        <v>1812</v>
      </c>
      <c r="C332" s="14" t="s">
        <v>1813</v>
      </c>
      <c r="D332" s="14" t="s">
        <v>40</v>
      </c>
      <c r="E332" s="20" t="str">
        <f t="shared" si="2"/>
        <v>junio 2025</v>
      </c>
      <c r="F332" s="22">
        <v>45828.0</v>
      </c>
      <c r="G332" s="24">
        <f t="shared" ref="G332:H332" si="337">F332</f>
        <v>45828</v>
      </c>
      <c r="H332" s="26">
        <f t="shared" si="337"/>
        <v>45828</v>
      </c>
      <c r="I332" s="14" t="s">
        <v>90</v>
      </c>
      <c r="K332" s="27">
        <v>4000000.0</v>
      </c>
      <c r="L332" s="29" t="s">
        <v>1203</v>
      </c>
      <c r="M332" s="31"/>
      <c r="N332" s="31"/>
      <c r="O332" s="31"/>
      <c r="Q332" s="36"/>
      <c r="R332" s="36"/>
      <c r="S332" s="36"/>
      <c r="T332" s="36"/>
      <c r="V332" s="31"/>
    </row>
    <row r="333">
      <c r="A333" s="14" t="s">
        <v>679</v>
      </c>
      <c r="B333" s="14" t="s">
        <v>1814</v>
      </c>
      <c r="C333" s="14" t="s">
        <v>1815</v>
      </c>
      <c r="D333" s="14" t="s">
        <v>40</v>
      </c>
      <c r="E333" s="20" t="str">
        <f t="shared" si="2"/>
        <v>junio 2025</v>
      </c>
      <c r="F333" s="22">
        <v>45828.0</v>
      </c>
      <c r="G333" s="24">
        <f t="shared" ref="G333:H333" si="338">F333</f>
        <v>45828</v>
      </c>
      <c r="H333" s="26">
        <f t="shared" si="338"/>
        <v>45828</v>
      </c>
      <c r="I333" s="14" t="s">
        <v>90</v>
      </c>
      <c r="K333" s="27">
        <v>8.0E7</v>
      </c>
      <c r="L333" s="29" t="s">
        <v>1210</v>
      </c>
      <c r="M333" s="31"/>
      <c r="N333" s="31"/>
      <c r="O333" s="31"/>
      <c r="Q333" s="36"/>
      <c r="R333" s="36"/>
      <c r="S333" s="36"/>
      <c r="T333" s="36"/>
      <c r="V333" s="31"/>
    </row>
    <row r="334">
      <c r="A334" s="14" t="s">
        <v>679</v>
      </c>
      <c r="B334" s="14" t="s">
        <v>1818</v>
      </c>
      <c r="C334" s="14" t="s">
        <v>1819</v>
      </c>
      <c r="D334" s="14" t="s">
        <v>40</v>
      </c>
      <c r="E334" s="20" t="str">
        <f t="shared" si="2"/>
        <v>junio 2025</v>
      </c>
      <c r="F334" s="22">
        <v>45828.0</v>
      </c>
      <c r="G334" s="24">
        <f t="shared" ref="G334:H334" si="339">F334</f>
        <v>45828</v>
      </c>
      <c r="H334" s="26">
        <f t="shared" si="339"/>
        <v>45828</v>
      </c>
      <c r="I334" s="14" t="s">
        <v>90</v>
      </c>
      <c r="K334" s="27">
        <v>4.0E7</v>
      </c>
      <c r="L334" s="29" t="s">
        <v>1008</v>
      </c>
      <c r="M334" s="31"/>
      <c r="N334" s="31"/>
      <c r="O334" s="31"/>
      <c r="Q334" s="36"/>
      <c r="R334" s="36"/>
      <c r="S334" s="36"/>
      <c r="T334" s="36"/>
      <c r="V334" s="31"/>
    </row>
    <row r="335">
      <c r="A335" s="14" t="s">
        <v>1787</v>
      </c>
      <c r="B335" s="14" t="s">
        <v>1821</v>
      </c>
      <c r="C335" s="15" t="s">
        <v>1822</v>
      </c>
      <c r="D335" s="14" t="s">
        <v>40</v>
      </c>
      <c r="E335" s="20" t="str">
        <f t="shared" si="2"/>
        <v>junio 2025</v>
      </c>
      <c r="F335" s="22">
        <v>45814.0</v>
      </c>
      <c r="G335" s="24">
        <f t="shared" ref="G335:H335" si="340">F335</f>
        <v>45814</v>
      </c>
      <c r="H335" s="26">
        <f t="shared" si="340"/>
        <v>45814</v>
      </c>
      <c r="I335" s="14" t="s">
        <v>90</v>
      </c>
      <c r="K335" s="27">
        <v>3.0E7</v>
      </c>
      <c r="L335" s="29" t="s">
        <v>1008</v>
      </c>
      <c r="M335" s="31"/>
      <c r="N335" s="14" t="s">
        <v>84</v>
      </c>
      <c r="O335" s="31"/>
      <c r="Q335" s="36"/>
      <c r="R335" s="36"/>
      <c r="S335" s="36"/>
      <c r="T335" s="36"/>
      <c r="V335" s="31"/>
    </row>
    <row r="336">
      <c r="A336" s="14" t="s">
        <v>1787</v>
      </c>
      <c r="B336" s="14" t="s">
        <v>1823</v>
      </c>
      <c r="C336" s="15" t="s">
        <v>1824</v>
      </c>
      <c r="D336" s="14" t="s">
        <v>40</v>
      </c>
      <c r="E336" s="20" t="str">
        <f t="shared" si="2"/>
        <v>junio 2025</v>
      </c>
      <c r="F336" s="22">
        <v>45814.0</v>
      </c>
      <c r="G336" s="24">
        <f t="shared" ref="G336:H336" si="341">F336</f>
        <v>45814</v>
      </c>
      <c r="H336" s="26">
        <f t="shared" si="341"/>
        <v>45814</v>
      </c>
      <c r="I336" s="14" t="s">
        <v>90</v>
      </c>
      <c r="K336" s="27">
        <v>6.0E7</v>
      </c>
      <c r="L336" s="29" t="s">
        <v>1210</v>
      </c>
      <c r="M336" s="31"/>
      <c r="N336" s="14" t="s">
        <v>84</v>
      </c>
      <c r="O336" s="31"/>
      <c r="Q336" s="36"/>
      <c r="R336" s="36"/>
      <c r="S336" s="36"/>
      <c r="T336" s="36"/>
      <c r="V336" s="31"/>
    </row>
    <row r="337">
      <c r="A337" s="14" t="s">
        <v>1464</v>
      </c>
      <c r="B337" s="14" t="s">
        <v>1825</v>
      </c>
      <c r="C337" s="15" t="s">
        <v>1826</v>
      </c>
      <c r="D337" s="14" t="s">
        <v>40</v>
      </c>
      <c r="E337" s="20" t="str">
        <f t="shared" si="2"/>
        <v>junio 2025</v>
      </c>
      <c r="F337" s="22">
        <v>45809.0</v>
      </c>
      <c r="G337" s="24">
        <f t="shared" ref="G337:H337" si="342">F337</f>
        <v>45809</v>
      </c>
      <c r="H337" s="26">
        <f t="shared" si="342"/>
        <v>45809</v>
      </c>
      <c r="I337" s="14" t="s">
        <v>90</v>
      </c>
      <c r="K337" s="27">
        <v>9.0E7</v>
      </c>
      <c r="L337" s="29" t="s">
        <v>1210</v>
      </c>
      <c r="M337" s="31"/>
      <c r="N337" s="31"/>
      <c r="O337" s="31"/>
      <c r="Q337" s="36"/>
      <c r="R337" s="36"/>
      <c r="S337" s="36"/>
      <c r="T337" s="36"/>
      <c r="V337" s="31"/>
    </row>
    <row r="338">
      <c r="A338" s="14" t="s">
        <v>1464</v>
      </c>
      <c r="B338" s="14" t="s">
        <v>1827</v>
      </c>
      <c r="C338" s="15" t="s">
        <v>1828</v>
      </c>
      <c r="D338" s="14" t="s">
        <v>40</v>
      </c>
      <c r="E338" s="20" t="str">
        <f t="shared" si="2"/>
        <v>junio 2025</v>
      </c>
      <c r="F338" s="22">
        <v>45810.0</v>
      </c>
      <c r="G338" s="24">
        <f t="shared" ref="G338:H338" si="343">F338</f>
        <v>45810</v>
      </c>
      <c r="H338" s="26">
        <f t="shared" si="343"/>
        <v>45810</v>
      </c>
      <c r="I338" s="14" t="s">
        <v>90</v>
      </c>
      <c r="K338" s="27">
        <v>4000000.0</v>
      </c>
      <c r="L338" s="29" t="s">
        <v>1203</v>
      </c>
      <c r="M338" s="31"/>
      <c r="N338" s="31"/>
      <c r="O338" s="31"/>
      <c r="Q338" s="36"/>
      <c r="R338" s="36"/>
      <c r="S338" s="36"/>
      <c r="T338" s="36"/>
      <c r="V338" s="31"/>
    </row>
    <row r="339">
      <c r="A339" s="14" t="s">
        <v>1075</v>
      </c>
      <c r="B339" s="14" t="s">
        <v>1829</v>
      </c>
      <c r="C339" s="15" t="s">
        <v>1830</v>
      </c>
      <c r="D339" s="108" t="s">
        <v>40</v>
      </c>
      <c r="E339" s="20" t="str">
        <f t="shared" si="2"/>
        <v>junio 2025</v>
      </c>
      <c r="F339" s="22">
        <v>45813.0</v>
      </c>
      <c r="G339" s="24">
        <f t="shared" ref="G339:H339" si="344">F339</f>
        <v>45813</v>
      </c>
      <c r="H339" s="26">
        <f t="shared" si="344"/>
        <v>45813</v>
      </c>
      <c r="I339" s="108" t="s">
        <v>90</v>
      </c>
      <c r="J339" s="34"/>
      <c r="K339" s="199">
        <v>4.0E7</v>
      </c>
      <c r="L339" s="29"/>
      <c r="M339" s="31"/>
      <c r="N339" s="31"/>
      <c r="O339" s="31"/>
      <c r="Q339" s="36"/>
      <c r="R339" s="36"/>
      <c r="S339" s="36"/>
      <c r="T339" s="36"/>
      <c r="V339" s="31"/>
    </row>
    <row r="340">
      <c r="A340" s="14" t="s">
        <v>1075</v>
      </c>
      <c r="B340" s="14" t="s">
        <v>1831</v>
      </c>
      <c r="C340" s="15" t="s">
        <v>1832</v>
      </c>
      <c r="D340" s="108" t="s">
        <v>40</v>
      </c>
      <c r="E340" s="20" t="str">
        <f t="shared" si="2"/>
        <v>junio 2025</v>
      </c>
      <c r="F340" s="22">
        <v>45813.0</v>
      </c>
      <c r="G340" s="24">
        <f t="shared" ref="G340:H340" si="345">F340</f>
        <v>45813</v>
      </c>
      <c r="H340" s="26">
        <f t="shared" si="345"/>
        <v>45813</v>
      </c>
      <c r="I340" s="108" t="s">
        <v>90</v>
      </c>
      <c r="J340" s="34"/>
      <c r="K340" s="199">
        <v>4.0E7</v>
      </c>
      <c r="L340" s="29"/>
      <c r="M340" s="31"/>
      <c r="N340" s="31"/>
      <c r="O340" s="31"/>
      <c r="Q340" s="36"/>
      <c r="R340" s="36"/>
      <c r="S340" s="36"/>
      <c r="T340" s="36"/>
      <c r="V340" s="31"/>
    </row>
    <row r="341">
      <c r="A341" s="14" t="s">
        <v>1464</v>
      </c>
      <c r="B341" s="14" t="s">
        <v>1834</v>
      </c>
      <c r="C341" s="15" t="s">
        <v>1835</v>
      </c>
      <c r="D341" s="14" t="s">
        <v>40</v>
      </c>
      <c r="E341" s="20" t="str">
        <f t="shared" si="2"/>
        <v>junio 2025</v>
      </c>
      <c r="F341" s="22">
        <v>45817.0</v>
      </c>
      <c r="G341" s="24">
        <f t="shared" ref="G341:H341" si="346">F341</f>
        <v>45817</v>
      </c>
      <c r="H341" s="26">
        <f t="shared" si="346"/>
        <v>45817</v>
      </c>
      <c r="I341" s="14" t="s">
        <v>259</v>
      </c>
      <c r="J341" s="14" t="s">
        <v>304</v>
      </c>
      <c r="K341" s="27">
        <v>1.1E8</v>
      </c>
      <c r="L341" s="29" t="s">
        <v>1836</v>
      </c>
      <c r="M341" s="14"/>
      <c r="N341" s="14"/>
      <c r="O341" s="14"/>
      <c r="P341" s="14" t="s">
        <v>339</v>
      </c>
      <c r="Q341" s="36"/>
      <c r="R341" s="36"/>
      <c r="S341" s="36"/>
      <c r="T341" s="36"/>
      <c r="V341" s="31"/>
    </row>
    <row r="342">
      <c r="A342" s="14" t="s">
        <v>1464</v>
      </c>
      <c r="B342" s="14" t="s">
        <v>1837</v>
      </c>
      <c r="C342" s="15" t="s">
        <v>1838</v>
      </c>
      <c r="D342" s="14" t="s">
        <v>40</v>
      </c>
      <c r="E342" s="20" t="str">
        <f t="shared" si="2"/>
        <v>junio 2025</v>
      </c>
      <c r="F342" s="22">
        <v>45818.0</v>
      </c>
      <c r="G342" s="24">
        <f t="shared" ref="G342:H342" si="347">F342</f>
        <v>45818</v>
      </c>
      <c r="H342" s="26">
        <f t="shared" si="347"/>
        <v>45818</v>
      </c>
      <c r="I342" s="14" t="s">
        <v>259</v>
      </c>
      <c r="J342" s="14" t="s">
        <v>426</v>
      </c>
      <c r="K342" s="27">
        <v>2.0E7</v>
      </c>
      <c r="L342" s="29" t="s">
        <v>1203</v>
      </c>
      <c r="M342" s="31"/>
      <c r="N342" s="31"/>
      <c r="O342" s="31"/>
      <c r="Q342" s="36"/>
      <c r="R342" s="36"/>
      <c r="S342" s="36"/>
      <c r="T342" s="36"/>
      <c r="V342" s="31"/>
    </row>
    <row r="343">
      <c r="A343" s="14" t="s">
        <v>1045</v>
      </c>
      <c r="B343" s="14" t="s">
        <v>1839</v>
      </c>
      <c r="C343" s="15" t="s">
        <v>1840</v>
      </c>
      <c r="D343" s="14" t="s">
        <v>40</v>
      </c>
      <c r="E343" s="20" t="str">
        <f t="shared" si="2"/>
        <v>junio 2025</v>
      </c>
      <c r="F343" s="22">
        <v>45820.0</v>
      </c>
      <c r="G343" s="24">
        <f t="shared" ref="G343:H343" si="348">F343</f>
        <v>45820</v>
      </c>
      <c r="H343" s="26">
        <f t="shared" si="348"/>
        <v>45820</v>
      </c>
      <c r="I343" s="14" t="s">
        <v>90</v>
      </c>
      <c r="K343" s="27">
        <v>2.5E7</v>
      </c>
      <c r="L343" s="29" t="s">
        <v>887</v>
      </c>
      <c r="M343" s="31"/>
      <c r="N343" s="31"/>
      <c r="O343" s="31"/>
      <c r="Q343" s="36"/>
      <c r="R343" s="36"/>
      <c r="S343" s="36"/>
      <c r="T343" s="36"/>
      <c r="V343" s="31"/>
    </row>
    <row r="344">
      <c r="A344" s="14" t="s">
        <v>1787</v>
      </c>
      <c r="B344" s="14" t="s">
        <v>1841</v>
      </c>
      <c r="C344" s="15" t="s">
        <v>1842</v>
      </c>
      <c r="D344" s="14" t="s">
        <v>40</v>
      </c>
      <c r="E344" s="20" t="str">
        <f t="shared" si="2"/>
        <v>junio 2025</v>
      </c>
      <c r="F344" s="22">
        <v>45826.0</v>
      </c>
      <c r="G344" s="24">
        <f t="shared" ref="G344:H344" si="349">F344</f>
        <v>45826</v>
      </c>
      <c r="H344" s="26">
        <f t="shared" si="349"/>
        <v>45826</v>
      </c>
      <c r="I344" s="14" t="s">
        <v>90</v>
      </c>
      <c r="K344" s="27">
        <v>4.0E7</v>
      </c>
      <c r="L344" s="29" t="s">
        <v>1843</v>
      </c>
      <c r="M344" s="31"/>
      <c r="N344" s="31"/>
      <c r="O344" s="31"/>
      <c r="Q344" s="36"/>
      <c r="R344" s="36"/>
      <c r="S344" s="36"/>
      <c r="T344" s="36"/>
      <c r="V344" s="31"/>
    </row>
    <row r="345">
      <c r="A345" s="14" t="s">
        <v>1464</v>
      </c>
      <c r="B345" s="14" t="s">
        <v>1844</v>
      </c>
      <c r="C345" s="15" t="s">
        <v>1845</v>
      </c>
      <c r="D345" s="14" t="s">
        <v>40</v>
      </c>
      <c r="E345" s="20" t="str">
        <f t="shared" si="2"/>
        <v>junio 2025</v>
      </c>
      <c r="F345" s="22">
        <v>45826.0</v>
      </c>
      <c r="G345" s="24">
        <f t="shared" ref="G345:H345" si="350">F345</f>
        <v>45826</v>
      </c>
      <c r="H345" s="26">
        <f t="shared" si="350"/>
        <v>45826</v>
      </c>
      <c r="I345" s="14" t="s">
        <v>259</v>
      </c>
      <c r="J345" s="14" t="s">
        <v>426</v>
      </c>
      <c r="K345" s="27">
        <v>3.0E7</v>
      </c>
      <c r="L345" s="29" t="s">
        <v>1016</v>
      </c>
      <c r="M345" s="31"/>
      <c r="N345" s="31"/>
      <c r="O345" s="31"/>
      <c r="Q345" s="36"/>
      <c r="R345" s="36"/>
      <c r="S345" s="36"/>
      <c r="T345" s="36"/>
      <c r="V345" s="31"/>
    </row>
    <row r="346">
      <c r="A346" s="14" t="s">
        <v>736</v>
      </c>
      <c r="B346" s="14" t="s">
        <v>1846</v>
      </c>
      <c r="C346" s="15" t="s">
        <v>1847</v>
      </c>
      <c r="D346" s="14" t="s">
        <v>40</v>
      </c>
      <c r="E346" s="20" t="str">
        <f t="shared" si="2"/>
        <v>junio 2025</v>
      </c>
      <c r="F346" s="22">
        <v>45825.0</v>
      </c>
      <c r="G346" s="24">
        <f t="shared" ref="G346:H346" si="351">F346</f>
        <v>45825</v>
      </c>
      <c r="H346" s="26">
        <f t="shared" si="351"/>
        <v>45825</v>
      </c>
      <c r="I346" s="14" t="s">
        <v>90</v>
      </c>
      <c r="K346" s="27">
        <v>6.0E7</v>
      </c>
      <c r="L346" s="29" t="s">
        <v>1153</v>
      </c>
      <c r="M346" s="31"/>
      <c r="N346" s="31"/>
      <c r="O346" s="31"/>
      <c r="Q346" s="36"/>
      <c r="R346" s="36"/>
      <c r="S346" s="36"/>
      <c r="T346" s="36"/>
      <c r="V346" s="31"/>
    </row>
    <row r="347">
      <c r="A347" s="14" t="s">
        <v>736</v>
      </c>
      <c r="B347" s="14" t="s">
        <v>1848</v>
      </c>
      <c r="C347" s="15" t="s">
        <v>1849</v>
      </c>
      <c r="D347" s="14" t="s">
        <v>40</v>
      </c>
      <c r="E347" s="20" t="str">
        <f t="shared" si="2"/>
        <v>junio 2025</v>
      </c>
      <c r="F347" s="22">
        <v>45827.0</v>
      </c>
      <c r="G347" s="24">
        <f t="shared" ref="G347:H347" si="352">F347</f>
        <v>45827</v>
      </c>
      <c r="H347" s="26">
        <f t="shared" si="352"/>
        <v>45827</v>
      </c>
      <c r="I347" s="14" t="s">
        <v>90</v>
      </c>
      <c r="K347" s="27">
        <v>3000000.0</v>
      </c>
      <c r="L347" s="29" t="s">
        <v>1016</v>
      </c>
      <c r="M347" s="31"/>
      <c r="N347" s="31"/>
      <c r="O347" s="31"/>
      <c r="Q347" s="36"/>
      <c r="R347" s="36"/>
      <c r="S347" s="36"/>
      <c r="T347" s="36"/>
      <c r="V347" s="31"/>
    </row>
    <row r="348">
      <c r="A348" s="14" t="s">
        <v>736</v>
      </c>
      <c r="B348" s="14" t="s">
        <v>1850</v>
      </c>
      <c r="C348" s="15" t="s">
        <v>1851</v>
      </c>
      <c r="D348" s="14" t="s">
        <v>40</v>
      </c>
      <c r="E348" s="20" t="str">
        <f t="shared" si="2"/>
        <v>junio 2025</v>
      </c>
      <c r="F348" s="22">
        <v>45826.0</v>
      </c>
      <c r="G348" s="24">
        <f t="shared" ref="G348:H348" si="353">F348</f>
        <v>45826</v>
      </c>
      <c r="H348" s="26">
        <f t="shared" si="353"/>
        <v>45826</v>
      </c>
      <c r="I348" s="14" t="s">
        <v>90</v>
      </c>
      <c r="K348" s="27">
        <v>3000000.0</v>
      </c>
      <c r="L348" s="29" t="s">
        <v>1016</v>
      </c>
      <c r="M348" s="31"/>
      <c r="N348" s="31"/>
      <c r="O348" s="31"/>
      <c r="Q348" s="36"/>
      <c r="R348" s="36"/>
      <c r="S348" s="36"/>
      <c r="T348" s="36"/>
      <c r="V348" s="31"/>
    </row>
    <row r="349">
      <c r="A349" s="14" t="s">
        <v>1787</v>
      </c>
      <c r="B349" s="14" t="s">
        <v>1852</v>
      </c>
      <c r="C349" s="15" t="s">
        <v>1853</v>
      </c>
      <c r="D349" s="14" t="s">
        <v>40</v>
      </c>
      <c r="E349" s="20" t="str">
        <f t="shared" si="2"/>
        <v>junio 2025</v>
      </c>
      <c r="F349" s="22">
        <v>45829.0</v>
      </c>
      <c r="G349" s="24">
        <f t="shared" ref="G349:H349" si="354">F349</f>
        <v>45829</v>
      </c>
      <c r="H349" s="26">
        <f t="shared" si="354"/>
        <v>45829</v>
      </c>
      <c r="I349" s="14" t="s">
        <v>90</v>
      </c>
      <c r="K349" s="27">
        <v>5000000.0</v>
      </c>
      <c r="L349" s="29" t="s">
        <v>1016</v>
      </c>
      <c r="M349" s="31"/>
      <c r="N349" s="31"/>
      <c r="O349" s="31"/>
      <c r="Q349" s="36"/>
      <c r="R349" s="36"/>
      <c r="S349" s="36"/>
      <c r="T349" s="36"/>
      <c r="V349" s="31"/>
    </row>
    <row r="350">
      <c r="A350" s="14" t="s">
        <v>736</v>
      </c>
      <c r="B350" s="14" t="s">
        <v>1854</v>
      </c>
      <c r="C350" s="15" t="s">
        <v>1855</v>
      </c>
      <c r="D350" s="14" t="s">
        <v>40</v>
      </c>
      <c r="E350" s="20" t="str">
        <f t="shared" si="2"/>
        <v>junio 2025</v>
      </c>
      <c r="F350" s="22">
        <v>45834.0</v>
      </c>
      <c r="G350" s="24">
        <f t="shared" ref="G350:H350" si="355">F350</f>
        <v>45834</v>
      </c>
      <c r="H350" s="26">
        <f t="shared" si="355"/>
        <v>45834</v>
      </c>
      <c r="I350" s="14" t="s">
        <v>90</v>
      </c>
      <c r="K350" s="27">
        <v>1.0E7</v>
      </c>
      <c r="L350" s="78"/>
      <c r="M350" s="31"/>
      <c r="N350" s="31"/>
      <c r="O350" s="31"/>
      <c r="Q350" s="36"/>
      <c r="R350" s="36"/>
      <c r="S350" s="36"/>
      <c r="T350" s="36"/>
      <c r="V350" s="31"/>
    </row>
    <row r="351">
      <c r="A351" s="14" t="s">
        <v>36</v>
      </c>
      <c r="B351" s="14" t="s">
        <v>1856</v>
      </c>
      <c r="C351" s="15" t="s">
        <v>1857</v>
      </c>
      <c r="D351" s="14" t="s">
        <v>40</v>
      </c>
      <c r="E351" s="20" t="str">
        <f t="shared" si="2"/>
        <v>julio 2025</v>
      </c>
      <c r="F351" s="22">
        <v>45840.0</v>
      </c>
      <c r="G351" s="24">
        <f t="shared" ref="G351:H351" si="356">F351</f>
        <v>45840</v>
      </c>
      <c r="H351" s="26">
        <f t="shared" si="356"/>
        <v>45840</v>
      </c>
      <c r="I351" s="14" t="s">
        <v>90</v>
      </c>
      <c r="K351" s="27">
        <v>8.0E7</v>
      </c>
      <c r="L351" s="29" t="s">
        <v>1153</v>
      </c>
      <c r="M351" s="31"/>
      <c r="N351" s="31"/>
      <c r="O351" s="31"/>
      <c r="Q351" s="36"/>
      <c r="R351" s="36"/>
      <c r="S351" s="36"/>
      <c r="T351" s="36"/>
      <c r="V351" s="31"/>
    </row>
    <row r="352">
      <c r="A352" s="108" t="s">
        <v>1075</v>
      </c>
      <c r="B352" s="108" t="s">
        <v>1858</v>
      </c>
      <c r="C352" s="202" t="s">
        <v>1859</v>
      </c>
      <c r="D352" s="108" t="s">
        <v>40</v>
      </c>
      <c r="E352" s="20" t="str">
        <f t="shared" si="2"/>
        <v>julio 2025</v>
      </c>
      <c r="F352" s="22">
        <v>45854.0</v>
      </c>
      <c r="G352" s="24">
        <f t="shared" ref="G352:H352" si="357">F352</f>
        <v>45854</v>
      </c>
      <c r="H352" s="26">
        <f t="shared" si="357"/>
        <v>45854</v>
      </c>
      <c r="I352" s="108" t="s">
        <v>90</v>
      </c>
      <c r="J352" s="34"/>
      <c r="K352" s="199"/>
      <c r="L352" s="29" t="s">
        <v>1153</v>
      </c>
      <c r="M352" s="31"/>
      <c r="N352" s="31"/>
      <c r="O352" s="31"/>
      <c r="Q352" s="36"/>
      <c r="R352" s="36"/>
      <c r="S352" s="36"/>
      <c r="T352" s="36"/>
      <c r="V352" s="31"/>
    </row>
    <row r="353">
      <c r="A353" s="108" t="s">
        <v>1075</v>
      </c>
      <c r="B353" s="108" t="s">
        <v>1860</v>
      </c>
      <c r="C353" s="202" t="s">
        <v>1861</v>
      </c>
      <c r="D353" s="123" t="s">
        <v>133</v>
      </c>
      <c r="E353" s="20" t="str">
        <f t="shared" si="2"/>
        <v>julio 2025</v>
      </c>
      <c r="F353" s="22">
        <v>45839.0</v>
      </c>
      <c r="G353" s="24">
        <f t="shared" ref="G353:H353" si="358">F353</f>
        <v>45839</v>
      </c>
      <c r="H353" s="26">
        <f t="shared" si="358"/>
        <v>45839</v>
      </c>
      <c r="I353" s="108" t="s">
        <v>1865</v>
      </c>
      <c r="J353" s="34"/>
      <c r="K353" s="203"/>
      <c r="L353" s="29"/>
      <c r="M353" s="31"/>
      <c r="N353" s="31"/>
      <c r="O353" s="31"/>
      <c r="Q353" s="36"/>
      <c r="R353" s="36"/>
      <c r="S353" s="36"/>
      <c r="T353" s="36"/>
      <c r="V353" s="31"/>
    </row>
    <row r="354">
      <c r="A354" s="14" t="s">
        <v>736</v>
      </c>
      <c r="B354" s="14" t="s">
        <v>1866</v>
      </c>
      <c r="C354" s="15" t="s">
        <v>1867</v>
      </c>
      <c r="D354" s="14" t="s">
        <v>40</v>
      </c>
      <c r="E354" s="20" t="str">
        <f t="shared" si="2"/>
        <v>julio 2025</v>
      </c>
      <c r="F354" s="22">
        <v>45842.0</v>
      </c>
      <c r="G354" s="24">
        <f t="shared" ref="G354:H354" si="359">F354</f>
        <v>45842</v>
      </c>
      <c r="H354" s="26">
        <f t="shared" si="359"/>
        <v>45842</v>
      </c>
      <c r="I354" s="14" t="s">
        <v>90</v>
      </c>
      <c r="K354" s="27">
        <v>1.0E7</v>
      </c>
      <c r="L354" s="29" t="s">
        <v>1016</v>
      </c>
      <c r="M354" s="31"/>
      <c r="N354" s="31"/>
      <c r="O354" s="31"/>
      <c r="Q354" s="36"/>
      <c r="R354" s="36"/>
      <c r="S354" s="36"/>
      <c r="T354" s="36"/>
      <c r="V354" s="31"/>
    </row>
    <row r="355">
      <c r="A355" s="14" t="s">
        <v>736</v>
      </c>
      <c r="B355" s="14" t="s">
        <v>1868</v>
      </c>
      <c r="C355" s="15" t="s">
        <v>1869</v>
      </c>
      <c r="D355" s="14" t="s">
        <v>40</v>
      </c>
      <c r="E355" s="20" t="str">
        <f t="shared" si="2"/>
        <v>julio 2025</v>
      </c>
      <c r="F355" s="22">
        <v>45843.0</v>
      </c>
      <c r="G355" s="24">
        <f t="shared" ref="G355:H355" si="360">F355</f>
        <v>45843</v>
      </c>
      <c r="H355" s="26">
        <f t="shared" si="360"/>
        <v>45843</v>
      </c>
      <c r="I355" s="14" t="s">
        <v>90</v>
      </c>
      <c r="K355" s="27">
        <v>2.5E7</v>
      </c>
      <c r="L355" s="29" t="s">
        <v>887</v>
      </c>
      <c r="M355" s="31"/>
      <c r="N355" s="31"/>
      <c r="O355" s="31"/>
      <c r="Q355" s="36"/>
      <c r="R355" s="36"/>
      <c r="S355" s="36"/>
      <c r="T355" s="36"/>
      <c r="V355" s="31"/>
    </row>
    <row r="356">
      <c r="A356" s="14" t="s">
        <v>1787</v>
      </c>
      <c r="B356" s="14" t="s">
        <v>1870</v>
      </c>
      <c r="C356" s="15" t="s">
        <v>1871</v>
      </c>
      <c r="D356" s="14" t="s">
        <v>40</v>
      </c>
      <c r="E356" s="20" t="str">
        <f t="shared" si="2"/>
        <v>julio 2025</v>
      </c>
      <c r="F356" s="22">
        <v>45841.0</v>
      </c>
      <c r="G356" s="24">
        <f t="shared" ref="G356:H356" si="361">F356</f>
        <v>45841</v>
      </c>
      <c r="H356" s="26">
        <f t="shared" si="361"/>
        <v>45841</v>
      </c>
      <c r="I356" s="14" t="s">
        <v>90</v>
      </c>
      <c r="K356" s="27">
        <v>1.0E7</v>
      </c>
      <c r="L356" s="29" t="s">
        <v>1016</v>
      </c>
      <c r="M356" s="31"/>
      <c r="N356" s="31"/>
      <c r="O356" s="31"/>
      <c r="Q356" s="36"/>
      <c r="R356" s="36"/>
      <c r="S356" s="36"/>
      <c r="T356" s="36"/>
      <c r="V356" s="31"/>
    </row>
    <row r="357">
      <c r="A357" s="14" t="s">
        <v>1045</v>
      </c>
      <c r="B357" s="14" t="s">
        <v>1872</v>
      </c>
      <c r="C357" s="14" t="s">
        <v>1873</v>
      </c>
      <c r="D357" s="14" t="s">
        <v>40</v>
      </c>
      <c r="E357" s="20" t="str">
        <f t="shared" si="2"/>
        <v>julio 2025</v>
      </c>
      <c r="F357" s="22">
        <v>45842.0</v>
      </c>
      <c r="G357" s="24">
        <f t="shared" ref="G357:H357" si="362">F357</f>
        <v>45842</v>
      </c>
      <c r="H357" s="26">
        <f t="shared" si="362"/>
        <v>45842</v>
      </c>
      <c r="I357" s="14" t="s">
        <v>259</v>
      </c>
      <c r="J357" s="14" t="s">
        <v>285</v>
      </c>
      <c r="K357" s="27">
        <v>2.0E7</v>
      </c>
      <c r="L357" s="29" t="s">
        <v>1203</v>
      </c>
      <c r="M357" s="31"/>
      <c r="N357" s="31"/>
      <c r="O357" s="31"/>
      <c r="Q357" s="36"/>
      <c r="R357" s="36"/>
      <c r="S357" s="36"/>
      <c r="T357" s="36"/>
      <c r="V357" s="31"/>
    </row>
    <row r="358">
      <c r="A358" s="14" t="s">
        <v>1045</v>
      </c>
      <c r="B358" s="14" t="s">
        <v>1874</v>
      </c>
      <c r="C358" s="14" t="s">
        <v>1875</v>
      </c>
      <c r="D358" s="14" t="s">
        <v>40</v>
      </c>
      <c r="E358" s="20" t="str">
        <f t="shared" si="2"/>
        <v>julio 2025</v>
      </c>
      <c r="F358" s="22">
        <v>45845.0</v>
      </c>
      <c r="G358" s="24">
        <f t="shared" ref="G358:H358" si="363">F358</f>
        <v>45845</v>
      </c>
      <c r="H358" s="26">
        <f t="shared" si="363"/>
        <v>45845</v>
      </c>
      <c r="I358" s="14" t="s">
        <v>90</v>
      </c>
      <c r="K358" s="27">
        <v>2.0E7</v>
      </c>
      <c r="L358" s="29" t="s">
        <v>1203</v>
      </c>
      <c r="M358" s="31"/>
      <c r="N358" s="31"/>
      <c r="O358" s="31"/>
      <c r="Q358" s="36"/>
      <c r="R358" s="36"/>
      <c r="S358" s="36"/>
      <c r="T358" s="36"/>
      <c r="V358" s="31"/>
    </row>
    <row r="359">
      <c r="A359" s="14" t="s">
        <v>1045</v>
      </c>
      <c r="B359" s="14" t="s">
        <v>1876</v>
      </c>
      <c r="C359" s="14" t="s">
        <v>1877</v>
      </c>
      <c r="D359" s="14" t="s">
        <v>40</v>
      </c>
      <c r="E359" s="20" t="str">
        <f t="shared" si="2"/>
        <v>julio 2025</v>
      </c>
      <c r="F359" s="22">
        <v>45847.0</v>
      </c>
      <c r="G359" s="24">
        <f t="shared" ref="G359:H359" si="364">F359</f>
        <v>45847</v>
      </c>
      <c r="H359" s="26">
        <f t="shared" si="364"/>
        <v>45847</v>
      </c>
      <c r="I359" s="14" t="s">
        <v>259</v>
      </c>
      <c r="J359" s="14" t="s">
        <v>1709</v>
      </c>
      <c r="K359" s="204">
        <v>7.0E8</v>
      </c>
      <c r="L359" s="205" t="s">
        <v>1878</v>
      </c>
      <c r="M359" s="14"/>
      <c r="N359" s="14"/>
      <c r="O359" s="14"/>
      <c r="P359" s="14" t="s">
        <v>84</v>
      </c>
      <c r="Q359" s="36"/>
      <c r="R359" s="36"/>
      <c r="S359" s="36"/>
      <c r="T359" s="36"/>
      <c r="V359" s="31"/>
    </row>
    <row r="360">
      <c r="A360" s="14" t="s">
        <v>1045</v>
      </c>
      <c r="B360" s="14" t="s">
        <v>1879</v>
      </c>
      <c r="C360" s="14" t="s">
        <v>1880</v>
      </c>
      <c r="D360" s="14" t="s">
        <v>133</v>
      </c>
      <c r="E360" s="20" t="str">
        <f t="shared" si="2"/>
        <v>julio 2025</v>
      </c>
      <c r="F360" s="22">
        <v>45847.0</v>
      </c>
      <c r="G360" s="24">
        <f t="shared" ref="G360:H360" si="365">F360</f>
        <v>45847</v>
      </c>
      <c r="H360" s="26">
        <f t="shared" si="365"/>
        <v>45847</v>
      </c>
      <c r="I360" s="14" t="s">
        <v>1865</v>
      </c>
      <c r="M360" s="14"/>
      <c r="N360" s="14"/>
      <c r="O360" s="14"/>
      <c r="P360" s="14" t="s">
        <v>84</v>
      </c>
      <c r="Q360" s="36"/>
      <c r="R360" s="36"/>
      <c r="S360" s="36"/>
      <c r="T360" s="36"/>
      <c r="V360" s="31"/>
    </row>
    <row r="361">
      <c r="A361" s="14" t="s">
        <v>1045</v>
      </c>
      <c r="B361" s="14" t="s">
        <v>1881</v>
      </c>
      <c r="C361" s="14" t="s">
        <v>1882</v>
      </c>
      <c r="D361" s="14" t="s">
        <v>133</v>
      </c>
      <c r="E361" s="20" t="str">
        <f t="shared" si="2"/>
        <v>julio 2025</v>
      </c>
      <c r="F361" s="22">
        <v>45847.0</v>
      </c>
      <c r="G361" s="24">
        <f t="shared" ref="G361:H361" si="366">F361</f>
        <v>45847</v>
      </c>
      <c r="H361" s="26">
        <f t="shared" si="366"/>
        <v>45847</v>
      </c>
      <c r="I361" s="14" t="s">
        <v>1865</v>
      </c>
      <c r="M361" s="14"/>
      <c r="N361" s="14"/>
      <c r="O361" s="14"/>
      <c r="P361" s="14" t="s">
        <v>84</v>
      </c>
      <c r="Q361" s="36"/>
      <c r="R361" s="36"/>
      <c r="S361" s="36"/>
      <c r="T361" s="36"/>
      <c r="V361" s="31"/>
    </row>
    <row r="362">
      <c r="A362" s="14" t="s">
        <v>1045</v>
      </c>
      <c r="B362" s="14" t="s">
        <v>1883</v>
      </c>
      <c r="C362" s="14" t="s">
        <v>1884</v>
      </c>
      <c r="D362" s="14" t="s">
        <v>133</v>
      </c>
      <c r="E362" s="20" t="str">
        <f t="shared" si="2"/>
        <v>julio 2025</v>
      </c>
      <c r="F362" s="22">
        <v>45847.0</v>
      </c>
      <c r="G362" s="24">
        <f t="shared" ref="G362:H362" si="367">F362</f>
        <v>45847</v>
      </c>
      <c r="H362" s="26">
        <f t="shared" si="367"/>
        <v>45847</v>
      </c>
      <c r="I362" s="14" t="s">
        <v>1865</v>
      </c>
      <c r="M362" s="14"/>
      <c r="N362" s="14"/>
      <c r="O362" s="14"/>
      <c r="P362" s="14" t="s">
        <v>84</v>
      </c>
      <c r="Q362" s="36"/>
      <c r="R362" s="36"/>
      <c r="S362" s="36"/>
      <c r="T362" s="36"/>
      <c r="V362" s="31"/>
    </row>
    <row r="363">
      <c r="A363" s="14" t="s">
        <v>1045</v>
      </c>
      <c r="B363" s="14" t="s">
        <v>1885</v>
      </c>
      <c r="C363" s="14" t="s">
        <v>1886</v>
      </c>
      <c r="D363" s="14" t="s">
        <v>133</v>
      </c>
      <c r="E363" s="20" t="str">
        <f t="shared" si="2"/>
        <v>julio 2025</v>
      </c>
      <c r="F363" s="22">
        <v>45847.0</v>
      </c>
      <c r="G363" s="24">
        <f t="shared" ref="G363:H363" si="368">F363</f>
        <v>45847</v>
      </c>
      <c r="H363" s="26">
        <f t="shared" si="368"/>
        <v>45847</v>
      </c>
      <c r="I363" s="14" t="s">
        <v>1865</v>
      </c>
      <c r="M363" s="14"/>
      <c r="N363" s="14"/>
      <c r="O363" s="14"/>
      <c r="P363" s="14" t="s">
        <v>84</v>
      </c>
      <c r="Q363" s="36"/>
      <c r="R363" s="36"/>
      <c r="S363" s="36"/>
      <c r="T363" s="36"/>
      <c r="V363" s="31"/>
    </row>
    <row r="364">
      <c r="A364" s="14" t="s">
        <v>1045</v>
      </c>
      <c r="B364" s="14" t="s">
        <v>1887</v>
      </c>
      <c r="C364" s="14" t="s">
        <v>1888</v>
      </c>
      <c r="D364" s="14" t="s">
        <v>133</v>
      </c>
      <c r="E364" s="20" t="str">
        <f t="shared" si="2"/>
        <v>julio 2025</v>
      </c>
      <c r="F364" s="22">
        <v>45847.0</v>
      </c>
      <c r="G364" s="24">
        <f t="shared" ref="G364:H364" si="369">F364</f>
        <v>45847</v>
      </c>
      <c r="H364" s="26">
        <f t="shared" si="369"/>
        <v>45847</v>
      </c>
      <c r="I364" s="14" t="s">
        <v>1865</v>
      </c>
      <c r="M364" s="14"/>
      <c r="N364" s="14"/>
      <c r="O364" s="14"/>
      <c r="P364" s="14" t="s">
        <v>84</v>
      </c>
      <c r="Q364" s="36"/>
      <c r="R364" s="36"/>
      <c r="S364" s="36"/>
      <c r="T364" s="36"/>
      <c r="V364" s="31"/>
    </row>
    <row r="365">
      <c r="A365" s="14" t="s">
        <v>1045</v>
      </c>
      <c r="B365" s="14" t="s">
        <v>1889</v>
      </c>
      <c r="C365" s="14" t="s">
        <v>1890</v>
      </c>
      <c r="D365" s="14" t="s">
        <v>133</v>
      </c>
      <c r="E365" s="20" t="str">
        <f t="shared" si="2"/>
        <v>julio 2025</v>
      </c>
      <c r="F365" s="22">
        <v>45847.0</v>
      </c>
      <c r="G365" s="24">
        <f t="shared" ref="G365:H365" si="370">F365</f>
        <v>45847</v>
      </c>
      <c r="H365" s="26">
        <f t="shared" si="370"/>
        <v>45847</v>
      </c>
      <c r="I365" s="14" t="s">
        <v>1865</v>
      </c>
      <c r="M365" s="14"/>
      <c r="N365" s="14"/>
      <c r="O365" s="14"/>
      <c r="P365" s="14" t="s">
        <v>84</v>
      </c>
      <c r="Q365" s="36"/>
      <c r="R365" s="36"/>
      <c r="S365" s="36"/>
      <c r="T365" s="36"/>
      <c r="V365" s="31"/>
    </row>
    <row r="366">
      <c r="A366" s="14" t="s">
        <v>1045</v>
      </c>
      <c r="B366" s="14" t="s">
        <v>1891</v>
      </c>
      <c r="C366" s="14" t="s">
        <v>1892</v>
      </c>
      <c r="D366" s="14" t="s">
        <v>133</v>
      </c>
      <c r="E366" s="20" t="str">
        <f t="shared" si="2"/>
        <v>julio 2025</v>
      </c>
      <c r="F366" s="22">
        <v>45847.0</v>
      </c>
      <c r="G366" s="24">
        <f t="shared" ref="G366:H366" si="371">F366</f>
        <v>45847</v>
      </c>
      <c r="H366" s="26">
        <f t="shared" si="371"/>
        <v>45847</v>
      </c>
      <c r="I366" s="14" t="s">
        <v>1865</v>
      </c>
      <c r="M366" s="14"/>
      <c r="N366" s="14"/>
      <c r="O366" s="14"/>
      <c r="P366" s="14" t="s">
        <v>84</v>
      </c>
      <c r="Q366" s="36"/>
      <c r="R366" s="36"/>
      <c r="S366" s="36"/>
      <c r="T366" s="36"/>
      <c r="V366" s="31"/>
    </row>
    <row r="367">
      <c r="A367" s="108" t="s">
        <v>1075</v>
      </c>
      <c r="B367" s="108" t="s">
        <v>1858</v>
      </c>
      <c r="C367" s="202" t="s">
        <v>1859</v>
      </c>
      <c r="D367" s="108" t="s">
        <v>40</v>
      </c>
      <c r="E367" s="20" t="str">
        <f t="shared" si="2"/>
        <v>julio 2025</v>
      </c>
      <c r="F367" s="22">
        <v>45854.0</v>
      </c>
      <c r="G367" s="24">
        <f t="shared" ref="G367:H367" si="372">F367</f>
        <v>45854</v>
      </c>
      <c r="H367" s="26">
        <f t="shared" si="372"/>
        <v>45854</v>
      </c>
      <c r="I367" s="123" t="s">
        <v>425</v>
      </c>
      <c r="J367" s="34"/>
      <c r="K367" s="199">
        <v>8.0E8</v>
      </c>
      <c r="L367" s="205"/>
      <c r="M367" s="14"/>
      <c r="N367" s="14"/>
      <c r="O367" s="14"/>
      <c r="P367" s="14"/>
      <c r="Q367" s="36"/>
      <c r="R367" s="36"/>
      <c r="S367" s="36"/>
      <c r="T367" s="36"/>
      <c r="V367" s="31"/>
    </row>
    <row r="368">
      <c r="A368" s="14" t="s">
        <v>679</v>
      </c>
      <c r="B368" s="14" t="s">
        <v>312</v>
      </c>
      <c r="C368" s="14" t="s">
        <v>184</v>
      </c>
      <c r="D368" s="14" t="s">
        <v>40</v>
      </c>
      <c r="E368" s="20" t="str">
        <f t="shared" si="2"/>
        <v>julio 2025</v>
      </c>
      <c r="F368" s="22">
        <v>45840.0</v>
      </c>
      <c r="G368" s="24">
        <f t="shared" ref="G368:H368" si="373">F368</f>
        <v>45840</v>
      </c>
      <c r="H368" s="26">
        <f t="shared" si="373"/>
        <v>45840</v>
      </c>
      <c r="I368" s="14" t="s">
        <v>259</v>
      </c>
      <c r="J368" s="14" t="s">
        <v>1709</v>
      </c>
      <c r="K368" s="27">
        <v>1.0E10</v>
      </c>
      <c r="L368" s="29" t="s">
        <v>1897</v>
      </c>
      <c r="M368" s="14"/>
      <c r="N368" s="14"/>
      <c r="O368" s="14"/>
      <c r="P368" s="14" t="s">
        <v>84</v>
      </c>
      <c r="Q368" s="36"/>
      <c r="R368" s="36"/>
      <c r="S368" s="36"/>
      <c r="T368" s="36"/>
      <c r="V368" s="31"/>
    </row>
    <row r="369">
      <c r="A369" s="14" t="s">
        <v>679</v>
      </c>
      <c r="B369" s="14" t="s">
        <v>1901</v>
      </c>
      <c r="C369" s="14" t="s">
        <v>1902</v>
      </c>
      <c r="D369" s="14" t="s">
        <v>40</v>
      </c>
      <c r="E369" s="20" t="str">
        <f t="shared" si="2"/>
        <v>julio 2025</v>
      </c>
      <c r="F369" s="22">
        <v>45845.0</v>
      </c>
      <c r="G369" s="24">
        <f t="shared" ref="G369:H369" si="374">F369</f>
        <v>45845</v>
      </c>
      <c r="H369" s="26">
        <f t="shared" si="374"/>
        <v>45845</v>
      </c>
      <c r="I369" s="14" t="s">
        <v>90</v>
      </c>
      <c r="K369" s="27">
        <v>1.5E8</v>
      </c>
      <c r="L369" s="29" t="s">
        <v>1908</v>
      </c>
      <c r="M369" s="31"/>
      <c r="N369" s="31"/>
      <c r="O369" s="31"/>
      <c r="Q369" s="36"/>
      <c r="R369" s="36"/>
      <c r="S369" s="36"/>
      <c r="T369" s="36"/>
      <c r="V369" s="31"/>
    </row>
    <row r="370">
      <c r="A370" s="14" t="s">
        <v>679</v>
      </c>
      <c r="B370" s="14" t="s">
        <v>1901</v>
      </c>
      <c r="C370" s="14" t="s">
        <v>1902</v>
      </c>
      <c r="D370" s="14" t="s">
        <v>40</v>
      </c>
      <c r="E370" s="20" t="str">
        <f t="shared" si="2"/>
        <v>julio 2025</v>
      </c>
      <c r="F370" s="22">
        <v>45845.0</v>
      </c>
      <c r="G370" s="24">
        <f t="shared" ref="G370:H370" si="375">F370</f>
        <v>45845</v>
      </c>
      <c r="H370" s="26">
        <f t="shared" si="375"/>
        <v>45845</v>
      </c>
      <c r="I370" s="14" t="s">
        <v>1596</v>
      </c>
      <c r="K370" s="27">
        <v>2.5E7</v>
      </c>
      <c r="L370" s="29"/>
      <c r="M370" s="31"/>
      <c r="N370" s="31"/>
      <c r="O370" s="31"/>
      <c r="Q370" s="36"/>
      <c r="R370" s="36"/>
      <c r="S370" s="36"/>
      <c r="T370" s="36"/>
      <c r="V370" s="31"/>
    </row>
    <row r="371">
      <c r="A371" s="14" t="s">
        <v>1012</v>
      </c>
      <c r="B371" s="14" t="s">
        <v>1915</v>
      </c>
      <c r="C371" s="14" t="s">
        <v>1916</v>
      </c>
      <c r="D371" s="14" t="s">
        <v>133</v>
      </c>
      <c r="E371" s="20" t="str">
        <f t="shared" si="2"/>
        <v>julio 2025</v>
      </c>
      <c r="F371" s="22">
        <v>45840.0</v>
      </c>
      <c r="G371" s="24">
        <f t="shared" ref="G371:H371" si="376">F371</f>
        <v>45840</v>
      </c>
      <c r="H371" s="26">
        <f t="shared" si="376"/>
        <v>45840</v>
      </c>
      <c r="I371" s="14" t="s">
        <v>1865</v>
      </c>
      <c r="K371" s="219">
        <v>9.0E8</v>
      </c>
      <c r="L371" s="205" t="s">
        <v>1923</v>
      </c>
      <c r="M371" s="31"/>
      <c r="N371" s="31"/>
      <c r="O371" s="31"/>
      <c r="Q371" s="36"/>
      <c r="R371" s="36"/>
      <c r="S371" s="36"/>
      <c r="T371" s="36"/>
      <c r="V371" s="31"/>
    </row>
    <row r="372">
      <c r="A372" s="14" t="s">
        <v>1012</v>
      </c>
      <c r="B372" s="14" t="s">
        <v>1925</v>
      </c>
      <c r="C372" s="14" t="s">
        <v>1926</v>
      </c>
      <c r="D372" s="14" t="s">
        <v>133</v>
      </c>
      <c r="E372" s="20" t="str">
        <f t="shared" si="2"/>
        <v>julio 2025</v>
      </c>
      <c r="F372" s="22">
        <v>45849.0</v>
      </c>
      <c r="G372" s="24">
        <f t="shared" ref="G372:H372" si="377">F372</f>
        <v>45849</v>
      </c>
      <c r="H372" s="26">
        <f t="shared" si="377"/>
        <v>45849</v>
      </c>
      <c r="I372" s="14" t="s">
        <v>1865</v>
      </c>
      <c r="M372" s="31"/>
      <c r="N372" s="31"/>
      <c r="O372" s="31"/>
      <c r="Q372" s="36"/>
      <c r="R372" s="36"/>
      <c r="S372" s="36"/>
      <c r="T372" s="36"/>
      <c r="V372" s="31"/>
    </row>
    <row r="373">
      <c r="A373" s="14" t="s">
        <v>1012</v>
      </c>
      <c r="B373" s="14" t="s">
        <v>1927</v>
      </c>
      <c r="C373" s="14" t="s">
        <v>1928</v>
      </c>
      <c r="D373" s="14" t="s">
        <v>133</v>
      </c>
      <c r="E373" s="20" t="str">
        <f t="shared" si="2"/>
        <v>julio 2025</v>
      </c>
      <c r="F373" s="22">
        <v>45847.0</v>
      </c>
      <c r="G373" s="24">
        <f t="shared" ref="G373:H373" si="378">F373</f>
        <v>45847</v>
      </c>
      <c r="H373" s="26">
        <f t="shared" si="378"/>
        <v>45847</v>
      </c>
      <c r="I373" s="14" t="s">
        <v>1865</v>
      </c>
      <c r="M373" s="31"/>
      <c r="N373" s="31"/>
      <c r="O373" s="31"/>
      <c r="Q373" s="36"/>
      <c r="R373" s="36"/>
      <c r="S373" s="36"/>
      <c r="T373" s="36"/>
      <c r="V373" s="31"/>
    </row>
    <row r="374">
      <c r="A374" s="14" t="s">
        <v>1012</v>
      </c>
      <c r="B374" s="14" t="s">
        <v>1929</v>
      </c>
      <c r="C374" s="14" t="s">
        <v>1930</v>
      </c>
      <c r="D374" s="14" t="s">
        <v>133</v>
      </c>
      <c r="E374" s="20" t="str">
        <f t="shared" si="2"/>
        <v>julio 2025</v>
      </c>
      <c r="F374" s="22">
        <v>45847.0</v>
      </c>
      <c r="G374" s="24">
        <f t="shared" ref="G374:H374" si="379">F374</f>
        <v>45847</v>
      </c>
      <c r="H374" s="26">
        <f t="shared" si="379"/>
        <v>45847</v>
      </c>
      <c r="I374" s="14" t="s">
        <v>1865</v>
      </c>
      <c r="M374" s="31"/>
      <c r="N374" s="31"/>
      <c r="O374" s="31"/>
      <c r="Q374" s="36"/>
      <c r="R374" s="36"/>
      <c r="S374" s="36"/>
      <c r="T374" s="36"/>
      <c r="V374" s="31"/>
    </row>
    <row r="375">
      <c r="A375" s="14" t="s">
        <v>1787</v>
      </c>
      <c r="B375" s="14" t="s">
        <v>1932</v>
      </c>
      <c r="C375" s="14" t="s">
        <v>1933</v>
      </c>
      <c r="D375" s="14" t="s">
        <v>40</v>
      </c>
      <c r="E375" s="20" t="str">
        <f t="shared" si="2"/>
        <v>julio 2025</v>
      </c>
      <c r="F375" s="22">
        <v>45848.0</v>
      </c>
      <c r="G375" s="24">
        <f t="shared" ref="G375:H375" si="380">F375</f>
        <v>45848</v>
      </c>
      <c r="H375" s="26">
        <f t="shared" si="380"/>
        <v>45848</v>
      </c>
      <c r="I375" s="14" t="s">
        <v>90</v>
      </c>
      <c r="K375" s="27">
        <v>2.0E7</v>
      </c>
      <c r="L375" s="29" t="s">
        <v>1934</v>
      </c>
      <c r="M375" s="31"/>
      <c r="N375" s="14" t="s">
        <v>84</v>
      </c>
      <c r="O375" s="31"/>
      <c r="Q375" s="36"/>
      <c r="R375" s="36"/>
      <c r="S375" s="36"/>
      <c r="T375" s="36"/>
      <c r="V375" s="31"/>
    </row>
    <row r="376">
      <c r="A376" s="14" t="s">
        <v>1787</v>
      </c>
      <c r="B376" s="14" t="s">
        <v>1935</v>
      </c>
      <c r="C376" s="15" t="s">
        <v>1936</v>
      </c>
      <c r="D376" s="14" t="s">
        <v>133</v>
      </c>
      <c r="E376" s="20" t="str">
        <f t="shared" si="2"/>
        <v>julio 2025</v>
      </c>
      <c r="F376" s="22">
        <v>45849.0</v>
      </c>
      <c r="G376" s="24">
        <f t="shared" ref="G376:H376" si="381">F376</f>
        <v>45849</v>
      </c>
      <c r="H376" s="26">
        <f t="shared" si="381"/>
        <v>45849</v>
      </c>
      <c r="I376" s="14" t="s">
        <v>1865</v>
      </c>
      <c r="K376" s="27">
        <v>3.5E8</v>
      </c>
      <c r="L376" s="29" t="s">
        <v>1938</v>
      </c>
      <c r="M376" s="14"/>
      <c r="N376" s="14" t="s">
        <v>84</v>
      </c>
      <c r="O376" s="14"/>
      <c r="P376" s="14" t="s">
        <v>84</v>
      </c>
      <c r="Q376" s="36"/>
      <c r="R376" s="36"/>
      <c r="S376" s="36"/>
      <c r="T376" s="36"/>
      <c r="V376" s="31"/>
    </row>
    <row r="377">
      <c r="A377" s="14" t="s">
        <v>1787</v>
      </c>
      <c r="B377" s="14" t="s">
        <v>1941</v>
      </c>
      <c r="C377" s="15" t="s">
        <v>1943</v>
      </c>
      <c r="D377" s="14" t="s">
        <v>40</v>
      </c>
      <c r="E377" s="20" t="str">
        <f t="shared" si="2"/>
        <v>julio 2025</v>
      </c>
      <c r="F377" s="22">
        <v>45853.0</v>
      </c>
      <c r="G377" s="24">
        <f t="shared" ref="G377:H377" si="382">F377</f>
        <v>45853</v>
      </c>
      <c r="H377" s="26">
        <f t="shared" si="382"/>
        <v>45853</v>
      </c>
      <c r="I377" s="14" t="s">
        <v>90</v>
      </c>
      <c r="K377" s="27">
        <v>4.0E7</v>
      </c>
      <c r="L377" s="29" t="s">
        <v>1210</v>
      </c>
      <c r="M377" s="31"/>
      <c r="N377" s="14" t="s">
        <v>84</v>
      </c>
      <c r="O377" s="31"/>
      <c r="Q377" s="36"/>
      <c r="R377" s="36"/>
      <c r="S377" s="36"/>
      <c r="T377" s="36"/>
      <c r="V377" s="31"/>
    </row>
    <row r="378">
      <c r="A378" s="14" t="s">
        <v>117</v>
      </c>
      <c r="B378" s="14" t="s">
        <v>1952</v>
      </c>
      <c r="C378" s="14" t="s">
        <v>1953</v>
      </c>
      <c r="D378" s="14" t="s">
        <v>133</v>
      </c>
      <c r="E378" s="20" t="str">
        <f t="shared" si="2"/>
        <v>julio 2025</v>
      </c>
      <c r="F378" s="22">
        <v>45839.0</v>
      </c>
      <c r="G378" s="24">
        <f t="shared" ref="G378:H378" si="383">F378</f>
        <v>45839</v>
      </c>
      <c r="H378" s="26">
        <f t="shared" si="383"/>
        <v>45839</v>
      </c>
      <c r="I378" s="14" t="s">
        <v>1865</v>
      </c>
      <c r="K378" s="222">
        <v>6.5E9</v>
      </c>
      <c r="L378" s="205" t="s">
        <v>1962</v>
      </c>
      <c r="M378" s="14"/>
      <c r="N378" s="14" t="s">
        <v>84</v>
      </c>
      <c r="O378" s="14"/>
      <c r="P378" s="14" t="s">
        <v>84</v>
      </c>
      <c r="Q378" s="36"/>
      <c r="R378" s="36"/>
      <c r="S378" s="36"/>
      <c r="T378" s="36"/>
      <c r="V378" s="31"/>
    </row>
    <row r="379">
      <c r="A379" s="14" t="s">
        <v>117</v>
      </c>
      <c r="B379" s="14" t="s">
        <v>1952</v>
      </c>
      <c r="C379" s="14" t="s">
        <v>1968</v>
      </c>
      <c r="D379" s="14" t="s">
        <v>133</v>
      </c>
      <c r="E379" s="20" t="str">
        <f t="shared" si="2"/>
        <v>julio 2025</v>
      </c>
      <c r="F379" s="22">
        <v>45839.0</v>
      </c>
      <c r="G379" s="24">
        <f t="shared" ref="G379:H379" si="384">F379</f>
        <v>45839</v>
      </c>
      <c r="H379" s="26">
        <f t="shared" si="384"/>
        <v>45839</v>
      </c>
      <c r="I379" s="14" t="s">
        <v>1865</v>
      </c>
      <c r="M379" s="14"/>
      <c r="N379" s="14" t="s">
        <v>84</v>
      </c>
      <c r="O379" s="14"/>
      <c r="P379" s="14" t="s">
        <v>84</v>
      </c>
      <c r="Q379" s="36"/>
      <c r="R379" s="36"/>
      <c r="S379" s="36"/>
      <c r="T379" s="36"/>
      <c r="V379" s="31"/>
    </row>
    <row r="380">
      <c r="A380" s="14" t="s">
        <v>117</v>
      </c>
      <c r="B380" s="14" t="s">
        <v>1952</v>
      </c>
      <c r="C380" s="14" t="s">
        <v>1979</v>
      </c>
      <c r="D380" s="14" t="s">
        <v>133</v>
      </c>
      <c r="E380" s="20" t="str">
        <f t="shared" si="2"/>
        <v>julio 2025</v>
      </c>
      <c r="F380" s="22">
        <v>45839.0</v>
      </c>
      <c r="G380" s="24">
        <f t="shared" ref="G380:H380" si="385">F380</f>
        <v>45839</v>
      </c>
      <c r="H380" s="26">
        <f t="shared" si="385"/>
        <v>45839</v>
      </c>
      <c r="I380" s="14" t="s">
        <v>1865</v>
      </c>
      <c r="M380" s="14"/>
      <c r="N380" s="14" t="s">
        <v>84</v>
      </c>
      <c r="O380" s="14"/>
      <c r="P380" s="14" t="s">
        <v>84</v>
      </c>
      <c r="Q380" s="36"/>
      <c r="R380" s="36"/>
      <c r="S380" s="36"/>
      <c r="T380" s="36"/>
      <c r="V380" s="31"/>
    </row>
    <row r="381">
      <c r="A381" s="14" t="s">
        <v>117</v>
      </c>
      <c r="B381" s="14" t="s">
        <v>1952</v>
      </c>
      <c r="C381" s="14" t="s">
        <v>1985</v>
      </c>
      <c r="D381" s="14" t="s">
        <v>133</v>
      </c>
      <c r="E381" s="20" t="str">
        <f t="shared" si="2"/>
        <v>julio 2025</v>
      </c>
      <c r="F381" s="22">
        <v>45839.0</v>
      </c>
      <c r="G381" s="24">
        <f t="shared" ref="G381:H381" si="386">F381</f>
        <v>45839</v>
      </c>
      <c r="H381" s="26">
        <f t="shared" si="386"/>
        <v>45839</v>
      </c>
      <c r="I381" s="14" t="s">
        <v>1865</v>
      </c>
      <c r="M381" s="14"/>
      <c r="N381" s="14" t="s">
        <v>84</v>
      </c>
      <c r="O381" s="14"/>
      <c r="P381" s="14" t="s">
        <v>84</v>
      </c>
      <c r="Q381" s="36"/>
      <c r="R381" s="36"/>
      <c r="S381" s="36"/>
      <c r="T381" s="36"/>
      <c r="V381" s="31"/>
    </row>
    <row r="382">
      <c r="A382" s="14" t="s">
        <v>117</v>
      </c>
      <c r="B382" s="14" t="s">
        <v>1952</v>
      </c>
      <c r="C382" s="225" t="s">
        <v>1990</v>
      </c>
      <c r="D382" s="14" t="s">
        <v>133</v>
      </c>
      <c r="E382" s="20" t="str">
        <f t="shared" si="2"/>
        <v>julio 2025</v>
      </c>
      <c r="F382" s="22">
        <v>45839.0</v>
      </c>
      <c r="G382" s="24">
        <f t="shared" ref="G382:H382" si="387">F382</f>
        <v>45839</v>
      </c>
      <c r="H382" s="26">
        <f t="shared" si="387"/>
        <v>45839</v>
      </c>
      <c r="I382" s="14" t="s">
        <v>1865</v>
      </c>
      <c r="M382" s="14"/>
      <c r="N382" s="14" t="s">
        <v>84</v>
      </c>
      <c r="O382" s="14"/>
      <c r="P382" s="14" t="s">
        <v>84</v>
      </c>
      <c r="Q382" s="36"/>
      <c r="R382" s="36"/>
      <c r="S382" s="36"/>
      <c r="T382" s="36"/>
      <c r="V382" s="31"/>
    </row>
    <row r="383">
      <c r="A383" s="14" t="s">
        <v>117</v>
      </c>
      <c r="B383" s="14" t="s">
        <v>1952</v>
      </c>
      <c r="C383" s="225" t="s">
        <v>1999</v>
      </c>
      <c r="D383" s="14" t="s">
        <v>133</v>
      </c>
      <c r="E383" s="20" t="str">
        <f t="shared" si="2"/>
        <v>julio 2025</v>
      </c>
      <c r="F383" s="22">
        <v>45839.0</v>
      </c>
      <c r="G383" s="24">
        <f t="shared" ref="G383:H383" si="388">F383</f>
        <v>45839</v>
      </c>
      <c r="H383" s="26">
        <f t="shared" si="388"/>
        <v>45839</v>
      </c>
      <c r="I383" s="14" t="s">
        <v>1865</v>
      </c>
      <c r="M383" s="14"/>
      <c r="N383" s="14" t="s">
        <v>84</v>
      </c>
      <c r="O383" s="14"/>
      <c r="P383" s="14" t="s">
        <v>84</v>
      </c>
      <c r="Q383" s="36"/>
      <c r="R383" s="36"/>
      <c r="S383" s="36"/>
      <c r="T383" s="36"/>
      <c r="V383" s="31"/>
    </row>
    <row r="384">
      <c r="A384" s="14" t="s">
        <v>117</v>
      </c>
      <c r="B384" s="14" t="s">
        <v>1952</v>
      </c>
      <c r="C384" s="14" t="s">
        <v>2005</v>
      </c>
      <c r="D384" s="14" t="s">
        <v>133</v>
      </c>
      <c r="E384" s="20" t="str">
        <f t="shared" si="2"/>
        <v>julio 2025</v>
      </c>
      <c r="F384" s="22">
        <v>45839.0</v>
      </c>
      <c r="G384" s="24">
        <f t="shared" ref="G384:H384" si="389">F384</f>
        <v>45839</v>
      </c>
      <c r="H384" s="26">
        <f t="shared" si="389"/>
        <v>45839</v>
      </c>
      <c r="I384" s="14" t="s">
        <v>1865</v>
      </c>
      <c r="M384" s="14"/>
      <c r="N384" s="14" t="s">
        <v>84</v>
      </c>
      <c r="O384" s="14"/>
      <c r="P384" s="14" t="s">
        <v>84</v>
      </c>
      <c r="Q384" s="36"/>
      <c r="R384" s="36"/>
      <c r="S384" s="36"/>
      <c r="T384" s="36"/>
      <c r="V384" s="31"/>
    </row>
    <row r="385">
      <c r="A385" s="14" t="s">
        <v>117</v>
      </c>
      <c r="B385" s="14" t="s">
        <v>1952</v>
      </c>
      <c r="C385" s="14" t="s">
        <v>2013</v>
      </c>
      <c r="D385" s="14" t="s">
        <v>133</v>
      </c>
      <c r="E385" s="20" t="str">
        <f t="shared" si="2"/>
        <v>julio 2025</v>
      </c>
      <c r="F385" s="22">
        <v>45839.0</v>
      </c>
      <c r="G385" s="24">
        <f t="shared" ref="G385:H385" si="390">F385</f>
        <v>45839</v>
      </c>
      <c r="H385" s="26">
        <f t="shared" si="390"/>
        <v>45839</v>
      </c>
      <c r="I385" s="14" t="s">
        <v>1865</v>
      </c>
      <c r="M385" s="14"/>
      <c r="N385" s="14" t="s">
        <v>84</v>
      </c>
      <c r="O385" s="14"/>
      <c r="P385" s="14" t="s">
        <v>84</v>
      </c>
      <c r="Q385" s="36"/>
      <c r="R385" s="36"/>
      <c r="S385" s="36"/>
      <c r="T385" s="36"/>
      <c r="V385" s="31"/>
    </row>
    <row r="386">
      <c r="A386" s="14" t="s">
        <v>117</v>
      </c>
      <c r="B386" s="14" t="s">
        <v>1952</v>
      </c>
      <c r="C386" s="14" t="s">
        <v>2020</v>
      </c>
      <c r="D386" s="14" t="s">
        <v>133</v>
      </c>
      <c r="E386" s="20" t="str">
        <f t="shared" si="2"/>
        <v>julio 2025</v>
      </c>
      <c r="F386" s="22">
        <v>45839.0</v>
      </c>
      <c r="G386" s="24">
        <f t="shared" ref="G386:H386" si="391">F386</f>
        <v>45839</v>
      </c>
      <c r="H386" s="26">
        <f t="shared" si="391"/>
        <v>45839</v>
      </c>
      <c r="I386" s="14" t="s">
        <v>1865</v>
      </c>
      <c r="M386" s="14"/>
      <c r="N386" s="14" t="s">
        <v>84</v>
      </c>
      <c r="O386" s="14"/>
      <c r="P386" s="14" t="s">
        <v>84</v>
      </c>
      <c r="Q386" s="36"/>
      <c r="R386" s="36"/>
      <c r="S386" s="36"/>
      <c r="T386" s="36"/>
      <c r="V386" s="31"/>
    </row>
    <row r="387">
      <c r="A387" s="14" t="s">
        <v>117</v>
      </c>
      <c r="B387" s="14" t="s">
        <v>1952</v>
      </c>
      <c r="C387" s="14" t="s">
        <v>2026</v>
      </c>
      <c r="D387" s="14" t="s">
        <v>133</v>
      </c>
      <c r="E387" s="20" t="str">
        <f t="shared" si="2"/>
        <v>julio 2025</v>
      </c>
      <c r="F387" s="22">
        <v>45839.0</v>
      </c>
      <c r="G387" s="24">
        <f t="shared" ref="G387:H387" si="392">F387</f>
        <v>45839</v>
      </c>
      <c r="H387" s="26">
        <f t="shared" si="392"/>
        <v>45839</v>
      </c>
      <c r="I387" s="14" t="s">
        <v>1865</v>
      </c>
      <c r="M387" s="14"/>
      <c r="N387" s="14" t="s">
        <v>84</v>
      </c>
      <c r="O387" s="14"/>
      <c r="P387" s="14" t="s">
        <v>84</v>
      </c>
      <c r="Q387" s="36"/>
      <c r="R387" s="36"/>
      <c r="S387" s="36"/>
      <c r="T387" s="36"/>
      <c r="V387" s="31"/>
    </row>
    <row r="388">
      <c r="A388" s="14" t="s">
        <v>117</v>
      </c>
      <c r="B388" s="14" t="s">
        <v>1952</v>
      </c>
      <c r="C388" s="14" t="s">
        <v>2028</v>
      </c>
      <c r="D388" s="14" t="s">
        <v>133</v>
      </c>
      <c r="E388" s="20" t="str">
        <f t="shared" si="2"/>
        <v>julio 2025</v>
      </c>
      <c r="F388" s="22">
        <v>45839.0</v>
      </c>
      <c r="G388" s="24">
        <f t="shared" ref="G388:H388" si="393">F388</f>
        <v>45839</v>
      </c>
      <c r="H388" s="26">
        <f t="shared" si="393"/>
        <v>45839</v>
      </c>
      <c r="I388" s="14" t="s">
        <v>1865</v>
      </c>
      <c r="M388" s="14"/>
      <c r="N388" s="14" t="s">
        <v>84</v>
      </c>
      <c r="O388" s="14"/>
      <c r="P388" s="14" t="s">
        <v>84</v>
      </c>
      <c r="Q388" s="36"/>
      <c r="R388" s="36"/>
      <c r="S388" s="36"/>
      <c r="T388" s="36"/>
      <c r="V388" s="31"/>
    </row>
    <row r="389">
      <c r="A389" s="14" t="s">
        <v>117</v>
      </c>
      <c r="B389" s="14" t="s">
        <v>1952</v>
      </c>
      <c r="C389" s="14" t="s">
        <v>2030</v>
      </c>
      <c r="D389" s="14" t="s">
        <v>133</v>
      </c>
      <c r="E389" s="20" t="str">
        <f t="shared" si="2"/>
        <v>julio 2025</v>
      </c>
      <c r="F389" s="22">
        <v>45839.0</v>
      </c>
      <c r="G389" s="24">
        <f t="shared" ref="G389:H389" si="394">F389</f>
        <v>45839</v>
      </c>
      <c r="H389" s="26">
        <f t="shared" si="394"/>
        <v>45839</v>
      </c>
      <c r="I389" s="14" t="s">
        <v>1865</v>
      </c>
      <c r="M389" s="14"/>
      <c r="N389" s="14" t="s">
        <v>84</v>
      </c>
      <c r="O389" s="14"/>
      <c r="P389" s="14" t="s">
        <v>84</v>
      </c>
      <c r="Q389" s="36"/>
      <c r="R389" s="36"/>
      <c r="S389" s="36"/>
      <c r="T389" s="36"/>
      <c r="V389" s="31"/>
    </row>
    <row r="390">
      <c r="A390" s="14" t="s">
        <v>117</v>
      </c>
      <c r="B390" s="14" t="s">
        <v>1952</v>
      </c>
      <c r="C390" s="14" t="s">
        <v>2033</v>
      </c>
      <c r="D390" s="14" t="s">
        <v>133</v>
      </c>
      <c r="E390" s="20" t="str">
        <f t="shared" si="2"/>
        <v>julio 2025</v>
      </c>
      <c r="F390" s="22">
        <v>45839.0</v>
      </c>
      <c r="G390" s="24">
        <f t="shared" ref="G390:H390" si="395">F390</f>
        <v>45839</v>
      </c>
      <c r="H390" s="26">
        <f t="shared" si="395"/>
        <v>45839</v>
      </c>
      <c r="I390" s="14" t="s">
        <v>1865</v>
      </c>
      <c r="M390" s="14"/>
      <c r="N390" s="14" t="s">
        <v>84</v>
      </c>
      <c r="O390" s="14"/>
      <c r="P390" s="14" t="s">
        <v>84</v>
      </c>
      <c r="Q390" s="36"/>
      <c r="R390" s="36"/>
      <c r="S390" s="36"/>
      <c r="T390" s="36"/>
      <c r="V390" s="31"/>
    </row>
    <row r="391">
      <c r="A391" s="14" t="s">
        <v>117</v>
      </c>
      <c r="B391" s="14" t="s">
        <v>1952</v>
      </c>
      <c r="C391" s="14" t="s">
        <v>2038</v>
      </c>
      <c r="D391" s="14" t="s">
        <v>133</v>
      </c>
      <c r="E391" s="20" t="str">
        <f t="shared" si="2"/>
        <v>julio 2025</v>
      </c>
      <c r="F391" s="22">
        <v>45839.0</v>
      </c>
      <c r="G391" s="24">
        <f t="shared" ref="G391:H391" si="396">F391</f>
        <v>45839</v>
      </c>
      <c r="H391" s="26">
        <f t="shared" si="396"/>
        <v>45839</v>
      </c>
      <c r="I391" s="14" t="s">
        <v>1865</v>
      </c>
      <c r="M391" s="14"/>
      <c r="N391" s="14" t="s">
        <v>84</v>
      </c>
      <c r="O391" s="14"/>
      <c r="P391" s="14" t="s">
        <v>84</v>
      </c>
      <c r="Q391" s="36"/>
      <c r="R391" s="36"/>
      <c r="S391" s="36"/>
      <c r="T391" s="36"/>
      <c r="V391" s="31"/>
    </row>
    <row r="392">
      <c r="A392" s="14" t="s">
        <v>117</v>
      </c>
      <c r="B392" s="14" t="s">
        <v>1952</v>
      </c>
      <c r="C392" s="14" t="s">
        <v>2051</v>
      </c>
      <c r="D392" s="14" t="s">
        <v>133</v>
      </c>
      <c r="E392" s="20" t="str">
        <f t="shared" si="2"/>
        <v>julio 2025</v>
      </c>
      <c r="F392" s="22">
        <v>45839.0</v>
      </c>
      <c r="G392" s="24">
        <f t="shared" ref="G392:H392" si="397">F392</f>
        <v>45839</v>
      </c>
      <c r="H392" s="26">
        <f t="shared" si="397"/>
        <v>45839</v>
      </c>
      <c r="I392" s="14" t="s">
        <v>1865</v>
      </c>
      <c r="M392" s="14"/>
      <c r="N392" s="14" t="s">
        <v>84</v>
      </c>
      <c r="O392" s="14"/>
      <c r="P392" s="14" t="s">
        <v>84</v>
      </c>
      <c r="Q392" s="36"/>
      <c r="R392" s="36"/>
      <c r="S392" s="36"/>
      <c r="T392" s="36"/>
      <c r="V392" s="31"/>
    </row>
    <row r="393">
      <c r="A393" s="14" t="s">
        <v>117</v>
      </c>
      <c r="B393" s="14" t="s">
        <v>1952</v>
      </c>
      <c r="C393" s="14" t="s">
        <v>2054</v>
      </c>
      <c r="D393" s="14" t="s">
        <v>133</v>
      </c>
      <c r="E393" s="20" t="str">
        <f t="shared" si="2"/>
        <v>julio 2025</v>
      </c>
      <c r="F393" s="22">
        <v>45839.0</v>
      </c>
      <c r="G393" s="24">
        <f t="shared" ref="G393:H393" si="398">F393</f>
        <v>45839</v>
      </c>
      <c r="H393" s="26">
        <f t="shared" si="398"/>
        <v>45839</v>
      </c>
      <c r="I393" s="14" t="s">
        <v>1865</v>
      </c>
      <c r="M393" s="14"/>
      <c r="N393" s="14" t="s">
        <v>84</v>
      </c>
      <c r="O393" s="14"/>
      <c r="P393" s="14" t="s">
        <v>84</v>
      </c>
      <c r="Q393" s="36"/>
      <c r="R393" s="36"/>
      <c r="S393" s="36"/>
      <c r="T393" s="36"/>
      <c r="V393" s="31"/>
    </row>
    <row r="394">
      <c r="A394" s="14" t="s">
        <v>117</v>
      </c>
      <c r="B394" s="14" t="s">
        <v>1952</v>
      </c>
      <c r="C394" s="14" t="s">
        <v>2063</v>
      </c>
      <c r="D394" s="14" t="s">
        <v>133</v>
      </c>
      <c r="E394" s="20" t="str">
        <f t="shared" si="2"/>
        <v>julio 2025</v>
      </c>
      <c r="F394" s="22">
        <v>45839.0</v>
      </c>
      <c r="G394" s="24">
        <f t="shared" ref="G394:H394" si="399">F394</f>
        <v>45839</v>
      </c>
      <c r="H394" s="26">
        <f t="shared" si="399"/>
        <v>45839</v>
      </c>
      <c r="I394" s="14" t="s">
        <v>1865</v>
      </c>
      <c r="M394" s="14"/>
      <c r="N394" s="14" t="s">
        <v>84</v>
      </c>
      <c r="O394" s="14"/>
      <c r="P394" s="14" t="s">
        <v>84</v>
      </c>
      <c r="Q394" s="36"/>
      <c r="R394" s="36"/>
      <c r="S394" s="36"/>
      <c r="T394" s="36"/>
      <c r="V394" s="31"/>
    </row>
    <row r="395">
      <c r="A395" s="14" t="s">
        <v>117</v>
      </c>
      <c r="B395" s="14" t="s">
        <v>1952</v>
      </c>
      <c r="C395" s="14" t="s">
        <v>2069</v>
      </c>
      <c r="D395" s="14" t="s">
        <v>133</v>
      </c>
      <c r="E395" s="20" t="str">
        <f t="shared" si="2"/>
        <v>julio 2025</v>
      </c>
      <c r="F395" s="22">
        <v>45839.0</v>
      </c>
      <c r="G395" s="24">
        <f t="shared" ref="G395:H395" si="400">F395</f>
        <v>45839</v>
      </c>
      <c r="H395" s="26">
        <f t="shared" si="400"/>
        <v>45839</v>
      </c>
      <c r="I395" s="14" t="s">
        <v>1865</v>
      </c>
      <c r="M395" s="14"/>
      <c r="N395" s="14" t="s">
        <v>84</v>
      </c>
      <c r="O395" s="14"/>
      <c r="P395" s="14" t="s">
        <v>84</v>
      </c>
      <c r="Q395" s="36"/>
      <c r="R395" s="36"/>
      <c r="S395" s="36"/>
      <c r="T395" s="36"/>
      <c r="V395" s="31"/>
    </row>
    <row r="396">
      <c r="A396" s="14" t="s">
        <v>117</v>
      </c>
      <c r="B396" s="14" t="s">
        <v>1952</v>
      </c>
      <c r="C396" s="14" t="s">
        <v>2074</v>
      </c>
      <c r="D396" s="14" t="s">
        <v>133</v>
      </c>
      <c r="E396" s="20" t="str">
        <f t="shared" si="2"/>
        <v>julio 2025</v>
      </c>
      <c r="F396" s="22">
        <v>45839.0</v>
      </c>
      <c r="G396" s="24">
        <f t="shared" ref="G396:H396" si="401">F396</f>
        <v>45839</v>
      </c>
      <c r="H396" s="26">
        <f t="shared" si="401"/>
        <v>45839</v>
      </c>
      <c r="I396" s="14" t="s">
        <v>1865</v>
      </c>
      <c r="M396" s="14"/>
      <c r="N396" s="14" t="s">
        <v>84</v>
      </c>
      <c r="O396" s="14"/>
      <c r="P396" s="14" t="s">
        <v>84</v>
      </c>
      <c r="Q396" s="36"/>
      <c r="R396" s="36"/>
      <c r="S396" s="36"/>
      <c r="T396" s="36"/>
      <c r="V396" s="31"/>
    </row>
    <row r="397">
      <c r="A397" s="14" t="s">
        <v>117</v>
      </c>
      <c r="B397" s="14" t="s">
        <v>1952</v>
      </c>
      <c r="C397" s="14" t="s">
        <v>2082</v>
      </c>
      <c r="D397" s="14" t="s">
        <v>133</v>
      </c>
      <c r="E397" s="20" t="str">
        <f t="shared" si="2"/>
        <v>julio 2025</v>
      </c>
      <c r="F397" s="22">
        <v>45839.0</v>
      </c>
      <c r="G397" s="24">
        <f t="shared" ref="G397:H397" si="402">F397</f>
        <v>45839</v>
      </c>
      <c r="H397" s="26">
        <f t="shared" si="402"/>
        <v>45839</v>
      </c>
      <c r="I397" s="14" t="s">
        <v>1865</v>
      </c>
      <c r="M397" s="14"/>
      <c r="N397" s="14" t="s">
        <v>84</v>
      </c>
      <c r="O397" s="14"/>
      <c r="P397" s="14" t="s">
        <v>84</v>
      </c>
      <c r="Q397" s="36"/>
      <c r="R397" s="36"/>
      <c r="S397" s="36"/>
      <c r="T397" s="36"/>
      <c r="V397" s="31"/>
    </row>
    <row r="398">
      <c r="A398" s="14" t="s">
        <v>117</v>
      </c>
      <c r="B398" s="14" t="s">
        <v>1952</v>
      </c>
      <c r="C398" s="14" t="s">
        <v>2089</v>
      </c>
      <c r="D398" s="14" t="s">
        <v>133</v>
      </c>
      <c r="E398" s="20" t="str">
        <f t="shared" si="2"/>
        <v>julio 2025</v>
      </c>
      <c r="F398" s="22">
        <v>45839.0</v>
      </c>
      <c r="G398" s="24">
        <f t="shared" ref="G398:H398" si="403">F398</f>
        <v>45839</v>
      </c>
      <c r="H398" s="26">
        <f t="shared" si="403"/>
        <v>45839</v>
      </c>
      <c r="I398" s="14" t="s">
        <v>1865</v>
      </c>
      <c r="M398" s="14"/>
      <c r="N398" s="14" t="s">
        <v>84</v>
      </c>
      <c r="O398" s="14"/>
      <c r="P398" s="14" t="s">
        <v>84</v>
      </c>
      <c r="Q398" s="36"/>
      <c r="R398" s="36"/>
      <c r="S398" s="36"/>
      <c r="T398" s="36"/>
      <c r="V398" s="31"/>
    </row>
    <row r="399">
      <c r="A399" s="14" t="s">
        <v>117</v>
      </c>
      <c r="B399" s="14" t="s">
        <v>1952</v>
      </c>
      <c r="C399" s="14" t="s">
        <v>2094</v>
      </c>
      <c r="D399" s="14" t="s">
        <v>133</v>
      </c>
      <c r="E399" s="20" t="str">
        <f t="shared" si="2"/>
        <v>julio 2025</v>
      </c>
      <c r="F399" s="22">
        <v>45839.0</v>
      </c>
      <c r="G399" s="24">
        <f t="shared" ref="G399:H399" si="404">F399</f>
        <v>45839</v>
      </c>
      <c r="H399" s="26">
        <f t="shared" si="404"/>
        <v>45839</v>
      </c>
      <c r="I399" s="14" t="s">
        <v>1865</v>
      </c>
      <c r="M399" s="14"/>
      <c r="N399" s="14" t="s">
        <v>84</v>
      </c>
      <c r="O399" s="14"/>
      <c r="P399" s="14" t="s">
        <v>84</v>
      </c>
      <c r="Q399" s="36"/>
      <c r="R399" s="36"/>
      <c r="S399" s="36"/>
      <c r="T399" s="36"/>
      <c r="V399" s="31"/>
    </row>
    <row r="400">
      <c r="A400" s="14" t="s">
        <v>117</v>
      </c>
      <c r="B400" s="14" t="s">
        <v>1952</v>
      </c>
      <c r="C400" s="14" t="s">
        <v>2104</v>
      </c>
      <c r="D400" s="14" t="s">
        <v>133</v>
      </c>
      <c r="E400" s="20" t="str">
        <f t="shared" si="2"/>
        <v>julio 2025</v>
      </c>
      <c r="F400" s="22">
        <v>45839.0</v>
      </c>
      <c r="G400" s="24">
        <f t="shared" ref="G400:H400" si="405">F400</f>
        <v>45839</v>
      </c>
      <c r="H400" s="26">
        <f t="shared" si="405"/>
        <v>45839</v>
      </c>
      <c r="I400" s="14" t="s">
        <v>1865</v>
      </c>
      <c r="M400" s="14"/>
      <c r="N400" s="14" t="s">
        <v>84</v>
      </c>
      <c r="O400" s="14"/>
      <c r="P400" s="14" t="s">
        <v>84</v>
      </c>
      <c r="Q400" s="36"/>
      <c r="R400" s="36"/>
      <c r="S400" s="36"/>
      <c r="T400" s="36"/>
      <c r="V400" s="31"/>
    </row>
    <row r="401">
      <c r="A401" s="14" t="s">
        <v>117</v>
      </c>
      <c r="B401" s="14" t="s">
        <v>1952</v>
      </c>
      <c r="C401" s="14" t="s">
        <v>2111</v>
      </c>
      <c r="D401" s="14" t="s">
        <v>133</v>
      </c>
      <c r="E401" s="20" t="str">
        <f t="shared" si="2"/>
        <v>julio 2025</v>
      </c>
      <c r="F401" s="22">
        <v>45839.0</v>
      </c>
      <c r="G401" s="24">
        <f t="shared" ref="G401:H401" si="406">F401</f>
        <v>45839</v>
      </c>
      <c r="H401" s="26">
        <f t="shared" si="406"/>
        <v>45839</v>
      </c>
      <c r="I401" s="14" t="s">
        <v>1865</v>
      </c>
      <c r="M401" s="14"/>
      <c r="N401" s="14" t="s">
        <v>84</v>
      </c>
      <c r="O401" s="14"/>
      <c r="P401" s="14" t="s">
        <v>84</v>
      </c>
      <c r="Q401" s="36"/>
      <c r="R401" s="36"/>
      <c r="S401" s="36"/>
      <c r="T401" s="36"/>
      <c r="V401" s="31"/>
    </row>
    <row r="402">
      <c r="A402" s="14" t="s">
        <v>117</v>
      </c>
      <c r="B402" s="14" t="s">
        <v>1952</v>
      </c>
      <c r="C402" s="14" t="s">
        <v>2118</v>
      </c>
      <c r="D402" s="14" t="s">
        <v>133</v>
      </c>
      <c r="E402" s="20" t="str">
        <f t="shared" si="2"/>
        <v>julio 2025</v>
      </c>
      <c r="F402" s="22">
        <v>45839.0</v>
      </c>
      <c r="G402" s="24">
        <f t="shared" ref="G402:H402" si="407">F402</f>
        <v>45839</v>
      </c>
      <c r="H402" s="26">
        <f t="shared" si="407"/>
        <v>45839</v>
      </c>
      <c r="I402" s="14" t="s">
        <v>1865</v>
      </c>
      <c r="M402" s="14"/>
      <c r="N402" s="14" t="s">
        <v>84</v>
      </c>
      <c r="O402" s="14"/>
      <c r="P402" s="14" t="s">
        <v>84</v>
      </c>
      <c r="Q402" s="36"/>
      <c r="R402" s="36"/>
      <c r="S402" s="36"/>
      <c r="T402" s="36"/>
      <c r="V402" s="31"/>
    </row>
    <row r="403">
      <c r="A403" s="14" t="s">
        <v>117</v>
      </c>
      <c r="B403" s="14" t="s">
        <v>1952</v>
      </c>
      <c r="C403" s="14" t="s">
        <v>2119</v>
      </c>
      <c r="D403" s="14" t="s">
        <v>133</v>
      </c>
      <c r="E403" s="20" t="str">
        <f t="shared" si="2"/>
        <v>julio 2025</v>
      </c>
      <c r="F403" s="22">
        <v>45839.0</v>
      </c>
      <c r="G403" s="24">
        <f t="shared" ref="G403:H403" si="408">F403</f>
        <v>45839</v>
      </c>
      <c r="H403" s="26">
        <f t="shared" si="408"/>
        <v>45839</v>
      </c>
      <c r="I403" s="14" t="s">
        <v>1865</v>
      </c>
      <c r="M403" s="14"/>
      <c r="N403" s="14" t="s">
        <v>84</v>
      </c>
      <c r="O403" s="14"/>
      <c r="P403" s="14" t="s">
        <v>84</v>
      </c>
      <c r="Q403" s="36"/>
      <c r="R403" s="36"/>
      <c r="S403" s="36"/>
      <c r="T403" s="36"/>
      <c r="V403" s="31"/>
    </row>
    <row r="404">
      <c r="A404" s="14" t="s">
        <v>117</v>
      </c>
      <c r="B404" s="14" t="s">
        <v>1952</v>
      </c>
      <c r="C404" s="14" t="s">
        <v>2120</v>
      </c>
      <c r="D404" s="14" t="s">
        <v>133</v>
      </c>
      <c r="E404" s="20" t="str">
        <f t="shared" si="2"/>
        <v>julio 2025</v>
      </c>
      <c r="F404" s="22">
        <v>45839.0</v>
      </c>
      <c r="G404" s="24">
        <f t="shared" ref="G404:H404" si="409">F404</f>
        <v>45839</v>
      </c>
      <c r="H404" s="26">
        <f t="shared" si="409"/>
        <v>45839</v>
      </c>
      <c r="I404" s="14" t="s">
        <v>1865</v>
      </c>
      <c r="M404" s="14"/>
      <c r="N404" s="14" t="s">
        <v>84</v>
      </c>
      <c r="O404" s="14"/>
      <c r="P404" s="14" t="s">
        <v>84</v>
      </c>
      <c r="Q404" s="36"/>
      <c r="R404" s="36"/>
      <c r="S404" s="36"/>
      <c r="T404" s="36"/>
      <c r="V404" s="31"/>
    </row>
    <row r="405">
      <c r="A405" s="14" t="s">
        <v>117</v>
      </c>
      <c r="B405" s="14" t="s">
        <v>1952</v>
      </c>
      <c r="C405" s="14" t="s">
        <v>2121</v>
      </c>
      <c r="D405" s="14" t="s">
        <v>133</v>
      </c>
      <c r="E405" s="20" t="str">
        <f t="shared" si="2"/>
        <v>julio 2025</v>
      </c>
      <c r="F405" s="22">
        <v>45839.0</v>
      </c>
      <c r="G405" s="24">
        <f t="shared" ref="G405:H405" si="410">F405</f>
        <v>45839</v>
      </c>
      <c r="H405" s="26">
        <f t="shared" si="410"/>
        <v>45839</v>
      </c>
      <c r="I405" s="14" t="s">
        <v>1865</v>
      </c>
      <c r="M405" s="14"/>
      <c r="N405" s="14" t="s">
        <v>84</v>
      </c>
      <c r="O405" s="14"/>
      <c r="P405" s="14" t="s">
        <v>84</v>
      </c>
      <c r="Q405" s="36"/>
      <c r="R405" s="36"/>
      <c r="S405" s="36"/>
      <c r="T405" s="36"/>
      <c r="V405" s="31"/>
    </row>
    <row r="406">
      <c r="A406" s="14" t="s">
        <v>117</v>
      </c>
      <c r="B406" s="14" t="s">
        <v>1952</v>
      </c>
      <c r="C406" s="14" t="s">
        <v>2122</v>
      </c>
      <c r="D406" s="14" t="s">
        <v>133</v>
      </c>
      <c r="E406" s="20" t="str">
        <f t="shared" si="2"/>
        <v>julio 2025</v>
      </c>
      <c r="F406" s="22">
        <v>45839.0</v>
      </c>
      <c r="G406" s="24">
        <f t="shared" ref="G406:H406" si="411">F406</f>
        <v>45839</v>
      </c>
      <c r="H406" s="26">
        <f t="shared" si="411"/>
        <v>45839</v>
      </c>
      <c r="I406" s="14" t="s">
        <v>1865</v>
      </c>
      <c r="M406" s="14"/>
      <c r="N406" s="14" t="s">
        <v>84</v>
      </c>
      <c r="O406" s="14"/>
      <c r="P406" s="14" t="s">
        <v>84</v>
      </c>
      <c r="Q406" s="36"/>
      <c r="R406" s="36"/>
      <c r="S406" s="36"/>
      <c r="T406" s="36"/>
      <c r="V406" s="31"/>
    </row>
    <row r="407">
      <c r="A407" s="14" t="s">
        <v>117</v>
      </c>
      <c r="B407" s="14" t="s">
        <v>1952</v>
      </c>
      <c r="C407" s="14" t="s">
        <v>2123</v>
      </c>
      <c r="D407" s="14" t="s">
        <v>133</v>
      </c>
      <c r="E407" s="20" t="str">
        <f t="shared" si="2"/>
        <v>julio 2025</v>
      </c>
      <c r="F407" s="22">
        <v>45839.0</v>
      </c>
      <c r="G407" s="24">
        <f t="shared" ref="G407:H407" si="412">F407</f>
        <v>45839</v>
      </c>
      <c r="H407" s="26">
        <f t="shared" si="412"/>
        <v>45839</v>
      </c>
      <c r="I407" s="14" t="s">
        <v>1865</v>
      </c>
      <c r="M407" s="14"/>
      <c r="N407" s="14" t="s">
        <v>84</v>
      </c>
      <c r="O407" s="14"/>
      <c r="P407" s="14" t="s">
        <v>84</v>
      </c>
      <c r="Q407" s="36"/>
      <c r="R407" s="36"/>
      <c r="S407" s="36"/>
      <c r="T407" s="36"/>
      <c r="V407" s="31"/>
    </row>
    <row r="408">
      <c r="A408" s="14" t="s">
        <v>208</v>
      </c>
      <c r="B408" s="37" t="s">
        <v>2124</v>
      </c>
      <c r="C408" s="14" t="s">
        <v>2125</v>
      </c>
      <c r="D408" s="14" t="s">
        <v>133</v>
      </c>
      <c r="E408" s="20" t="str">
        <f t="shared" si="2"/>
        <v>junio 2025</v>
      </c>
      <c r="F408" s="22">
        <v>45814.0</v>
      </c>
      <c r="G408" s="24">
        <f t="shared" ref="G408:H408" si="413">F408</f>
        <v>45814</v>
      </c>
      <c r="H408" s="26">
        <f t="shared" si="413"/>
        <v>45814</v>
      </c>
      <c r="I408" s="14" t="s">
        <v>1865</v>
      </c>
      <c r="J408" s="14" t="s">
        <v>2126</v>
      </c>
      <c r="K408" s="222">
        <v>7.0E8</v>
      </c>
      <c r="L408" s="205">
        <v>1.79</v>
      </c>
      <c r="M408" s="31"/>
      <c r="N408" s="14" t="s">
        <v>84</v>
      </c>
      <c r="O408" s="31"/>
      <c r="Q408" s="36"/>
      <c r="R408" s="36"/>
      <c r="S408" s="36"/>
      <c r="T408" s="36"/>
      <c r="V408" s="31"/>
    </row>
    <row r="409">
      <c r="A409" s="14" t="s">
        <v>208</v>
      </c>
      <c r="B409" s="37" t="s">
        <v>2127</v>
      </c>
      <c r="C409" s="14" t="s">
        <v>2128</v>
      </c>
      <c r="D409" s="14" t="s">
        <v>133</v>
      </c>
      <c r="E409" s="20" t="str">
        <f t="shared" si="2"/>
        <v>julio 2025</v>
      </c>
      <c r="F409" s="22">
        <v>45839.0</v>
      </c>
      <c r="G409" s="24">
        <f t="shared" ref="G409:H409" si="414">F409</f>
        <v>45839</v>
      </c>
      <c r="H409" s="26">
        <f t="shared" si="414"/>
        <v>45839</v>
      </c>
      <c r="I409" s="14" t="s">
        <v>1865</v>
      </c>
      <c r="J409" s="14" t="s">
        <v>2129</v>
      </c>
      <c r="K409" s="27">
        <v>4.0E8</v>
      </c>
      <c r="L409" s="29" t="s">
        <v>2130</v>
      </c>
      <c r="M409" s="31"/>
      <c r="N409" s="14" t="s">
        <v>133</v>
      </c>
      <c r="O409" s="31"/>
      <c r="Q409" s="36"/>
      <c r="R409" s="36"/>
      <c r="S409" s="36"/>
      <c r="T409" s="36"/>
      <c r="V409" s="31"/>
    </row>
    <row r="410">
      <c r="A410" s="14" t="s">
        <v>208</v>
      </c>
      <c r="B410" s="37" t="s">
        <v>2131</v>
      </c>
      <c r="C410" s="14" t="s">
        <v>2132</v>
      </c>
      <c r="D410" s="14" t="s">
        <v>40</v>
      </c>
      <c r="E410" s="20" t="str">
        <f t="shared" si="2"/>
        <v>julio 2025</v>
      </c>
      <c r="F410" s="22">
        <v>45842.0</v>
      </c>
      <c r="G410" s="24">
        <f t="shared" ref="G410:H410" si="415">F410</f>
        <v>45842</v>
      </c>
      <c r="H410" s="26">
        <f t="shared" si="415"/>
        <v>45842</v>
      </c>
      <c r="I410" s="14" t="s">
        <v>90</v>
      </c>
      <c r="K410" s="27">
        <v>4.0E7</v>
      </c>
      <c r="L410" s="29" t="s">
        <v>887</v>
      </c>
      <c r="M410" s="31"/>
      <c r="N410" s="31"/>
      <c r="O410" s="31"/>
      <c r="Q410" s="36"/>
      <c r="R410" s="36"/>
      <c r="S410" s="36"/>
      <c r="T410" s="36"/>
      <c r="V410" s="31"/>
    </row>
    <row r="411">
      <c r="A411" s="14" t="s">
        <v>208</v>
      </c>
      <c r="B411" s="37" t="s">
        <v>2137</v>
      </c>
      <c r="C411" s="14" t="s">
        <v>2138</v>
      </c>
      <c r="D411" s="14" t="s">
        <v>133</v>
      </c>
      <c r="E411" s="20" t="str">
        <f t="shared" si="2"/>
        <v>julio 2025</v>
      </c>
      <c r="F411" s="22">
        <v>45845.0</v>
      </c>
      <c r="G411" s="24">
        <f t="shared" ref="G411:H411" si="416">F411</f>
        <v>45845</v>
      </c>
      <c r="H411" s="26">
        <f t="shared" si="416"/>
        <v>45845</v>
      </c>
      <c r="I411" s="14" t="s">
        <v>1865</v>
      </c>
      <c r="J411" s="14" t="s">
        <v>1579</v>
      </c>
      <c r="K411" s="27">
        <v>1.0E9</v>
      </c>
      <c r="L411" s="29">
        <v>1.99</v>
      </c>
      <c r="M411" s="31"/>
      <c r="N411" s="14" t="s">
        <v>84</v>
      </c>
      <c r="O411" s="31"/>
      <c r="Q411" s="36"/>
      <c r="R411" s="36"/>
      <c r="S411" s="36"/>
      <c r="T411" s="36"/>
      <c r="V411" s="31"/>
    </row>
    <row r="412">
      <c r="A412" s="14" t="s">
        <v>208</v>
      </c>
      <c r="B412" s="37" t="s">
        <v>2149</v>
      </c>
      <c r="C412" s="14" t="s">
        <v>2150</v>
      </c>
      <c r="D412" s="14" t="s">
        <v>133</v>
      </c>
      <c r="E412" s="20" t="str">
        <f t="shared" si="2"/>
        <v>julio 2025</v>
      </c>
      <c r="F412" s="22">
        <v>45848.0</v>
      </c>
      <c r="G412" s="24">
        <f t="shared" ref="G412:H412" si="417">F412</f>
        <v>45848</v>
      </c>
      <c r="H412" s="26">
        <f t="shared" si="417"/>
        <v>45848</v>
      </c>
      <c r="I412" s="14" t="s">
        <v>1865</v>
      </c>
      <c r="J412" s="14" t="s">
        <v>2154</v>
      </c>
      <c r="K412" s="27">
        <v>4.0E8</v>
      </c>
      <c r="L412" s="29" t="s">
        <v>2155</v>
      </c>
      <c r="M412" s="31"/>
      <c r="N412" s="14" t="s">
        <v>84</v>
      </c>
      <c r="O412" s="31"/>
      <c r="Q412" s="36"/>
      <c r="R412" s="36"/>
      <c r="S412" s="36"/>
      <c r="T412" s="36"/>
      <c r="V412" s="31"/>
    </row>
    <row r="413">
      <c r="A413" s="14" t="s">
        <v>36</v>
      </c>
      <c r="B413" s="14" t="s">
        <v>2156</v>
      </c>
      <c r="C413" s="14" t="s">
        <v>2157</v>
      </c>
      <c r="D413" s="14" t="s">
        <v>40</v>
      </c>
      <c r="E413" s="20" t="str">
        <f t="shared" si="2"/>
        <v>julio 2025</v>
      </c>
      <c r="F413" s="22">
        <v>45853.0</v>
      </c>
      <c r="G413" s="24">
        <f t="shared" ref="G413:H413" si="418">F413</f>
        <v>45853</v>
      </c>
      <c r="H413" s="26">
        <f t="shared" si="418"/>
        <v>45853</v>
      </c>
      <c r="I413" s="14" t="s">
        <v>259</v>
      </c>
      <c r="J413" s="14" t="s">
        <v>2160</v>
      </c>
      <c r="K413" s="27">
        <v>3.0E8</v>
      </c>
      <c r="L413" s="29" t="s">
        <v>1153</v>
      </c>
      <c r="M413" s="14"/>
      <c r="N413" s="14"/>
      <c r="O413" s="14"/>
      <c r="P413" s="14" t="s">
        <v>84</v>
      </c>
      <c r="Q413" s="36"/>
      <c r="R413" s="36"/>
      <c r="S413" s="36"/>
      <c r="T413" s="36"/>
      <c r="V413" s="31"/>
    </row>
    <row r="414">
      <c r="A414" s="14" t="s">
        <v>36</v>
      </c>
      <c r="B414" s="14" t="s">
        <v>2162</v>
      </c>
      <c r="C414" s="14" t="s">
        <v>2163</v>
      </c>
      <c r="D414" s="14" t="s">
        <v>133</v>
      </c>
      <c r="E414" s="20" t="str">
        <f t="shared" si="2"/>
        <v>julio 2025</v>
      </c>
      <c r="F414" s="22">
        <v>45854.0</v>
      </c>
      <c r="G414" s="24">
        <f t="shared" ref="G414:H414" si="419">F414</f>
        <v>45854</v>
      </c>
      <c r="H414" s="26">
        <f t="shared" si="419"/>
        <v>45854</v>
      </c>
      <c r="I414" s="14" t="s">
        <v>1865</v>
      </c>
      <c r="J414" s="14" t="s">
        <v>1306</v>
      </c>
      <c r="K414" s="27">
        <v>9.0E8</v>
      </c>
      <c r="L414" s="29" t="s">
        <v>2164</v>
      </c>
      <c r="M414" s="14"/>
      <c r="N414" s="14"/>
      <c r="O414" s="14"/>
      <c r="P414" s="14" t="s">
        <v>84</v>
      </c>
      <c r="Q414" s="36"/>
      <c r="R414" s="36"/>
      <c r="S414" s="36"/>
      <c r="T414" s="36"/>
      <c r="V414" s="31"/>
    </row>
    <row r="415">
      <c r="A415" s="14" t="s">
        <v>736</v>
      </c>
      <c r="B415" s="14" t="s">
        <v>2166</v>
      </c>
      <c r="C415" s="14" t="s">
        <v>2167</v>
      </c>
      <c r="D415" s="14" t="s">
        <v>40</v>
      </c>
      <c r="E415" s="20" t="str">
        <f t="shared" si="2"/>
        <v>julio 2025</v>
      </c>
      <c r="F415" s="22">
        <v>45855.0</v>
      </c>
      <c r="G415" s="24">
        <f t="shared" ref="G415:H415" si="420">F415</f>
        <v>45855</v>
      </c>
      <c r="H415" s="26">
        <f t="shared" si="420"/>
        <v>45855</v>
      </c>
      <c r="I415" s="14" t="s">
        <v>90</v>
      </c>
      <c r="K415" s="27">
        <v>5000000.0</v>
      </c>
      <c r="L415" s="29" t="s">
        <v>1016</v>
      </c>
      <c r="M415" s="31"/>
      <c r="N415" s="31"/>
      <c r="O415" s="31"/>
      <c r="Q415" s="36"/>
      <c r="R415" s="36"/>
      <c r="S415" s="36"/>
      <c r="T415" s="36"/>
      <c r="V415" s="31"/>
    </row>
    <row r="416">
      <c r="A416" s="14" t="s">
        <v>736</v>
      </c>
      <c r="B416" s="14" t="s">
        <v>2171</v>
      </c>
      <c r="C416" s="14" t="s">
        <v>2172</v>
      </c>
      <c r="D416" s="14" t="s">
        <v>40</v>
      </c>
      <c r="E416" s="20" t="str">
        <f t="shared" si="2"/>
        <v>julio 2025</v>
      </c>
      <c r="F416" s="22">
        <v>45855.0</v>
      </c>
      <c r="G416" s="24">
        <f t="shared" ref="G416:H416" si="421">F416</f>
        <v>45855</v>
      </c>
      <c r="H416" s="26">
        <f t="shared" si="421"/>
        <v>45855</v>
      </c>
      <c r="I416" s="14" t="s">
        <v>259</v>
      </c>
      <c r="J416" s="14" t="s">
        <v>1709</v>
      </c>
      <c r="K416" s="27">
        <v>2.0E7</v>
      </c>
      <c r="L416" s="29" t="s">
        <v>1016</v>
      </c>
      <c r="M416" s="31"/>
      <c r="N416" s="31"/>
      <c r="O416" s="31"/>
      <c r="Q416" s="36"/>
      <c r="R416" s="36"/>
      <c r="S416" s="36"/>
      <c r="T416" s="36"/>
      <c r="V416" s="31"/>
    </row>
    <row r="417">
      <c r="A417" s="14" t="s">
        <v>736</v>
      </c>
      <c r="B417" s="31" t="s">
        <v>2173</v>
      </c>
      <c r="C417" s="14" t="s">
        <v>2174</v>
      </c>
      <c r="D417" s="14" t="s">
        <v>40</v>
      </c>
      <c r="E417" s="20" t="str">
        <f t="shared" si="2"/>
        <v>julio 2025</v>
      </c>
      <c r="F417" s="22">
        <v>45856.0</v>
      </c>
      <c r="G417" s="24">
        <f t="shared" ref="G417:H417" si="422">F417</f>
        <v>45856</v>
      </c>
      <c r="H417" s="26">
        <f t="shared" si="422"/>
        <v>45856</v>
      </c>
      <c r="I417" s="14" t="s">
        <v>90</v>
      </c>
      <c r="K417" s="27">
        <v>8.0E7</v>
      </c>
      <c r="L417" s="29" t="s">
        <v>1660</v>
      </c>
      <c r="M417" s="31"/>
      <c r="N417" s="31"/>
      <c r="O417" s="31"/>
      <c r="Q417" s="36"/>
      <c r="R417" s="36"/>
      <c r="S417" s="36"/>
      <c r="T417" s="36"/>
      <c r="V417" s="31"/>
    </row>
    <row r="418">
      <c r="A418" s="14" t="s">
        <v>1787</v>
      </c>
      <c r="B418" s="14" t="s">
        <v>2175</v>
      </c>
      <c r="C418" s="14" t="s">
        <v>2176</v>
      </c>
      <c r="D418" s="14" t="s">
        <v>40</v>
      </c>
      <c r="E418" s="20" t="str">
        <f t="shared" si="2"/>
        <v>julio 2025</v>
      </c>
      <c r="F418" s="22">
        <v>45860.0</v>
      </c>
      <c r="G418" s="24">
        <f t="shared" ref="G418:H418" si="423">F418</f>
        <v>45860</v>
      </c>
      <c r="H418" s="26">
        <f t="shared" si="423"/>
        <v>45860</v>
      </c>
      <c r="I418" s="14" t="s">
        <v>90</v>
      </c>
      <c r="K418" s="27">
        <v>1.0E7</v>
      </c>
      <c r="L418" s="29" t="s">
        <v>1203</v>
      </c>
      <c r="M418" s="31"/>
      <c r="N418" s="14" t="s">
        <v>84</v>
      </c>
      <c r="O418" s="31"/>
      <c r="Q418" s="36"/>
      <c r="R418" s="36"/>
      <c r="S418" s="36"/>
      <c r="T418" s="36"/>
      <c r="V418" s="31"/>
    </row>
    <row r="419">
      <c r="A419" s="14" t="s">
        <v>1012</v>
      </c>
      <c r="B419" s="14" t="s">
        <v>2179</v>
      </c>
      <c r="C419" s="14" t="s">
        <v>2180</v>
      </c>
      <c r="D419" s="14" t="s">
        <v>133</v>
      </c>
      <c r="E419" s="20" t="str">
        <f t="shared" si="2"/>
        <v>julio 2025</v>
      </c>
      <c r="F419" s="22">
        <v>45861.0</v>
      </c>
      <c r="G419" s="24">
        <f t="shared" ref="G419:H419" si="424">F419</f>
        <v>45861</v>
      </c>
      <c r="H419" s="26">
        <f t="shared" si="424"/>
        <v>45861</v>
      </c>
      <c r="I419" s="14" t="s">
        <v>1865</v>
      </c>
      <c r="J419" s="14" t="s">
        <v>2182</v>
      </c>
      <c r="K419" s="27">
        <v>4.0E8</v>
      </c>
      <c r="L419" s="29" t="s">
        <v>2185</v>
      </c>
      <c r="M419" s="14"/>
      <c r="N419" s="14"/>
      <c r="O419" s="14"/>
      <c r="P419" s="14" t="s">
        <v>75</v>
      </c>
      <c r="Q419" s="36"/>
      <c r="R419" s="36"/>
      <c r="S419" s="36"/>
      <c r="T419" s="36"/>
      <c r="V419" s="31"/>
    </row>
    <row r="420">
      <c r="A420" s="14" t="s">
        <v>1045</v>
      </c>
      <c r="B420" s="14" t="s">
        <v>2189</v>
      </c>
      <c r="C420" s="14" t="s">
        <v>2190</v>
      </c>
      <c r="D420" s="14" t="s">
        <v>133</v>
      </c>
      <c r="E420" s="20" t="str">
        <f t="shared" si="2"/>
        <v>julio 2025</v>
      </c>
      <c r="F420" s="22">
        <v>45868.0</v>
      </c>
      <c r="G420" s="24">
        <f t="shared" ref="G420:H420" si="425">F420</f>
        <v>45868</v>
      </c>
      <c r="H420" s="26">
        <f t="shared" si="425"/>
        <v>45868</v>
      </c>
      <c r="I420" s="14" t="s">
        <v>1865</v>
      </c>
      <c r="J420" s="14" t="s">
        <v>2196</v>
      </c>
      <c r="K420" s="27">
        <v>3.0E8</v>
      </c>
      <c r="L420" s="29" t="s">
        <v>2197</v>
      </c>
      <c r="M420" s="14"/>
      <c r="N420" s="14"/>
      <c r="O420" s="14"/>
      <c r="P420" s="14" t="s">
        <v>84</v>
      </c>
      <c r="Q420" s="36"/>
      <c r="R420" s="36"/>
      <c r="S420" s="36"/>
      <c r="T420" s="36"/>
      <c r="V420" s="31"/>
    </row>
    <row r="421">
      <c r="A421" s="14" t="s">
        <v>736</v>
      </c>
      <c r="B421" s="14" t="s">
        <v>2202</v>
      </c>
      <c r="C421" s="14" t="s">
        <v>2203</v>
      </c>
      <c r="D421" s="14" t="s">
        <v>40</v>
      </c>
      <c r="E421" s="20" t="str">
        <f t="shared" si="2"/>
        <v>julio 2025</v>
      </c>
      <c r="F421" s="22">
        <v>45868.0</v>
      </c>
      <c r="G421" s="24">
        <f t="shared" ref="G421:H421" si="426">F421</f>
        <v>45868</v>
      </c>
      <c r="H421" s="26">
        <f t="shared" si="426"/>
        <v>45868</v>
      </c>
      <c r="I421" s="14" t="s">
        <v>90</v>
      </c>
      <c r="K421" s="27">
        <v>1.0E7</v>
      </c>
      <c r="L421" s="29" t="s">
        <v>1016</v>
      </c>
      <c r="M421" s="31"/>
      <c r="N421" s="31"/>
      <c r="O421" s="31"/>
      <c r="Q421" s="36"/>
      <c r="R421" s="36"/>
      <c r="S421" s="36"/>
      <c r="T421" s="36"/>
      <c r="V421" s="31"/>
    </row>
    <row r="422">
      <c r="A422" s="14" t="s">
        <v>1787</v>
      </c>
      <c r="B422" s="14" t="s">
        <v>2204</v>
      </c>
      <c r="C422" s="14" t="s">
        <v>2205</v>
      </c>
      <c r="D422" s="14" t="s">
        <v>40</v>
      </c>
      <c r="E422" s="20" t="str">
        <f t="shared" si="2"/>
        <v>agosto 2025</v>
      </c>
      <c r="F422" s="22">
        <v>45870.0</v>
      </c>
      <c r="G422" s="24">
        <f t="shared" ref="G422:H422" si="427">F422</f>
        <v>45870</v>
      </c>
      <c r="H422" s="26">
        <f t="shared" si="427"/>
        <v>45870</v>
      </c>
      <c r="I422" s="14" t="s">
        <v>90</v>
      </c>
      <c r="K422" s="27">
        <v>6.0E8</v>
      </c>
      <c r="L422" s="29" t="s">
        <v>1660</v>
      </c>
      <c r="M422" s="14"/>
      <c r="N422" s="14" t="s">
        <v>84</v>
      </c>
      <c r="O422" s="14"/>
      <c r="P422" s="14" t="s">
        <v>84</v>
      </c>
      <c r="Q422" s="36"/>
      <c r="R422" s="36"/>
      <c r="S422" s="36"/>
      <c r="T422" s="36"/>
      <c r="V422" s="31"/>
    </row>
    <row r="423">
      <c r="A423" s="14" t="s">
        <v>1787</v>
      </c>
      <c r="B423" s="14" t="s">
        <v>2206</v>
      </c>
      <c r="C423" s="14" t="s">
        <v>2207</v>
      </c>
      <c r="D423" s="14" t="s">
        <v>40</v>
      </c>
      <c r="E423" s="20" t="str">
        <f t="shared" si="2"/>
        <v>agosto 2025</v>
      </c>
      <c r="F423" s="22">
        <v>45873.0</v>
      </c>
      <c r="G423" s="24">
        <f t="shared" ref="G423:H423" si="428">F423</f>
        <v>45873</v>
      </c>
      <c r="H423" s="26">
        <f t="shared" si="428"/>
        <v>45873</v>
      </c>
      <c r="I423" s="14" t="s">
        <v>90</v>
      </c>
      <c r="K423" s="27">
        <v>6.0E7</v>
      </c>
      <c r="L423" s="29" t="s">
        <v>1210</v>
      </c>
      <c r="M423" s="31"/>
      <c r="N423" s="14" t="s">
        <v>84</v>
      </c>
      <c r="O423" s="31"/>
      <c r="Q423" s="36"/>
      <c r="R423" s="36"/>
      <c r="S423" s="36"/>
      <c r="T423" s="36"/>
      <c r="V423" s="31"/>
    </row>
    <row r="424">
      <c r="A424" s="14" t="s">
        <v>36</v>
      </c>
      <c r="B424" s="14" t="s">
        <v>2156</v>
      </c>
      <c r="C424" s="14" t="s">
        <v>2157</v>
      </c>
      <c r="D424" s="14" t="s">
        <v>40</v>
      </c>
      <c r="E424" s="20" t="str">
        <f t="shared" si="2"/>
        <v>agosto 2025</v>
      </c>
      <c r="F424" s="22">
        <v>45873.0</v>
      </c>
      <c r="G424" s="24">
        <f t="shared" ref="G424:H424" si="429">F424</f>
        <v>45873</v>
      </c>
      <c r="H424" s="26">
        <f t="shared" si="429"/>
        <v>45873</v>
      </c>
      <c r="I424" s="14" t="s">
        <v>1596</v>
      </c>
      <c r="K424" s="27">
        <v>1.7E8</v>
      </c>
      <c r="L424" s="62">
        <v>0.018</v>
      </c>
      <c r="M424" s="31"/>
      <c r="N424" s="31"/>
      <c r="O424" s="31"/>
      <c r="Q424" s="36"/>
      <c r="R424" s="36"/>
      <c r="S424" s="36"/>
      <c r="T424" s="36"/>
      <c r="V424" s="31"/>
    </row>
    <row r="425">
      <c r="A425" s="14" t="s">
        <v>736</v>
      </c>
      <c r="B425" s="37" t="s">
        <v>2208</v>
      </c>
      <c r="C425" s="254" t="s">
        <v>2209</v>
      </c>
      <c r="D425" s="14" t="s">
        <v>40</v>
      </c>
      <c r="E425" s="20" t="str">
        <f t="shared" si="2"/>
        <v>julio 2025</v>
      </c>
      <c r="F425" s="22">
        <v>45867.0</v>
      </c>
      <c r="G425" s="24">
        <f t="shared" ref="G425:H425" si="430">F425</f>
        <v>45867</v>
      </c>
      <c r="H425" s="26">
        <f t="shared" si="430"/>
        <v>45867</v>
      </c>
      <c r="I425" s="14" t="s">
        <v>90</v>
      </c>
      <c r="K425" s="222">
        <v>8.0E8</v>
      </c>
      <c r="L425" s="255" t="s">
        <v>2210</v>
      </c>
      <c r="M425" s="256"/>
      <c r="N425" s="256" t="s">
        <v>84</v>
      </c>
      <c r="O425" s="256"/>
      <c r="P425" s="256" t="s">
        <v>84</v>
      </c>
      <c r="Q425" s="36"/>
      <c r="R425" s="36"/>
      <c r="S425" s="36"/>
      <c r="T425" s="36"/>
      <c r="V425" s="31"/>
    </row>
    <row r="426">
      <c r="A426" s="14" t="s">
        <v>736</v>
      </c>
      <c r="B426" s="37" t="s">
        <v>2208</v>
      </c>
      <c r="C426" s="254" t="s">
        <v>2211</v>
      </c>
      <c r="D426" s="14" t="s">
        <v>40</v>
      </c>
      <c r="E426" s="20" t="str">
        <f t="shared" si="2"/>
        <v>agosto 2025</v>
      </c>
      <c r="F426" s="22">
        <v>45870.0</v>
      </c>
      <c r="G426" s="24">
        <f t="shared" ref="G426:H426" si="431">F426</f>
        <v>45870</v>
      </c>
      <c r="H426" s="26">
        <f t="shared" si="431"/>
        <v>45870</v>
      </c>
      <c r="I426" s="14" t="s">
        <v>90</v>
      </c>
      <c r="M426" s="256"/>
      <c r="N426" s="256" t="s">
        <v>84</v>
      </c>
      <c r="O426" s="256"/>
      <c r="Q426" s="36"/>
      <c r="R426" s="36"/>
      <c r="S426" s="36"/>
      <c r="T426" s="36"/>
      <c r="V426" s="31"/>
    </row>
    <row r="427">
      <c r="A427" s="14" t="s">
        <v>736</v>
      </c>
      <c r="B427" s="37" t="s">
        <v>2208</v>
      </c>
      <c r="C427" s="254" t="s">
        <v>2212</v>
      </c>
      <c r="D427" s="14" t="s">
        <v>40</v>
      </c>
      <c r="E427" s="20" t="str">
        <f t="shared" si="2"/>
        <v>agosto 2025</v>
      </c>
      <c r="F427" s="22">
        <v>45870.0</v>
      </c>
      <c r="G427" s="24">
        <f t="shared" ref="G427:H427" si="432">F427</f>
        <v>45870</v>
      </c>
      <c r="H427" s="26">
        <f t="shared" si="432"/>
        <v>45870</v>
      </c>
      <c r="I427" s="14" t="s">
        <v>90</v>
      </c>
      <c r="M427" s="256"/>
      <c r="N427" s="256" t="s">
        <v>84</v>
      </c>
      <c r="O427" s="256"/>
      <c r="Q427" s="36"/>
      <c r="R427" s="36"/>
      <c r="S427" s="36"/>
      <c r="T427" s="36"/>
      <c r="V427" s="31"/>
    </row>
    <row r="428">
      <c r="A428" s="14" t="s">
        <v>736</v>
      </c>
      <c r="B428" s="37" t="s">
        <v>2208</v>
      </c>
      <c r="C428" s="254" t="s">
        <v>2213</v>
      </c>
      <c r="D428" s="14" t="s">
        <v>40</v>
      </c>
      <c r="E428" s="20" t="str">
        <f t="shared" si="2"/>
        <v>agosto 2025</v>
      </c>
      <c r="F428" s="22">
        <v>45870.0</v>
      </c>
      <c r="G428" s="24">
        <f t="shared" ref="G428:H428" si="433">F428</f>
        <v>45870</v>
      </c>
      <c r="H428" s="26">
        <f t="shared" si="433"/>
        <v>45870</v>
      </c>
      <c r="I428" s="14" t="s">
        <v>90</v>
      </c>
      <c r="M428" s="256"/>
      <c r="N428" s="256" t="s">
        <v>84</v>
      </c>
      <c r="O428" s="256"/>
      <c r="Q428" s="36"/>
      <c r="R428" s="36"/>
      <c r="S428" s="36"/>
      <c r="T428" s="36"/>
      <c r="V428" s="31"/>
    </row>
    <row r="429">
      <c r="A429" s="14" t="s">
        <v>736</v>
      </c>
      <c r="B429" s="37" t="s">
        <v>2208</v>
      </c>
      <c r="C429" s="254" t="s">
        <v>2214</v>
      </c>
      <c r="D429" s="14" t="s">
        <v>40</v>
      </c>
      <c r="E429" s="20" t="str">
        <f t="shared" si="2"/>
        <v>agosto 2025</v>
      </c>
      <c r="F429" s="22">
        <v>45870.0</v>
      </c>
      <c r="G429" s="24">
        <f t="shared" ref="G429:H429" si="434">F429</f>
        <v>45870</v>
      </c>
      <c r="H429" s="26">
        <f t="shared" si="434"/>
        <v>45870</v>
      </c>
      <c r="I429" s="14" t="s">
        <v>90</v>
      </c>
      <c r="M429" s="256"/>
      <c r="N429" s="256" t="s">
        <v>84</v>
      </c>
      <c r="O429" s="256"/>
      <c r="Q429" s="36"/>
      <c r="R429" s="36"/>
      <c r="S429" s="36"/>
      <c r="T429" s="36"/>
      <c r="V429" s="31"/>
    </row>
    <row r="430">
      <c r="A430" s="14" t="s">
        <v>736</v>
      </c>
      <c r="B430" s="37" t="s">
        <v>2208</v>
      </c>
      <c r="C430" s="254" t="s">
        <v>2219</v>
      </c>
      <c r="D430" s="14" t="s">
        <v>40</v>
      </c>
      <c r="E430" s="20" t="str">
        <f t="shared" si="2"/>
        <v>agosto 2025</v>
      </c>
      <c r="F430" s="22">
        <v>45870.0</v>
      </c>
      <c r="G430" s="24">
        <f t="shared" ref="G430:H430" si="435">F430</f>
        <v>45870</v>
      </c>
      <c r="H430" s="26">
        <f t="shared" si="435"/>
        <v>45870</v>
      </c>
      <c r="I430" s="14" t="s">
        <v>90</v>
      </c>
      <c r="M430" s="256"/>
      <c r="N430" s="256" t="s">
        <v>84</v>
      </c>
      <c r="O430" s="256"/>
      <c r="Q430" s="36"/>
      <c r="R430" s="36"/>
      <c r="S430" s="36"/>
      <c r="T430" s="36"/>
      <c r="V430" s="31"/>
    </row>
    <row r="431">
      <c r="A431" s="14" t="s">
        <v>736</v>
      </c>
      <c r="B431" s="37" t="s">
        <v>2208</v>
      </c>
      <c r="C431" s="254" t="s">
        <v>2230</v>
      </c>
      <c r="D431" s="14" t="s">
        <v>40</v>
      </c>
      <c r="E431" s="20" t="str">
        <f t="shared" si="2"/>
        <v>agosto 2025</v>
      </c>
      <c r="F431" s="22">
        <v>45870.0</v>
      </c>
      <c r="G431" s="24">
        <f t="shared" ref="G431:H431" si="436">F431</f>
        <v>45870</v>
      </c>
      <c r="H431" s="26">
        <f t="shared" si="436"/>
        <v>45870</v>
      </c>
      <c r="I431" s="14" t="s">
        <v>90</v>
      </c>
      <c r="M431" s="256"/>
      <c r="N431" s="256" t="s">
        <v>84</v>
      </c>
      <c r="O431" s="256"/>
      <c r="Q431" s="36"/>
      <c r="R431" s="36"/>
      <c r="S431" s="36"/>
      <c r="T431" s="36"/>
      <c r="V431" s="31"/>
    </row>
    <row r="432">
      <c r="A432" s="14" t="s">
        <v>736</v>
      </c>
      <c r="B432" s="37" t="s">
        <v>2208</v>
      </c>
      <c r="C432" s="254" t="s">
        <v>2237</v>
      </c>
      <c r="D432" s="14" t="s">
        <v>40</v>
      </c>
      <c r="E432" s="20" t="str">
        <f t="shared" si="2"/>
        <v>agosto 2025</v>
      </c>
      <c r="F432" s="22">
        <v>45870.0</v>
      </c>
      <c r="G432" s="24">
        <f t="shared" ref="G432:H432" si="437">F432</f>
        <v>45870</v>
      </c>
      <c r="H432" s="26">
        <f t="shared" si="437"/>
        <v>45870</v>
      </c>
      <c r="I432" s="14" t="s">
        <v>90</v>
      </c>
      <c r="M432" s="256"/>
      <c r="N432" s="256" t="s">
        <v>84</v>
      </c>
      <c r="O432" s="256"/>
      <c r="Q432" s="36"/>
      <c r="R432" s="36"/>
      <c r="S432" s="36"/>
      <c r="T432" s="36"/>
      <c r="V432" s="31"/>
    </row>
    <row r="433">
      <c r="A433" s="14" t="s">
        <v>736</v>
      </c>
      <c r="B433" s="37" t="s">
        <v>2208</v>
      </c>
      <c r="C433" s="254" t="s">
        <v>2246</v>
      </c>
      <c r="D433" s="14" t="s">
        <v>40</v>
      </c>
      <c r="E433" s="20" t="str">
        <f t="shared" si="2"/>
        <v>agosto 2025</v>
      </c>
      <c r="F433" s="22">
        <v>45870.0</v>
      </c>
      <c r="G433" s="24">
        <f t="shared" ref="G433:H433" si="438">F433</f>
        <v>45870</v>
      </c>
      <c r="H433" s="26">
        <f t="shared" si="438"/>
        <v>45870</v>
      </c>
      <c r="I433" s="14" t="s">
        <v>90</v>
      </c>
      <c r="M433" s="256"/>
      <c r="N433" s="256" t="s">
        <v>84</v>
      </c>
      <c r="O433" s="256"/>
      <c r="Q433" s="36"/>
      <c r="R433" s="36"/>
      <c r="S433" s="36"/>
      <c r="T433" s="36"/>
      <c r="V433" s="31"/>
    </row>
    <row r="434">
      <c r="A434" s="14" t="s">
        <v>736</v>
      </c>
      <c r="B434" s="37" t="s">
        <v>2208</v>
      </c>
      <c r="C434" s="254" t="s">
        <v>2252</v>
      </c>
      <c r="D434" s="14" t="s">
        <v>40</v>
      </c>
      <c r="E434" s="20" t="str">
        <f t="shared" si="2"/>
        <v>agosto 2025</v>
      </c>
      <c r="F434" s="22">
        <v>45870.0</v>
      </c>
      <c r="G434" s="24">
        <f t="shared" ref="G434:H434" si="439">F434</f>
        <v>45870</v>
      </c>
      <c r="H434" s="26">
        <f t="shared" si="439"/>
        <v>45870</v>
      </c>
      <c r="I434" s="14" t="s">
        <v>90</v>
      </c>
      <c r="M434" s="256"/>
      <c r="N434" s="256" t="s">
        <v>84</v>
      </c>
      <c r="O434" s="256"/>
      <c r="Q434" s="36"/>
      <c r="R434" s="36"/>
      <c r="S434" s="36"/>
      <c r="T434" s="36"/>
      <c r="V434" s="31"/>
    </row>
    <row r="435">
      <c r="A435" s="14" t="s">
        <v>736</v>
      </c>
      <c r="B435" s="37" t="s">
        <v>2208</v>
      </c>
      <c r="C435" s="254" t="s">
        <v>2259</v>
      </c>
      <c r="D435" s="14" t="s">
        <v>40</v>
      </c>
      <c r="E435" s="20" t="str">
        <f t="shared" si="2"/>
        <v>agosto 2025</v>
      </c>
      <c r="F435" s="22">
        <v>45870.0</v>
      </c>
      <c r="G435" s="24">
        <f t="shared" ref="G435:H435" si="440">F435</f>
        <v>45870</v>
      </c>
      <c r="H435" s="26">
        <f t="shared" si="440"/>
        <v>45870</v>
      </c>
      <c r="I435" s="14" t="s">
        <v>90</v>
      </c>
      <c r="M435" s="256"/>
      <c r="N435" s="256" t="s">
        <v>84</v>
      </c>
      <c r="O435" s="256"/>
      <c r="Q435" s="36"/>
      <c r="R435" s="36"/>
      <c r="S435" s="36"/>
      <c r="T435" s="36"/>
      <c r="V435" s="31"/>
    </row>
    <row r="436">
      <c r="A436" s="14" t="s">
        <v>736</v>
      </c>
      <c r="B436" s="37" t="s">
        <v>2208</v>
      </c>
      <c r="C436" s="254" t="s">
        <v>2273</v>
      </c>
      <c r="D436" s="14" t="s">
        <v>40</v>
      </c>
      <c r="E436" s="20" t="str">
        <f t="shared" si="2"/>
        <v>agosto 2025</v>
      </c>
      <c r="F436" s="22">
        <v>45870.0</v>
      </c>
      <c r="G436" s="24">
        <f t="shared" ref="G436:H436" si="441">F436</f>
        <v>45870</v>
      </c>
      <c r="H436" s="26">
        <f t="shared" si="441"/>
        <v>45870</v>
      </c>
      <c r="I436" s="14" t="s">
        <v>90</v>
      </c>
      <c r="M436" s="256"/>
      <c r="N436" s="256" t="s">
        <v>84</v>
      </c>
      <c r="O436" s="256"/>
      <c r="Q436" s="36"/>
      <c r="R436" s="36"/>
      <c r="S436" s="36"/>
      <c r="T436" s="36"/>
      <c r="V436" s="31"/>
    </row>
    <row r="437">
      <c r="A437" s="14" t="s">
        <v>736</v>
      </c>
      <c r="B437" s="37" t="s">
        <v>2208</v>
      </c>
      <c r="C437" s="254" t="s">
        <v>2281</v>
      </c>
      <c r="D437" s="14" t="s">
        <v>40</v>
      </c>
      <c r="E437" s="20" t="str">
        <f t="shared" si="2"/>
        <v>agosto 2025</v>
      </c>
      <c r="F437" s="22">
        <v>45870.0</v>
      </c>
      <c r="G437" s="24">
        <f t="shared" ref="G437:H437" si="442">F437</f>
        <v>45870</v>
      </c>
      <c r="H437" s="26">
        <f t="shared" si="442"/>
        <v>45870</v>
      </c>
      <c r="I437" s="14" t="s">
        <v>90</v>
      </c>
      <c r="M437" s="256"/>
      <c r="N437" s="256" t="s">
        <v>84</v>
      </c>
      <c r="O437" s="256"/>
      <c r="Q437" s="36"/>
      <c r="R437" s="36"/>
      <c r="S437" s="36"/>
      <c r="T437" s="36"/>
      <c r="V437" s="31"/>
    </row>
    <row r="438">
      <c r="A438" s="14" t="s">
        <v>736</v>
      </c>
      <c r="B438" s="37" t="s">
        <v>2208</v>
      </c>
      <c r="C438" s="254" t="s">
        <v>2290</v>
      </c>
      <c r="D438" s="14" t="s">
        <v>40</v>
      </c>
      <c r="E438" s="20" t="str">
        <f t="shared" si="2"/>
        <v>agosto 2025</v>
      </c>
      <c r="F438" s="22">
        <v>45870.0</v>
      </c>
      <c r="G438" s="24">
        <f t="shared" ref="G438:H438" si="443">F438</f>
        <v>45870</v>
      </c>
      <c r="H438" s="26">
        <f t="shared" si="443"/>
        <v>45870</v>
      </c>
      <c r="I438" s="14" t="s">
        <v>90</v>
      </c>
      <c r="M438" s="256"/>
      <c r="N438" s="256" t="s">
        <v>84</v>
      </c>
      <c r="O438" s="256"/>
      <c r="Q438" s="36"/>
      <c r="R438" s="36"/>
      <c r="S438" s="36"/>
      <c r="T438" s="36"/>
      <c r="V438" s="31"/>
    </row>
    <row r="439">
      <c r="A439" s="14" t="s">
        <v>736</v>
      </c>
      <c r="B439" s="37" t="s">
        <v>2208</v>
      </c>
      <c r="C439" s="254" t="s">
        <v>2306</v>
      </c>
      <c r="D439" s="14" t="s">
        <v>40</v>
      </c>
      <c r="E439" s="20" t="str">
        <f t="shared" si="2"/>
        <v>agosto 2025</v>
      </c>
      <c r="F439" s="22">
        <v>45882.0</v>
      </c>
      <c r="G439" s="24">
        <f t="shared" ref="G439:H439" si="444">F439</f>
        <v>45882</v>
      </c>
      <c r="H439" s="26">
        <f t="shared" si="444"/>
        <v>45882</v>
      </c>
      <c r="I439" s="14" t="s">
        <v>90</v>
      </c>
      <c r="M439" s="256"/>
      <c r="N439" s="256" t="s">
        <v>84</v>
      </c>
      <c r="O439" s="256"/>
      <c r="Q439" s="36"/>
      <c r="R439" s="36"/>
      <c r="S439" s="36"/>
      <c r="T439" s="36"/>
      <c r="V439" s="31"/>
    </row>
    <row r="440">
      <c r="A440" s="14" t="s">
        <v>736</v>
      </c>
      <c r="B440" s="37" t="s">
        <v>2208</v>
      </c>
      <c r="C440" s="254" t="s">
        <v>2317</v>
      </c>
      <c r="D440" s="14" t="s">
        <v>40</v>
      </c>
      <c r="E440" s="20" t="str">
        <f t="shared" si="2"/>
        <v>agosto 2025</v>
      </c>
      <c r="F440" s="22">
        <v>45870.0</v>
      </c>
      <c r="G440" s="24">
        <f t="shared" ref="G440:H440" si="445">F440</f>
        <v>45870</v>
      </c>
      <c r="H440" s="26">
        <f t="shared" si="445"/>
        <v>45870</v>
      </c>
      <c r="I440" s="14" t="s">
        <v>90</v>
      </c>
      <c r="M440" s="256"/>
      <c r="N440" s="256" t="s">
        <v>84</v>
      </c>
      <c r="O440" s="256"/>
      <c r="Q440" s="36"/>
      <c r="R440" s="36"/>
      <c r="S440" s="36"/>
      <c r="T440" s="36"/>
      <c r="V440" s="31"/>
    </row>
    <row r="441">
      <c r="A441" s="14" t="s">
        <v>736</v>
      </c>
      <c r="B441" s="37" t="s">
        <v>2208</v>
      </c>
      <c r="C441" s="254" t="s">
        <v>2326</v>
      </c>
      <c r="D441" s="14" t="s">
        <v>40</v>
      </c>
      <c r="E441" s="20" t="str">
        <f t="shared" si="2"/>
        <v>agosto 2025</v>
      </c>
      <c r="F441" s="22">
        <v>45870.0</v>
      </c>
      <c r="G441" s="24">
        <f t="shared" ref="G441:H441" si="446">F441</f>
        <v>45870</v>
      </c>
      <c r="H441" s="26">
        <f t="shared" si="446"/>
        <v>45870</v>
      </c>
      <c r="I441" s="14" t="s">
        <v>90</v>
      </c>
      <c r="M441" s="256"/>
      <c r="N441" s="256" t="s">
        <v>84</v>
      </c>
      <c r="O441" s="256"/>
      <c r="Q441" s="36"/>
      <c r="R441" s="36"/>
      <c r="S441" s="36"/>
      <c r="T441" s="36"/>
      <c r="V441" s="31"/>
    </row>
    <row r="442">
      <c r="A442" s="14" t="s">
        <v>736</v>
      </c>
      <c r="B442" s="37" t="s">
        <v>2208</v>
      </c>
      <c r="C442" s="254" t="s">
        <v>2340</v>
      </c>
      <c r="D442" s="14" t="s">
        <v>40</v>
      </c>
      <c r="E442" s="20" t="str">
        <f t="shared" si="2"/>
        <v>agosto 2025</v>
      </c>
      <c r="F442" s="22">
        <v>45870.0</v>
      </c>
      <c r="G442" s="24">
        <f t="shared" ref="G442:H442" si="447">F442</f>
        <v>45870</v>
      </c>
      <c r="H442" s="26">
        <f t="shared" si="447"/>
        <v>45870</v>
      </c>
      <c r="I442" s="14" t="s">
        <v>90</v>
      </c>
      <c r="M442" s="256"/>
      <c r="N442" s="256" t="s">
        <v>84</v>
      </c>
      <c r="O442" s="256"/>
      <c r="Q442" s="36"/>
      <c r="R442" s="36"/>
      <c r="S442" s="36"/>
      <c r="T442" s="36"/>
      <c r="V442" s="31"/>
    </row>
    <row r="443">
      <c r="A443" s="14" t="s">
        <v>736</v>
      </c>
      <c r="B443" s="37" t="s">
        <v>2208</v>
      </c>
      <c r="C443" s="254" t="s">
        <v>2349</v>
      </c>
      <c r="D443" s="14" t="s">
        <v>40</v>
      </c>
      <c r="E443" s="20" t="str">
        <f t="shared" si="2"/>
        <v>agosto 2025</v>
      </c>
      <c r="F443" s="22">
        <v>45870.0</v>
      </c>
      <c r="G443" s="24">
        <f t="shared" ref="G443:H443" si="448">F443</f>
        <v>45870</v>
      </c>
      <c r="H443" s="26">
        <f t="shared" si="448"/>
        <v>45870</v>
      </c>
      <c r="I443" s="14" t="s">
        <v>90</v>
      </c>
      <c r="M443" s="256"/>
      <c r="N443" s="256" t="s">
        <v>84</v>
      </c>
      <c r="O443" s="256"/>
      <c r="Q443" s="36"/>
      <c r="R443" s="36"/>
      <c r="S443" s="36"/>
      <c r="T443" s="36"/>
      <c r="V443" s="31"/>
    </row>
    <row r="444">
      <c r="A444" s="14" t="s">
        <v>736</v>
      </c>
      <c r="B444" s="37" t="s">
        <v>2208</v>
      </c>
      <c r="C444" s="254" t="s">
        <v>2360</v>
      </c>
      <c r="D444" s="14" t="s">
        <v>40</v>
      </c>
      <c r="E444" s="20" t="str">
        <f t="shared" si="2"/>
        <v>agosto 2025</v>
      </c>
      <c r="F444" s="22">
        <v>45870.0</v>
      </c>
      <c r="G444" s="24">
        <f t="shared" ref="G444:H444" si="449">F444</f>
        <v>45870</v>
      </c>
      <c r="H444" s="26">
        <f t="shared" si="449"/>
        <v>45870</v>
      </c>
      <c r="I444" s="14" t="s">
        <v>90</v>
      </c>
      <c r="M444" s="256"/>
      <c r="N444" s="256" t="s">
        <v>84</v>
      </c>
      <c r="O444" s="256"/>
      <c r="Q444" s="36"/>
      <c r="R444" s="36"/>
      <c r="S444" s="36"/>
      <c r="T444" s="36"/>
      <c r="V444" s="31"/>
    </row>
    <row r="445">
      <c r="A445" s="14" t="s">
        <v>736</v>
      </c>
      <c r="B445" s="37" t="s">
        <v>2208</v>
      </c>
      <c r="C445" s="254" t="s">
        <v>2367</v>
      </c>
      <c r="D445" s="14" t="s">
        <v>40</v>
      </c>
      <c r="E445" s="20" t="str">
        <f t="shared" si="2"/>
        <v>agosto 2025</v>
      </c>
      <c r="F445" s="22">
        <v>45870.0</v>
      </c>
      <c r="G445" s="24">
        <f t="shared" ref="G445:H445" si="450">F445</f>
        <v>45870</v>
      </c>
      <c r="H445" s="26">
        <f t="shared" si="450"/>
        <v>45870</v>
      </c>
      <c r="I445" s="14" t="s">
        <v>90</v>
      </c>
      <c r="M445" s="256"/>
      <c r="N445" s="256" t="s">
        <v>84</v>
      </c>
      <c r="O445" s="256"/>
      <c r="Q445" s="36"/>
      <c r="R445" s="36"/>
      <c r="S445" s="36"/>
      <c r="T445" s="36"/>
      <c r="V445" s="31"/>
    </row>
    <row r="446">
      <c r="A446" s="14" t="s">
        <v>736</v>
      </c>
      <c r="B446" s="37" t="s">
        <v>2208</v>
      </c>
      <c r="C446" s="254" t="s">
        <v>2372</v>
      </c>
      <c r="D446" s="14" t="s">
        <v>40</v>
      </c>
      <c r="E446" s="20" t="str">
        <f t="shared" si="2"/>
        <v>agosto 2025</v>
      </c>
      <c r="F446" s="22">
        <v>45873.0</v>
      </c>
      <c r="G446" s="24">
        <f t="shared" ref="G446:H446" si="451">F446</f>
        <v>45873</v>
      </c>
      <c r="H446" s="26">
        <f t="shared" si="451"/>
        <v>45873</v>
      </c>
      <c r="I446" s="14" t="s">
        <v>90</v>
      </c>
      <c r="M446" s="256"/>
      <c r="N446" s="256" t="s">
        <v>84</v>
      </c>
      <c r="O446" s="256"/>
      <c r="Q446" s="36"/>
      <c r="R446" s="36"/>
      <c r="S446" s="36"/>
      <c r="T446" s="36"/>
      <c r="V446" s="31"/>
    </row>
    <row r="447">
      <c r="A447" s="14" t="s">
        <v>736</v>
      </c>
      <c r="B447" s="14" t="s">
        <v>2381</v>
      </c>
      <c r="C447" s="279" t="s">
        <v>2383</v>
      </c>
      <c r="D447" s="14" t="s">
        <v>40</v>
      </c>
      <c r="E447" s="20" t="str">
        <f t="shared" si="2"/>
        <v>agosto 2025</v>
      </c>
      <c r="F447" s="22">
        <v>45870.0</v>
      </c>
      <c r="G447" s="24">
        <f t="shared" ref="G447:H447" si="452">F447</f>
        <v>45870</v>
      </c>
      <c r="H447" s="26">
        <f t="shared" si="452"/>
        <v>45870</v>
      </c>
      <c r="I447" s="14" t="s">
        <v>90</v>
      </c>
      <c r="K447" s="27">
        <v>6.0E7</v>
      </c>
      <c r="L447" s="29" t="s">
        <v>1660</v>
      </c>
      <c r="M447" s="31"/>
      <c r="N447" s="31"/>
      <c r="O447" s="31"/>
      <c r="Q447" s="36"/>
      <c r="R447" s="36"/>
      <c r="S447" s="36"/>
      <c r="T447" s="36"/>
      <c r="V447" s="31"/>
    </row>
    <row r="448">
      <c r="A448" s="14" t="s">
        <v>736</v>
      </c>
      <c r="B448" s="14" t="s">
        <v>1866</v>
      </c>
      <c r="C448" s="279" t="s">
        <v>2385</v>
      </c>
      <c r="D448" s="14" t="s">
        <v>40</v>
      </c>
      <c r="E448" s="20" t="str">
        <f t="shared" si="2"/>
        <v>agosto 2025</v>
      </c>
      <c r="F448" s="22">
        <v>45890.0</v>
      </c>
      <c r="G448" s="24">
        <f t="shared" ref="G448:H448" si="453">F448</f>
        <v>45890</v>
      </c>
      <c r="H448" s="26">
        <f t="shared" si="453"/>
        <v>45890</v>
      </c>
      <c r="I448" s="14" t="s">
        <v>90</v>
      </c>
      <c r="K448" s="27"/>
      <c r="L448" s="29" t="s">
        <v>1203</v>
      </c>
      <c r="M448" s="31"/>
      <c r="N448" s="31"/>
      <c r="O448" s="31"/>
      <c r="Q448" s="36"/>
      <c r="R448" s="36"/>
      <c r="S448" s="36"/>
      <c r="T448" s="36"/>
      <c r="V448" s="31"/>
    </row>
    <row r="449">
      <c r="A449" s="14" t="s">
        <v>736</v>
      </c>
      <c r="B449" s="14" t="s">
        <v>1866</v>
      </c>
      <c r="C449" s="279" t="s">
        <v>2389</v>
      </c>
      <c r="D449" s="14" t="s">
        <v>40</v>
      </c>
      <c r="E449" s="20" t="str">
        <f t="shared" si="2"/>
        <v>agosto 2025</v>
      </c>
      <c r="F449" s="22">
        <v>45883.0</v>
      </c>
      <c r="G449" s="24">
        <f t="shared" ref="G449:H449" si="454">F449</f>
        <v>45883</v>
      </c>
      <c r="H449" s="26">
        <f t="shared" si="454"/>
        <v>45883</v>
      </c>
      <c r="I449" s="14" t="s">
        <v>90</v>
      </c>
      <c r="K449" s="27"/>
      <c r="L449" s="29" t="s">
        <v>1203</v>
      </c>
      <c r="M449" s="31"/>
      <c r="N449" s="31"/>
      <c r="O449" s="31"/>
      <c r="Q449" s="36"/>
      <c r="R449" s="36"/>
      <c r="S449" s="36"/>
      <c r="T449" s="36"/>
      <c r="V449" s="31"/>
    </row>
    <row r="450">
      <c r="A450" s="108" t="s">
        <v>1075</v>
      </c>
      <c r="B450" s="123" t="s">
        <v>2156</v>
      </c>
      <c r="C450" s="279" t="s">
        <v>2394</v>
      </c>
      <c r="D450" s="14" t="s">
        <v>133</v>
      </c>
      <c r="E450" s="20" t="str">
        <f t="shared" si="2"/>
        <v>agosto 2025</v>
      </c>
      <c r="F450" s="22">
        <v>45883.0</v>
      </c>
      <c r="G450" s="24">
        <f t="shared" ref="G450:H450" si="455">F450</f>
        <v>45883</v>
      </c>
      <c r="H450" s="26">
        <f t="shared" si="455"/>
        <v>45883</v>
      </c>
      <c r="I450" s="14" t="s">
        <v>2398</v>
      </c>
      <c r="J450" s="14"/>
      <c r="K450" s="27">
        <v>1.0E9</v>
      </c>
      <c r="L450" s="29" t="s">
        <v>360</v>
      </c>
      <c r="M450" s="14"/>
      <c r="N450" s="31"/>
      <c r="O450" s="14"/>
      <c r="P450" s="14" t="s">
        <v>47</v>
      </c>
      <c r="Q450" s="36"/>
      <c r="R450" s="36"/>
      <c r="S450" s="36"/>
      <c r="T450" s="36"/>
      <c r="V450" s="31"/>
    </row>
    <row r="451">
      <c r="A451" s="14" t="s">
        <v>1012</v>
      </c>
      <c r="B451" s="14" t="s">
        <v>2403</v>
      </c>
      <c r="C451" s="279" t="s">
        <v>2404</v>
      </c>
      <c r="D451" s="14" t="s">
        <v>133</v>
      </c>
      <c r="E451" s="20" t="str">
        <f t="shared" si="2"/>
        <v>agosto 2025</v>
      </c>
      <c r="F451" s="22">
        <v>45877.0</v>
      </c>
      <c r="G451" s="24">
        <f t="shared" ref="G451:H451" si="456">F451</f>
        <v>45877</v>
      </c>
      <c r="H451" s="26">
        <f t="shared" si="456"/>
        <v>45877</v>
      </c>
      <c r="I451" s="14" t="s">
        <v>1865</v>
      </c>
      <c r="J451" s="14" t="s">
        <v>2410</v>
      </c>
      <c r="K451" s="27">
        <v>3.5E8</v>
      </c>
      <c r="L451" s="29" t="s">
        <v>2413</v>
      </c>
      <c r="M451" s="31"/>
      <c r="N451" s="31"/>
      <c r="O451" s="31"/>
      <c r="Q451" s="36"/>
      <c r="R451" s="36"/>
      <c r="S451" s="36"/>
      <c r="T451" s="36"/>
      <c r="V451" s="31"/>
    </row>
    <row r="452">
      <c r="A452" s="14" t="s">
        <v>1012</v>
      </c>
      <c r="B452" s="14" t="s">
        <v>2403</v>
      </c>
      <c r="C452" s="279" t="s">
        <v>2418</v>
      </c>
      <c r="D452" s="14" t="s">
        <v>133</v>
      </c>
      <c r="E452" s="20" t="str">
        <f t="shared" si="2"/>
        <v>agosto 2025</v>
      </c>
      <c r="F452" s="22">
        <v>45877.0</v>
      </c>
      <c r="G452" s="24">
        <f t="shared" ref="G452:H452" si="457">F452</f>
        <v>45877</v>
      </c>
      <c r="H452" s="26">
        <f t="shared" si="457"/>
        <v>45877</v>
      </c>
      <c r="I452" s="14" t="s">
        <v>1865</v>
      </c>
      <c r="J452" s="14" t="s">
        <v>2410</v>
      </c>
      <c r="L452" s="29" t="s">
        <v>2413</v>
      </c>
      <c r="M452" s="31"/>
      <c r="N452" s="31"/>
      <c r="O452" s="31"/>
      <c r="Q452" s="36"/>
      <c r="R452" s="36"/>
      <c r="S452" s="36"/>
      <c r="T452" s="36"/>
      <c r="V452" s="31"/>
    </row>
    <row r="453">
      <c r="A453" s="14" t="s">
        <v>1045</v>
      </c>
      <c r="B453" s="14" t="s">
        <v>2429</v>
      </c>
      <c r="C453" s="279" t="s">
        <v>2430</v>
      </c>
      <c r="D453" s="14" t="s">
        <v>40</v>
      </c>
      <c r="E453" s="20" t="str">
        <f t="shared" si="2"/>
        <v>agosto 2025</v>
      </c>
      <c r="F453" s="22">
        <v>45875.0</v>
      </c>
      <c r="G453" s="24">
        <f t="shared" ref="G453:H453" si="458">F453</f>
        <v>45875</v>
      </c>
      <c r="H453" s="26">
        <f t="shared" si="458"/>
        <v>45875</v>
      </c>
      <c r="I453" s="14" t="s">
        <v>90</v>
      </c>
      <c r="K453" s="27">
        <v>2.0E7</v>
      </c>
      <c r="L453" s="29" t="s">
        <v>1008</v>
      </c>
      <c r="M453" s="31"/>
      <c r="N453" s="31"/>
      <c r="O453" s="31"/>
      <c r="Q453" s="36"/>
      <c r="R453" s="36"/>
      <c r="S453" s="36"/>
      <c r="T453" s="36"/>
      <c r="V453" s="31"/>
    </row>
    <row r="454">
      <c r="A454" s="14" t="s">
        <v>1045</v>
      </c>
      <c r="B454" s="14" t="s">
        <v>2434</v>
      </c>
      <c r="C454" s="279" t="s">
        <v>2435</v>
      </c>
      <c r="D454" s="14" t="s">
        <v>133</v>
      </c>
      <c r="E454" s="20" t="str">
        <f t="shared" si="2"/>
        <v>agosto 2025</v>
      </c>
      <c r="F454" s="22">
        <v>45877.0</v>
      </c>
      <c r="G454" s="24">
        <f t="shared" ref="G454:H454" si="459">F454</f>
        <v>45877</v>
      </c>
      <c r="H454" s="26">
        <f t="shared" si="459"/>
        <v>45877</v>
      </c>
      <c r="I454" s="14" t="s">
        <v>1865</v>
      </c>
      <c r="K454" s="27">
        <v>5.0E7</v>
      </c>
      <c r="L454" s="29" t="s">
        <v>1836</v>
      </c>
      <c r="M454" s="14"/>
      <c r="N454" s="14"/>
      <c r="O454" s="14"/>
      <c r="P454" s="14" t="s">
        <v>75</v>
      </c>
      <c r="Q454" s="36"/>
      <c r="R454" s="36"/>
      <c r="S454" s="36"/>
      <c r="T454" s="36"/>
      <c r="V454" s="31"/>
    </row>
    <row r="455">
      <c r="A455" s="14" t="s">
        <v>1045</v>
      </c>
      <c r="B455" s="14" t="s">
        <v>2442</v>
      </c>
      <c r="C455" s="279" t="s">
        <v>2444</v>
      </c>
      <c r="D455" s="14" t="s">
        <v>40</v>
      </c>
      <c r="E455" s="20" t="str">
        <f t="shared" si="2"/>
        <v>agosto 2025</v>
      </c>
      <c r="F455" s="22">
        <v>45877.0</v>
      </c>
      <c r="G455" s="24">
        <f t="shared" ref="G455:H455" si="460">F455</f>
        <v>45877</v>
      </c>
      <c r="H455" s="26">
        <f t="shared" si="460"/>
        <v>45877</v>
      </c>
      <c r="I455" s="14" t="s">
        <v>90</v>
      </c>
      <c r="K455" s="27">
        <v>2.5E8</v>
      </c>
      <c r="L455" s="29" t="s">
        <v>2447</v>
      </c>
      <c r="M455" s="31"/>
      <c r="N455" s="31"/>
      <c r="O455" s="31"/>
      <c r="Q455" s="36"/>
      <c r="R455" s="36"/>
      <c r="S455" s="36"/>
      <c r="T455" s="36"/>
      <c r="V455" s="31"/>
    </row>
    <row r="456">
      <c r="A456" s="14" t="s">
        <v>1787</v>
      </c>
      <c r="B456" s="14" t="s">
        <v>2452</v>
      </c>
      <c r="C456" s="279" t="s">
        <v>2454</v>
      </c>
      <c r="D456" s="14" t="s">
        <v>40</v>
      </c>
      <c r="E456" s="20" t="str">
        <f t="shared" si="2"/>
        <v>agosto 2025</v>
      </c>
      <c r="F456" s="22">
        <v>45880.0</v>
      </c>
      <c r="G456" s="24">
        <f t="shared" ref="G456:H456" si="461">F456</f>
        <v>45880</v>
      </c>
      <c r="H456" s="26">
        <f t="shared" si="461"/>
        <v>45880</v>
      </c>
      <c r="I456" s="14" t="s">
        <v>90</v>
      </c>
      <c r="K456" s="27">
        <v>5.0E7</v>
      </c>
      <c r="L456" s="29" t="s">
        <v>1210</v>
      </c>
      <c r="M456" s="31"/>
      <c r="N456" s="14" t="s">
        <v>84</v>
      </c>
      <c r="O456" s="31"/>
      <c r="Q456" s="36"/>
      <c r="R456" s="36"/>
      <c r="S456" s="36"/>
      <c r="T456" s="36"/>
      <c r="V456" s="31"/>
    </row>
    <row r="457">
      <c r="A457" s="14" t="s">
        <v>1787</v>
      </c>
      <c r="B457" s="14" t="s">
        <v>2465</v>
      </c>
      <c r="C457" s="279" t="s">
        <v>2466</v>
      </c>
      <c r="D457" s="14" t="s">
        <v>40</v>
      </c>
      <c r="E457" s="20" t="str">
        <f t="shared" si="2"/>
        <v>agosto 2025</v>
      </c>
      <c r="F457" s="22">
        <v>45880.0</v>
      </c>
      <c r="G457" s="24">
        <f t="shared" ref="G457:H457" si="462">F457</f>
        <v>45880</v>
      </c>
      <c r="H457" s="26">
        <f t="shared" si="462"/>
        <v>45880</v>
      </c>
      <c r="I457" s="14" t="s">
        <v>90</v>
      </c>
      <c r="K457" s="27">
        <v>8000000.0</v>
      </c>
      <c r="L457" s="29" t="s">
        <v>1203</v>
      </c>
      <c r="M457" s="31"/>
      <c r="N457" s="14" t="s">
        <v>84</v>
      </c>
      <c r="O457" s="31"/>
      <c r="Q457" s="36"/>
      <c r="R457" s="36"/>
      <c r="S457" s="36"/>
      <c r="T457" s="36"/>
      <c r="V457" s="31"/>
    </row>
    <row r="458">
      <c r="A458" s="14" t="s">
        <v>1464</v>
      </c>
      <c r="B458" s="14" t="s">
        <v>2475</v>
      </c>
      <c r="C458" s="279" t="s">
        <v>2476</v>
      </c>
      <c r="D458" s="14" t="s">
        <v>133</v>
      </c>
      <c r="E458" s="20" t="str">
        <f t="shared" si="2"/>
        <v>agosto 2025</v>
      </c>
      <c r="F458" s="22">
        <v>45874.0</v>
      </c>
      <c r="G458" s="24">
        <f t="shared" ref="G458:H458" si="463">F458</f>
        <v>45874</v>
      </c>
      <c r="H458" s="26">
        <f t="shared" si="463"/>
        <v>45874</v>
      </c>
      <c r="I458" s="14" t="s">
        <v>1865</v>
      </c>
      <c r="K458" s="27">
        <v>2.5E8</v>
      </c>
      <c r="L458" s="29" t="s">
        <v>2477</v>
      </c>
      <c r="M458" s="14"/>
      <c r="N458" s="14" t="s">
        <v>84</v>
      </c>
      <c r="O458" s="14"/>
      <c r="P458" s="14"/>
      <c r="Q458" s="36"/>
      <c r="R458" s="36"/>
      <c r="S458" s="36"/>
      <c r="T458" s="36"/>
      <c r="V458" s="31"/>
    </row>
    <row r="459">
      <c r="A459" s="14" t="s">
        <v>208</v>
      </c>
      <c r="B459" s="14" t="s">
        <v>2478</v>
      </c>
      <c r="C459" s="279" t="s">
        <v>2479</v>
      </c>
      <c r="D459" s="14" t="s">
        <v>133</v>
      </c>
      <c r="E459" s="20" t="str">
        <f t="shared" si="2"/>
        <v>agosto 2025</v>
      </c>
      <c r="F459" s="22">
        <v>45873.0</v>
      </c>
      <c r="G459" s="24">
        <f t="shared" ref="G459:H459" si="464">F459</f>
        <v>45873</v>
      </c>
      <c r="H459" s="26">
        <f t="shared" si="464"/>
        <v>45873</v>
      </c>
      <c r="I459" s="14" t="s">
        <v>1865</v>
      </c>
      <c r="J459" s="14" t="s">
        <v>2126</v>
      </c>
      <c r="K459" s="27">
        <v>1.5E8</v>
      </c>
      <c r="L459" s="29">
        <v>1.99</v>
      </c>
      <c r="M459" s="31"/>
      <c r="N459" s="14" t="s">
        <v>84</v>
      </c>
      <c r="O459" s="31"/>
      <c r="Q459" s="36"/>
      <c r="R459" s="36"/>
      <c r="S459" s="36"/>
      <c r="T459" s="36"/>
      <c r="V459" s="31"/>
    </row>
    <row r="460">
      <c r="A460" s="14" t="s">
        <v>679</v>
      </c>
      <c r="B460" s="14" t="s">
        <v>2480</v>
      </c>
      <c r="C460" s="279" t="s">
        <v>2481</v>
      </c>
      <c r="D460" s="14" t="s">
        <v>40</v>
      </c>
      <c r="E460" s="20" t="str">
        <f t="shared" si="2"/>
        <v>agosto 2025</v>
      </c>
      <c r="F460" s="22">
        <v>45881.0</v>
      </c>
      <c r="G460" s="24">
        <f t="shared" ref="G460:H460" si="465">F460</f>
        <v>45881</v>
      </c>
      <c r="H460" s="26">
        <f t="shared" si="465"/>
        <v>45881</v>
      </c>
      <c r="I460" s="14" t="s">
        <v>90</v>
      </c>
      <c r="K460" s="14">
        <v>8.0E7</v>
      </c>
      <c r="M460" s="31"/>
      <c r="N460" s="31"/>
      <c r="O460" s="31"/>
    </row>
    <row r="461">
      <c r="A461" s="14" t="s">
        <v>208</v>
      </c>
      <c r="B461" s="14" t="s">
        <v>2482</v>
      </c>
      <c r="C461" s="279" t="s">
        <v>2483</v>
      </c>
      <c r="D461" s="14" t="s">
        <v>40</v>
      </c>
      <c r="E461" s="20" t="str">
        <f t="shared" si="2"/>
        <v>agosto 2025</v>
      </c>
      <c r="F461" s="22">
        <v>45888.0</v>
      </c>
      <c r="G461" s="24">
        <f t="shared" ref="G461:H461" si="466">F461</f>
        <v>45888</v>
      </c>
      <c r="H461" s="26">
        <f t="shared" si="466"/>
        <v>45888</v>
      </c>
      <c r="I461" s="14" t="s">
        <v>259</v>
      </c>
      <c r="K461" s="27">
        <v>2.5E9</v>
      </c>
      <c r="L461" s="78"/>
      <c r="M461" s="31"/>
      <c r="N461" s="14" t="s">
        <v>133</v>
      </c>
      <c r="O461" s="31"/>
      <c r="Q461" s="36"/>
      <c r="R461" s="36"/>
      <c r="S461" s="36"/>
      <c r="T461" s="36"/>
      <c r="V461" s="31"/>
    </row>
    <row r="462">
      <c r="A462" s="14" t="s">
        <v>208</v>
      </c>
      <c r="B462" s="14" t="s">
        <v>2484</v>
      </c>
      <c r="C462" s="279" t="s">
        <v>2485</v>
      </c>
      <c r="D462" s="14" t="s">
        <v>133</v>
      </c>
      <c r="E462" s="20" t="str">
        <f t="shared" si="2"/>
        <v>agosto 2025</v>
      </c>
      <c r="F462" s="22">
        <v>45884.0</v>
      </c>
      <c r="G462" s="24">
        <f t="shared" ref="G462:H462" si="467">F462</f>
        <v>45884</v>
      </c>
      <c r="H462" s="26">
        <f t="shared" si="467"/>
        <v>45884</v>
      </c>
      <c r="I462" s="14" t="s">
        <v>2398</v>
      </c>
      <c r="J462" s="14" t="s">
        <v>2486</v>
      </c>
      <c r="K462" s="27">
        <v>2.5E8</v>
      </c>
      <c r="L462" s="29">
        <v>1.99</v>
      </c>
      <c r="M462" s="31"/>
      <c r="N462" s="14" t="s">
        <v>84</v>
      </c>
      <c r="O462" s="31"/>
      <c r="Q462" s="36"/>
      <c r="R462" s="36"/>
      <c r="S462" s="36"/>
      <c r="T462" s="36"/>
      <c r="V462" s="31"/>
    </row>
    <row r="463">
      <c r="A463" s="14" t="s">
        <v>36</v>
      </c>
      <c r="B463" s="37" t="s">
        <v>2487</v>
      </c>
      <c r="C463" s="279" t="s">
        <v>2488</v>
      </c>
      <c r="D463" s="14" t="s">
        <v>40</v>
      </c>
      <c r="E463" s="20" t="str">
        <f t="shared" si="2"/>
        <v>agosto 2025</v>
      </c>
      <c r="F463" s="22">
        <v>45891.0</v>
      </c>
      <c r="G463" s="24">
        <f t="shared" ref="G463:H463" si="468">F463</f>
        <v>45891</v>
      </c>
      <c r="H463" s="26">
        <f t="shared" si="468"/>
        <v>45891</v>
      </c>
      <c r="I463" s="14" t="s">
        <v>90</v>
      </c>
      <c r="K463" s="27">
        <v>1.5E7</v>
      </c>
      <c r="L463" s="29" t="s">
        <v>2489</v>
      </c>
      <c r="M463" s="14"/>
      <c r="N463" s="14"/>
      <c r="O463" s="14"/>
      <c r="P463" s="14"/>
      <c r="Q463" s="36"/>
      <c r="R463" s="36"/>
      <c r="S463" s="36"/>
      <c r="T463" s="36"/>
      <c r="V463" s="31"/>
    </row>
    <row r="464">
      <c r="A464" s="14" t="s">
        <v>36</v>
      </c>
      <c r="B464" s="37" t="s">
        <v>2490</v>
      </c>
      <c r="C464" s="279" t="s">
        <v>2491</v>
      </c>
      <c r="D464" s="14" t="s">
        <v>40</v>
      </c>
      <c r="E464" s="20" t="str">
        <f t="shared" si="2"/>
        <v>agosto 2025</v>
      </c>
      <c r="F464" s="22">
        <v>45892.0</v>
      </c>
      <c r="G464" s="24">
        <f t="shared" ref="G464:H464" si="469">F464</f>
        <v>45892</v>
      </c>
      <c r="H464" s="26">
        <f t="shared" si="469"/>
        <v>45892</v>
      </c>
      <c r="I464" s="14" t="s">
        <v>90</v>
      </c>
      <c r="K464" s="27">
        <v>1.0E8</v>
      </c>
      <c r="L464" s="29" t="s">
        <v>2492</v>
      </c>
      <c r="M464" s="14"/>
      <c r="N464" s="14"/>
      <c r="O464" s="14" t="s">
        <v>40</v>
      </c>
      <c r="P464" s="14" t="s">
        <v>2493</v>
      </c>
      <c r="Q464" s="36"/>
      <c r="R464" s="36"/>
      <c r="S464" s="36"/>
      <c r="T464" s="36"/>
      <c r="V464" s="31"/>
    </row>
    <row r="465">
      <c r="A465" s="14" t="s">
        <v>36</v>
      </c>
      <c r="B465" s="14" t="s">
        <v>2494</v>
      </c>
      <c r="C465" s="279" t="s">
        <v>2495</v>
      </c>
      <c r="D465" s="14" t="s">
        <v>40</v>
      </c>
      <c r="E465" s="20" t="str">
        <f t="shared" si="2"/>
        <v>agosto 2025</v>
      </c>
      <c r="F465" s="22">
        <v>45889.0</v>
      </c>
      <c r="G465" s="24">
        <f t="shared" ref="G465:H465" si="470">F465</f>
        <v>45889</v>
      </c>
      <c r="H465" s="26">
        <f t="shared" si="470"/>
        <v>45889</v>
      </c>
      <c r="I465" s="14" t="s">
        <v>90</v>
      </c>
      <c r="K465" s="27">
        <v>2.0E7</v>
      </c>
      <c r="L465" s="29" t="s">
        <v>2489</v>
      </c>
      <c r="M465" s="31"/>
      <c r="N465" s="31"/>
      <c r="O465" s="31"/>
      <c r="Q465" s="36"/>
      <c r="R465" s="36"/>
      <c r="S465" s="36"/>
      <c r="T465" s="36"/>
      <c r="V465" s="31"/>
    </row>
    <row r="466">
      <c r="A466" s="14" t="s">
        <v>208</v>
      </c>
      <c r="B466" s="14" t="s">
        <v>2496</v>
      </c>
      <c r="C466" s="279" t="s">
        <v>2497</v>
      </c>
      <c r="D466" s="14" t="s">
        <v>40</v>
      </c>
      <c r="E466" s="20" t="str">
        <f t="shared" si="2"/>
        <v>agosto 2025</v>
      </c>
      <c r="F466" s="22">
        <v>45891.0</v>
      </c>
      <c r="G466" s="24">
        <f t="shared" ref="G466:H466" si="471">F466</f>
        <v>45891</v>
      </c>
      <c r="H466" s="26">
        <f t="shared" si="471"/>
        <v>45891</v>
      </c>
      <c r="I466" s="14" t="s">
        <v>90</v>
      </c>
      <c r="K466" s="27">
        <v>2.0E7</v>
      </c>
      <c r="L466" s="29" t="s">
        <v>2498</v>
      </c>
      <c r="M466" s="31"/>
      <c r="N466" s="14" t="s">
        <v>84</v>
      </c>
      <c r="O466" s="31"/>
      <c r="Q466" s="36"/>
      <c r="R466" s="36"/>
      <c r="S466" s="36"/>
      <c r="T466" s="36"/>
      <c r="V466" s="31"/>
    </row>
    <row r="467">
      <c r="A467" s="14" t="s">
        <v>36</v>
      </c>
      <c r="B467" s="14" t="s">
        <v>2499</v>
      </c>
      <c r="C467" s="279" t="s">
        <v>2500</v>
      </c>
      <c r="D467" s="14" t="s">
        <v>40</v>
      </c>
      <c r="E467" s="20" t="str">
        <f t="shared" si="2"/>
        <v>agosto 2025</v>
      </c>
      <c r="F467" s="22">
        <v>45898.0</v>
      </c>
      <c r="G467" s="24">
        <f t="shared" ref="G467:H467" si="472">F467</f>
        <v>45898</v>
      </c>
      <c r="H467" s="26">
        <f t="shared" si="472"/>
        <v>45898</v>
      </c>
      <c r="I467" s="14" t="s">
        <v>90</v>
      </c>
      <c r="K467" s="27">
        <v>5.0E7</v>
      </c>
      <c r="L467" s="29" t="s">
        <v>887</v>
      </c>
      <c r="M467" s="31"/>
      <c r="N467" s="31"/>
      <c r="O467" s="31"/>
      <c r="Q467" s="36"/>
      <c r="R467" s="36"/>
      <c r="S467" s="36"/>
      <c r="T467" s="36"/>
      <c r="V467" s="31"/>
    </row>
    <row r="468">
      <c r="A468" s="14" t="s">
        <v>1787</v>
      </c>
      <c r="B468" s="37" t="s">
        <v>2501</v>
      </c>
      <c r="C468" s="279" t="s">
        <v>2502</v>
      </c>
      <c r="D468" s="14" t="s">
        <v>40</v>
      </c>
      <c r="E468" s="20" t="str">
        <f t="shared" si="2"/>
        <v>septiembre 2025</v>
      </c>
      <c r="F468" s="22">
        <v>45901.0</v>
      </c>
      <c r="G468" s="24">
        <f t="shared" ref="G468:H468" si="473">F468</f>
        <v>45901</v>
      </c>
      <c r="H468" s="26">
        <f t="shared" si="473"/>
        <v>45901</v>
      </c>
      <c r="I468" s="14" t="s">
        <v>90</v>
      </c>
      <c r="K468" s="27">
        <v>3.0E7</v>
      </c>
      <c r="L468" s="29" t="s">
        <v>2503</v>
      </c>
      <c r="M468" s="31"/>
      <c r="N468" s="14" t="s">
        <v>84</v>
      </c>
      <c r="O468" s="31"/>
      <c r="Q468" s="36"/>
      <c r="R468" s="36"/>
      <c r="S468" s="36"/>
      <c r="T468" s="36"/>
      <c r="V468" s="31"/>
    </row>
    <row r="469">
      <c r="A469" s="14" t="s">
        <v>1787</v>
      </c>
      <c r="B469" s="37" t="s">
        <v>2504</v>
      </c>
      <c r="C469" s="279" t="s">
        <v>2505</v>
      </c>
      <c r="D469" s="14" t="s">
        <v>40</v>
      </c>
      <c r="E469" s="20" t="str">
        <f t="shared" si="2"/>
        <v>septiembre 2025</v>
      </c>
      <c r="F469" s="22">
        <v>45901.0</v>
      </c>
      <c r="G469" s="24">
        <f t="shared" ref="G469:H469" si="474">F469</f>
        <v>45901</v>
      </c>
      <c r="H469" s="26">
        <f t="shared" si="474"/>
        <v>45901</v>
      </c>
      <c r="I469" s="14" t="s">
        <v>90</v>
      </c>
      <c r="K469" s="27">
        <v>3.0E7</v>
      </c>
      <c r="L469" s="29" t="s">
        <v>2503</v>
      </c>
      <c r="M469" s="31"/>
      <c r="N469" s="14" t="s">
        <v>84</v>
      </c>
      <c r="O469" s="31"/>
      <c r="Q469" s="36"/>
      <c r="R469" s="36"/>
      <c r="S469" s="36"/>
      <c r="T469" s="36"/>
      <c r="V469" s="31"/>
    </row>
    <row r="470">
      <c r="A470" s="14" t="s">
        <v>1787</v>
      </c>
      <c r="B470" s="37" t="s">
        <v>2506</v>
      </c>
      <c r="C470" s="279" t="s">
        <v>2507</v>
      </c>
      <c r="D470" s="14" t="s">
        <v>40</v>
      </c>
      <c r="E470" s="20" t="str">
        <f t="shared" si="2"/>
        <v>septiembre 2025</v>
      </c>
      <c r="F470" s="22">
        <v>45901.0</v>
      </c>
      <c r="G470" s="24">
        <f t="shared" ref="G470:H470" si="475">F470</f>
        <v>45901</v>
      </c>
      <c r="H470" s="26">
        <f t="shared" si="475"/>
        <v>45901</v>
      </c>
      <c r="I470" s="14" t="s">
        <v>90</v>
      </c>
      <c r="K470" s="27">
        <v>1.8E8</v>
      </c>
      <c r="L470" s="29" t="s">
        <v>1660</v>
      </c>
      <c r="M470" s="14"/>
      <c r="N470" s="14" t="s">
        <v>84</v>
      </c>
      <c r="O470" s="14"/>
      <c r="P470" s="14" t="s">
        <v>84</v>
      </c>
      <c r="Q470" s="36"/>
      <c r="R470" s="36"/>
      <c r="S470" s="36"/>
      <c r="T470" s="36"/>
      <c r="V470" s="31"/>
    </row>
    <row r="471">
      <c r="A471" s="14" t="s">
        <v>1787</v>
      </c>
      <c r="B471" s="14" t="s">
        <v>2508</v>
      </c>
      <c r="C471" s="279" t="s">
        <v>2509</v>
      </c>
      <c r="D471" s="14" t="s">
        <v>40</v>
      </c>
      <c r="E471" s="20" t="str">
        <f t="shared" si="2"/>
        <v>septiembre 2025</v>
      </c>
      <c r="F471" s="22">
        <v>45901.0</v>
      </c>
      <c r="G471" s="24">
        <f t="shared" ref="G471:H471" si="476">F471</f>
        <v>45901</v>
      </c>
      <c r="H471" s="26">
        <f t="shared" si="476"/>
        <v>45901</v>
      </c>
      <c r="I471" s="14" t="s">
        <v>90</v>
      </c>
      <c r="K471" s="27">
        <v>1.0E7</v>
      </c>
      <c r="L471" s="29" t="s">
        <v>1203</v>
      </c>
      <c r="M471" s="31"/>
      <c r="N471" s="14" t="s">
        <v>84</v>
      </c>
      <c r="O471" s="31"/>
      <c r="Q471" s="36"/>
      <c r="R471" s="36"/>
      <c r="S471" s="36"/>
      <c r="T471" s="36"/>
      <c r="V471" s="31"/>
    </row>
    <row r="472">
      <c r="A472" s="14" t="s">
        <v>1787</v>
      </c>
      <c r="B472" s="14" t="s">
        <v>2510</v>
      </c>
      <c r="C472" s="279" t="s">
        <v>2511</v>
      </c>
      <c r="D472" s="14" t="s">
        <v>40</v>
      </c>
      <c r="E472" s="20" t="str">
        <f t="shared" si="2"/>
        <v>septiembre 2025</v>
      </c>
      <c r="F472" s="22">
        <v>45902.0</v>
      </c>
      <c r="G472" s="24">
        <f t="shared" ref="G472:H472" si="477">F472</f>
        <v>45902</v>
      </c>
      <c r="H472" s="26">
        <f t="shared" si="477"/>
        <v>45902</v>
      </c>
      <c r="I472" s="14" t="s">
        <v>90</v>
      </c>
      <c r="K472" s="27">
        <v>1.0E7</v>
      </c>
      <c r="L472" s="29" t="s">
        <v>1203</v>
      </c>
      <c r="M472" s="31"/>
      <c r="N472" s="14" t="s">
        <v>84</v>
      </c>
      <c r="O472" s="31"/>
      <c r="Q472" s="36"/>
      <c r="R472" s="36"/>
      <c r="S472" s="36"/>
      <c r="T472" s="36"/>
      <c r="V472" s="31"/>
    </row>
    <row r="473">
      <c r="A473" s="14" t="s">
        <v>1045</v>
      </c>
      <c r="B473" s="14" t="s">
        <v>2512</v>
      </c>
      <c r="C473" s="279" t="s">
        <v>2513</v>
      </c>
      <c r="D473" s="14" t="s">
        <v>40</v>
      </c>
      <c r="E473" s="20" t="str">
        <f t="shared" si="2"/>
        <v>septiembre 2025</v>
      </c>
      <c r="F473" s="22">
        <v>45901.0</v>
      </c>
      <c r="G473" s="24">
        <f t="shared" ref="G473:H473" si="478">F473</f>
        <v>45901</v>
      </c>
      <c r="H473" s="26">
        <f t="shared" si="478"/>
        <v>45901</v>
      </c>
      <c r="I473" s="14" t="s">
        <v>90</v>
      </c>
      <c r="K473" s="27">
        <v>4.0E8</v>
      </c>
      <c r="L473" s="29" t="s">
        <v>2514</v>
      </c>
      <c r="M473" s="14"/>
      <c r="N473" s="14" t="s">
        <v>84</v>
      </c>
      <c r="O473" s="14"/>
      <c r="P473" s="14" t="s">
        <v>75</v>
      </c>
      <c r="Q473" s="36"/>
      <c r="R473" s="36"/>
      <c r="S473" s="36"/>
      <c r="T473" s="36"/>
      <c r="V473" s="31"/>
    </row>
    <row r="474">
      <c r="A474" s="14" t="s">
        <v>1045</v>
      </c>
      <c r="B474" s="14" t="s">
        <v>2515</v>
      </c>
      <c r="C474" s="279" t="s">
        <v>2516</v>
      </c>
      <c r="D474" s="14" t="s">
        <v>133</v>
      </c>
      <c r="E474" s="20" t="str">
        <f t="shared" si="2"/>
        <v>septiembre 2025</v>
      </c>
      <c r="F474" s="22">
        <v>45902.0</v>
      </c>
      <c r="G474" s="24">
        <f t="shared" ref="G474:H474" si="479">F474</f>
        <v>45902</v>
      </c>
      <c r="H474" s="26">
        <f t="shared" si="479"/>
        <v>45902</v>
      </c>
      <c r="I474" s="14" t="s">
        <v>1865</v>
      </c>
      <c r="K474" s="27">
        <v>1.5E8</v>
      </c>
      <c r="L474" s="29" t="s">
        <v>2517</v>
      </c>
      <c r="M474" s="31"/>
      <c r="N474" s="14" t="s">
        <v>84</v>
      </c>
      <c r="O474" s="31"/>
      <c r="Q474" s="36"/>
      <c r="R474" s="36"/>
      <c r="S474" s="36"/>
      <c r="T474" s="36"/>
      <c r="V474" s="31"/>
    </row>
    <row r="475">
      <c r="A475" s="14" t="s">
        <v>117</v>
      </c>
      <c r="B475" s="14" t="s">
        <v>2518</v>
      </c>
      <c r="C475" s="279" t="s">
        <v>2519</v>
      </c>
      <c r="D475" s="14" t="s">
        <v>133</v>
      </c>
      <c r="E475" s="20" t="str">
        <f t="shared" si="2"/>
        <v>septiembre 2025</v>
      </c>
      <c r="F475" s="22">
        <v>45902.0</v>
      </c>
      <c r="G475" s="24">
        <f t="shared" ref="G475:H475" si="480">F475</f>
        <v>45902</v>
      </c>
      <c r="H475" s="26">
        <f t="shared" si="480"/>
        <v>45902</v>
      </c>
      <c r="I475" s="14" t="s">
        <v>1865</v>
      </c>
      <c r="K475" s="27">
        <v>2.5E8</v>
      </c>
      <c r="L475" s="29" t="s">
        <v>2520</v>
      </c>
      <c r="M475" s="31"/>
      <c r="N475" s="14" t="s">
        <v>84</v>
      </c>
      <c r="O475" s="31"/>
      <c r="Q475" s="36"/>
      <c r="R475" s="36"/>
      <c r="S475" s="36"/>
      <c r="T475" s="36"/>
      <c r="V475" s="31"/>
    </row>
    <row r="476">
      <c r="A476" s="14" t="s">
        <v>1787</v>
      </c>
      <c r="B476" s="14" t="s">
        <v>2521</v>
      </c>
      <c r="C476" s="279" t="s">
        <v>2522</v>
      </c>
      <c r="D476" s="14" t="s">
        <v>40</v>
      </c>
      <c r="E476" s="20" t="str">
        <f t="shared" si="2"/>
        <v>septiembre 2025</v>
      </c>
      <c r="F476" s="22">
        <v>45902.0</v>
      </c>
      <c r="G476" s="24">
        <f t="shared" ref="G476:H476" si="481">F476</f>
        <v>45902</v>
      </c>
      <c r="H476" s="26">
        <f t="shared" si="481"/>
        <v>45902</v>
      </c>
      <c r="I476" s="14" t="s">
        <v>259</v>
      </c>
      <c r="K476" s="27">
        <v>2.0E8</v>
      </c>
      <c r="L476" s="14" t="s">
        <v>2523</v>
      </c>
      <c r="M476" s="14"/>
      <c r="N476" s="14" t="s">
        <v>84</v>
      </c>
      <c r="O476" s="14"/>
      <c r="P476" s="14" t="s">
        <v>84</v>
      </c>
      <c r="Q476" s="36"/>
      <c r="R476" s="36"/>
      <c r="S476" s="36"/>
      <c r="T476" s="36"/>
      <c r="V476" s="31"/>
    </row>
    <row r="477">
      <c r="A477" s="14" t="s">
        <v>679</v>
      </c>
      <c r="B477" s="14" t="s">
        <v>2524</v>
      </c>
      <c r="C477" s="279" t="s">
        <v>2525</v>
      </c>
      <c r="D477" s="14" t="s">
        <v>40</v>
      </c>
      <c r="E477" s="20" t="str">
        <f t="shared" si="2"/>
        <v>septiembre 2025</v>
      </c>
      <c r="F477" s="22">
        <v>45902.0</v>
      </c>
      <c r="G477" s="24">
        <f t="shared" ref="G477:H477" si="482">F477</f>
        <v>45902</v>
      </c>
      <c r="H477" s="26">
        <f t="shared" si="482"/>
        <v>45902</v>
      </c>
      <c r="I477" s="14" t="s">
        <v>90</v>
      </c>
      <c r="K477" s="27">
        <v>1.5E8</v>
      </c>
      <c r="L477" s="29" t="s">
        <v>2413</v>
      </c>
      <c r="M477" s="31"/>
      <c r="N477" s="14" t="s">
        <v>84</v>
      </c>
      <c r="O477" s="31"/>
      <c r="Q477" s="36"/>
      <c r="R477" s="36"/>
      <c r="S477" s="36"/>
      <c r="T477" s="36"/>
      <c r="V477" s="31"/>
    </row>
    <row r="478">
      <c r="A478" s="14" t="s">
        <v>679</v>
      </c>
      <c r="B478" s="14" t="s">
        <v>2526</v>
      </c>
      <c r="C478" s="279" t="s">
        <v>2527</v>
      </c>
      <c r="D478" s="14" t="s">
        <v>40</v>
      </c>
      <c r="E478" s="20" t="str">
        <f t="shared" si="2"/>
        <v>septiembre 2025</v>
      </c>
      <c r="F478" s="22">
        <v>45904.0</v>
      </c>
      <c r="G478" s="24">
        <f t="shared" ref="G478:H478" si="483">F478</f>
        <v>45904</v>
      </c>
      <c r="H478" s="26">
        <f t="shared" si="483"/>
        <v>45904</v>
      </c>
      <c r="I478" s="14" t="s">
        <v>90</v>
      </c>
      <c r="K478" s="27">
        <v>1.8E8</v>
      </c>
      <c r="L478" s="29" t="s">
        <v>2413</v>
      </c>
      <c r="M478" s="31"/>
      <c r="N478" s="14" t="s">
        <v>84</v>
      </c>
      <c r="O478" s="31"/>
      <c r="Q478" s="36"/>
      <c r="R478" s="36"/>
      <c r="S478" s="36"/>
      <c r="T478" s="36"/>
      <c r="V478" s="31"/>
    </row>
    <row r="479">
      <c r="A479" s="14" t="s">
        <v>736</v>
      </c>
      <c r="B479" s="14" t="s">
        <v>2528</v>
      </c>
      <c r="C479" s="279" t="s">
        <v>2529</v>
      </c>
      <c r="D479" s="14" t="s">
        <v>40</v>
      </c>
      <c r="E479" s="20" t="str">
        <f t="shared" si="2"/>
        <v>septiembre 2025</v>
      </c>
      <c r="F479" s="22">
        <v>45903.0</v>
      </c>
      <c r="G479" s="24">
        <f t="shared" ref="G479:H479" si="484">F479</f>
        <v>45903</v>
      </c>
      <c r="H479" s="26">
        <f t="shared" si="484"/>
        <v>45903</v>
      </c>
      <c r="I479" s="14" t="s">
        <v>259</v>
      </c>
      <c r="K479" s="27">
        <v>2.0E7</v>
      </c>
      <c r="L479" s="29" t="s">
        <v>1203</v>
      </c>
      <c r="M479" s="31"/>
      <c r="N479" s="14" t="s">
        <v>84</v>
      </c>
      <c r="O479" s="31"/>
      <c r="Q479" s="36"/>
      <c r="R479" s="36"/>
      <c r="S479" s="36"/>
      <c r="T479" s="36"/>
      <c r="V479" s="31"/>
    </row>
    <row r="480">
      <c r="A480" s="14" t="s">
        <v>736</v>
      </c>
      <c r="B480" s="14" t="s">
        <v>2530</v>
      </c>
      <c r="C480" s="279" t="s">
        <v>2531</v>
      </c>
      <c r="D480" s="14" t="s">
        <v>40</v>
      </c>
      <c r="E480" s="20" t="str">
        <f t="shared" si="2"/>
        <v>septiembre 2025</v>
      </c>
      <c r="F480" s="22">
        <v>45905.0</v>
      </c>
      <c r="G480" s="24">
        <f t="shared" ref="G480:H480" si="485">F480</f>
        <v>45905</v>
      </c>
      <c r="H480" s="26">
        <f t="shared" si="485"/>
        <v>45905</v>
      </c>
      <c r="I480" s="14" t="s">
        <v>90</v>
      </c>
      <c r="K480" s="27">
        <v>5000000.0</v>
      </c>
      <c r="L480" s="29" t="s">
        <v>1203</v>
      </c>
      <c r="M480" s="31"/>
      <c r="N480" s="14" t="s">
        <v>84</v>
      </c>
      <c r="O480" s="31"/>
      <c r="Q480" s="36"/>
      <c r="R480" s="36"/>
      <c r="S480" s="36"/>
      <c r="T480" s="36"/>
      <c r="V480" s="31"/>
    </row>
    <row r="481">
      <c r="A481" s="14" t="s">
        <v>36</v>
      </c>
      <c r="B481" s="14" t="s">
        <v>2532</v>
      </c>
      <c r="C481" s="279" t="s">
        <v>2533</v>
      </c>
      <c r="D481" s="14" t="s">
        <v>133</v>
      </c>
      <c r="E481" s="20" t="str">
        <f t="shared" si="2"/>
        <v>septiembre 2025</v>
      </c>
      <c r="F481" s="22">
        <v>45905.0</v>
      </c>
      <c r="G481" s="24">
        <f t="shared" ref="G481:H481" si="486">F481</f>
        <v>45905</v>
      </c>
      <c r="H481" s="26">
        <f t="shared" si="486"/>
        <v>45905</v>
      </c>
      <c r="I481" s="14" t="s">
        <v>1865</v>
      </c>
      <c r="K481" s="27">
        <v>2.0E8</v>
      </c>
      <c r="L481" s="29" t="s">
        <v>2534</v>
      </c>
      <c r="M481" s="31"/>
      <c r="N481" s="31"/>
      <c r="O481" s="31"/>
      <c r="Q481" s="36"/>
      <c r="R481" s="36"/>
      <c r="S481" s="36"/>
      <c r="T481" s="36"/>
      <c r="V481" s="31"/>
    </row>
    <row r="482">
      <c r="A482" s="14" t="s">
        <v>36</v>
      </c>
      <c r="B482" s="14" t="s">
        <v>2535</v>
      </c>
      <c r="C482" s="279" t="s">
        <v>2536</v>
      </c>
      <c r="D482" s="14" t="s">
        <v>133</v>
      </c>
      <c r="E482" s="20" t="str">
        <f t="shared" si="2"/>
        <v>septiembre 2025</v>
      </c>
      <c r="F482" s="22">
        <v>45905.0</v>
      </c>
      <c r="G482" s="24">
        <f t="shared" ref="G482:H482" si="487">F482</f>
        <v>45905</v>
      </c>
      <c r="H482" s="26">
        <f t="shared" si="487"/>
        <v>45905</v>
      </c>
      <c r="I482" s="14" t="s">
        <v>1865</v>
      </c>
      <c r="K482" s="27">
        <v>2.0E7</v>
      </c>
      <c r="L482" s="29" t="s">
        <v>2503</v>
      </c>
      <c r="M482" s="31"/>
      <c r="N482" s="31"/>
      <c r="O482" s="31"/>
      <c r="Q482" s="36"/>
      <c r="R482" s="36"/>
      <c r="S482" s="36"/>
      <c r="T482" s="36"/>
      <c r="V482" s="31"/>
    </row>
    <row r="483">
      <c r="A483" s="14" t="s">
        <v>1045</v>
      </c>
      <c r="B483" s="14" t="s">
        <v>2537</v>
      </c>
      <c r="C483" s="279" t="s">
        <v>2538</v>
      </c>
      <c r="D483" s="14" t="s">
        <v>40</v>
      </c>
      <c r="E483" s="20" t="str">
        <f t="shared" si="2"/>
        <v>septiembre 2025</v>
      </c>
      <c r="F483" s="22">
        <v>45905.0</v>
      </c>
      <c r="G483" s="24">
        <f t="shared" ref="G483:H483" si="488">F483</f>
        <v>45905</v>
      </c>
      <c r="H483" s="26">
        <f t="shared" si="488"/>
        <v>45905</v>
      </c>
      <c r="I483" s="14" t="s">
        <v>90</v>
      </c>
      <c r="K483" s="27">
        <v>5.0E7</v>
      </c>
      <c r="L483" s="29" t="s">
        <v>2503</v>
      </c>
      <c r="M483" s="31"/>
      <c r="N483" s="14" t="s">
        <v>84</v>
      </c>
      <c r="O483" s="31"/>
      <c r="Q483" s="36"/>
      <c r="R483" s="36"/>
      <c r="S483" s="36"/>
      <c r="T483" s="36"/>
      <c r="V483" s="31"/>
    </row>
    <row r="484">
      <c r="A484" s="14" t="s">
        <v>1045</v>
      </c>
      <c r="B484" s="14" t="s">
        <v>2539</v>
      </c>
      <c r="C484" s="279" t="s">
        <v>2540</v>
      </c>
      <c r="D484" s="14" t="s">
        <v>40</v>
      </c>
      <c r="E484" s="20" t="str">
        <f t="shared" si="2"/>
        <v>septiembre 2025</v>
      </c>
      <c r="F484" s="22">
        <v>45905.0</v>
      </c>
      <c r="G484" s="24">
        <f t="shared" ref="G484:H484" si="489">F484</f>
        <v>45905</v>
      </c>
      <c r="H484" s="26">
        <f t="shared" si="489"/>
        <v>45905</v>
      </c>
      <c r="I484" s="14" t="s">
        <v>90</v>
      </c>
      <c r="K484" s="27">
        <v>5.0E7</v>
      </c>
      <c r="L484" s="29" t="s">
        <v>2503</v>
      </c>
      <c r="M484" s="31"/>
      <c r="N484" s="14" t="s">
        <v>84</v>
      </c>
      <c r="O484" s="31"/>
      <c r="Q484" s="36"/>
      <c r="R484" s="36"/>
      <c r="S484" s="36"/>
      <c r="T484" s="36"/>
      <c r="V484" s="31"/>
    </row>
    <row r="485">
      <c r="A485" s="14" t="s">
        <v>1045</v>
      </c>
      <c r="B485" s="14" t="s">
        <v>2541</v>
      </c>
      <c r="C485" s="279" t="s">
        <v>2542</v>
      </c>
      <c r="D485" s="14" t="s">
        <v>133</v>
      </c>
      <c r="E485" s="20" t="str">
        <f t="shared" si="2"/>
        <v>agosto 2025</v>
      </c>
      <c r="F485" s="22">
        <v>45888.0</v>
      </c>
      <c r="G485" s="24">
        <f t="shared" ref="G485:H485" si="490">F485</f>
        <v>45888</v>
      </c>
      <c r="H485" s="26">
        <f t="shared" si="490"/>
        <v>45888</v>
      </c>
      <c r="I485" s="14" t="s">
        <v>1865</v>
      </c>
      <c r="K485" s="27">
        <v>4.0E7</v>
      </c>
      <c r="L485" s="15" t="s">
        <v>2543</v>
      </c>
      <c r="M485" s="31"/>
      <c r="N485" s="14" t="s">
        <v>84</v>
      </c>
      <c r="O485" s="31"/>
      <c r="Q485" s="36"/>
      <c r="R485" s="36"/>
      <c r="S485" s="36"/>
      <c r="T485" s="36"/>
      <c r="V485" s="31"/>
    </row>
    <row r="486">
      <c r="A486" s="14" t="s">
        <v>1787</v>
      </c>
      <c r="B486" s="14" t="s">
        <v>2544</v>
      </c>
      <c r="C486" s="279" t="s">
        <v>2545</v>
      </c>
      <c r="D486" s="14" t="s">
        <v>40</v>
      </c>
      <c r="E486" s="20" t="str">
        <f t="shared" si="2"/>
        <v>septiembre 2025</v>
      </c>
      <c r="F486" s="22">
        <v>45908.0</v>
      </c>
      <c r="G486" s="24">
        <f t="shared" ref="G486:H486" si="491">F486</f>
        <v>45908</v>
      </c>
      <c r="H486" s="26">
        <f t="shared" si="491"/>
        <v>45908</v>
      </c>
      <c r="I486" s="14" t="s">
        <v>90</v>
      </c>
      <c r="K486" s="27">
        <v>1.5E8</v>
      </c>
      <c r="L486" s="29" t="s">
        <v>2413</v>
      </c>
      <c r="M486" s="31"/>
      <c r="N486" s="14" t="s">
        <v>84</v>
      </c>
      <c r="O486" s="14" t="s">
        <v>40</v>
      </c>
      <c r="Q486" s="36"/>
      <c r="R486" s="36"/>
      <c r="S486" s="36"/>
      <c r="T486" s="36"/>
      <c r="V486" s="31"/>
    </row>
    <row r="487">
      <c r="A487" s="14" t="s">
        <v>1787</v>
      </c>
      <c r="B487" s="14" t="s">
        <v>2546</v>
      </c>
      <c r="C487" s="279" t="s">
        <v>2547</v>
      </c>
      <c r="D487" s="14" t="s">
        <v>40</v>
      </c>
      <c r="E487" s="20" t="str">
        <f t="shared" si="2"/>
        <v>septiembre 2025</v>
      </c>
      <c r="F487" s="22">
        <v>45910.0</v>
      </c>
      <c r="G487" s="24">
        <f t="shared" ref="G487:H487" si="492">F487</f>
        <v>45910</v>
      </c>
      <c r="H487" s="26">
        <f t="shared" si="492"/>
        <v>45910</v>
      </c>
      <c r="I487" s="14" t="s">
        <v>90</v>
      </c>
      <c r="K487" s="27">
        <v>2.0E7</v>
      </c>
      <c r="L487" s="29" t="s">
        <v>1203</v>
      </c>
      <c r="M487" s="31"/>
      <c r="N487" s="14" t="s">
        <v>84</v>
      </c>
      <c r="O487" s="31"/>
      <c r="Q487" s="36"/>
      <c r="R487" s="36"/>
      <c r="S487" s="36"/>
      <c r="T487" s="36"/>
      <c r="V487" s="31"/>
    </row>
    <row r="488">
      <c r="A488" s="14" t="s">
        <v>1787</v>
      </c>
      <c r="B488" s="19" t="s">
        <v>2548</v>
      </c>
      <c r="C488" s="279" t="s">
        <v>2549</v>
      </c>
      <c r="D488" s="14" t="s">
        <v>40</v>
      </c>
      <c r="E488" s="20" t="str">
        <f t="shared" si="2"/>
        <v>septiembre 2025</v>
      </c>
      <c r="F488" s="22">
        <v>45910.0</v>
      </c>
      <c r="G488" s="24">
        <f t="shared" ref="G488:H488" si="493">F488</f>
        <v>45910</v>
      </c>
      <c r="H488" s="26">
        <f t="shared" si="493"/>
        <v>45910</v>
      </c>
      <c r="I488" s="14" t="s">
        <v>90</v>
      </c>
      <c r="K488" s="27">
        <v>1.0E7</v>
      </c>
      <c r="L488" s="29" t="s">
        <v>1203</v>
      </c>
      <c r="M488" s="31"/>
      <c r="N488" s="14" t="s">
        <v>84</v>
      </c>
      <c r="O488" s="31"/>
      <c r="Q488" s="36"/>
      <c r="R488" s="36"/>
      <c r="S488" s="36"/>
      <c r="T488" s="36"/>
      <c r="V488" s="31"/>
    </row>
    <row r="489">
      <c r="A489" s="14" t="s">
        <v>208</v>
      </c>
      <c r="B489" s="14" t="s">
        <v>2550</v>
      </c>
      <c r="C489" s="279" t="s">
        <v>2551</v>
      </c>
      <c r="D489" s="14" t="s">
        <v>133</v>
      </c>
      <c r="E489" s="20" t="str">
        <f t="shared" si="2"/>
        <v>septiembre 2025</v>
      </c>
      <c r="F489" s="22">
        <v>45905.0</v>
      </c>
      <c r="G489" s="24">
        <f t="shared" ref="G489:H489" si="494">F489</f>
        <v>45905</v>
      </c>
      <c r="H489" s="26">
        <f t="shared" si="494"/>
        <v>45905</v>
      </c>
      <c r="I489" s="14" t="s">
        <v>1865</v>
      </c>
      <c r="K489" s="27">
        <v>3.7E8</v>
      </c>
      <c r="L489" s="37" t="s">
        <v>2552</v>
      </c>
      <c r="M489" s="14"/>
      <c r="N489" s="14" t="s">
        <v>84</v>
      </c>
      <c r="O489" s="14"/>
      <c r="P489" s="14" t="s">
        <v>84</v>
      </c>
      <c r="Q489" s="36"/>
      <c r="R489" s="36"/>
      <c r="S489" s="36"/>
      <c r="T489" s="36"/>
      <c r="V489" s="31"/>
    </row>
    <row r="490">
      <c r="A490" s="14" t="s">
        <v>208</v>
      </c>
      <c r="B490" s="14" t="s">
        <v>2553</v>
      </c>
      <c r="C490" s="279" t="s">
        <v>2554</v>
      </c>
      <c r="D490" s="14" t="s">
        <v>133</v>
      </c>
      <c r="E490" s="20" t="str">
        <f t="shared" si="2"/>
        <v>septiembre 2025</v>
      </c>
      <c r="F490" s="22">
        <v>45910.0</v>
      </c>
      <c r="G490" s="24">
        <f t="shared" ref="G490:H490" si="495">F490</f>
        <v>45910</v>
      </c>
      <c r="H490" s="26">
        <f t="shared" si="495"/>
        <v>45910</v>
      </c>
      <c r="I490" s="14" t="s">
        <v>1865</v>
      </c>
      <c r="K490" s="27">
        <v>3.2E8</v>
      </c>
      <c r="L490" s="14" t="s">
        <v>2555</v>
      </c>
      <c r="M490" s="14"/>
      <c r="N490" s="14" t="s">
        <v>84</v>
      </c>
      <c r="O490" s="14"/>
      <c r="P490" s="14" t="s">
        <v>84</v>
      </c>
      <c r="Q490" s="36"/>
      <c r="R490" s="36"/>
      <c r="S490" s="36"/>
      <c r="T490" s="36"/>
      <c r="V490" s="31"/>
    </row>
    <row r="491">
      <c r="A491" s="14" t="s">
        <v>679</v>
      </c>
      <c r="B491" s="14" t="s">
        <v>2556</v>
      </c>
      <c r="C491" s="279" t="s">
        <v>2557</v>
      </c>
      <c r="D491" s="14" t="s">
        <v>40</v>
      </c>
      <c r="E491" s="20" t="str">
        <f t="shared" si="2"/>
        <v>septiembre 2025</v>
      </c>
      <c r="F491" s="22">
        <v>45910.0</v>
      </c>
      <c r="G491" s="24">
        <f t="shared" ref="G491:H491" si="496">F491</f>
        <v>45910</v>
      </c>
      <c r="H491" s="26">
        <f t="shared" si="496"/>
        <v>45910</v>
      </c>
      <c r="I491" s="14" t="s">
        <v>90</v>
      </c>
      <c r="K491" s="27">
        <v>1.5E8</v>
      </c>
      <c r="L491" s="29" t="s">
        <v>2413</v>
      </c>
      <c r="M491" s="31"/>
      <c r="N491" s="31"/>
      <c r="O491" s="31"/>
      <c r="Q491" s="36"/>
      <c r="R491" s="36"/>
      <c r="S491" s="36"/>
      <c r="T491" s="36"/>
      <c r="V491" s="31"/>
    </row>
    <row r="492">
      <c r="A492" s="14" t="s">
        <v>1012</v>
      </c>
      <c r="B492" s="14" t="s">
        <v>2558</v>
      </c>
      <c r="C492" s="279" t="s">
        <v>2559</v>
      </c>
      <c r="D492" s="14" t="s">
        <v>133</v>
      </c>
      <c r="E492" s="20" t="str">
        <f t="shared" si="2"/>
        <v>septiembre 2025</v>
      </c>
      <c r="F492" s="22">
        <v>45911.0</v>
      </c>
      <c r="G492" s="24">
        <f t="shared" ref="G492:H492" si="497">F492</f>
        <v>45911</v>
      </c>
      <c r="H492" s="26">
        <f t="shared" si="497"/>
        <v>45911</v>
      </c>
      <c r="I492" s="14" t="s">
        <v>1865</v>
      </c>
      <c r="K492" s="27">
        <v>2.0E8</v>
      </c>
      <c r="L492" s="29" t="s">
        <v>2447</v>
      </c>
      <c r="M492" s="31"/>
      <c r="N492" s="14" t="s">
        <v>84</v>
      </c>
      <c r="O492" s="31"/>
      <c r="Q492" s="36"/>
      <c r="R492" s="36"/>
      <c r="S492" s="36"/>
      <c r="T492" s="36"/>
      <c r="V492" s="31"/>
    </row>
    <row r="493">
      <c r="A493" s="14" t="s">
        <v>736</v>
      </c>
      <c r="B493" s="14" t="s">
        <v>2560</v>
      </c>
      <c r="C493" s="279" t="s">
        <v>2561</v>
      </c>
      <c r="D493" s="14" t="s">
        <v>40</v>
      </c>
      <c r="E493" s="20" t="str">
        <f t="shared" si="2"/>
        <v>septiembre 2025</v>
      </c>
      <c r="F493" s="22">
        <v>45912.0</v>
      </c>
      <c r="G493" s="24">
        <f t="shared" ref="G493:H493" si="498">F493</f>
        <v>45912</v>
      </c>
      <c r="H493" s="26">
        <f t="shared" si="498"/>
        <v>45912</v>
      </c>
      <c r="I493" s="14" t="s">
        <v>259</v>
      </c>
      <c r="J493" s="14" t="s">
        <v>304</v>
      </c>
      <c r="K493" s="27">
        <v>4.0E7</v>
      </c>
      <c r="L493" s="29" t="s">
        <v>2562</v>
      </c>
      <c r="M493" s="31"/>
      <c r="N493" s="14" t="s">
        <v>84</v>
      </c>
      <c r="O493" s="31"/>
      <c r="Q493" s="36"/>
      <c r="R493" s="36"/>
      <c r="S493" s="36"/>
      <c r="T493" s="36"/>
      <c r="V493" s="31"/>
    </row>
    <row r="494">
      <c r="A494" s="14" t="s">
        <v>1787</v>
      </c>
      <c r="B494" s="14" t="s">
        <v>2564</v>
      </c>
      <c r="C494" s="279" t="s">
        <v>2565</v>
      </c>
      <c r="D494" s="14" t="s">
        <v>40</v>
      </c>
      <c r="E494" s="20" t="str">
        <f t="shared" si="2"/>
        <v>septiembre 2025</v>
      </c>
      <c r="F494" s="22">
        <v>45913.0</v>
      </c>
      <c r="G494" s="24">
        <f t="shared" ref="G494:H494" si="499">F494</f>
        <v>45913</v>
      </c>
      <c r="H494" s="26">
        <f t="shared" si="499"/>
        <v>45913</v>
      </c>
      <c r="I494" s="14" t="s">
        <v>90</v>
      </c>
      <c r="K494" s="27">
        <v>1.5E8</v>
      </c>
      <c r="L494" s="78"/>
      <c r="M494" s="31"/>
      <c r="N494" s="14" t="s">
        <v>84</v>
      </c>
      <c r="O494" s="31"/>
      <c r="Q494" s="36"/>
      <c r="R494" s="36"/>
      <c r="S494" s="36"/>
      <c r="T494" s="36"/>
      <c r="V494" s="31"/>
    </row>
    <row r="495">
      <c r="A495" s="14" t="s">
        <v>1464</v>
      </c>
      <c r="B495" s="14" t="s">
        <v>2571</v>
      </c>
      <c r="C495" s="279" t="s">
        <v>2572</v>
      </c>
      <c r="D495" s="14" t="s">
        <v>40</v>
      </c>
      <c r="E495" s="20" t="str">
        <f t="shared" si="2"/>
        <v>septiembre 2025</v>
      </c>
      <c r="F495" s="22">
        <v>45912.0</v>
      </c>
      <c r="G495" s="24">
        <f t="shared" ref="G495:H495" si="500">F495</f>
        <v>45912</v>
      </c>
      <c r="H495" s="26">
        <f t="shared" si="500"/>
        <v>45912</v>
      </c>
      <c r="I495" s="14" t="s">
        <v>90</v>
      </c>
      <c r="K495" s="27">
        <v>2.0E7</v>
      </c>
      <c r="L495" s="29" t="s">
        <v>1016</v>
      </c>
      <c r="M495" s="31"/>
      <c r="N495" s="14" t="s">
        <v>84</v>
      </c>
      <c r="O495" s="31"/>
      <c r="Q495" s="36"/>
      <c r="R495" s="36"/>
      <c r="S495" s="36"/>
      <c r="T495" s="36"/>
      <c r="V495" s="31"/>
    </row>
    <row r="496">
      <c r="A496" s="14" t="s">
        <v>1045</v>
      </c>
      <c r="B496" s="14" t="s">
        <v>2574</v>
      </c>
      <c r="C496" s="279" t="s">
        <v>2575</v>
      </c>
      <c r="D496" s="14" t="s">
        <v>40</v>
      </c>
      <c r="E496" s="20" t="str">
        <f t="shared" si="2"/>
        <v>agosto 2025</v>
      </c>
      <c r="F496" s="22">
        <v>45888.0</v>
      </c>
      <c r="G496" s="24">
        <f t="shared" ref="G496:H496" si="501">F496</f>
        <v>45888</v>
      </c>
      <c r="H496" s="26">
        <f t="shared" si="501"/>
        <v>45888</v>
      </c>
      <c r="I496" s="14" t="s">
        <v>90</v>
      </c>
      <c r="K496" s="27">
        <v>1.0E7</v>
      </c>
      <c r="L496" s="29" t="s">
        <v>1016</v>
      </c>
      <c r="M496" s="31"/>
      <c r="N496" s="14" t="s">
        <v>84</v>
      </c>
      <c r="O496" s="31"/>
      <c r="Q496" s="36"/>
      <c r="R496" s="36"/>
      <c r="S496" s="36"/>
      <c r="T496" s="36"/>
      <c r="V496" s="31"/>
    </row>
    <row r="497">
      <c r="A497" s="14" t="s">
        <v>1075</v>
      </c>
      <c r="B497" s="14" t="s">
        <v>2576</v>
      </c>
      <c r="C497" s="14" t="s">
        <v>2577</v>
      </c>
      <c r="D497" s="14" t="s">
        <v>133</v>
      </c>
      <c r="E497" s="20" t="str">
        <f t="shared" si="2"/>
        <v>septiembre 2025</v>
      </c>
      <c r="F497" s="22">
        <v>45916.0</v>
      </c>
      <c r="G497" s="24">
        <f t="shared" ref="G497:H497" si="502">F497</f>
        <v>45916</v>
      </c>
      <c r="H497" s="26">
        <f t="shared" si="502"/>
        <v>45916</v>
      </c>
      <c r="I497" s="14" t="s">
        <v>1865</v>
      </c>
      <c r="K497" s="27">
        <v>8.0E7</v>
      </c>
      <c r="L497" s="29" t="s">
        <v>951</v>
      </c>
      <c r="M497" s="31"/>
      <c r="N497" s="31"/>
      <c r="O497" s="31"/>
      <c r="Q497" s="36"/>
      <c r="R497" s="36"/>
      <c r="S497" s="36"/>
      <c r="T497" s="36"/>
      <c r="V497" s="31"/>
    </row>
    <row r="498">
      <c r="A498" s="34" t="s">
        <v>679</v>
      </c>
      <c r="B498" s="34" t="s">
        <v>2524</v>
      </c>
      <c r="C498" s="14" t="s">
        <v>2525</v>
      </c>
      <c r="D498" s="34" t="s">
        <v>40</v>
      </c>
      <c r="E498" s="20" t="str">
        <f t="shared" si="2"/>
        <v>septiembre 2025</v>
      </c>
      <c r="F498" s="22">
        <v>45917.0</v>
      </c>
      <c r="G498" s="24">
        <f t="shared" ref="G498:H498" si="503">F498</f>
        <v>45917</v>
      </c>
      <c r="H498" s="26">
        <f t="shared" si="503"/>
        <v>45917</v>
      </c>
      <c r="I498" s="123" t="s">
        <v>1596</v>
      </c>
      <c r="J498" s="34"/>
      <c r="K498" s="297">
        <v>5.0E7</v>
      </c>
      <c r="L498" s="123">
        <v>2.5</v>
      </c>
      <c r="M498" s="34"/>
      <c r="N498" s="34"/>
      <c r="O498" s="34"/>
      <c r="P498" s="34"/>
      <c r="Q498" s="298"/>
      <c r="R498" s="298"/>
      <c r="S498" s="298"/>
      <c r="T498" s="298"/>
      <c r="U498" s="34"/>
      <c r="V498" s="34"/>
      <c r="W498" s="34"/>
      <c r="X498" s="34"/>
      <c r="Y498" s="34"/>
      <c r="Z498" s="34"/>
      <c r="AA498" s="34"/>
      <c r="AB498" s="34"/>
      <c r="AC498" s="34"/>
      <c r="AD498" s="34"/>
      <c r="AE498" s="34"/>
    </row>
    <row r="499">
      <c r="A499" s="14" t="s">
        <v>679</v>
      </c>
      <c r="B499" s="14" t="s">
        <v>2580</v>
      </c>
      <c r="C499" s="14" t="s">
        <v>2581</v>
      </c>
      <c r="D499" s="14" t="s">
        <v>40</v>
      </c>
      <c r="E499" s="20" t="str">
        <f t="shared" si="2"/>
        <v>septiembre 2025</v>
      </c>
      <c r="F499" s="22">
        <v>45916.0</v>
      </c>
      <c r="G499" s="24">
        <f t="shared" ref="G499:H499" si="504">F499</f>
        <v>45916</v>
      </c>
      <c r="H499" s="26">
        <f t="shared" si="504"/>
        <v>45916</v>
      </c>
      <c r="I499" s="14" t="s">
        <v>90</v>
      </c>
      <c r="K499" s="27">
        <v>1.7E8</v>
      </c>
      <c r="L499" s="29" t="s">
        <v>2413</v>
      </c>
      <c r="M499" s="31"/>
      <c r="N499" s="31"/>
      <c r="O499" s="31"/>
      <c r="Q499" s="36"/>
      <c r="R499" s="36"/>
      <c r="S499" s="36"/>
      <c r="T499" s="36"/>
      <c r="V499" s="31"/>
    </row>
    <row r="500">
      <c r="A500" s="14" t="s">
        <v>36</v>
      </c>
      <c r="B500" s="14" t="s">
        <v>2583</v>
      </c>
      <c r="C500" s="14" t="s">
        <v>2584</v>
      </c>
      <c r="D500" s="14" t="s">
        <v>133</v>
      </c>
      <c r="E500" s="20" t="str">
        <f t="shared" si="2"/>
        <v>septiembre 2025</v>
      </c>
      <c r="F500" s="22">
        <v>45916.0</v>
      </c>
      <c r="G500" s="24">
        <f t="shared" ref="G500:H500" si="505">F500</f>
        <v>45916</v>
      </c>
      <c r="H500" s="26">
        <f t="shared" si="505"/>
        <v>45916</v>
      </c>
      <c r="I500" s="14" t="s">
        <v>1865</v>
      </c>
      <c r="K500" s="27">
        <v>2.0E8</v>
      </c>
      <c r="L500" s="29" t="s">
        <v>2585</v>
      </c>
      <c r="M500" s="14"/>
      <c r="N500" s="14" t="s">
        <v>84</v>
      </c>
      <c r="O500" s="14"/>
      <c r="P500" s="14" t="s">
        <v>2586</v>
      </c>
      <c r="Q500" s="36"/>
      <c r="R500" s="36"/>
      <c r="S500" s="36"/>
      <c r="T500" s="36"/>
      <c r="V500" s="31"/>
    </row>
    <row r="501">
      <c r="A501" s="14" t="s">
        <v>117</v>
      </c>
      <c r="B501" s="14" t="s">
        <v>2588</v>
      </c>
      <c r="C501" s="14" t="s">
        <v>2589</v>
      </c>
      <c r="D501" s="14" t="s">
        <v>40</v>
      </c>
      <c r="E501" s="20" t="str">
        <f t="shared" si="2"/>
        <v>septiembre 2025</v>
      </c>
      <c r="F501" s="22">
        <v>45919.0</v>
      </c>
      <c r="G501" s="24">
        <f t="shared" ref="G501:H501" si="506">F501</f>
        <v>45919</v>
      </c>
      <c r="H501" s="26">
        <f t="shared" si="506"/>
        <v>45919</v>
      </c>
      <c r="I501" s="14" t="s">
        <v>259</v>
      </c>
      <c r="K501" s="27">
        <v>6.0E8</v>
      </c>
      <c r="L501" s="29" t="s">
        <v>2590</v>
      </c>
      <c r="M501" s="14"/>
      <c r="N501" s="14" t="s">
        <v>84</v>
      </c>
      <c r="O501" s="14" t="s">
        <v>40</v>
      </c>
      <c r="P501" s="14" t="s">
        <v>2591</v>
      </c>
      <c r="Q501" s="36"/>
      <c r="R501" s="36"/>
      <c r="S501" s="36"/>
      <c r="T501" s="36"/>
      <c r="V501" s="31"/>
    </row>
    <row r="502">
      <c r="A502" s="14" t="s">
        <v>1045</v>
      </c>
      <c r="B502" s="14" t="s">
        <v>2593</v>
      </c>
      <c r="C502" s="14" t="s">
        <v>2594</v>
      </c>
      <c r="D502" s="14" t="s">
        <v>40</v>
      </c>
      <c r="E502" s="20" t="str">
        <f t="shared" si="2"/>
        <v>septiembre 2025</v>
      </c>
      <c r="F502" s="22">
        <v>45919.0</v>
      </c>
      <c r="G502" s="24">
        <f t="shared" ref="G502:H502" si="507">F502</f>
        <v>45919</v>
      </c>
      <c r="H502" s="26">
        <f t="shared" si="507"/>
        <v>45919</v>
      </c>
      <c r="I502" s="14" t="s">
        <v>90</v>
      </c>
      <c r="K502" s="27">
        <v>1.5E8</v>
      </c>
      <c r="L502" s="29" t="s">
        <v>1836</v>
      </c>
      <c r="M502" s="14"/>
      <c r="N502" s="14" t="s">
        <v>84</v>
      </c>
      <c r="O502" s="14"/>
      <c r="P502" s="14" t="s">
        <v>2595</v>
      </c>
      <c r="Q502" s="36"/>
      <c r="R502" s="36"/>
      <c r="S502" s="36"/>
      <c r="T502" s="36"/>
      <c r="V502" s="31"/>
    </row>
    <row r="503">
      <c r="A503" s="14" t="s">
        <v>1045</v>
      </c>
      <c r="B503" s="14" t="s">
        <v>2596</v>
      </c>
      <c r="C503" s="14" t="s">
        <v>2597</v>
      </c>
      <c r="D503" s="14" t="s">
        <v>40</v>
      </c>
      <c r="E503" s="20" t="str">
        <f t="shared" si="2"/>
        <v>septiembre 2025</v>
      </c>
      <c r="F503" s="22">
        <v>45922.0</v>
      </c>
      <c r="G503" s="24">
        <f t="shared" ref="G503:H503" si="508">F503</f>
        <v>45922</v>
      </c>
      <c r="H503" s="26">
        <f t="shared" si="508"/>
        <v>45922</v>
      </c>
      <c r="I503" s="14" t="s">
        <v>90</v>
      </c>
      <c r="K503" s="27">
        <v>4.0E7</v>
      </c>
      <c r="L503" s="29" t="s">
        <v>1153</v>
      </c>
      <c r="M503" s="31"/>
      <c r="N503" s="14" t="s">
        <v>84</v>
      </c>
      <c r="O503" s="31"/>
      <c r="Q503" s="36"/>
      <c r="R503" s="36"/>
      <c r="S503" s="36"/>
      <c r="T503" s="36"/>
      <c r="V503" s="31"/>
    </row>
    <row r="504">
      <c r="A504" s="14" t="s">
        <v>36</v>
      </c>
      <c r="B504" s="14" t="s">
        <v>2599</v>
      </c>
      <c r="C504" s="14" t="s">
        <v>2600</v>
      </c>
      <c r="D504" s="14" t="s">
        <v>133</v>
      </c>
      <c r="E504" s="20" t="str">
        <f t="shared" si="2"/>
        <v>septiembre 2025</v>
      </c>
      <c r="F504" s="22">
        <v>45922.0</v>
      </c>
      <c r="G504" s="24">
        <f t="shared" ref="G504:H504" si="509">F504</f>
        <v>45922</v>
      </c>
      <c r="H504" s="26">
        <f t="shared" si="509"/>
        <v>45922</v>
      </c>
      <c r="I504" s="14" t="s">
        <v>1865</v>
      </c>
      <c r="K504" s="27">
        <v>2.0E8</v>
      </c>
      <c r="L504" s="29" t="s">
        <v>2585</v>
      </c>
      <c r="M504" s="14"/>
      <c r="N504" s="14" t="s">
        <v>84</v>
      </c>
      <c r="O504" s="14"/>
      <c r="P504" s="14" t="s">
        <v>62</v>
      </c>
      <c r="Q504" s="36"/>
      <c r="R504" s="36"/>
      <c r="S504" s="36"/>
      <c r="T504" s="36"/>
      <c r="V504" s="31"/>
    </row>
    <row r="505">
      <c r="A505" s="14" t="s">
        <v>36</v>
      </c>
      <c r="B505" s="14" t="s">
        <v>2602</v>
      </c>
      <c r="C505" s="14" t="s">
        <v>2603</v>
      </c>
      <c r="D505" s="14" t="s">
        <v>133</v>
      </c>
      <c r="E505" s="20" t="str">
        <f t="shared" si="2"/>
        <v>septiembre 2025</v>
      </c>
      <c r="F505" s="22">
        <v>45922.0</v>
      </c>
      <c r="G505" s="24">
        <f t="shared" ref="G505:H505" si="510">F505</f>
        <v>45922</v>
      </c>
      <c r="H505" s="26">
        <f t="shared" si="510"/>
        <v>45922</v>
      </c>
      <c r="I505" s="14" t="s">
        <v>1865</v>
      </c>
      <c r="K505" s="27">
        <v>2.0E8</v>
      </c>
      <c r="L505" s="29" t="s">
        <v>2585</v>
      </c>
      <c r="M505" s="14"/>
      <c r="N505" s="14" t="s">
        <v>84</v>
      </c>
      <c r="O505" s="14"/>
      <c r="P505" s="14" t="s">
        <v>62</v>
      </c>
      <c r="Q505" s="36"/>
      <c r="R505" s="36"/>
      <c r="S505" s="36"/>
      <c r="T505" s="36"/>
      <c r="V505" s="31"/>
    </row>
    <row r="506">
      <c r="A506" s="14" t="s">
        <v>1075</v>
      </c>
      <c r="B506" s="14" t="s">
        <v>2605</v>
      </c>
      <c r="C506" s="14" t="s">
        <v>2606</v>
      </c>
      <c r="D506" s="14" t="s">
        <v>40</v>
      </c>
      <c r="E506" s="20" t="str">
        <f t="shared" si="2"/>
        <v>septiembre 2025</v>
      </c>
      <c r="F506" s="22">
        <v>45922.0</v>
      </c>
      <c r="G506" s="24">
        <f t="shared" ref="G506:H506" si="511">F506</f>
        <v>45922</v>
      </c>
      <c r="H506" s="26">
        <f t="shared" si="511"/>
        <v>45922</v>
      </c>
      <c r="I506" s="14" t="s">
        <v>90</v>
      </c>
      <c r="K506" s="27">
        <v>2.0E7</v>
      </c>
      <c r="L506" s="29" t="s">
        <v>2607</v>
      </c>
      <c r="M506" s="31"/>
      <c r="N506" s="14" t="s">
        <v>84</v>
      </c>
      <c r="O506" s="31"/>
      <c r="Q506" s="36"/>
      <c r="R506" s="36"/>
      <c r="S506" s="36"/>
      <c r="T506" s="36"/>
      <c r="V506" s="31"/>
    </row>
    <row r="507">
      <c r="A507" s="14" t="s">
        <v>1045</v>
      </c>
      <c r="B507" s="14" t="s">
        <v>2608</v>
      </c>
      <c r="C507" s="14" t="s">
        <v>2609</v>
      </c>
      <c r="D507" s="14" t="s">
        <v>40</v>
      </c>
      <c r="E507" s="20" t="str">
        <f t="shared" si="2"/>
        <v>septiembre 2025</v>
      </c>
      <c r="F507" s="22">
        <v>45923.0</v>
      </c>
      <c r="G507" s="24">
        <f t="shared" ref="G507:H507" si="512">F507</f>
        <v>45923</v>
      </c>
      <c r="H507" s="26">
        <f t="shared" si="512"/>
        <v>45923</v>
      </c>
      <c r="I507" s="14" t="s">
        <v>90</v>
      </c>
      <c r="K507" s="27">
        <v>5.0E7</v>
      </c>
      <c r="L507" s="29" t="s">
        <v>2610</v>
      </c>
      <c r="M507" s="14"/>
      <c r="N507" s="14" t="s">
        <v>84</v>
      </c>
      <c r="O507" s="14"/>
      <c r="P507" s="14" t="s">
        <v>62</v>
      </c>
      <c r="Q507" s="36"/>
      <c r="R507" s="36"/>
      <c r="S507" s="36"/>
      <c r="T507" s="36"/>
      <c r="V507" s="31"/>
    </row>
    <row r="508">
      <c r="A508" s="14" t="s">
        <v>1012</v>
      </c>
      <c r="B508" s="14" t="s">
        <v>2611</v>
      </c>
      <c r="C508" s="14" t="s">
        <v>2612</v>
      </c>
      <c r="D508" s="14" t="s">
        <v>133</v>
      </c>
      <c r="E508" s="20" t="str">
        <f t="shared" si="2"/>
        <v>septiembre 2025</v>
      </c>
      <c r="F508" s="22">
        <v>45923.0</v>
      </c>
      <c r="G508" s="24">
        <f t="shared" ref="G508:H508" si="513">F508</f>
        <v>45923</v>
      </c>
      <c r="H508" s="26">
        <f t="shared" si="513"/>
        <v>45923</v>
      </c>
      <c r="I508" s="14" t="s">
        <v>1865</v>
      </c>
      <c r="K508" s="27">
        <v>1.0E8</v>
      </c>
      <c r="L508" s="29" t="s">
        <v>2614</v>
      </c>
      <c r="M508" s="31"/>
      <c r="N508" s="14" t="s">
        <v>84</v>
      </c>
      <c r="O508" s="31"/>
      <c r="Q508" s="36"/>
      <c r="R508" s="36"/>
      <c r="S508" s="36"/>
      <c r="T508" s="36"/>
      <c r="V508" s="31"/>
    </row>
    <row r="509">
      <c r="A509" s="14" t="s">
        <v>36</v>
      </c>
      <c r="B509" s="14" t="s">
        <v>2615</v>
      </c>
      <c r="C509" s="14" t="s">
        <v>2616</v>
      </c>
      <c r="D509" s="14" t="s">
        <v>133</v>
      </c>
      <c r="E509" s="20" t="str">
        <f t="shared" si="2"/>
        <v>septiembre 2025</v>
      </c>
      <c r="F509" s="22">
        <v>45923.0</v>
      </c>
      <c r="G509" s="24">
        <f t="shared" ref="G509:H509" si="514">F509</f>
        <v>45923</v>
      </c>
      <c r="H509" s="26">
        <f t="shared" si="514"/>
        <v>45923</v>
      </c>
      <c r="I509" s="14" t="s">
        <v>1865</v>
      </c>
      <c r="K509" s="27">
        <v>1.0E8</v>
      </c>
      <c r="L509" s="29" t="s">
        <v>2585</v>
      </c>
      <c r="M509" s="14"/>
      <c r="N509" s="14" t="s">
        <v>84</v>
      </c>
      <c r="O509" s="31"/>
      <c r="P509" s="14" t="s">
        <v>2617</v>
      </c>
      <c r="Q509" s="36"/>
      <c r="R509" s="36"/>
      <c r="S509" s="36"/>
      <c r="T509" s="36"/>
      <c r="V509" s="31"/>
    </row>
    <row r="510">
      <c r="A510" s="14" t="s">
        <v>1045</v>
      </c>
      <c r="B510" s="14" t="s">
        <v>2619</v>
      </c>
      <c r="C510" s="14" t="s">
        <v>2620</v>
      </c>
      <c r="D510" s="14" t="s">
        <v>40</v>
      </c>
      <c r="E510" s="20" t="str">
        <f t="shared" si="2"/>
        <v>septiembre 2025</v>
      </c>
      <c r="F510" s="22">
        <v>45930.0</v>
      </c>
      <c r="G510" s="24">
        <f t="shared" ref="G510:H510" si="515">F510</f>
        <v>45930</v>
      </c>
      <c r="H510" s="26">
        <f t="shared" si="515"/>
        <v>45930</v>
      </c>
      <c r="I510" s="14" t="s">
        <v>90</v>
      </c>
      <c r="K510" s="27">
        <v>1.0E8</v>
      </c>
      <c r="L510" s="15" t="s">
        <v>2621</v>
      </c>
      <c r="M510" s="31"/>
      <c r="N510" s="14" t="s">
        <v>84</v>
      </c>
      <c r="O510" s="31"/>
      <c r="Q510" s="36"/>
      <c r="R510" s="36"/>
      <c r="S510" s="36"/>
      <c r="T510" s="36"/>
      <c r="V510" s="31"/>
    </row>
    <row r="511">
      <c r="A511" s="14" t="s">
        <v>1045</v>
      </c>
      <c r="B511" s="14" t="s">
        <v>2622</v>
      </c>
      <c r="C511" s="14" t="s">
        <v>2623</v>
      </c>
      <c r="D511" s="14" t="s">
        <v>133</v>
      </c>
      <c r="E511" s="20" t="str">
        <f t="shared" si="2"/>
        <v>octubre 2025</v>
      </c>
      <c r="F511" s="22">
        <v>45931.0</v>
      </c>
      <c r="G511" s="24">
        <f t="shared" ref="G511:H511" si="516">F511</f>
        <v>45931</v>
      </c>
      <c r="H511" s="26">
        <f t="shared" si="516"/>
        <v>45931</v>
      </c>
      <c r="I511" s="14" t="s">
        <v>1865</v>
      </c>
      <c r="K511" s="27">
        <v>1.0E8</v>
      </c>
      <c r="L511" s="29" t="s">
        <v>2447</v>
      </c>
      <c r="M511" s="14"/>
      <c r="N511" s="14" t="s">
        <v>84</v>
      </c>
      <c r="O511" s="31"/>
      <c r="P511" s="14" t="s">
        <v>2624</v>
      </c>
      <c r="Q511" s="36"/>
      <c r="R511" s="36"/>
      <c r="S511" s="36"/>
      <c r="T511" s="36"/>
      <c r="V511" s="31"/>
    </row>
    <row r="512">
      <c r="A512" s="108" t="s">
        <v>1075</v>
      </c>
      <c r="B512" s="123" t="s">
        <v>2625</v>
      </c>
      <c r="C512" s="14" t="s">
        <v>2626</v>
      </c>
      <c r="D512" s="14" t="s">
        <v>40</v>
      </c>
      <c r="E512" s="20" t="str">
        <f t="shared" si="2"/>
        <v>octubre 2025</v>
      </c>
      <c r="F512" s="22">
        <v>45932.0</v>
      </c>
      <c r="G512" s="24">
        <f t="shared" ref="G512:H512" si="517">F512</f>
        <v>45932</v>
      </c>
      <c r="H512" s="26">
        <f t="shared" si="517"/>
        <v>45932</v>
      </c>
      <c r="I512" s="123" t="s">
        <v>90</v>
      </c>
      <c r="J512" s="34"/>
      <c r="K512" s="198">
        <v>1.2E8</v>
      </c>
      <c r="L512" s="29"/>
      <c r="M512" s="14"/>
      <c r="N512" s="14"/>
      <c r="O512" s="31"/>
      <c r="P512" s="14"/>
      <c r="Q512" s="36"/>
      <c r="R512" s="36"/>
      <c r="S512" s="36"/>
      <c r="T512" s="36"/>
      <c r="V512" s="31"/>
    </row>
    <row r="513">
      <c r="A513" s="108" t="s">
        <v>1075</v>
      </c>
      <c r="B513" s="108" t="s">
        <v>2628</v>
      </c>
      <c r="C513" s="14" t="s">
        <v>2629</v>
      </c>
      <c r="D513" s="123" t="s">
        <v>133</v>
      </c>
      <c r="E513" s="20" t="str">
        <f t="shared" si="2"/>
        <v>octubre 2025</v>
      </c>
      <c r="F513" s="22">
        <v>45931.0</v>
      </c>
      <c r="G513" s="24">
        <f t="shared" ref="G513:H513" si="518">F513</f>
        <v>45931</v>
      </c>
      <c r="H513" s="26">
        <f t="shared" si="518"/>
        <v>45931</v>
      </c>
      <c r="I513" s="108" t="s">
        <v>2398</v>
      </c>
      <c r="J513" s="34"/>
      <c r="K513" s="199">
        <v>3.5E8</v>
      </c>
      <c r="L513" s="29">
        <v>1.99</v>
      </c>
      <c r="M513" s="14"/>
      <c r="N513" s="14" t="s">
        <v>133</v>
      </c>
      <c r="O513" s="31"/>
      <c r="P513" s="14" t="s">
        <v>2630</v>
      </c>
      <c r="Q513" s="36"/>
      <c r="R513" s="36"/>
      <c r="S513" s="36"/>
      <c r="T513" s="36"/>
      <c r="V513" s="31"/>
    </row>
    <row r="514">
      <c r="A514" s="14" t="s">
        <v>1787</v>
      </c>
      <c r="B514" s="14" t="s">
        <v>2632</v>
      </c>
      <c r="C514" s="14" t="s">
        <v>2633</v>
      </c>
      <c r="D514" s="14" t="s">
        <v>40</v>
      </c>
      <c r="E514" s="20" t="str">
        <f t="shared" si="2"/>
        <v>octubre 2025</v>
      </c>
      <c r="F514" s="22">
        <v>45931.0</v>
      </c>
      <c r="G514" s="24">
        <f t="shared" ref="G514:H514" si="519">F514</f>
        <v>45931</v>
      </c>
      <c r="H514" s="26">
        <f t="shared" si="519"/>
        <v>45931</v>
      </c>
      <c r="I514" s="14" t="s">
        <v>90</v>
      </c>
      <c r="K514" s="27">
        <v>4.5E7</v>
      </c>
      <c r="L514" s="29" t="s">
        <v>2634</v>
      </c>
      <c r="M514" s="31"/>
      <c r="N514" s="14" t="s">
        <v>84</v>
      </c>
      <c r="O514" s="31"/>
      <c r="Q514" s="36"/>
      <c r="R514" s="36"/>
      <c r="S514" s="36"/>
      <c r="T514" s="36"/>
      <c r="V514" s="31"/>
    </row>
    <row r="515">
      <c r="A515" s="14" t="s">
        <v>1787</v>
      </c>
      <c r="B515" s="14" t="s">
        <v>2635</v>
      </c>
      <c r="C515" s="14" t="s">
        <v>2636</v>
      </c>
      <c r="D515" s="14" t="s">
        <v>40</v>
      </c>
      <c r="E515" s="20" t="str">
        <f t="shared" si="2"/>
        <v>octubre 2025</v>
      </c>
      <c r="F515" s="22">
        <v>45932.0</v>
      </c>
      <c r="G515" s="24">
        <f t="shared" ref="G515:H515" si="520">F515</f>
        <v>45932</v>
      </c>
      <c r="H515" s="26">
        <f t="shared" si="520"/>
        <v>45932</v>
      </c>
      <c r="I515" s="14" t="s">
        <v>90</v>
      </c>
      <c r="K515" s="27">
        <v>1.0E7</v>
      </c>
      <c r="L515" s="29" t="s">
        <v>1203</v>
      </c>
      <c r="M515" s="31"/>
      <c r="N515" s="14" t="s">
        <v>84</v>
      </c>
      <c r="O515" s="31"/>
      <c r="Q515" s="36"/>
      <c r="R515" s="36"/>
      <c r="S515" s="36"/>
      <c r="T515" s="36"/>
      <c r="V515" s="31"/>
    </row>
    <row r="516">
      <c r="A516" s="14" t="s">
        <v>1787</v>
      </c>
      <c r="B516" s="14" t="s">
        <v>2638</v>
      </c>
      <c r="C516" s="14" t="s">
        <v>2639</v>
      </c>
      <c r="D516" s="14" t="s">
        <v>40</v>
      </c>
      <c r="E516" s="20" t="str">
        <f t="shared" si="2"/>
        <v>octubre 2025</v>
      </c>
      <c r="F516" s="22">
        <v>45932.0</v>
      </c>
      <c r="G516" s="24">
        <f t="shared" ref="G516:H516" si="521">F516</f>
        <v>45932</v>
      </c>
      <c r="H516" s="26">
        <f t="shared" si="521"/>
        <v>45932</v>
      </c>
      <c r="I516" s="14" t="s">
        <v>90</v>
      </c>
      <c r="K516" s="27">
        <v>1.0E8</v>
      </c>
      <c r="L516" s="29" t="s">
        <v>2640</v>
      </c>
      <c r="M516" s="14"/>
      <c r="N516" s="14" t="s">
        <v>84</v>
      </c>
      <c r="O516" s="31"/>
      <c r="P516" s="14" t="s">
        <v>2641</v>
      </c>
      <c r="Q516" s="36"/>
      <c r="R516" s="36"/>
      <c r="S516" s="36"/>
      <c r="T516" s="36"/>
      <c r="V516" s="31"/>
    </row>
    <row r="517">
      <c r="A517" s="14" t="s">
        <v>1787</v>
      </c>
      <c r="B517" s="14" t="s">
        <v>2642</v>
      </c>
      <c r="C517" s="14" t="s">
        <v>2643</v>
      </c>
      <c r="D517" s="14" t="s">
        <v>40</v>
      </c>
      <c r="E517" s="20" t="str">
        <f t="shared" si="2"/>
        <v>octubre 2025</v>
      </c>
      <c r="F517" s="22">
        <v>45932.0</v>
      </c>
      <c r="G517" s="24">
        <f t="shared" ref="G517:H517" si="522">F517</f>
        <v>45932</v>
      </c>
      <c r="H517" s="26">
        <f t="shared" si="522"/>
        <v>45932</v>
      </c>
      <c r="I517" s="14" t="s">
        <v>90</v>
      </c>
      <c r="K517" s="27">
        <v>1.0E8</v>
      </c>
      <c r="L517" s="29" t="s">
        <v>1210</v>
      </c>
      <c r="M517" s="31"/>
      <c r="N517" s="14" t="s">
        <v>84</v>
      </c>
      <c r="O517" s="31"/>
      <c r="Q517" s="36"/>
      <c r="R517" s="36"/>
      <c r="S517" s="36"/>
      <c r="T517" s="36"/>
      <c r="V517" s="31"/>
    </row>
    <row r="518">
      <c r="A518" s="14" t="s">
        <v>1787</v>
      </c>
      <c r="B518" s="14" t="s">
        <v>2642</v>
      </c>
      <c r="C518" s="14" t="s">
        <v>2644</v>
      </c>
      <c r="D518" s="14" t="s">
        <v>40</v>
      </c>
      <c r="E518" s="20" t="str">
        <f t="shared" si="2"/>
        <v>octubre 2025</v>
      </c>
      <c r="F518" s="22">
        <v>45932.0</v>
      </c>
      <c r="G518" s="24">
        <f t="shared" ref="G518:H518" si="523">F518</f>
        <v>45932</v>
      </c>
      <c r="H518" s="26">
        <f t="shared" si="523"/>
        <v>45932</v>
      </c>
      <c r="I518" s="14" t="s">
        <v>90</v>
      </c>
      <c r="K518" s="27">
        <v>1.0E8</v>
      </c>
      <c r="L518" s="29" t="s">
        <v>1210</v>
      </c>
      <c r="M518" s="31"/>
      <c r="N518" s="14" t="s">
        <v>84</v>
      </c>
      <c r="O518" s="31"/>
      <c r="Q518" s="36"/>
      <c r="R518" s="36"/>
      <c r="S518" s="36"/>
      <c r="T518" s="36"/>
      <c r="V518" s="31"/>
    </row>
    <row r="519">
      <c r="A519" s="14" t="s">
        <v>1787</v>
      </c>
      <c r="B519" s="14" t="s">
        <v>2648</v>
      </c>
      <c r="C519" s="14" t="s">
        <v>2649</v>
      </c>
      <c r="D519" s="14" t="s">
        <v>40</v>
      </c>
      <c r="E519" s="20" t="str">
        <f t="shared" si="2"/>
        <v>octubre 2025</v>
      </c>
      <c r="F519" s="22">
        <v>45932.0</v>
      </c>
      <c r="G519" s="24">
        <f t="shared" ref="G519:H519" si="524">F519</f>
        <v>45932</v>
      </c>
      <c r="H519" s="26">
        <f t="shared" si="524"/>
        <v>45932</v>
      </c>
      <c r="I519" s="14" t="s">
        <v>90</v>
      </c>
      <c r="K519" s="27">
        <v>4.0E7</v>
      </c>
      <c r="L519" s="29" t="s">
        <v>1008</v>
      </c>
      <c r="M519" s="31"/>
      <c r="N519" s="14" t="s">
        <v>84</v>
      </c>
      <c r="O519" s="31"/>
      <c r="Q519" s="36"/>
      <c r="R519" s="36"/>
      <c r="S519" s="36"/>
      <c r="T519" s="36"/>
      <c r="V519" s="31"/>
    </row>
    <row r="520">
      <c r="A520" s="14" t="s">
        <v>1787</v>
      </c>
      <c r="B520" s="14" t="s">
        <v>2653</v>
      </c>
      <c r="C520" s="14" t="s">
        <v>2654</v>
      </c>
      <c r="D520" s="14" t="s">
        <v>40</v>
      </c>
      <c r="E520" s="20" t="str">
        <f t="shared" si="2"/>
        <v>octubre 2025</v>
      </c>
      <c r="F520" s="22">
        <v>45933.0</v>
      </c>
      <c r="G520" s="24">
        <f t="shared" ref="G520:H520" si="525">F520</f>
        <v>45933</v>
      </c>
      <c r="H520" s="26">
        <f t="shared" si="525"/>
        <v>45933</v>
      </c>
      <c r="I520" s="14" t="s">
        <v>90</v>
      </c>
      <c r="K520" s="27">
        <v>9.0E7</v>
      </c>
      <c r="L520" s="29" t="s">
        <v>1210</v>
      </c>
      <c r="M520" s="31"/>
      <c r="N520" s="14" t="s">
        <v>84</v>
      </c>
      <c r="O520" s="31"/>
      <c r="Q520" s="36"/>
      <c r="R520" s="36"/>
      <c r="S520" s="36"/>
      <c r="T520" s="36"/>
      <c r="V520" s="31"/>
    </row>
    <row r="521">
      <c r="A521" s="14" t="s">
        <v>1012</v>
      </c>
      <c r="B521" s="14" t="s">
        <v>2656</v>
      </c>
      <c r="C521" s="14" t="s">
        <v>2657</v>
      </c>
      <c r="D521" s="14" t="s">
        <v>40</v>
      </c>
      <c r="E521" s="20" t="str">
        <f t="shared" si="2"/>
        <v>octubre 2025</v>
      </c>
      <c r="F521" s="22">
        <v>45931.0</v>
      </c>
      <c r="G521" s="24">
        <f t="shared" ref="G521:H521" si="526">F521</f>
        <v>45931</v>
      </c>
      <c r="H521" s="26">
        <f t="shared" si="526"/>
        <v>45931</v>
      </c>
      <c r="I521" s="14" t="s">
        <v>90</v>
      </c>
      <c r="K521" s="27">
        <v>1.0E8</v>
      </c>
      <c r="L521" s="29" t="s">
        <v>2658</v>
      </c>
      <c r="M521" s="31"/>
      <c r="N521" s="14" t="s">
        <v>84</v>
      </c>
      <c r="O521" s="31"/>
      <c r="Q521" s="36"/>
      <c r="R521" s="36"/>
      <c r="S521" s="36"/>
      <c r="T521" s="36"/>
      <c r="V521" s="31"/>
    </row>
    <row r="522">
      <c r="A522" s="14" t="s">
        <v>1012</v>
      </c>
      <c r="B522" s="14" t="s">
        <v>2659</v>
      </c>
      <c r="C522" s="14" t="s">
        <v>2660</v>
      </c>
      <c r="D522" s="14" t="s">
        <v>40</v>
      </c>
      <c r="E522" s="20" t="str">
        <f t="shared" si="2"/>
        <v>octubre 2025</v>
      </c>
      <c r="F522" s="22">
        <v>45931.0</v>
      </c>
      <c r="G522" s="24">
        <f t="shared" ref="G522:H522" si="527">F522</f>
        <v>45931</v>
      </c>
      <c r="H522" s="26">
        <f t="shared" si="527"/>
        <v>45931</v>
      </c>
      <c r="I522" s="14" t="s">
        <v>90</v>
      </c>
      <c r="K522" s="27">
        <v>1.5E8</v>
      </c>
      <c r="L522" s="29" t="s">
        <v>2661</v>
      </c>
      <c r="M522" s="31"/>
      <c r="N522" s="14" t="s">
        <v>84</v>
      </c>
      <c r="O522" s="31"/>
      <c r="Q522" s="36"/>
      <c r="R522" s="36"/>
      <c r="S522" s="36"/>
      <c r="T522" s="36"/>
      <c r="V522" s="31"/>
    </row>
    <row r="523">
      <c r="A523" s="14" t="s">
        <v>1045</v>
      </c>
      <c r="B523" s="14" t="s">
        <v>2662</v>
      </c>
      <c r="C523" s="14" t="s">
        <v>2663</v>
      </c>
      <c r="D523" s="14" t="s">
        <v>40</v>
      </c>
      <c r="E523" s="20" t="str">
        <f t="shared" si="2"/>
        <v>octubre 2025</v>
      </c>
      <c r="F523" s="22">
        <v>45933.0</v>
      </c>
      <c r="G523" s="24">
        <f t="shared" ref="G523:H523" si="528">F523</f>
        <v>45933</v>
      </c>
      <c r="H523" s="26">
        <f t="shared" si="528"/>
        <v>45933</v>
      </c>
      <c r="I523" s="14" t="s">
        <v>90</v>
      </c>
      <c r="K523" s="27">
        <v>2.5E7</v>
      </c>
      <c r="L523" s="29" t="s">
        <v>1008</v>
      </c>
      <c r="M523" s="31"/>
      <c r="N523" s="14" t="s">
        <v>84</v>
      </c>
      <c r="O523" s="31"/>
      <c r="Q523" s="36"/>
      <c r="R523" s="36"/>
      <c r="S523" s="36"/>
      <c r="T523" s="36"/>
      <c r="V523" s="31"/>
    </row>
    <row r="524">
      <c r="A524" s="14" t="s">
        <v>1787</v>
      </c>
      <c r="B524" s="14" t="s">
        <v>2664</v>
      </c>
      <c r="C524" s="14" t="s">
        <v>2665</v>
      </c>
      <c r="D524" s="14" t="s">
        <v>40</v>
      </c>
      <c r="E524" s="20" t="str">
        <f t="shared" si="2"/>
        <v>octubre 2025</v>
      </c>
      <c r="F524" s="22">
        <v>45936.0</v>
      </c>
      <c r="G524" s="24">
        <f t="shared" ref="G524:H524" si="529">F524</f>
        <v>45936</v>
      </c>
      <c r="H524" s="26">
        <f t="shared" si="529"/>
        <v>45936</v>
      </c>
      <c r="I524" s="14" t="s">
        <v>90</v>
      </c>
      <c r="K524" s="27">
        <v>1.0E7</v>
      </c>
      <c r="L524" s="29" t="s">
        <v>1203</v>
      </c>
      <c r="M524" s="31"/>
      <c r="N524" s="14" t="s">
        <v>84</v>
      </c>
      <c r="O524" s="31"/>
      <c r="Q524" s="36"/>
      <c r="R524" s="36"/>
      <c r="S524" s="36"/>
      <c r="T524" s="36"/>
      <c r="V524" s="31"/>
    </row>
    <row r="525">
      <c r="A525" s="14" t="s">
        <v>736</v>
      </c>
      <c r="B525" s="14" t="s">
        <v>2668</v>
      </c>
      <c r="C525" s="14" t="s">
        <v>2669</v>
      </c>
      <c r="D525" s="14" t="s">
        <v>40</v>
      </c>
      <c r="E525" s="20" t="str">
        <f t="shared" si="2"/>
        <v>octubre 2025</v>
      </c>
      <c r="F525" s="22">
        <v>45932.0</v>
      </c>
      <c r="G525" s="24">
        <f t="shared" ref="G525:H525" si="530">F525</f>
        <v>45932</v>
      </c>
      <c r="H525" s="26">
        <f t="shared" si="530"/>
        <v>45932</v>
      </c>
      <c r="I525" s="14" t="s">
        <v>90</v>
      </c>
      <c r="K525" s="27">
        <v>1.0E7</v>
      </c>
      <c r="L525" s="29" t="s">
        <v>1203</v>
      </c>
      <c r="M525" s="31"/>
      <c r="N525" s="14" t="s">
        <v>84</v>
      </c>
      <c r="O525" s="31"/>
      <c r="Q525" s="36"/>
      <c r="R525" s="36"/>
      <c r="S525" s="36"/>
      <c r="T525" s="36"/>
      <c r="V525" s="31"/>
    </row>
    <row r="526">
      <c r="A526" s="14" t="s">
        <v>1787</v>
      </c>
      <c r="B526" s="14" t="s">
        <v>2670</v>
      </c>
      <c r="C526" s="14" t="s">
        <v>2671</v>
      </c>
      <c r="D526" s="14" t="s">
        <v>40</v>
      </c>
      <c r="E526" s="20" t="str">
        <f t="shared" si="2"/>
        <v>octubre 2025</v>
      </c>
      <c r="F526" s="22">
        <v>45937.0</v>
      </c>
      <c r="G526" s="24">
        <f t="shared" ref="G526:H526" si="531">F526</f>
        <v>45937</v>
      </c>
      <c r="H526" s="26">
        <f t="shared" si="531"/>
        <v>45937</v>
      </c>
      <c r="I526" s="14" t="s">
        <v>90</v>
      </c>
      <c r="K526" s="27">
        <v>1.0E7</v>
      </c>
      <c r="L526" s="29" t="s">
        <v>1203</v>
      </c>
      <c r="M526" s="31"/>
      <c r="N526" s="14" t="s">
        <v>84</v>
      </c>
      <c r="O526" s="31"/>
      <c r="Q526" s="36"/>
      <c r="R526" s="36"/>
      <c r="S526" s="36"/>
      <c r="T526" s="36"/>
      <c r="V526" s="31"/>
    </row>
    <row r="527">
      <c r="A527" s="14" t="s">
        <v>736</v>
      </c>
      <c r="B527" s="14" t="s">
        <v>2672</v>
      </c>
      <c r="C527" s="95" t="s">
        <v>2673</v>
      </c>
      <c r="D527" s="14" t="s">
        <v>40</v>
      </c>
      <c r="E527" s="20" t="str">
        <f t="shared" si="2"/>
        <v>octubre 2025</v>
      </c>
      <c r="F527" s="22">
        <v>45939.0</v>
      </c>
      <c r="G527" s="24">
        <f t="shared" ref="G527:H527" si="532">F527</f>
        <v>45939</v>
      </c>
      <c r="H527" s="26">
        <f t="shared" si="532"/>
        <v>45939</v>
      </c>
      <c r="I527" s="14" t="s">
        <v>90</v>
      </c>
      <c r="K527" s="27">
        <v>1.0E7</v>
      </c>
      <c r="L527" s="29" t="s">
        <v>1203</v>
      </c>
      <c r="M527" s="31"/>
      <c r="N527" s="14" t="s">
        <v>84</v>
      </c>
      <c r="O527" s="31"/>
      <c r="Q527" s="36"/>
      <c r="R527" s="36"/>
      <c r="S527" s="36"/>
      <c r="T527" s="36"/>
      <c r="V527" s="31"/>
    </row>
    <row r="528">
      <c r="A528" s="37" t="s">
        <v>66</v>
      </c>
      <c r="B528" s="14" t="s">
        <v>2674</v>
      </c>
      <c r="C528" s="14" t="s">
        <v>2675</v>
      </c>
      <c r="D528" s="14" t="s">
        <v>133</v>
      </c>
      <c r="E528" s="20" t="str">
        <f t="shared" si="2"/>
        <v>octubre 2025</v>
      </c>
      <c r="F528" s="22">
        <v>45932.0</v>
      </c>
      <c r="G528" s="24">
        <f t="shared" ref="G528:H528" si="533">F528</f>
        <v>45932</v>
      </c>
      <c r="H528" s="26">
        <f t="shared" si="533"/>
        <v>45932</v>
      </c>
      <c r="I528" s="14" t="s">
        <v>1865</v>
      </c>
      <c r="K528" s="27">
        <v>2.0E8</v>
      </c>
      <c r="L528" s="29" t="s">
        <v>1008</v>
      </c>
      <c r="M528" s="156"/>
      <c r="N528" s="14" t="s">
        <v>84</v>
      </c>
      <c r="O528" s="14" t="s">
        <v>40</v>
      </c>
      <c r="P528" s="156" t="s">
        <v>2676</v>
      </c>
      <c r="Q528" s="36"/>
      <c r="R528" s="36"/>
      <c r="S528" s="36"/>
      <c r="T528" s="36"/>
      <c r="V528" s="31"/>
    </row>
    <row r="529">
      <c r="A529" s="37" t="s">
        <v>66</v>
      </c>
      <c r="B529" s="14" t="s">
        <v>2678</v>
      </c>
      <c r="C529" s="14" t="s">
        <v>2679</v>
      </c>
      <c r="D529" s="14" t="s">
        <v>133</v>
      </c>
      <c r="E529" s="20" t="str">
        <f t="shared" si="2"/>
        <v>octubre 2025</v>
      </c>
      <c r="F529" s="22">
        <v>45937.0</v>
      </c>
      <c r="G529" s="24">
        <f t="shared" ref="G529:H529" si="534">F529</f>
        <v>45937</v>
      </c>
      <c r="H529" s="26">
        <f t="shared" si="534"/>
        <v>45937</v>
      </c>
      <c r="I529" s="14" t="s">
        <v>1865</v>
      </c>
      <c r="K529" s="27">
        <v>3.0E8</v>
      </c>
      <c r="L529" s="29" t="s">
        <v>2680</v>
      </c>
      <c r="M529" s="156"/>
      <c r="N529" s="14" t="s">
        <v>84</v>
      </c>
      <c r="O529" s="14" t="s">
        <v>40</v>
      </c>
      <c r="P529" s="156" t="s">
        <v>2681</v>
      </c>
      <c r="Q529" s="36"/>
      <c r="R529" s="36"/>
      <c r="S529" s="36"/>
      <c r="T529" s="36"/>
      <c r="V529" s="31"/>
    </row>
    <row r="530">
      <c r="A530" s="14" t="s">
        <v>1045</v>
      </c>
      <c r="B530" s="14" t="s">
        <v>2682</v>
      </c>
      <c r="C530" s="14" t="s">
        <v>2683</v>
      </c>
      <c r="D530" s="14" t="s">
        <v>40</v>
      </c>
      <c r="E530" s="20" t="str">
        <f t="shared" si="2"/>
        <v>octubre 2025</v>
      </c>
      <c r="F530" s="22">
        <v>45936.0</v>
      </c>
      <c r="G530" s="24">
        <f t="shared" ref="G530:H530" si="535">F530</f>
        <v>45936</v>
      </c>
      <c r="H530" s="26">
        <f t="shared" si="535"/>
        <v>45936</v>
      </c>
      <c r="I530" s="14" t="s">
        <v>90</v>
      </c>
      <c r="K530" s="27">
        <v>5.0E7</v>
      </c>
      <c r="L530" s="15" t="s">
        <v>2661</v>
      </c>
      <c r="M530" s="31"/>
      <c r="N530" s="14" t="s">
        <v>84</v>
      </c>
      <c r="O530" s="31"/>
      <c r="Q530" s="36"/>
      <c r="R530" s="36"/>
      <c r="S530" s="36"/>
      <c r="T530" s="36"/>
      <c r="V530" s="31"/>
    </row>
    <row r="531">
      <c r="A531" s="14" t="s">
        <v>1045</v>
      </c>
      <c r="B531" s="14" t="s">
        <v>2684</v>
      </c>
      <c r="C531" s="14" t="s">
        <v>2685</v>
      </c>
      <c r="D531" s="14" t="s">
        <v>40</v>
      </c>
      <c r="E531" s="20" t="str">
        <f t="shared" si="2"/>
        <v>octubre 2025</v>
      </c>
      <c r="F531" s="22">
        <v>45936.0</v>
      </c>
      <c r="G531" s="24">
        <f t="shared" ref="G531:H531" si="536">F531</f>
        <v>45936</v>
      </c>
      <c r="H531" s="26">
        <f t="shared" si="536"/>
        <v>45936</v>
      </c>
      <c r="I531" s="14" t="s">
        <v>90</v>
      </c>
      <c r="K531" s="27">
        <v>2.5E7</v>
      </c>
      <c r="L531" s="29" t="s">
        <v>1008</v>
      </c>
      <c r="M531" s="31"/>
      <c r="N531" s="14" t="s">
        <v>84</v>
      </c>
      <c r="O531" s="31"/>
      <c r="Q531" s="36"/>
      <c r="R531" s="36"/>
      <c r="S531" s="36"/>
      <c r="T531" s="36"/>
      <c r="V531" s="31"/>
    </row>
    <row r="532">
      <c r="A532" s="14" t="s">
        <v>1045</v>
      </c>
      <c r="B532" s="14" t="s">
        <v>2686</v>
      </c>
      <c r="C532" s="14" t="s">
        <v>2687</v>
      </c>
      <c r="D532" s="14" t="s">
        <v>40</v>
      </c>
      <c r="E532" s="20" t="str">
        <f t="shared" si="2"/>
        <v>octubre 2025</v>
      </c>
      <c r="F532" s="22">
        <v>45937.0</v>
      </c>
      <c r="G532" s="24">
        <f t="shared" ref="G532:H532" si="537">F532</f>
        <v>45937</v>
      </c>
      <c r="H532" s="26">
        <f t="shared" si="537"/>
        <v>45937</v>
      </c>
      <c r="I532" s="14" t="s">
        <v>90</v>
      </c>
      <c r="K532" s="27">
        <v>1.0E7</v>
      </c>
      <c r="L532" s="29" t="s">
        <v>1203</v>
      </c>
      <c r="M532" s="31"/>
      <c r="N532" s="14" t="s">
        <v>84</v>
      </c>
      <c r="O532" s="31"/>
      <c r="Q532" s="36"/>
      <c r="R532" s="36"/>
      <c r="S532" s="36"/>
      <c r="T532" s="36"/>
      <c r="V532" s="31"/>
    </row>
    <row r="533">
      <c r="A533" s="14" t="s">
        <v>1045</v>
      </c>
      <c r="B533" s="14" t="s">
        <v>2688</v>
      </c>
      <c r="C533" s="14" t="s">
        <v>2689</v>
      </c>
      <c r="D533" s="14" t="s">
        <v>133</v>
      </c>
      <c r="E533" s="20" t="str">
        <f t="shared" si="2"/>
        <v>octubre 2025</v>
      </c>
      <c r="F533" s="22">
        <v>45938.0</v>
      </c>
      <c r="G533" s="24">
        <f t="shared" ref="G533:H533" si="538">F533</f>
        <v>45938</v>
      </c>
      <c r="H533" s="26">
        <f t="shared" si="538"/>
        <v>45938</v>
      </c>
      <c r="I533" s="14" t="s">
        <v>1865</v>
      </c>
      <c r="K533" s="27">
        <v>1.0E8</v>
      </c>
      <c r="L533" s="29" t="s">
        <v>2447</v>
      </c>
      <c r="M533" s="14"/>
      <c r="N533" s="14" t="s">
        <v>84</v>
      </c>
      <c r="O533" s="14" t="s">
        <v>40</v>
      </c>
      <c r="P533" s="14" t="s">
        <v>2624</v>
      </c>
      <c r="Q533" s="36"/>
      <c r="R533" s="36"/>
      <c r="S533" s="36"/>
      <c r="T533" s="36"/>
      <c r="V533" s="31"/>
    </row>
    <row r="534">
      <c r="A534" s="14" t="s">
        <v>1045</v>
      </c>
      <c r="B534" s="14" t="s">
        <v>2690</v>
      </c>
      <c r="C534" s="14" t="s">
        <v>2691</v>
      </c>
      <c r="D534" s="14" t="s">
        <v>133</v>
      </c>
      <c r="E534" s="20" t="str">
        <f t="shared" si="2"/>
        <v>octubre 2025</v>
      </c>
      <c r="F534" s="22">
        <v>45939.0</v>
      </c>
      <c r="G534" s="24">
        <f t="shared" ref="G534:H534" si="539">F534</f>
        <v>45939</v>
      </c>
      <c r="H534" s="26">
        <f t="shared" si="539"/>
        <v>45939</v>
      </c>
      <c r="I534" s="14" t="s">
        <v>2398</v>
      </c>
      <c r="K534" s="27">
        <v>1.8E8</v>
      </c>
      <c r="L534" s="29" t="s">
        <v>2692</v>
      </c>
      <c r="M534" s="14"/>
      <c r="N534" s="14" t="s">
        <v>84</v>
      </c>
      <c r="O534" s="14" t="s">
        <v>40</v>
      </c>
      <c r="P534" s="14" t="s">
        <v>2693</v>
      </c>
      <c r="Q534" s="36"/>
      <c r="R534" s="36"/>
      <c r="S534" s="36"/>
      <c r="T534" s="36"/>
      <c r="V534" s="31"/>
    </row>
    <row r="535">
      <c r="A535" s="14" t="s">
        <v>1787</v>
      </c>
      <c r="B535" s="14" t="s">
        <v>2694</v>
      </c>
      <c r="C535" s="14" t="s">
        <v>2695</v>
      </c>
      <c r="D535" s="14" t="s">
        <v>40</v>
      </c>
      <c r="E535" s="20" t="str">
        <f t="shared" si="2"/>
        <v>octubre 2025</v>
      </c>
      <c r="F535" s="22">
        <v>45940.0</v>
      </c>
      <c r="G535" s="24">
        <f t="shared" ref="G535:H535" si="540">F535</f>
        <v>45940</v>
      </c>
      <c r="H535" s="26">
        <f t="shared" si="540"/>
        <v>45940</v>
      </c>
      <c r="I535" s="14" t="s">
        <v>259</v>
      </c>
      <c r="K535" s="27">
        <v>6.0E7</v>
      </c>
      <c r="L535" s="29" t="s">
        <v>2634</v>
      </c>
      <c r="M535" s="31"/>
      <c r="N535" s="14" t="s">
        <v>84</v>
      </c>
      <c r="O535" s="14" t="s">
        <v>40</v>
      </c>
      <c r="Q535" s="36"/>
      <c r="R535" s="36"/>
      <c r="S535" s="36"/>
      <c r="T535" s="36"/>
      <c r="V535" s="31"/>
    </row>
    <row r="536">
      <c r="A536" s="14" t="s">
        <v>36</v>
      </c>
      <c r="B536" s="14" t="s">
        <v>2696</v>
      </c>
      <c r="C536" s="14" t="s">
        <v>2697</v>
      </c>
      <c r="D536" s="14" t="s">
        <v>40</v>
      </c>
      <c r="E536" s="20" t="str">
        <f t="shared" si="2"/>
        <v>octubre 2025</v>
      </c>
      <c r="F536" s="22">
        <v>45940.0</v>
      </c>
      <c r="G536" s="24">
        <f t="shared" ref="G536:H536" si="541">F536</f>
        <v>45940</v>
      </c>
      <c r="H536" s="26">
        <f t="shared" si="541"/>
        <v>45940</v>
      </c>
      <c r="I536" s="14" t="s">
        <v>259</v>
      </c>
      <c r="K536" s="27">
        <v>6.5E8</v>
      </c>
      <c r="L536" s="29" t="s">
        <v>2520</v>
      </c>
      <c r="M536" s="14"/>
      <c r="N536" s="14" t="s">
        <v>84</v>
      </c>
      <c r="O536" s="14" t="s">
        <v>40</v>
      </c>
      <c r="P536" s="14" t="s">
        <v>2698</v>
      </c>
      <c r="Q536" s="36"/>
      <c r="R536" s="36"/>
      <c r="S536" s="36"/>
      <c r="T536" s="36"/>
      <c r="V536" s="31"/>
    </row>
    <row r="537">
      <c r="A537" s="14" t="s">
        <v>117</v>
      </c>
      <c r="B537" s="14" t="s">
        <v>2699</v>
      </c>
      <c r="C537" s="14" t="s">
        <v>576</v>
      </c>
      <c r="D537" s="14" t="s">
        <v>40</v>
      </c>
      <c r="E537" s="20" t="str">
        <f t="shared" si="2"/>
        <v>octubre 2025</v>
      </c>
      <c r="F537" s="22">
        <v>45931.0</v>
      </c>
      <c r="G537" s="24">
        <f t="shared" ref="G537:H537" si="542">F537</f>
        <v>45931</v>
      </c>
      <c r="H537" s="26">
        <f t="shared" si="542"/>
        <v>45931</v>
      </c>
      <c r="I537" s="14" t="s">
        <v>90</v>
      </c>
      <c r="K537" s="27">
        <v>5.0E7</v>
      </c>
      <c r="L537" s="29" t="s">
        <v>2700</v>
      </c>
      <c r="M537" s="31"/>
      <c r="N537" s="14" t="s">
        <v>84</v>
      </c>
      <c r="O537" s="31"/>
      <c r="Q537" s="36"/>
      <c r="R537" s="36"/>
      <c r="S537" s="36"/>
      <c r="T537" s="36"/>
      <c r="V537" s="31"/>
    </row>
    <row r="538">
      <c r="A538" s="14" t="s">
        <v>117</v>
      </c>
      <c r="B538" s="14" t="s">
        <v>2701</v>
      </c>
      <c r="C538" s="14" t="s">
        <v>2702</v>
      </c>
      <c r="D538" s="14" t="s">
        <v>40</v>
      </c>
      <c r="E538" s="20" t="str">
        <f t="shared" si="2"/>
        <v>octubre 2025</v>
      </c>
      <c r="F538" s="22">
        <v>45940.0</v>
      </c>
      <c r="G538" s="24">
        <f t="shared" ref="G538:H538" si="543">F538</f>
        <v>45940</v>
      </c>
      <c r="H538" s="26">
        <f t="shared" si="543"/>
        <v>45940</v>
      </c>
      <c r="I538" s="14" t="s">
        <v>90</v>
      </c>
      <c r="K538" s="27">
        <v>6.0E7</v>
      </c>
      <c r="L538" s="29" t="s">
        <v>1153</v>
      </c>
      <c r="M538" s="31"/>
      <c r="N538" s="14" t="s">
        <v>84</v>
      </c>
      <c r="O538" s="31"/>
      <c r="Q538" s="36"/>
      <c r="R538" s="36"/>
      <c r="S538" s="36"/>
      <c r="T538" s="36"/>
      <c r="V538" s="31"/>
    </row>
    <row r="539">
      <c r="A539" s="14" t="s">
        <v>1045</v>
      </c>
      <c r="B539" s="14" t="s">
        <v>2703</v>
      </c>
      <c r="C539" s="14" t="s">
        <v>2704</v>
      </c>
      <c r="D539" s="14" t="s">
        <v>133</v>
      </c>
      <c r="E539" s="20" t="str">
        <f t="shared" si="2"/>
        <v>octubre 2025</v>
      </c>
      <c r="F539" s="22">
        <v>45944.0</v>
      </c>
      <c r="G539" s="24">
        <f t="shared" ref="G539:H539" si="544">F539</f>
        <v>45944</v>
      </c>
      <c r="H539" s="26">
        <f t="shared" si="544"/>
        <v>45944</v>
      </c>
      <c r="I539" s="14" t="s">
        <v>1865</v>
      </c>
      <c r="K539" s="27">
        <v>1.7E9</v>
      </c>
      <c r="L539" s="29" t="s">
        <v>2705</v>
      </c>
      <c r="M539" s="14"/>
      <c r="N539" s="14" t="s">
        <v>84</v>
      </c>
      <c r="O539" s="14" t="s">
        <v>40</v>
      </c>
      <c r="P539" s="14" t="s">
        <v>2706</v>
      </c>
      <c r="Q539" s="36"/>
      <c r="R539" s="36"/>
      <c r="S539" s="36"/>
      <c r="T539" s="36"/>
      <c r="V539" s="31"/>
    </row>
    <row r="540">
      <c r="A540" s="14" t="s">
        <v>1045</v>
      </c>
      <c r="B540" s="14" t="s">
        <v>2707</v>
      </c>
      <c r="C540" s="14" t="s">
        <v>2708</v>
      </c>
      <c r="D540" s="14" t="s">
        <v>40</v>
      </c>
      <c r="E540" s="20" t="str">
        <f t="shared" si="2"/>
        <v>octubre 2025</v>
      </c>
      <c r="F540" s="22">
        <v>45944.0</v>
      </c>
      <c r="G540" s="24">
        <f t="shared" ref="G540:H540" si="545">F540</f>
        <v>45944</v>
      </c>
      <c r="H540" s="26">
        <f t="shared" si="545"/>
        <v>45944</v>
      </c>
      <c r="I540" s="14" t="s">
        <v>90</v>
      </c>
      <c r="K540" s="27">
        <v>2.5E7</v>
      </c>
      <c r="L540" s="29" t="s">
        <v>1008</v>
      </c>
      <c r="M540" s="31"/>
      <c r="N540" s="14" t="s">
        <v>133</v>
      </c>
      <c r="O540" s="31"/>
      <c r="Q540" s="36"/>
      <c r="R540" s="36"/>
      <c r="S540" s="36"/>
      <c r="T540" s="36"/>
      <c r="V540" s="31"/>
    </row>
    <row r="541">
      <c r="A541" s="14" t="s">
        <v>1045</v>
      </c>
      <c r="B541" s="14" t="s">
        <v>2709</v>
      </c>
      <c r="C541" s="14" t="s">
        <v>2710</v>
      </c>
      <c r="D541" s="14" t="s">
        <v>40</v>
      </c>
      <c r="E541" s="20" t="str">
        <f t="shared" si="2"/>
        <v>octubre 2025</v>
      </c>
      <c r="F541" s="22">
        <v>45944.0</v>
      </c>
      <c r="G541" s="24">
        <f t="shared" ref="G541:H541" si="546">F541</f>
        <v>45944</v>
      </c>
      <c r="H541" s="26">
        <f t="shared" si="546"/>
        <v>45944</v>
      </c>
      <c r="I541" s="14" t="s">
        <v>90</v>
      </c>
      <c r="K541" s="27">
        <v>1.0E7</v>
      </c>
      <c r="L541" s="29" t="s">
        <v>1203</v>
      </c>
      <c r="M541" s="31"/>
      <c r="N541" s="14" t="s">
        <v>133</v>
      </c>
      <c r="O541" s="31"/>
      <c r="Q541" s="36"/>
      <c r="R541" s="36"/>
      <c r="S541" s="36"/>
      <c r="T541" s="36"/>
      <c r="V541" s="31"/>
    </row>
    <row r="542">
      <c r="A542" s="14" t="s">
        <v>1045</v>
      </c>
      <c r="B542" s="14" t="s">
        <v>2711</v>
      </c>
      <c r="C542" s="14" t="s">
        <v>2712</v>
      </c>
      <c r="D542" s="14" t="s">
        <v>40</v>
      </c>
      <c r="E542" s="20" t="str">
        <f t="shared" si="2"/>
        <v>octubre 2025</v>
      </c>
      <c r="F542" s="22">
        <v>45945.0</v>
      </c>
      <c r="G542" s="24">
        <f t="shared" ref="G542:H542" si="547">F542</f>
        <v>45945</v>
      </c>
      <c r="H542" s="26">
        <f t="shared" si="547"/>
        <v>45945</v>
      </c>
      <c r="I542" s="14" t="s">
        <v>90</v>
      </c>
      <c r="K542" s="27">
        <v>1.0E8</v>
      </c>
      <c r="L542" s="29" t="s">
        <v>1210</v>
      </c>
      <c r="M542" s="14"/>
      <c r="N542" s="14" t="s">
        <v>84</v>
      </c>
      <c r="O542" s="31"/>
      <c r="P542" s="14" t="s">
        <v>2713</v>
      </c>
      <c r="Q542" s="36"/>
      <c r="R542" s="36"/>
      <c r="S542" s="36"/>
      <c r="T542" s="36"/>
      <c r="V542" s="31"/>
    </row>
    <row r="543">
      <c r="A543" s="14" t="s">
        <v>1045</v>
      </c>
      <c r="B543" s="14" t="s">
        <v>2714</v>
      </c>
      <c r="C543" s="14" t="s">
        <v>2715</v>
      </c>
      <c r="D543" s="14" t="s">
        <v>40</v>
      </c>
      <c r="E543" s="20" t="str">
        <f t="shared" si="2"/>
        <v>octubre 2025</v>
      </c>
      <c r="F543" s="22">
        <v>45945.0</v>
      </c>
      <c r="G543" s="24">
        <f t="shared" ref="G543:H543" si="548">F543</f>
        <v>45945</v>
      </c>
      <c r="H543" s="26">
        <f t="shared" si="548"/>
        <v>45945</v>
      </c>
      <c r="I543" s="14" t="s">
        <v>90</v>
      </c>
      <c r="K543" s="27">
        <v>1.0E7</v>
      </c>
      <c r="L543" s="29" t="s">
        <v>1203</v>
      </c>
      <c r="M543" s="31"/>
      <c r="N543" s="14" t="s">
        <v>84</v>
      </c>
      <c r="O543" s="31"/>
      <c r="Q543" s="36"/>
      <c r="R543" s="36"/>
      <c r="S543" s="36"/>
      <c r="T543" s="36"/>
      <c r="V543" s="31"/>
    </row>
    <row r="544">
      <c r="A544" s="14" t="s">
        <v>1045</v>
      </c>
      <c r="B544" s="14" t="s">
        <v>2716</v>
      </c>
      <c r="C544" s="14" t="s">
        <v>2717</v>
      </c>
      <c r="D544" s="14" t="s">
        <v>40</v>
      </c>
      <c r="E544" s="20" t="str">
        <f t="shared" si="2"/>
        <v>octubre 2025</v>
      </c>
      <c r="F544" s="22">
        <v>45946.0</v>
      </c>
      <c r="G544" s="24">
        <f t="shared" ref="G544:H544" si="549">F544</f>
        <v>45946</v>
      </c>
      <c r="H544" s="26">
        <f t="shared" si="549"/>
        <v>45946</v>
      </c>
      <c r="I544" s="14" t="s">
        <v>90</v>
      </c>
      <c r="K544" s="27">
        <v>1.0E8</v>
      </c>
      <c r="L544" s="29" t="s">
        <v>1210</v>
      </c>
      <c r="M544" s="14"/>
      <c r="N544" s="14" t="s">
        <v>84</v>
      </c>
      <c r="O544" s="31"/>
      <c r="P544" s="14" t="s">
        <v>2718</v>
      </c>
      <c r="Q544" s="36"/>
      <c r="R544" s="36"/>
      <c r="S544" s="36"/>
      <c r="T544" s="36"/>
      <c r="V544" s="31"/>
    </row>
    <row r="545">
      <c r="A545" s="108" t="s">
        <v>1075</v>
      </c>
      <c r="B545" s="14" t="s">
        <v>2719</v>
      </c>
      <c r="C545" s="14" t="s">
        <v>2720</v>
      </c>
      <c r="D545" s="14" t="s">
        <v>40</v>
      </c>
      <c r="E545" s="20" t="str">
        <f t="shared" si="2"/>
        <v>octubre 2025</v>
      </c>
      <c r="F545" s="22">
        <v>45947.0</v>
      </c>
      <c r="G545" s="24">
        <f t="shared" ref="G545:H545" si="550">F545</f>
        <v>45947</v>
      </c>
      <c r="H545" s="26">
        <f t="shared" si="550"/>
        <v>45947</v>
      </c>
      <c r="I545" s="14" t="s">
        <v>90</v>
      </c>
      <c r="K545" s="27">
        <v>2.0E8</v>
      </c>
      <c r="L545" s="29" t="s">
        <v>2721</v>
      </c>
      <c r="M545" s="14"/>
      <c r="N545" s="14" t="s">
        <v>84</v>
      </c>
      <c r="O545" s="31"/>
      <c r="P545" s="14" t="s">
        <v>2722</v>
      </c>
      <c r="Q545" s="36"/>
      <c r="R545" s="36"/>
      <c r="S545" s="36"/>
      <c r="T545" s="36"/>
      <c r="V545" s="31"/>
    </row>
    <row r="546">
      <c r="A546" s="108" t="s">
        <v>1075</v>
      </c>
      <c r="B546" s="14" t="s">
        <v>2723</v>
      </c>
      <c r="C546" s="14" t="s">
        <v>2724</v>
      </c>
      <c r="D546" s="14" t="s">
        <v>40</v>
      </c>
      <c r="E546" s="20" t="str">
        <f t="shared" si="2"/>
        <v>octubre 2025</v>
      </c>
      <c r="F546" s="22">
        <v>45947.0</v>
      </c>
      <c r="G546" s="24">
        <f t="shared" ref="G546:H546" si="551">F546</f>
        <v>45947</v>
      </c>
      <c r="H546" s="26">
        <f t="shared" si="551"/>
        <v>45947</v>
      </c>
      <c r="I546" s="14" t="s">
        <v>90</v>
      </c>
      <c r="K546" s="27">
        <v>1.2E8</v>
      </c>
      <c r="L546" s="29" t="s">
        <v>1210</v>
      </c>
      <c r="M546" s="14"/>
      <c r="N546" s="14" t="s">
        <v>84</v>
      </c>
      <c r="O546" s="31"/>
      <c r="P546" s="14" t="s">
        <v>2630</v>
      </c>
      <c r="Q546" s="36"/>
      <c r="R546" s="36"/>
      <c r="S546" s="36"/>
      <c r="T546" s="36"/>
      <c r="V546" s="31"/>
    </row>
    <row r="547">
      <c r="A547" s="14" t="s">
        <v>208</v>
      </c>
      <c r="B547" s="14" t="s">
        <v>2725</v>
      </c>
      <c r="C547" s="14" t="s">
        <v>2726</v>
      </c>
      <c r="D547" s="14" t="s">
        <v>133</v>
      </c>
      <c r="E547" s="20" t="str">
        <f t="shared" si="2"/>
        <v>octubre 2025</v>
      </c>
      <c r="F547" s="22">
        <v>45947.0</v>
      </c>
      <c r="G547" s="24">
        <f t="shared" ref="G547:H547" si="552">F547</f>
        <v>45947</v>
      </c>
      <c r="H547" s="26">
        <f t="shared" si="552"/>
        <v>45947</v>
      </c>
      <c r="I547" s="14" t="s">
        <v>2398</v>
      </c>
      <c r="K547" s="27">
        <v>3.0E8</v>
      </c>
      <c r="L547" s="29" t="s">
        <v>2727</v>
      </c>
      <c r="M547" s="14"/>
      <c r="N547" s="14" t="s">
        <v>133</v>
      </c>
      <c r="O547" s="31"/>
      <c r="P547" s="14" t="s">
        <v>2630</v>
      </c>
      <c r="Q547" s="36"/>
      <c r="R547" s="36"/>
      <c r="S547" s="36"/>
      <c r="T547" s="36"/>
      <c r="V547" s="31"/>
    </row>
    <row r="548">
      <c r="A548" s="14" t="s">
        <v>1045</v>
      </c>
      <c r="B548" s="14" t="s">
        <v>2728</v>
      </c>
      <c r="C548" s="14" t="s">
        <v>2729</v>
      </c>
      <c r="D548" s="14" t="s">
        <v>40</v>
      </c>
      <c r="E548" s="20" t="str">
        <f t="shared" si="2"/>
        <v>octubre 2025</v>
      </c>
      <c r="F548" s="22">
        <v>45951.0</v>
      </c>
      <c r="G548" s="24">
        <f t="shared" ref="G548:H548" si="553">F548</f>
        <v>45951</v>
      </c>
      <c r="H548" s="26">
        <f t="shared" si="553"/>
        <v>45951</v>
      </c>
      <c r="I548" s="14" t="s">
        <v>90</v>
      </c>
      <c r="K548" s="27">
        <v>3.0E7</v>
      </c>
      <c r="L548" s="29" t="s">
        <v>1008</v>
      </c>
      <c r="M548" s="31"/>
      <c r="N548" s="14" t="s">
        <v>84</v>
      </c>
      <c r="O548" s="31"/>
      <c r="Q548" s="36"/>
      <c r="R548" s="36"/>
      <c r="S548" s="36"/>
      <c r="T548" s="36"/>
      <c r="V548" s="31"/>
    </row>
    <row r="549">
      <c r="A549" s="14" t="s">
        <v>679</v>
      </c>
      <c r="B549" s="14" t="s">
        <v>2730</v>
      </c>
      <c r="C549" s="14" t="s">
        <v>2731</v>
      </c>
      <c r="D549" s="14" t="s">
        <v>40</v>
      </c>
      <c r="E549" s="20" t="str">
        <f t="shared" si="2"/>
        <v>octubre 2025</v>
      </c>
      <c r="F549" s="22">
        <v>45953.0</v>
      </c>
      <c r="G549" s="24">
        <f t="shared" ref="G549:H549" si="554">F549</f>
        <v>45953</v>
      </c>
      <c r="H549" s="26">
        <f t="shared" si="554"/>
        <v>45953</v>
      </c>
      <c r="I549" s="14" t="s">
        <v>90</v>
      </c>
      <c r="K549" s="27">
        <v>7.0E8</v>
      </c>
      <c r="L549" s="29" t="s">
        <v>2732</v>
      </c>
      <c r="M549" s="31"/>
      <c r="N549" s="14" t="s">
        <v>84</v>
      </c>
      <c r="O549" s="31"/>
      <c r="Q549" s="36"/>
      <c r="R549" s="36"/>
      <c r="S549" s="36"/>
      <c r="T549" s="36"/>
      <c r="V549" s="31"/>
    </row>
    <row r="550">
      <c r="A550" s="14" t="s">
        <v>679</v>
      </c>
      <c r="B550" s="14" t="s">
        <v>2733</v>
      </c>
      <c r="C550" s="14" t="s">
        <v>2734</v>
      </c>
      <c r="D550" s="14" t="s">
        <v>40</v>
      </c>
      <c r="E550" s="20" t="str">
        <f t="shared" si="2"/>
        <v>octubre 2025</v>
      </c>
      <c r="F550" s="22">
        <v>45954.0</v>
      </c>
      <c r="G550" s="24">
        <f t="shared" ref="G550:H550" si="555">F550</f>
        <v>45954</v>
      </c>
      <c r="H550" s="26">
        <f t="shared" si="555"/>
        <v>45954</v>
      </c>
      <c r="I550" s="14" t="s">
        <v>90</v>
      </c>
      <c r="K550" s="27">
        <v>7.0E8</v>
      </c>
      <c r="L550" s="29" t="s">
        <v>2732</v>
      </c>
      <c r="M550" s="31"/>
      <c r="N550" s="14" t="s">
        <v>84</v>
      </c>
      <c r="O550" s="31"/>
      <c r="Q550" s="36"/>
      <c r="R550" s="36"/>
      <c r="S550" s="36"/>
      <c r="T550" s="36"/>
      <c r="V550" s="31"/>
    </row>
    <row r="551">
      <c r="A551" s="14" t="s">
        <v>117</v>
      </c>
      <c r="B551" s="14" t="s">
        <v>2735</v>
      </c>
      <c r="C551" s="14" t="s">
        <v>2736</v>
      </c>
      <c r="D551" s="14" t="s">
        <v>133</v>
      </c>
      <c r="E551" s="20" t="str">
        <f t="shared" si="2"/>
        <v>octubre 2025</v>
      </c>
      <c r="F551" s="22">
        <v>45955.0</v>
      </c>
      <c r="G551" s="24">
        <f t="shared" ref="G551:H551" si="556">F551</f>
        <v>45955</v>
      </c>
      <c r="H551" s="26">
        <f t="shared" si="556"/>
        <v>45955</v>
      </c>
      <c r="I551" s="14" t="s">
        <v>2398</v>
      </c>
      <c r="K551" s="27">
        <v>3.0E8</v>
      </c>
      <c r="L551" s="29" t="s">
        <v>2737</v>
      </c>
      <c r="M551" s="14"/>
      <c r="N551" s="14" t="s">
        <v>84</v>
      </c>
      <c r="O551" s="14" t="s">
        <v>40</v>
      </c>
      <c r="P551" s="14" t="s">
        <v>2493</v>
      </c>
      <c r="Q551" s="36"/>
      <c r="R551" s="36"/>
      <c r="S551" s="36"/>
      <c r="T551" s="36"/>
      <c r="V551" s="31"/>
    </row>
    <row r="552">
      <c r="A552" s="14" t="s">
        <v>1787</v>
      </c>
      <c r="B552" s="14" t="s">
        <v>2738</v>
      </c>
      <c r="C552" s="14" t="s">
        <v>2739</v>
      </c>
      <c r="D552" s="14" t="s">
        <v>40</v>
      </c>
      <c r="E552" s="20" t="str">
        <f t="shared" si="2"/>
        <v>octubre 2025</v>
      </c>
      <c r="F552" s="22">
        <v>45957.0</v>
      </c>
      <c r="G552" s="24">
        <f t="shared" ref="G552:H552" si="557">F552</f>
        <v>45957</v>
      </c>
      <c r="H552" s="26">
        <f t="shared" si="557"/>
        <v>45957</v>
      </c>
      <c r="I552" s="14" t="s">
        <v>90</v>
      </c>
      <c r="K552" s="27">
        <v>3.0E7</v>
      </c>
      <c r="L552" s="29" t="s">
        <v>1934</v>
      </c>
      <c r="M552" s="31"/>
      <c r="N552" s="14" t="s">
        <v>84</v>
      </c>
      <c r="O552" s="31"/>
      <c r="Q552" s="36"/>
      <c r="R552" s="36"/>
      <c r="S552" s="36"/>
      <c r="T552" s="36"/>
      <c r="V552" s="31"/>
    </row>
    <row r="553">
      <c r="A553" s="14" t="s">
        <v>36</v>
      </c>
      <c r="B553" s="14" t="s">
        <v>2740</v>
      </c>
      <c r="C553" s="14" t="s">
        <v>2741</v>
      </c>
      <c r="D553" s="14" t="s">
        <v>133</v>
      </c>
      <c r="E553" s="20" t="str">
        <f t="shared" si="2"/>
        <v>octubre 2025</v>
      </c>
      <c r="F553" s="22">
        <v>45953.0</v>
      </c>
      <c r="G553" s="24">
        <f t="shared" ref="G553:H553" si="558">F553</f>
        <v>45953</v>
      </c>
      <c r="H553" s="26">
        <f t="shared" si="558"/>
        <v>45953</v>
      </c>
      <c r="I553" s="14" t="s">
        <v>2398</v>
      </c>
      <c r="K553" s="27">
        <v>6.0E8</v>
      </c>
      <c r="L553" s="29" t="s">
        <v>2555</v>
      </c>
      <c r="M553" s="31"/>
      <c r="N553" s="14" t="s">
        <v>84</v>
      </c>
      <c r="O553" s="14" t="s">
        <v>40</v>
      </c>
      <c r="Q553" s="36"/>
      <c r="R553" s="36"/>
      <c r="S553" s="36"/>
      <c r="T553" s="36"/>
      <c r="V553" s="31"/>
    </row>
    <row r="554">
      <c r="A554" s="14" t="s">
        <v>736</v>
      </c>
      <c r="B554" s="14" t="s">
        <v>2742</v>
      </c>
      <c r="C554" s="14" t="s">
        <v>2743</v>
      </c>
      <c r="D554" s="14" t="s">
        <v>40</v>
      </c>
      <c r="E554" s="20" t="str">
        <f t="shared" si="2"/>
        <v>octubre 2025</v>
      </c>
      <c r="F554" s="22">
        <v>45958.0</v>
      </c>
      <c r="G554" s="24">
        <f t="shared" ref="G554:H554" si="559">F554</f>
        <v>45958</v>
      </c>
      <c r="H554" s="26">
        <f t="shared" si="559"/>
        <v>45958</v>
      </c>
      <c r="I554" s="14" t="s">
        <v>90</v>
      </c>
      <c r="K554" s="88"/>
      <c r="L554" s="78"/>
      <c r="M554" s="31"/>
      <c r="N554" s="14" t="s">
        <v>84</v>
      </c>
      <c r="O554" s="14" t="s">
        <v>133</v>
      </c>
      <c r="Q554" s="36"/>
      <c r="R554" s="36"/>
      <c r="S554" s="36"/>
      <c r="T554" s="36"/>
      <c r="V554" s="31"/>
    </row>
    <row r="555">
      <c r="A555" s="14" t="s">
        <v>1787</v>
      </c>
      <c r="B555" s="14" t="s">
        <v>2744</v>
      </c>
      <c r="C555" s="14" t="s">
        <v>2745</v>
      </c>
      <c r="D555" s="14" t="s">
        <v>40</v>
      </c>
      <c r="E555" s="20" t="str">
        <f t="shared" si="2"/>
        <v>octubre 2025</v>
      </c>
      <c r="F555" s="22">
        <v>45958.0</v>
      </c>
      <c r="G555" s="24">
        <f t="shared" ref="G555:H555" si="560">F555</f>
        <v>45958</v>
      </c>
      <c r="H555" s="26">
        <f t="shared" si="560"/>
        <v>45958</v>
      </c>
      <c r="I555" s="14" t="s">
        <v>90</v>
      </c>
      <c r="K555" s="27">
        <v>3000000.0</v>
      </c>
      <c r="L555" s="29" t="s">
        <v>1203</v>
      </c>
      <c r="M555" s="31"/>
      <c r="N555" s="31"/>
      <c r="O555" s="31"/>
      <c r="Q555" s="36"/>
      <c r="R555" s="36"/>
      <c r="S555" s="36"/>
      <c r="T555" s="36"/>
      <c r="V555" s="31"/>
    </row>
    <row r="556">
      <c r="A556" s="14" t="s">
        <v>1045</v>
      </c>
      <c r="B556" s="14" t="s">
        <v>2746</v>
      </c>
      <c r="C556" s="14" t="s">
        <v>2747</v>
      </c>
      <c r="D556" s="14" t="s">
        <v>40</v>
      </c>
      <c r="E556" s="20" t="str">
        <f t="shared" si="2"/>
        <v>octubre 2025</v>
      </c>
      <c r="F556" s="22">
        <v>45952.0</v>
      </c>
      <c r="G556" s="24">
        <f t="shared" ref="G556:H556" si="561">F556</f>
        <v>45952</v>
      </c>
      <c r="H556" s="26">
        <f t="shared" si="561"/>
        <v>45952</v>
      </c>
      <c r="I556" s="14" t="s">
        <v>90</v>
      </c>
      <c r="K556" s="27">
        <v>1.5E8</v>
      </c>
      <c r="L556" s="37" t="s">
        <v>2748</v>
      </c>
      <c r="M556" s="31"/>
      <c r="N556" s="14" t="s">
        <v>84</v>
      </c>
      <c r="O556" s="14" t="s">
        <v>40</v>
      </c>
      <c r="Q556" s="36"/>
      <c r="R556" s="36"/>
      <c r="S556" s="36"/>
      <c r="T556" s="36"/>
      <c r="V556" s="31"/>
    </row>
    <row r="557">
      <c r="A557" s="14" t="s">
        <v>1045</v>
      </c>
      <c r="B557" s="14" t="s">
        <v>2749</v>
      </c>
      <c r="C557" s="14" t="s">
        <v>2750</v>
      </c>
      <c r="D557" s="14" t="s">
        <v>40</v>
      </c>
      <c r="E557" s="20" t="str">
        <f t="shared" si="2"/>
        <v>octubre 2025</v>
      </c>
      <c r="F557" s="22">
        <v>45953.0</v>
      </c>
      <c r="G557" s="24">
        <f t="shared" ref="G557:H557" si="562">F557</f>
        <v>45953</v>
      </c>
      <c r="H557" s="26">
        <f t="shared" si="562"/>
        <v>45953</v>
      </c>
      <c r="I557" s="14" t="s">
        <v>2398</v>
      </c>
      <c r="K557" s="27">
        <v>2.7E8</v>
      </c>
      <c r="L557" s="29" t="s">
        <v>2751</v>
      </c>
      <c r="M557" s="31"/>
      <c r="N557" s="31"/>
      <c r="O557" s="31"/>
      <c r="Q557" s="36"/>
      <c r="R557" s="36"/>
      <c r="S557" s="36"/>
      <c r="T557" s="36"/>
      <c r="V557" s="31"/>
    </row>
    <row r="558">
      <c r="A558" s="14" t="s">
        <v>1045</v>
      </c>
      <c r="B558" s="14" t="s">
        <v>2752</v>
      </c>
      <c r="C558" s="14" t="s">
        <v>2753</v>
      </c>
      <c r="D558" s="14" t="s">
        <v>40</v>
      </c>
      <c r="E558" s="20" t="str">
        <f t="shared" si="2"/>
        <v>octubre 2025</v>
      </c>
      <c r="F558" s="22">
        <v>45959.0</v>
      </c>
      <c r="G558" s="24">
        <f t="shared" ref="G558:H558" si="563">F558</f>
        <v>45959</v>
      </c>
      <c r="H558" s="26">
        <f t="shared" si="563"/>
        <v>45959</v>
      </c>
      <c r="I558" s="14" t="s">
        <v>90</v>
      </c>
      <c r="K558" s="27">
        <v>8.0E7</v>
      </c>
      <c r="L558" s="29" t="s">
        <v>1210</v>
      </c>
      <c r="M558" s="31"/>
      <c r="N558" s="14" t="s">
        <v>84</v>
      </c>
      <c r="O558" s="31"/>
      <c r="Q558" s="36"/>
      <c r="R558" s="36"/>
      <c r="S558" s="36"/>
      <c r="T558" s="36"/>
      <c r="V558" s="31"/>
    </row>
    <row r="559">
      <c r="A559" s="37" t="s">
        <v>66</v>
      </c>
      <c r="B559" s="14" t="s">
        <v>2754</v>
      </c>
      <c r="C559" s="14" t="s">
        <v>2755</v>
      </c>
      <c r="D559" s="14" t="s">
        <v>40</v>
      </c>
      <c r="E559" s="20" t="str">
        <f t="shared" si="2"/>
        <v>octubre 2025</v>
      </c>
      <c r="F559" s="22">
        <v>45948.0</v>
      </c>
      <c r="G559" s="24">
        <f t="shared" ref="G559:H559" si="564">F559</f>
        <v>45948</v>
      </c>
      <c r="H559" s="26">
        <f t="shared" si="564"/>
        <v>45948</v>
      </c>
      <c r="I559" s="14" t="s">
        <v>1865</v>
      </c>
      <c r="K559" s="27">
        <v>8.0E8</v>
      </c>
      <c r="L559" s="29" t="s">
        <v>2756</v>
      </c>
      <c r="M559" s="31"/>
      <c r="N559" s="14" t="s">
        <v>133</v>
      </c>
      <c r="O559" s="14" t="s">
        <v>40</v>
      </c>
      <c r="Q559" s="36"/>
      <c r="R559" s="36"/>
      <c r="S559" s="36"/>
      <c r="T559" s="36"/>
      <c r="V559" s="31"/>
    </row>
    <row r="560">
      <c r="A560" s="14" t="s">
        <v>1012</v>
      </c>
      <c r="B560" s="14" t="s">
        <v>2757</v>
      </c>
      <c r="C560" s="14" t="s">
        <v>2758</v>
      </c>
      <c r="D560" s="14" t="s">
        <v>40</v>
      </c>
      <c r="E560" s="20" t="str">
        <f t="shared" si="2"/>
        <v>octubre 2025</v>
      </c>
      <c r="F560" s="22">
        <v>45950.0</v>
      </c>
      <c r="G560" s="24">
        <f t="shared" ref="G560:H560" si="565">F560</f>
        <v>45950</v>
      </c>
      <c r="H560" s="26">
        <f t="shared" si="565"/>
        <v>45950</v>
      </c>
      <c r="I560" s="14" t="s">
        <v>90</v>
      </c>
      <c r="K560" s="27">
        <v>8.0E7</v>
      </c>
      <c r="L560" s="29" t="s">
        <v>2759</v>
      </c>
      <c r="M560" s="31"/>
      <c r="N560" s="14" t="s">
        <v>84</v>
      </c>
      <c r="O560" s="14" t="s">
        <v>133</v>
      </c>
      <c r="Q560" s="36"/>
      <c r="R560" s="36"/>
      <c r="S560" s="36"/>
      <c r="T560" s="36"/>
      <c r="V560" s="31"/>
    </row>
    <row r="561">
      <c r="A561" s="14" t="s">
        <v>679</v>
      </c>
      <c r="B561" s="14" t="s">
        <v>2760</v>
      </c>
      <c r="C561" s="14" t="s">
        <v>2761</v>
      </c>
      <c r="D561" s="14" t="s">
        <v>40</v>
      </c>
      <c r="E561" s="20" t="str">
        <f t="shared" si="2"/>
        <v>octubre 2025</v>
      </c>
      <c r="F561" s="22">
        <v>45961.0</v>
      </c>
      <c r="G561" s="24">
        <f t="shared" ref="G561:H561" si="566">F561</f>
        <v>45961</v>
      </c>
      <c r="H561" s="26">
        <f t="shared" si="566"/>
        <v>45961</v>
      </c>
      <c r="I561" s="14" t="s">
        <v>90</v>
      </c>
      <c r="K561" s="27">
        <v>1.8E8</v>
      </c>
      <c r="L561" s="29" t="s">
        <v>2732</v>
      </c>
      <c r="M561" s="31"/>
      <c r="N561" s="14" t="s">
        <v>84</v>
      </c>
      <c r="O561" s="31"/>
      <c r="Q561" s="36"/>
      <c r="R561" s="36"/>
      <c r="S561" s="36"/>
      <c r="T561" s="36"/>
      <c r="V561" s="31"/>
    </row>
    <row r="562">
      <c r="A562" s="37" t="s">
        <v>66</v>
      </c>
      <c r="B562" s="14" t="s">
        <v>2762</v>
      </c>
      <c r="C562" s="14" t="s">
        <v>2763</v>
      </c>
      <c r="D562" s="14" t="s">
        <v>133</v>
      </c>
      <c r="E562" s="20" t="str">
        <f t="shared" si="2"/>
        <v>octubre 2025</v>
      </c>
      <c r="F562" s="22">
        <v>45932.0</v>
      </c>
      <c r="G562" s="24">
        <f t="shared" ref="G562:H562" si="567">F562</f>
        <v>45932</v>
      </c>
      <c r="H562" s="26">
        <f t="shared" si="567"/>
        <v>45932</v>
      </c>
      <c r="I562" s="14" t="s">
        <v>2398</v>
      </c>
      <c r="K562" s="27">
        <v>2.0E8</v>
      </c>
      <c r="L562" s="29" t="s">
        <v>2764</v>
      </c>
      <c r="M562" s="31"/>
      <c r="N562" s="14" t="s">
        <v>133</v>
      </c>
      <c r="O562" s="14" t="s">
        <v>40</v>
      </c>
      <c r="Q562" s="36"/>
      <c r="R562" s="36"/>
      <c r="S562" s="36"/>
      <c r="T562" s="36"/>
      <c r="V562" s="31"/>
    </row>
    <row r="563">
      <c r="A563" s="37" t="s">
        <v>208</v>
      </c>
      <c r="B563" s="14" t="s">
        <v>2765</v>
      </c>
      <c r="C563" s="14" t="s">
        <v>2766</v>
      </c>
      <c r="D563" s="14" t="s">
        <v>40</v>
      </c>
      <c r="E563" s="20" t="str">
        <f t="shared" si="2"/>
        <v>octubre 2025</v>
      </c>
      <c r="F563" s="22">
        <v>45955.0</v>
      </c>
      <c r="G563" s="24">
        <f t="shared" ref="G563:H563" si="568">F563</f>
        <v>45955</v>
      </c>
      <c r="H563" s="26">
        <f t="shared" si="568"/>
        <v>45955</v>
      </c>
      <c r="I563" s="14" t="s">
        <v>90</v>
      </c>
      <c r="K563" s="27">
        <v>2.0E7</v>
      </c>
      <c r="L563" s="29" t="s">
        <v>2764</v>
      </c>
      <c r="M563" s="31"/>
      <c r="N563" s="14" t="s">
        <v>84</v>
      </c>
      <c r="O563" s="14" t="s">
        <v>133</v>
      </c>
      <c r="Q563" s="36"/>
      <c r="R563" s="36"/>
      <c r="S563" s="36"/>
      <c r="T563" s="36"/>
      <c r="V563" s="31"/>
    </row>
    <row r="564">
      <c r="A564" s="37" t="s">
        <v>208</v>
      </c>
      <c r="B564" s="14" t="s">
        <v>2767</v>
      </c>
      <c r="C564" s="14" t="s">
        <v>2768</v>
      </c>
      <c r="D564" s="14" t="s">
        <v>133</v>
      </c>
      <c r="E564" s="20" t="str">
        <f t="shared" si="2"/>
        <v>octubre 2025</v>
      </c>
      <c r="F564" s="22">
        <v>45951.0</v>
      </c>
      <c r="G564" s="24">
        <f t="shared" ref="G564:H564" si="569">F564</f>
        <v>45951</v>
      </c>
      <c r="H564" s="26">
        <f t="shared" si="569"/>
        <v>45951</v>
      </c>
      <c r="I564" s="14" t="s">
        <v>2398</v>
      </c>
      <c r="K564" s="27">
        <v>1.5E8</v>
      </c>
      <c r="L564" s="29" t="s">
        <v>2769</v>
      </c>
      <c r="M564" s="31"/>
      <c r="N564" s="14" t="s">
        <v>84</v>
      </c>
      <c r="O564" s="14" t="s">
        <v>133</v>
      </c>
      <c r="Q564" s="36"/>
      <c r="R564" s="36"/>
      <c r="S564" s="36"/>
      <c r="T564" s="36"/>
      <c r="V564" s="31"/>
    </row>
    <row r="565">
      <c r="A565" s="14" t="s">
        <v>117</v>
      </c>
      <c r="B565" s="14" t="s">
        <v>2770</v>
      </c>
      <c r="C565" s="14" t="s">
        <v>2771</v>
      </c>
      <c r="D565" s="14" t="s">
        <v>133</v>
      </c>
      <c r="E565" s="20" t="str">
        <f t="shared" si="2"/>
        <v>octubre 2025</v>
      </c>
      <c r="F565" s="22">
        <v>45961.0</v>
      </c>
      <c r="G565" s="24">
        <f t="shared" ref="G565:H565" si="570">F565</f>
        <v>45961</v>
      </c>
      <c r="H565" s="26">
        <f t="shared" si="570"/>
        <v>45961</v>
      </c>
      <c r="I565" s="14" t="s">
        <v>1865</v>
      </c>
      <c r="J565" s="14" t="s">
        <v>2772</v>
      </c>
      <c r="K565" s="27">
        <v>7.0E8</v>
      </c>
      <c r="L565" s="29" t="s">
        <v>2737</v>
      </c>
      <c r="M565" s="31"/>
      <c r="N565" s="14" t="s">
        <v>84</v>
      </c>
      <c r="O565" s="14" t="s">
        <v>40</v>
      </c>
      <c r="Q565" s="36"/>
      <c r="R565" s="36"/>
      <c r="S565" s="36"/>
      <c r="T565" s="36"/>
      <c r="V565" s="31"/>
    </row>
    <row r="566">
      <c r="A566" s="14" t="s">
        <v>1045</v>
      </c>
      <c r="B566" s="14" t="s">
        <v>2773</v>
      </c>
      <c r="C566" s="14" t="s">
        <v>2774</v>
      </c>
      <c r="D566" s="14" t="s">
        <v>133</v>
      </c>
      <c r="E566" s="20" t="str">
        <f t="shared" si="2"/>
        <v>octubre 2025</v>
      </c>
      <c r="F566" s="22">
        <v>45959.0</v>
      </c>
      <c r="G566" s="24">
        <f t="shared" ref="G566:H566" si="571">F566</f>
        <v>45959</v>
      </c>
      <c r="H566" s="26">
        <f t="shared" si="571"/>
        <v>45959</v>
      </c>
      <c r="I566" s="14" t="s">
        <v>1865</v>
      </c>
      <c r="K566" s="27">
        <v>2.0E8</v>
      </c>
      <c r="L566" s="29" t="s">
        <v>2775</v>
      </c>
      <c r="M566" s="14"/>
      <c r="N566" s="14" t="s">
        <v>84</v>
      </c>
      <c r="O566" s="31"/>
      <c r="P566" s="14" t="s">
        <v>2776</v>
      </c>
      <c r="Q566" s="36"/>
      <c r="R566" s="36"/>
      <c r="S566" s="36"/>
      <c r="T566" s="36"/>
      <c r="V566" s="31"/>
    </row>
    <row r="567">
      <c r="A567" s="14" t="s">
        <v>1787</v>
      </c>
      <c r="B567" s="14" t="s">
        <v>2777</v>
      </c>
      <c r="C567" s="14" t="s">
        <v>2778</v>
      </c>
      <c r="D567" s="14" t="s">
        <v>40</v>
      </c>
      <c r="E567" s="20" t="str">
        <f t="shared" si="2"/>
        <v>noviembre 2025</v>
      </c>
      <c r="F567" s="22">
        <v>45962.0</v>
      </c>
      <c r="G567" s="24">
        <f t="shared" ref="G567:H567" si="572">F567</f>
        <v>45962</v>
      </c>
      <c r="H567" s="26">
        <f t="shared" si="572"/>
        <v>45962</v>
      </c>
      <c r="I567" s="14" t="s">
        <v>90</v>
      </c>
      <c r="K567" s="27">
        <v>7.0E7</v>
      </c>
      <c r="L567" s="29" t="s">
        <v>1210</v>
      </c>
      <c r="M567" s="31"/>
      <c r="N567" s="14" t="s">
        <v>84</v>
      </c>
      <c r="O567" s="31"/>
      <c r="Q567" s="36"/>
      <c r="R567" s="36"/>
      <c r="S567" s="36"/>
      <c r="T567" s="36"/>
      <c r="V567" s="31"/>
    </row>
    <row r="568">
      <c r="A568" s="14" t="s">
        <v>1787</v>
      </c>
      <c r="B568" s="14" t="s">
        <v>2779</v>
      </c>
      <c r="C568" s="14" t="s">
        <v>2780</v>
      </c>
      <c r="D568" s="14" t="s">
        <v>40</v>
      </c>
      <c r="E568" s="20" t="str">
        <f t="shared" si="2"/>
        <v>noviembre 2025</v>
      </c>
      <c r="F568" s="22">
        <v>45962.0</v>
      </c>
      <c r="G568" s="24">
        <f t="shared" ref="G568:H568" si="573">F568</f>
        <v>45962</v>
      </c>
      <c r="H568" s="26">
        <f t="shared" si="573"/>
        <v>45962</v>
      </c>
      <c r="I568" s="14" t="s">
        <v>90</v>
      </c>
      <c r="K568" s="27">
        <v>1.0E7</v>
      </c>
      <c r="L568" s="29" t="s">
        <v>2764</v>
      </c>
      <c r="M568" s="31"/>
      <c r="N568" s="14" t="s">
        <v>84</v>
      </c>
      <c r="O568" s="31"/>
      <c r="Q568" s="36"/>
      <c r="R568" s="36"/>
      <c r="S568" s="36"/>
      <c r="T568" s="36"/>
      <c r="V568" s="31"/>
    </row>
    <row r="569">
      <c r="A569" s="14" t="s">
        <v>1012</v>
      </c>
      <c r="B569" s="14" t="s">
        <v>2781</v>
      </c>
      <c r="C569" s="14" t="s">
        <v>2782</v>
      </c>
      <c r="D569" s="14" t="s">
        <v>133</v>
      </c>
      <c r="E569" s="20" t="str">
        <f t="shared" si="2"/>
        <v>noviembre 2025</v>
      </c>
      <c r="F569" s="22">
        <v>45962.0</v>
      </c>
      <c r="G569" s="24">
        <f t="shared" ref="G569:H569" si="574">F569</f>
        <v>45962</v>
      </c>
      <c r="H569" s="26">
        <f t="shared" si="574"/>
        <v>45962</v>
      </c>
      <c r="I569" s="14" t="s">
        <v>1865</v>
      </c>
      <c r="K569" s="27">
        <v>1.5E8</v>
      </c>
      <c r="L569" s="29" t="s">
        <v>2783</v>
      </c>
      <c r="M569" s="31"/>
      <c r="N569" s="14" t="s">
        <v>84</v>
      </c>
      <c r="O569" s="31"/>
      <c r="Q569" s="36"/>
      <c r="R569" s="36"/>
      <c r="S569" s="36"/>
      <c r="T569" s="36"/>
      <c r="V569" s="31"/>
    </row>
    <row r="570">
      <c r="A570" s="14" t="s">
        <v>1012</v>
      </c>
      <c r="B570" s="14" t="s">
        <v>2784</v>
      </c>
      <c r="C570" s="14" t="s">
        <v>2785</v>
      </c>
      <c r="D570" s="14" t="s">
        <v>133</v>
      </c>
      <c r="E570" s="20" t="str">
        <f t="shared" si="2"/>
        <v>noviembre 2025</v>
      </c>
      <c r="F570" s="22">
        <v>45965.0</v>
      </c>
      <c r="G570" s="24">
        <f t="shared" ref="G570:H570" si="575">F570</f>
        <v>45965</v>
      </c>
      <c r="H570" s="26">
        <f t="shared" si="575"/>
        <v>45965</v>
      </c>
      <c r="I570" s="14" t="s">
        <v>1865</v>
      </c>
      <c r="K570" s="27">
        <v>8.0E7</v>
      </c>
      <c r="L570" s="29" t="s">
        <v>2786</v>
      </c>
      <c r="M570" s="31"/>
      <c r="N570" s="14" t="s">
        <v>133</v>
      </c>
      <c r="O570" s="31"/>
      <c r="Q570" s="36"/>
      <c r="R570" s="36"/>
      <c r="S570" s="36"/>
      <c r="T570" s="36"/>
      <c r="V570" s="31"/>
    </row>
    <row r="571">
      <c r="A571" s="14" t="s">
        <v>1012</v>
      </c>
      <c r="B571" s="14" t="s">
        <v>2787</v>
      </c>
      <c r="C571" s="14" t="s">
        <v>2788</v>
      </c>
      <c r="D571" s="14" t="s">
        <v>133</v>
      </c>
      <c r="E571" s="20" t="str">
        <f t="shared" si="2"/>
        <v>noviembre 2025</v>
      </c>
      <c r="F571" s="22">
        <v>45965.0</v>
      </c>
      <c r="G571" s="24">
        <f t="shared" ref="G571:H571" si="576">F571</f>
        <v>45965</v>
      </c>
      <c r="H571" s="26">
        <f t="shared" si="576"/>
        <v>45965</v>
      </c>
      <c r="I571" s="14" t="s">
        <v>1865</v>
      </c>
      <c r="K571" s="27">
        <v>8.0E7</v>
      </c>
      <c r="L571" s="29" t="s">
        <v>2786</v>
      </c>
      <c r="M571" s="31"/>
      <c r="N571" s="14" t="s">
        <v>133</v>
      </c>
      <c r="O571" s="31"/>
      <c r="Q571" s="36"/>
      <c r="R571" s="36"/>
      <c r="S571" s="36"/>
      <c r="T571" s="36"/>
      <c r="V571" s="31"/>
    </row>
    <row r="572">
      <c r="A572" s="14" t="s">
        <v>1787</v>
      </c>
      <c r="B572" s="14" t="s">
        <v>2789</v>
      </c>
      <c r="C572" s="14" t="s">
        <v>2790</v>
      </c>
      <c r="D572" s="14" t="s">
        <v>40</v>
      </c>
      <c r="E572" s="20" t="str">
        <f t="shared" si="2"/>
        <v>noviembre 2025</v>
      </c>
      <c r="F572" s="22">
        <v>45965.0</v>
      </c>
      <c r="G572" s="24">
        <f t="shared" ref="G572:H572" si="577">F572</f>
        <v>45965</v>
      </c>
      <c r="H572" s="26">
        <f t="shared" si="577"/>
        <v>45965</v>
      </c>
      <c r="I572" s="14" t="s">
        <v>90</v>
      </c>
      <c r="K572" s="27">
        <v>1.5E7</v>
      </c>
      <c r="L572" s="29" t="s">
        <v>2764</v>
      </c>
      <c r="M572" s="31"/>
      <c r="N572" s="14" t="s">
        <v>84</v>
      </c>
      <c r="O572" s="31"/>
      <c r="Q572" s="36"/>
      <c r="R572" s="36"/>
      <c r="S572" s="36"/>
      <c r="T572" s="36"/>
      <c r="V572" s="31"/>
    </row>
    <row r="573">
      <c r="A573" s="14" t="s">
        <v>1787</v>
      </c>
      <c r="B573" s="14" t="s">
        <v>2791</v>
      </c>
      <c r="C573" s="14" t="s">
        <v>2792</v>
      </c>
      <c r="D573" s="14" t="s">
        <v>40</v>
      </c>
      <c r="E573" s="20" t="str">
        <f t="shared" si="2"/>
        <v>noviembre 2025</v>
      </c>
      <c r="F573" s="22">
        <v>45966.0</v>
      </c>
      <c r="G573" s="24">
        <f t="shared" ref="G573:H573" si="578">F573</f>
        <v>45966</v>
      </c>
      <c r="H573" s="26">
        <f t="shared" si="578"/>
        <v>45966</v>
      </c>
      <c r="I573" s="14" t="s">
        <v>90</v>
      </c>
      <c r="K573" s="27">
        <v>3.0E7</v>
      </c>
      <c r="L573" s="29" t="s">
        <v>1008</v>
      </c>
      <c r="M573" s="31"/>
      <c r="N573" s="14" t="s">
        <v>84</v>
      </c>
      <c r="O573" s="31"/>
      <c r="Q573" s="36"/>
      <c r="R573" s="36"/>
      <c r="S573" s="36"/>
      <c r="T573" s="36"/>
      <c r="V573" s="31"/>
    </row>
    <row r="574">
      <c r="A574" s="14" t="s">
        <v>36</v>
      </c>
      <c r="B574" s="14" t="s">
        <v>3062</v>
      </c>
      <c r="C574" s="14" t="s">
        <v>2794</v>
      </c>
      <c r="D574" s="14" t="s">
        <v>133</v>
      </c>
      <c r="E574" s="20" t="str">
        <f t="shared" si="2"/>
        <v>noviembre 2025</v>
      </c>
      <c r="F574" s="22">
        <v>45966.0</v>
      </c>
      <c r="G574" s="24">
        <f t="shared" ref="G574:H574" si="579">F574</f>
        <v>45966</v>
      </c>
      <c r="H574" s="26">
        <f t="shared" si="579"/>
        <v>45966</v>
      </c>
      <c r="I574" s="14" t="s">
        <v>2398</v>
      </c>
      <c r="K574" s="305">
        <v>4.0E9</v>
      </c>
      <c r="L574" s="14" t="s">
        <v>2795</v>
      </c>
      <c r="M574" s="14"/>
      <c r="N574" s="14" t="s">
        <v>84</v>
      </c>
      <c r="O574" s="14" t="s">
        <v>40</v>
      </c>
      <c r="P574" s="14" t="s">
        <v>2796</v>
      </c>
    </row>
    <row r="575">
      <c r="A575" s="14" t="s">
        <v>679</v>
      </c>
      <c r="B575" s="14" t="s">
        <v>2797</v>
      </c>
      <c r="C575" s="14" t="s">
        <v>2798</v>
      </c>
      <c r="D575" s="14" t="s">
        <v>40</v>
      </c>
      <c r="E575" s="20" t="str">
        <f t="shared" si="2"/>
        <v>noviembre 2025</v>
      </c>
      <c r="F575" s="22">
        <v>45966.0</v>
      </c>
      <c r="G575" s="24">
        <f t="shared" ref="G575:H575" si="580">F575</f>
        <v>45966</v>
      </c>
      <c r="H575" s="26">
        <f t="shared" si="580"/>
        <v>45966</v>
      </c>
      <c r="I575" s="14" t="s">
        <v>259</v>
      </c>
      <c r="K575" s="27">
        <v>8.0E7</v>
      </c>
      <c r="L575" s="29" t="s">
        <v>2799</v>
      </c>
      <c r="M575" s="31"/>
      <c r="N575" s="14" t="s">
        <v>84</v>
      </c>
      <c r="O575" s="31"/>
      <c r="Q575" s="36"/>
      <c r="R575" s="36"/>
      <c r="S575" s="36"/>
      <c r="T575" s="36"/>
      <c r="V575" s="31"/>
    </row>
    <row r="576">
      <c r="A576" s="14" t="s">
        <v>679</v>
      </c>
      <c r="B576" s="14" t="s">
        <v>2800</v>
      </c>
      <c r="C576" s="14" t="s">
        <v>2801</v>
      </c>
      <c r="D576" s="14" t="s">
        <v>40</v>
      </c>
      <c r="E576" s="20" t="str">
        <f t="shared" si="2"/>
        <v>noviembre 2025</v>
      </c>
      <c r="F576" s="22">
        <v>45966.0</v>
      </c>
      <c r="G576" s="24">
        <f t="shared" ref="G576:H576" si="581">F576</f>
        <v>45966</v>
      </c>
      <c r="H576" s="26">
        <f t="shared" si="581"/>
        <v>45966</v>
      </c>
      <c r="I576" s="14" t="s">
        <v>90</v>
      </c>
      <c r="K576" s="27">
        <v>3.0E7</v>
      </c>
      <c r="L576" s="29" t="s">
        <v>2802</v>
      </c>
      <c r="M576" s="31"/>
      <c r="N576" s="14" t="s">
        <v>84</v>
      </c>
      <c r="O576" s="31"/>
      <c r="Q576" s="36"/>
      <c r="R576" s="36"/>
      <c r="S576" s="36"/>
      <c r="T576" s="36"/>
      <c r="V576" s="31"/>
    </row>
    <row r="577">
      <c r="A577" s="14" t="s">
        <v>679</v>
      </c>
      <c r="B577" s="14" t="s">
        <v>2803</v>
      </c>
      <c r="C577" s="14" t="s">
        <v>2804</v>
      </c>
      <c r="D577" s="14" t="s">
        <v>40</v>
      </c>
      <c r="E577" s="20" t="str">
        <f t="shared" si="2"/>
        <v>noviembre 2025</v>
      </c>
      <c r="F577" s="22">
        <v>45966.0</v>
      </c>
      <c r="G577" s="24">
        <f t="shared" ref="G577:H577" si="582">F577</f>
        <v>45966</v>
      </c>
      <c r="H577" s="26">
        <f t="shared" si="582"/>
        <v>45966</v>
      </c>
      <c r="I577" s="14" t="s">
        <v>259</v>
      </c>
      <c r="K577" s="27">
        <v>1.8E8</v>
      </c>
      <c r="L577" s="29"/>
      <c r="M577" s="31"/>
      <c r="N577" s="14"/>
      <c r="O577" s="31"/>
      <c r="Q577" s="36"/>
      <c r="R577" s="36"/>
      <c r="S577" s="36"/>
      <c r="T577" s="36"/>
      <c r="V577" s="31"/>
    </row>
    <row r="578">
      <c r="A578" s="14" t="s">
        <v>1787</v>
      </c>
      <c r="B578" s="14" t="s">
        <v>2805</v>
      </c>
      <c r="C578" s="14" t="s">
        <v>2806</v>
      </c>
      <c r="D578" s="14" t="s">
        <v>40</v>
      </c>
      <c r="E578" s="20" t="str">
        <f t="shared" si="2"/>
        <v>noviembre 2025</v>
      </c>
      <c r="F578" s="22">
        <v>45967.0</v>
      </c>
      <c r="G578" s="24">
        <f t="shared" ref="G578:H578" si="583">F578</f>
        <v>45967</v>
      </c>
      <c r="H578" s="26">
        <f t="shared" si="583"/>
        <v>45967</v>
      </c>
      <c r="I578" s="14" t="s">
        <v>90</v>
      </c>
      <c r="K578" s="27">
        <v>1.0E7</v>
      </c>
      <c r="L578" s="29" t="s">
        <v>1203</v>
      </c>
      <c r="M578" s="31"/>
      <c r="N578" s="14" t="s">
        <v>84</v>
      </c>
      <c r="O578" s="31"/>
      <c r="Q578" s="36"/>
      <c r="R578" s="36"/>
      <c r="S578" s="36"/>
      <c r="T578" s="36"/>
      <c r="V578" s="31"/>
    </row>
    <row r="579">
      <c r="A579" s="14" t="s">
        <v>1787</v>
      </c>
      <c r="B579" s="14" t="s">
        <v>2807</v>
      </c>
      <c r="C579" s="14" t="s">
        <v>2808</v>
      </c>
      <c r="D579" s="14" t="s">
        <v>40</v>
      </c>
      <c r="E579" s="20" t="str">
        <f t="shared" si="2"/>
        <v>noviembre 2025</v>
      </c>
      <c r="F579" s="22">
        <v>45967.0</v>
      </c>
      <c r="G579" s="24">
        <f t="shared" ref="G579:H579" si="584">F579</f>
        <v>45967</v>
      </c>
      <c r="H579" s="26">
        <f t="shared" si="584"/>
        <v>45967</v>
      </c>
      <c r="I579" s="14" t="s">
        <v>90</v>
      </c>
      <c r="K579" s="27">
        <v>3.0E7</v>
      </c>
      <c r="L579" s="29" t="s">
        <v>1008</v>
      </c>
      <c r="M579" s="31"/>
      <c r="N579" s="14" t="s">
        <v>84</v>
      </c>
      <c r="O579" s="31"/>
      <c r="Q579" s="36"/>
      <c r="R579" s="36"/>
      <c r="S579" s="36"/>
      <c r="T579" s="36"/>
      <c r="V579" s="31"/>
    </row>
    <row r="580">
      <c r="A580" s="14" t="s">
        <v>1045</v>
      </c>
      <c r="B580" s="14" t="s">
        <v>2809</v>
      </c>
      <c r="C580" s="14" t="s">
        <v>2810</v>
      </c>
      <c r="D580" s="14" t="s">
        <v>40</v>
      </c>
      <c r="E580" s="20" t="str">
        <f t="shared" si="2"/>
        <v>noviembre 2025</v>
      </c>
      <c r="F580" s="22">
        <v>45967.0</v>
      </c>
      <c r="G580" s="24">
        <f t="shared" ref="G580:H580" si="585">F580</f>
        <v>45967</v>
      </c>
      <c r="H580" s="26">
        <f t="shared" si="585"/>
        <v>45967</v>
      </c>
      <c r="I580" s="14" t="s">
        <v>90</v>
      </c>
      <c r="K580" s="27">
        <v>2.0E7</v>
      </c>
      <c r="L580" s="29" t="s">
        <v>1008</v>
      </c>
      <c r="M580" s="31"/>
      <c r="N580" s="14" t="s">
        <v>84</v>
      </c>
      <c r="O580" s="31"/>
      <c r="Q580" s="36"/>
      <c r="R580" s="36"/>
      <c r="S580" s="36"/>
      <c r="T580" s="36"/>
      <c r="V580" s="31"/>
    </row>
    <row r="581">
      <c r="A581" s="14" t="s">
        <v>1012</v>
      </c>
      <c r="B581" s="14" t="s">
        <v>2811</v>
      </c>
      <c r="C581" s="14" t="s">
        <v>2812</v>
      </c>
      <c r="D581" s="14" t="s">
        <v>40</v>
      </c>
      <c r="E581" s="20" t="str">
        <f t="shared" si="2"/>
        <v>noviembre 2025</v>
      </c>
      <c r="F581" s="22">
        <v>45966.0</v>
      </c>
      <c r="G581" s="24">
        <f t="shared" ref="G581:H581" si="586">F581</f>
        <v>45966</v>
      </c>
      <c r="H581" s="26">
        <f t="shared" si="586"/>
        <v>45966</v>
      </c>
      <c r="I581" s="14" t="s">
        <v>90</v>
      </c>
      <c r="K581" s="14">
        <v>1.0E8</v>
      </c>
      <c r="L581" s="14" t="s">
        <v>1033</v>
      </c>
      <c r="M581" s="31"/>
      <c r="O581" s="14" t="s">
        <v>133</v>
      </c>
    </row>
    <row r="582">
      <c r="A582" s="14" t="s">
        <v>1012</v>
      </c>
      <c r="B582" s="14" t="s">
        <v>2813</v>
      </c>
      <c r="C582" s="14" t="s">
        <v>2814</v>
      </c>
      <c r="D582" s="14" t="s">
        <v>40</v>
      </c>
      <c r="E582" s="20" t="str">
        <f t="shared" si="2"/>
        <v>noviembre 2025</v>
      </c>
      <c r="F582" s="22">
        <v>45966.0</v>
      </c>
      <c r="G582" s="24">
        <f t="shared" ref="G582:H582" si="587">F582</f>
        <v>45966</v>
      </c>
      <c r="H582" s="26">
        <f t="shared" si="587"/>
        <v>45966</v>
      </c>
      <c r="I582" s="14" t="s">
        <v>90</v>
      </c>
      <c r="K582" s="27">
        <v>1.0E8</v>
      </c>
      <c r="L582" s="14" t="s">
        <v>1033</v>
      </c>
      <c r="M582" s="31"/>
      <c r="N582" s="14" t="s">
        <v>84</v>
      </c>
      <c r="O582" s="14" t="s">
        <v>133</v>
      </c>
      <c r="Q582" s="36"/>
      <c r="R582" s="36"/>
      <c r="S582" s="36"/>
      <c r="T582" s="36"/>
      <c r="V582" s="31"/>
    </row>
    <row r="583">
      <c r="A583" s="14" t="s">
        <v>1787</v>
      </c>
      <c r="B583" s="14" t="s">
        <v>2815</v>
      </c>
      <c r="C583" s="14" t="s">
        <v>2816</v>
      </c>
      <c r="D583" s="14" t="s">
        <v>40</v>
      </c>
      <c r="E583" s="20" t="str">
        <f t="shared" si="2"/>
        <v>noviembre 2025</v>
      </c>
      <c r="F583" s="22">
        <v>45968.0</v>
      </c>
      <c r="G583" s="24">
        <f t="shared" ref="G583:H583" si="588">F583</f>
        <v>45968</v>
      </c>
      <c r="H583" s="26">
        <f t="shared" si="588"/>
        <v>45968</v>
      </c>
      <c r="I583" s="14" t="s">
        <v>90</v>
      </c>
      <c r="K583" s="27">
        <v>3.0E7</v>
      </c>
      <c r="L583" s="29" t="s">
        <v>1008</v>
      </c>
      <c r="M583" s="31"/>
      <c r="N583" s="14" t="s">
        <v>84</v>
      </c>
      <c r="O583" s="31"/>
      <c r="Q583" s="36"/>
      <c r="R583" s="36"/>
      <c r="S583" s="36"/>
      <c r="T583" s="36"/>
      <c r="V583" s="31"/>
    </row>
    <row r="584">
      <c r="A584" s="14" t="s">
        <v>36</v>
      </c>
      <c r="B584" s="14" t="s">
        <v>2817</v>
      </c>
      <c r="C584" s="14" t="s">
        <v>2818</v>
      </c>
      <c r="D584" s="14" t="s">
        <v>133</v>
      </c>
      <c r="E584" s="20" t="str">
        <f t="shared" si="2"/>
        <v>noviembre 2025</v>
      </c>
      <c r="F584" s="22">
        <v>45967.0</v>
      </c>
      <c r="G584" s="24">
        <f t="shared" ref="G584:H584" si="589">F584</f>
        <v>45967</v>
      </c>
      <c r="H584" s="26">
        <f t="shared" si="589"/>
        <v>45967</v>
      </c>
      <c r="I584" s="14" t="s">
        <v>1865</v>
      </c>
      <c r="K584" s="27">
        <v>7.0E8</v>
      </c>
      <c r="L584" s="29" t="s">
        <v>2819</v>
      </c>
      <c r="M584" s="14"/>
      <c r="N584" s="14"/>
      <c r="O584" s="14" t="s">
        <v>40</v>
      </c>
      <c r="P584" s="14" t="s">
        <v>2820</v>
      </c>
      <c r="Q584" s="36"/>
      <c r="R584" s="36"/>
      <c r="S584" s="36"/>
      <c r="T584" s="36"/>
      <c r="V584" s="31"/>
    </row>
    <row r="585">
      <c r="A585" s="14" t="s">
        <v>208</v>
      </c>
      <c r="B585" s="14" t="s">
        <v>2821</v>
      </c>
      <c r="C585" s="14" t="s">
        <v>2822</v>
      </c>
      <c r="D585" s="14" t="s">
        <v>133</v>
      </c>
      <c r="E585" s="20" t="str">
        <f t="shared" si="2"/>
        <v>noviembre 2025</v>
      </c>
      <c r="F585" s="22">
        <v>45967.0</v>
      </c>
      <c r="G585" s="24">
        <f t="shared" ref="G585:H585" si="590">F585</f>
        <v>45967</v>
      </c>
      <c r="H585" s="26">
        <f t="shared" si="590"/>
        <v>45967</v>
      </c>
      <c r="I585" s="14" t="s">
        <v>2398</v>
      </c>
      <c r="K585" s="27">
        <v>5.0E7</v>
      </c>
      <c r="L585" s="29" t="s">
        <v>2823</v>
      </c>
      <c r="M585" s="14"/>
      <c r="N585" s="14" t="s">
        <v>84</v>
      </c>
      <c r="O585" s="31"/>
      <c r="P585" s="14" t="s">
        <v>2820</v>
      </c>
      <c r="Q585" s="36"/>
      <c r="R585" s="36"/>
      <c r="S585" s="36"/>
      <c r="T585" s="36"/>
      <c r="V585" s="31"/>
    </row>
    <row r="586">
      <c r="A586" s="14" t="s">
        <v>208</v>
      </c>
      <c r="B586" s="14" t="s">
        <v>2824</v>
      </c>
      <c r="C586" s="14" t="s">
        <v>2825</v>
      </c>
      <c r="D586" s="14" t="s">
        <v>133</v>
      </c>
      <c r="E586" s="20" t="str">
        <f t="shared" si="2"/>
        <v>noviembre 2025</v>
      </c>
      <c r="F586" s="22">
        <v>45967.0</v>
      </c>
      <c r="G586" s="24">
        <f t="shared" ref="G586:H586" si="591">F586</f>
        <v>45967</v>
      </c>
      <c r="H586" s="26">
        <f t="shared" si="591"/>
        <v>45967</v>
      </c>
      <c r="I586" s="14" t="s">
        <v>2398</v>
      </c>
      <c r="K586" s="27">
        <v>1.5E8</v>
      </c>
      <c r="L586" s="29" t="s">
        <v>2823</v>
      </c>
      <c r="M586" s="14"/>
      <c r="N586" s="14" t="s">
        <v>84</v>
      </c>
      <c r="O586" s="31"/>
      <c r="P586" s="14" t="s">
        <v>2820</v>
      </c>
      <c r="Q586" s="36"/>
      <c r="R586" s="36"/>
      <c r="S586" s="36"/>
      <c r="T586" s="36"/>
      <c r="V586" s="31"/>
    </row>
    <row r="587">
      <c r="A587" s="14" t="s">
        <v>208</v>
      </c>
      <c r="B587" s="14" t="s">
        <v>2826</v>
      </c>
      <c r="C587" s="14" t="s">
        <v>2827</v>
      </c>
      <c r="D587" s="14" t="s">
        <v>133</v>
      </c>
      <c r="E587" s="20" t="str">
        <f t="shared" si="2"/>
        <v>noviembre 2025</v>
      </c>
      <c r="F587" s="22">
        <v>45967.0</v>
      </c>
      <c r="G587" s="24">
        <f t="shared" ref="G587:H587" si="592">F587</f>
        <v>45967</v>
      </c>
      <c r="H587" s="26">
        <f t="shared" si="592"/>
        <v>45967</v>
      </c>
      <c r="I587" s="14" t="s">
        <v>2398</v>
      </c>
      <c r="K587" s="27">
        <v>1.0E8</v>
      </c>
      <c r="L587" s="29" t="s">
        <v>2823</v>
      </c>
      <c r="M587" s="14"/>
      <c r="N587" s="14" t="s">
        <v>84</v>
      </c>
      <c r="O587" s="31"/>
      <c r="P587" s="14" t="s">
        <v>2820</v>
      </c>
      <c r="Q587" s="36"/>
      <c r="R587" s="36"/>
      <c r="S587" s="36"/>
      <c r="T587" s="36"/>
      <c r="V587" s="31"/>
    </row>
    <row r="588">
      <c r="A588" s="14" t="s">
        <v>208</v>
      </c>
      <c r="B588" s="14" t="s">
        <v>2829</v>
      </c>
      <c r="C588" s="14" t="s">
        <v>2830</v>
      </c>
      <c r="D588" s="14" t="s">
        <v>133</v>
      </c>
      <c r="E588" s="20" t="str">
        <f t="shared" si="2"/>
        <v>noviembre 2025</v>
      </c>
      <c r="F588" s="22">
        <v>45967.0</v>
      </c>
      <c r="G588" s="24">
        <f t="shared" ref="G588:H588" si="593">F588</f>
        <v>45967</v>
      </c>
      <c r="H588" s="26">
        <f t="shared" si="593"/>
        <v>45967</v>
      </c>
      <c r="I588" s="14" t="s">
        <v>2398</v>
      </c>
      <c r="K588" s="27">
        <v>1.5E8</v>
      </c>
      <c r="L588" s="29" t="s">
        <v>2823</v>
      </c>
      <c r="M588" s="14"/>
      <c r="N588" s="14" t="s">
        <v>84</v>
      </c>
      <c r="O588" s="31"/>
      <c r="P588" s="14" t="s">
        <v>2820</v>
      </c>
      <c r="Q588" s="36"/>
      <c r="R588" s="36"/>
      <c r="S588" s="36"/>
      <c r="T588" s="36"/>
      <c r="V588" s="31"/>
    </row>
    <row r="589">
      <c r="A589" s="14" t="s">
        <v>208</v>
      </c>
      <c r="B589" s="14" t="s">
        <v>2837</v>
      </c>
      <c r="C589" s="14" t="s">
        <v>2838</v>
      </c>
      <c r="D589" s="14" t="s">
        <v>40</v>
      </c>
      <c r="E589" s="20" t="str">
        <f t="shared" si="2"/>
        <v>noviembre 2025</v>
      </c>
      <c r="F589" s="22">
        <v>45972.0</v>
      </c>
      <c r="G589" s="24">
        <f t="shared" ref="G589:H589" si="594">F589</f>
        <v>45972</v>
      </c>
      <c r="H589" s="26">
        <f t="shared" si="594"/>
        <v>45972</v>
      </c>
      <c r="I589" s="14" t="s">
        <v>90</v>
      </c>
      <c r="K589" s="27">
        <v>2.0E7</v>
      </c>
      <c r="L589" s="29" t="s">
        <v>887</v>
      </c>
      <c r="M589" s="31"/>
      <c r="N589" s="14" t="s">
        <v>133</v>
      </c>
      <c r="O589" s="14" t="s">
        <v>133</v>
      </c>
      <c r="Q589" s="36"/>
      <c r="R589" s="36"/>
      <c r="S589" s="36"/>
      <c r="T589" s="36"/>
      <c r="V589" s="31"/>
    </row>
    <row r="590">
      <c r="A590" s="14" t="s">
        <v>117</v>
      </c>
      <c r="B590" s="14" t="s">
        <v>2842</v>
      </c>
      <c r="C590" s="14" t="s">
        <v>2646</v>
      </c>
      <c r="D590" s="14" t="s">
        <v>133</v>
      </c>
      <c r="E590" s="20" t="str">
        <f t="shared" si="2"/>
        <v>noviembre 2025</v>
      </c>
      <c r="F590" s="22">
        <v>45972.0</v>
      </c>
      <c r="G590" s="24">
        <f t="shared" ref="G590:H590" si="595">F590</f>
        <v>45972</v>
      </c>
      <c r="H590" s="26">
        <f t="shared" si="595"/>
        <v>45972</v>
      </c>
      <c r="I590" s="14" t="s">
        <v>1865</v>
      </c>
      <c r="K590" s="27">
        <v>8.0E8</v>
      </c>
      <c r="L590" s="29" t="s">
        <v>2737</v>
      </c>
      <c r="M590" s="14"/>
      <c r="N590" s="31"/>
      <c r="O590" s="14" t="s">
        <v>40</v>
      </c>
      <c r="P590" s="14" t="s">
        <v>2493</v>
      </c>
      <c r="Q590" s="36"/>
      <c r="R590" s="36"/>
      <c r="S590" s="36"/>
      <c r="T590" s="36"/>
      <c r="V590" s="31"/>
    </row>
    <row r="591">
      <c r="A591" s="14" t="s">
        <v>1787</v>
      </c>
      <c r="B591" s="14" t="s">
        <v>2844</v>
      </c>
      <c r="C591" s="14" t="s">
        <v>2845</v>
      </c>
      <c r="D591" s="14" t="s">
        <v>40</v>
      </c>
      <c r="E591" s="20" t="str">
        <f t="shared" si="2"/>
        <v>noviembre 2025</v>
      </c>
      <c r="F591" s="22">
        <v>45973.0</v>
      </c>
      <c r="G591" s="24">
        <f t="shared" ref="G591:H591" si="596">F591</f>
        <v>45973</v>
      </c>
      <c r="H591" s="26">
        <f t="shared" si="596"/>
        <v>45973</v>
      </c>
      <c r="I591" s="14" t="s">
        <v>90</v>
      </c>
      <c r="K591" s="27">
        <v>1.0E7</v>
      </c>
      <c r="L591" s="29" t="s">
        <v>2764</v>
      </c>
      <c r="M591" s="31"/>
      <c r="N591" s="14" t="s">
        <v>84</v>
      </c>
      <c r="O591" s="31"/>
      <c r="Q591" s="36"/>
      <c r="R591" s="36"/>
      <c r="S591" s="36"/>
      <c r="T591" s="36"/>
      <c r="V591" s="31"/>
    </row>
    <row r="592">
      <c r="A592" s="14" t="s">
        <v>1045</v>
      </c>
      <c r="B592" s="14" t="s">
        <v>2846</v>
      </c>
      <c r="C592" s="14" t="s">
        <v>2847</v>
      </c>
      <c r="D592" s="14" t="s">
        <v>133</v>
      </c>
      <c r="E592" s="20" t="str">
        <f t="shared" si="2"/>
        <v>noviembre 2025</v>
      </c>
      <c r="F592" s="22">
        <v>45972.0</v>
      </c>
      <c r="G592" s="24">
        <f t="shared" ref="G592:H592" si="597">F592</f>
        <v>45972</v>
      </c>
      <c r="H592" s="26">
        <f t="shared" si="597"/>
        <v>45972</v>
      </c>
      <c r="I592" s="14" t="s">
        <v>1865</v>
      </c>
      <c r="K592" s="27">
        <v>1.0E8</v>
      </c>
      <c r="L592" s="29" t="s">
        <v>1210</v>
      </c>
      <c r="M592" s="14"/>
      <c r="N592" s="14" t="s">
        <v>84</v>
      </c>
      <c r="O592" s="31"/>
      <c r="P592" s="14" t="s">
        <v>2641</v>
      </c>
      <c r="Q592" s="36"/>
      <c r="R592" s="36"/>
      <c r="S592" s="36"/>
      <c r="T592" s="36"/>
      <c r="V592" s="31"/>
    </row>
    <row r="593">
      <c r="A593" s="14" t="s">
        <v>1787</v>
      </c>
      <c r="B593" s="14" t="s">
        <v>2850</v>
      </c>
      <c r="C593" s="14" t="s">
        <v>2851</v>
      </c>
      <c r="D593" s="14" t="s">
        <v>40</v>
      </c>
      <c r="E593" s="20" t="str">
        <f t="shared" si="2"/>
        <v>noviembre 2025</v>
      </c>
      <c r="F593" s="22">
        <v>45974.0</v>
      </c>
      <c r="G593" s="24">
        <f t="shared" ref="G593:H593" si="598">F593</f>
        <v>45974</v>
      </c>
      <c r="H593" s="26">
        <f t="shared" si="598"/>
        <v>45974</v>
      </c>
      <c r="I593" s="14" t="s">
        <v>90</v>
      </c>
      <c r="K593" s="27">
        <v>2.5E7</v>
      </c>
      <c r="L593" s="29" t="s">
        <v>1008</v>
      </c>
      <c r="M593" s="31"/>
      <c r="N593" s="14" t="s">
        <v>84</v>
      </c>
      <c r="O593" s="31"/>
      <c r="Q593" s="36"/>
      <c r="R593" s="36"/>
      <c r="S593" s="36"/>
      <c r="T593" s="36"/>
      <c r="V593" s="31"/>
    </row>
    <row r="594">
      <c r="A594" s="14" t="s">
        <v>679</v>
      </c>
      <c r="B594" s="14" t="s">
        <v>2856</v>
      </c>
      <c r="C594" s="14" t="s">
        <v>2857</v>
      </c>
      <c r="D594" s="14" t="s">
        <v>40</v>
      </c>
      <c r="E594" s="20" t="str">
        <f t="shared" si="2"/>
        <v>noviembre 2025</v>
      </c>
      <c r="F594" s="22">
        <v>45968.0</v>
      </c>
      <c r="G594" s="24">
        <f t="shared" ref="G594:H594" si="599">F594</f>
        <v>45968</v>
      </c>
      <c r="H594" s="26">
        <f t="shared" si="599"/>
        <v>45968</v>
      </c>
      <c r="I594" s="14" t="s">
        <v>90</v>
      </c>
      <c r="K594" s="27">
        <v>2.5E7</v>
      </c>
      <c r="L594" s="29" t="s">
        <v>1008</v>
      </c>
      <c r="M594" s="31"/>
      <c r="N594" s="14" t="s">
        <v>84</v>
      </c>
      <c r="O594" s="31"/>
      <c r="Q594" s="36"/>
      <c r="R594" s="36"/>
      <c r="S594" s="36"/>
      <c r="T594" s="36"/>
      <c r="V594" s="31"/>
    </row>
    <row r="595">
      <c r="A595" s="14" t="s">
        <v>679</v>
      </c>
      <c r="B595" s="14" t="s">
        <v>2858</v>
      </c>
      <c r="C595" s="14" t="s">
        <v>2859</v>
      </c>
      <c r="D595" s="14" t="s">
        <v>40</v>
      </c>
      <c r="E595" s="20" t="str">
        <f t="shared" si="2"/>
        <v>noviembre 2025</v>
      </c>
      <c r="F595" s="22">
        <v>45971.0</v>
      </c>
      <c r="G595" s="24">
        <f t="shared" ref="G595:H595" si="600">F595</f>
        <v>45971</v>
      </c>
      <c r="H595" s="26">
        <f t="shared" si="600"/>
        <v>45971</v>
      </c>
      <c r="I595" s="14" t="s">
        <v>90</v>
      </c>
      <c r="K595" s="27">
        <v>2.0E7</v>
      </c>
      <c r="L595" s="29" t="s">
        <v>1008</v>
      </c>
      <c r="M595" s="31"/>
      <c r="N595" s="14" t="s">
        <v>84</v>
      </c>
      <c r="O595" s="31"/>
      <c r="Q595" s="36"/>
      <c r="R595" s="36"/>
      <c r="S595" s="36"/>
      <c r="T595" s="36"/>
      <c r="V595" s="31"/>
    </row>
    <row r="596">
      <c r="A596" s="14" t="s">
        <v>679</v>
      </c>
      <c r="B596" s="14" t="s">
        <v>2860</v>
      </c>
      <c r="C596" s="14" t="s">
        <v>2861</v>
      </c>
      <c r="D596" s="14" t="s">
        <v>40</v>
      </c>
      <c r="E596" s="20" t="str">
        <f t="shared" si="2"/>
        <v>noviembre 2025</v>
      </c>
      <c r="F596" s="22">
        <v>45973.0</v>
      </c>
      <c r="G596" s="24">
        <f t="shared" ref="G596:H596" si="601">F596</f>
        <v>45973</v>
      </c>
      <c r="H596" s="26">
        <f t="shared" si="601"/>
        <v>45973</v>
      </c>
      <c r="I596" s="14" t="s">
        <v>90</v>
      </c>
      <c r="K596" s="27">
        <v>1.0E7</v>
      </c>
      <c r="L596" s="29" t="s">
        <v>2764</v>
      </c>
      <c r="M596" s="31"/>
      <c r="N596" s="14" t="s">
        <v>84</v>
      </c>
      <c r="O596" s="31"/>
      <c r="Q596" s="36"/>
      <c r="R596" s="36"/>
      <c r="S596" s="36"/>
      <c r="T596" s="36"/>
      <c r="V596" s="31"/>
    </row>
    <row r="597">
      <c r="A597" s="14" t="s">
        <v>1787</v>
      </c>
      <c r="B597" s="14" t="s">
        <v>2863</v>
      </c>
      <c r="C597" s="14" t="s">
        <v>2864</v>
      </c>
      <c r="D597" s="14" t="s">
        <v>40</v>
      </c>
      <c r="E597" s="20" t="str">
        <f t="shared" si="2"/>
        <v>noviembre 2025</v>
      </c>
      <c r="F597" s="22">
        <v>45975.0</v>
      </c>
      <c r="G597" s="24">
        <f t="shared" ref="G597:H597" si="602">F597</f>
        <v>45975</v>
      </c>
      <c r="H597" s="26">
        <f t="shared" si="602"/>
        <v>45975</v>
      </c>
      <c r="I597" s="14" t="s">
        <v>90</v>
      </c>
      <c r="K597" s="27">
        <v>1.0E8</v>
      </c>
      <c r="L597" s="29" t="s">
        <v>2865</v>
      </c>
      <c r="M597" s="31"/>
      <c r="N597" s="14" t="s">
        <v>84</v>
      </c>
      <c r="O597" s="31"/>
      <c r="Q597" s="36"/>
      <c r="R597" s="36"/>
      <c r="S597" s="36"/>
      <c r="T597" s="36"/>
      <c r="V597" s="31"/>
    </row>
    <row r="598">
      <c r="A598" s="14" t="s">
        <v>117</v>
      </c>
      <c r="B598" s="14" t="s">
        <v>2867</v>
      </c>
      <c r="C598" s="14" t="s">
        <v>2868</v>
      </c>
      <c r="D598" s="14" t="s">
        <v>133</v>
      </c>
      <c r="E598" s="20" t="str">
        <f t="shared" si="2"/>
        <v>noviembre 2025</v>
      </c>
      <c r="F598" s="22">
        <v>45976.0</v>
      </c>
      <c r="G598" s="24">
        <f t="shared" ref="G598:H598" si="603">F598</f>
        <v>45976</v>
      </c>
      <c r="H598" s="26">
        <f t="shared" si="603"/>
        <v>45976</v>
      </c>
      <c r="I598" s="14" t="s">
        <v>1865</v>
      </c>
      <c r="K598" s="27">
        <v>1.2E8</v>
      </c>
      <c r="L598" s="62">
        <v>0.0256</v>
      </c>
      <c r="M598" s="14"/>
      <c r="N598" s="14" t="s">
        <v>84</v>
      </c>
      <c r="O598" s="14" t="s">
        <v>40</v>
      </c>
      <c r="P598" s="14" t="s">
        <v>2869</v>
      </c>
      <c r="Q598" s="36"/>
      <c r="R598" s="36"/>
      <c r="S598" s="36"/>
      <c r="T598" s="36"/>
      <c r="V598" s="31"/>
    </row>
    <row r="599">
      <c r="A599" s="14" t="s">
        <v>1012</v>
      </c>
      <c r="B599" s="14" t="s">
        <v>2870</v>
      </c>
      <c r="C599" s="14" t="s">
        <v>2871</v>
      </c>
      <c r="D599" s="14" t="s">
        <v>40</v>
      </c>
      <c r="E599" s="20" t="str">
        <f t="shared" si="2"/>
        <v>noviembre 2025</v>
      </c>
      <c r="F599" s="22">
        <v>45979.0</v>
      </c>
      <c r="G599" s="24">
        <f t="shared" ref="G599:H599" si="604">F599</f>
        <v>45979</v>
      </c>
      <c r="H599" s="26">
        <f t="shared" si="604"/>
        <v>45979</v>
      </c>
      <c r="I599" s="14" t="s">
        <v>259</v>
      </c>
      <c r="K599" s="27">
        <v>1.0E8</v>
      </c>
      <c r="L599" s="29" t="s">
        <v>2873</v>
      </c>
      <c r="M599" s="31"/>
      <c r="N599" s="31"/>
      <c r="O599" s="14" t="s">
        <v>133</v>
      </c>
      <c r="Q599" s="36"/>
      <c r="R599" s="36"/>
      <c r="S599" s="36"/>
      <c r="T599" s="36"/>
      <c r="V599" s="31"/>
    </row>
    <row r="600">
      <c r="A600" s="14" t="s">
        <v>1012</v>
      </c>
      <c r="B600" s="14" t="s">
        <v>2874</v>
      </c>
      <c r="C600" s="14" t="s">
        <v>2875</v>
      </c>
      <c r="D600" s="14" t="s">
        <v>133</v>
      </c>
      <c r="E600" s="20" t="str">
        <f t="shared" si="2"/>
        <v>noviembre 2025</v>
      </c>
      <c r="F600" s="22">
        <v>45979.0</v>
      </c>
      <c r="G600" s="24">
        <f t="shared" ref="G600:H600" si="605">F600</f>
        <v>45979</v>
      </c>
      <c r="H600" s="26">
        <f t="shared" si="605"/>
        <v>45979</v>
      </c>
      <c r="I600" s="14" t="s">
        <v>1865</v>
      </c>
      <c r="K600" s="27">
        <v>1.0E8</v>
      </c>
      <c r="L600" s="29" t="s">
        <v>1033</v>
      </c>
      <c r="M600" s="31"/>
      <c r="N600" s="14" t="s">
        <v>84</v>
      </c>
      <c r="O600" s="14" t="s">
        <v>133</v>
      </c>
      <c r="Q600" s="36"/>
      <c r="R600" s="36"/>
      <c r="S600" s="36"/>
      <c r="T600" s="36"/>
      <c r="V600" s="31"/>
    </row>
    <row r="601">
      <c r="A601" s="14" t="s">
        <v>679</v>
      </c>
      <c r="B601" s="14" t="s">
        <v>2876</v>
      </c>
      <c r="C601" s="14" t="s">
        <v>2877</v>
      </c>
      <c r="D601" s="14" t="s">
        <v>40</v>
      </c>
      <c r="E601" s="20" t="str">
        <f t="shared" si="2"/>
        <v>noviembre 2025</v>
      </c>
      <c r="F601" s="22">
        <v>45979.0</v>
      </c>
      <c r="G601" s="24">
        <f t="shared" ref="G601:H601" si="606">F601</f>
        <v>45979</v>
      </c>
      <c r="H601" s="26">
        <f t="shared" si="606"/>
        <v>45979</v>
      </c>
      <c r="I601" s="14" t="s">
        <v>90</v>
      </c>
      <c r="K601" s="27">
        <v>5.0E7</v>
      </c>
      <c r="L601" s="29">
        <v>1.85</v>
      </c>
      <c r="M601" s="31"/>
      <c r="N601" s="14" t="s">
        <v>84</v>
      </c>
      <c r="O601" s="31"/>
      <c r="Q601" s="36"/>
      <c r="R601" s="36"/>
      <c r="S601" s="36"/>
      <c r="T601" s="36"/>
      <c r="V601" s="31"/>
    </row>
    <row r="602">
      <c r="A602" s="14" t="s">
        <v>679</v>
      </c>
      <c r="B602" s="14" t="s">
        <v>2878</v>
      </c>
      <c r="C602" s="14" t="s">
        <v>2879</v>
      </c>
      <c r="D602" s="14" t="s">
        <v>40</v>
      </c>
      <c r="E602" s="20" t="str">
        <f t="shared" si="2"/>
        <v>noviembre 2025</v>
      </c>
      <c r="F602" s="22">
        <v>45979.0</v>
      </c>
      <c r="G602" s="24">
        <f t="shared" ref="G602:H602" si="607">F602</f>
        <v>45979</v>
      </c>
      <c r="H602" s="26">
        <f t="shared" si="607"/>
        <v>45979</v>
      </c>
      <c r="I602" s="14" t="s">
        <v>90</v>
      </c>
      <c r="K602" s="27">
        <v>1.0E8</v>
      </c>
      <c r="L602" s="29">
        <v>1.85</v>
      </c>
      <c r="M602" s="31"/>
      <c r="N602" s="14" t="s">
        <v>84</v>
      </c>
      <c r="O602" s="31"/>
      <c r="Q602" s="36"/>
      <c r="R602" s="36"/>
      <c r="S602" s="36"/>
      <c r="T602" s="36"/>
      <c r="V602" s="31"/>
    </row>
    <row r="603">
      <c r="A603" s="14" t="s">
        <v>679</v>
      </c>
      <c r="B603" s="14" t="s">
        <v>2880</v>
      </c>
      <c r="C603" s="14" t="s">
        <v>2881</v>
      </c>
      <c r="D603" s="14" t="s">
        <v>40</v>
      </c>
      <c r="E603" s="20" t="str">
        <f t="shared" si="2"/>
        <v>noviembre 2025</v>
      </c>
      <c r="F603" s="22">
        <v>45979.0</v>
      </c>
      <c r="G603" s="24">
        <f t="shared" ref="G603:H603" si="608">F603</f>
        <v>45979</v>
      </c>
      <c r="H603" s="26">
        <f t="shared" si="608"/>
        <v>45979</v>
      </c>
      <c r="I603" s="14" t="s">
        <v>90</v>
      </c>
      <c r="K603" s="27">
        <v>1.0E8</v>
      </c>
      <c r="L603" s="29">
        <v>1.85</v>
      </c>
      <c r="M603" s="31"/>
      <c r="N603" s="14" t="s">
        <v>84</v>
      </c>
      <c r="O603" s="31"/>
      <c r="Q603" s="36"/>
      <c r="R603" s="36"/>
      <c r="S603" s="36"/>
      <c r="T603" s="36"/>
      <c r="V603" s="31"/>
    </row>
    <row r="604">
      <c r="A604" s="14" t="s">
        <v>679</v>
      </c>
      <c r="B604" s="14" t="s">
        <v>2882</v>
      </c>
      <c r="C604" s="14" t="s">
        <v>2883</v>
      </c>
      <c r="D604" s="14" t="s">
        <v>40</v>
      </c>
      <c r="E604" s="20" t="str">
        <f t="shared" si="2"/>
        <v>noviembre 2025</v>
      </c>
      <c r="F604" s="22">
        <v>45979.0</v>
      </c>
      <c r="G604" s="24">
        <f t="shared" ref="G604:H604" si="609">F604</f>
        <v>45979</v>
      </c>
      <c r="H604" s="26">
        <f t="shared" si="609"/>
        <v>45979</v>
      </c>
      <c r="I604" s="14" t="s">
        <v>90</v>
      </c>
      <c r="K604" s="27">
        <v>1.0E8</v>
      </c>
      <c r="L604" s="29">
        <v>1.85</v>
      </c>
      <c r="M604" s="31"/>
      <c r="N604" s="14" t="s">
        <v>84</v>
      </c>
      <c r="O604" s="31"/>
      <c r="Q604" s="36"/>
      <c r="R604" s="36"/>
      <c r="S604" s="36"/>
      <c r="T604" s="36"/>
      <c r="V604" s="31"/>
    </row>
    <row r="605">
      <c r="A605" s="14" t="s">
        <v>1787</v>
      </c>
      <c r="B605" s="34" t="s">
        <v>2884</v>
      </c>
      <c r="C605" s="322" t="s">
        <v>2885</v>
      </c>
      <c r="D605" s="14" t="s">
        <v>40</v>
      </c>
      <c r="E605" s="20" t="str">
        <f t="shared" si="2"/>
        <v>noviembre 2025</v>
      </c>
      <c r="F605" s="22">
        <v>45980.0</v>
      </c>
      <c r="G605" s="24">
        <f t="shared" ref="G605:H605" si="610">F605</f>
        <v>45980</v>
      </c>
      <c r="H605" s="26">
        <f t="shared" si="610"/>
        <v>45980</v>
      </c>
      <c r="I605" s="14" t="s">
        <v>90</v>
      </c>
      <c r="K605" s="27">
        <v>2.0E9</v>
      </c>
      <c r="L605" s="14" t="s">
        <v>2523</v>
      </c>
      <c r="M605" s="31"/>
      <c r="N605" s="14" t="s">
        <v>84</v>
      </c>
      <c r="O605" s="31"/>
      <c r="Q605" s="36"/>
      <c r="R605" s="36"/>
      <c r="S605" s="36"/>
      <c r="T605" s="36"/>
      <c r="V605" s="31"/>
    </row>
    <row r="606">
      <c r="A606" s="14" t="s">
        <v>736</v>
      </c>
      <c r="B606" s="14" t="s">
        <v>2886</v>
      </c>
      <c r="C606" s="14" t="s">
        <v>2652</v>
      </c>
      <c r="D606" s="14" t="s">
        <v>40</v>
      </c>
      <c r="E606" s="20" t="str">
        <f t="shared" si="2"/>
        <v>noviembre 2025</v>
      </c>
      <c r="F606" s="22">
        <v>45971.0</v>
      </c>
      <c r="G606" s="24">
        <f t="shared" ref="G606:H606" si="611">F606</f>
        <v>45971</v>
      </c>
      <c r="H606" s="26">
        <f t="shared" si="611"/>
        <v>45971</v>
      </c>
      <c r="I606" s="14" t="s">
        <v>90</v>
      </c>
      <c r="K606" s="27">
        <v>1.9E8</v>
      </c>
      <c r="L606" s="29" t="s">
        <v>2887</v>
      </c>
      <c r="M606" s="14"/>
      <c r="N606" s="14" t="s">
        <v>84</v>
      </c>
      <c r="O606" s="14" t="s">
        <v>40</v>
      </c>
      <c r="P606" s="14" t="s">
        <v>2888</v>
      </c>
      <c r="Q606" s="36"/>
      <c r="R606" s="36"/>
      <c r="S606" s="36"/>
      <c r="T606" s="36"/>
      <c r="V606" s="31"/>
    </row>
    <row r="607">
      <c r="A607" s="14" t="s">
        <v>736</v>
      </c>
      <c r="B607" s="14" t="s">
        <v>2886</v>
      </c>
      <c r="C607" s="14" t="s">
        <v>2890</v>
      </c>
      <c r="D607" s="14" t="s">
        <v>40</v>
      </c>
      <c r="E607" s="20" t="str">
        <f t="shared" si="2"/>
        <v>noviembre 2025</v>
      </c>
      <c r="F607" s="22">
        <v>45981.0</v>
      </c>
      <c r="G607" s="24">
        <f t="shared" ref="G607:H607" si="612">F607</f>
        <v>45981</v>
      </c>
      <c r="H607" s="26">
        <f t="shared" si="612"/>
        <v>45981</v>
      </c>
      <c r="I607" s="14" t="s">
        <v>90</v>
      </c>
      <c r="L607" s="29" t="s">
        <v>2887</v>
      </c>
      <c r="M607" s="14"/>
      <c r="N607" s="14" t="s">
        <v>84</v>
      </c>
      <c r="O607" s="14" t="s">
        <v>40</v>
      </c>
      <c r="P607" s="14" t="s">
        <v>2888</v>
      </c>
      <c r="Q607" s="36"/>
      <c r="R607" s="36"/>
      <c r="S607" s="36"/>
      <c r="T607" s="36"/>
      <c r="V607" s="31"/>
    </row>
    <row r="608">
      <c r="A608" s="14" t="s">
        <v>736</v>
      </c>
      <c r="B608" s="14" t="s">
        <v>2893</v>
      </c>
      <c r="C608" s="14" t="s">
        <v>2651</v>
      </c>
      <c r="D608" s="14" t="s">
        <v>40</v>
      </c>
      <c r="E608" s="20" t="str">
        <f t="shared" si="2"/>
        <v>noviembre 2025</v>
      </c>
      <c r="F608" s="22">
        <v>45971.0</v>
      </c>
      <c r="G608" s="24">
        <f t="shared" ref="G608:H608" si="613">F608</f>
        <v>45971</v>
      </c>
      <c r="H608" s="26">
        <f t="shared" si="613"/>
        <v>45971</v>
      </c>
      <c r="I608" s="14" t="s">
        <v>90</v>
      </c>
      <c r="K608" s="27">
        <v>3.2E8</v>
      </c>
      <c r="L608" s="29" t="s">
        <v>2887</v>
      </c>
      <c r="M608" s="14"/>
      <c r="N608" s="14" t="s">
        <v>84</v>
      </c>
      <c r="O608" s="14" t="s">
        <v>40</v>
      </c>
      <c r="P608" s="14" t="s">
        <v>2888</v>
      </c>
      <c r="Q608" s="36"/>
      <c r="R608" s="36"/>
      <c r="S608" s="36"/>
      <c r="T608" s="36"/>
      <c r="V608" s="31"/>
    </row>
    <row r="609">
      <c r="A609" s="14" t="s">
        <v>1787</v>
      </c>
      <c r="B609" s="14" t="s">
        <v>2898</v>
      </c>
      <c r="C609" s="14" t="s">
        <v>2899</v>
      </c>
      <c r="D609" s="14" t="s">
        <v>40</v>
      </c>
      <c r="E609" s="20" t="str">
        <f t="shared" si="2"/>
        <v>noviembre 2025</v>
      </c>
      <c r="F609" s="22">
        <v>45981.0</v>
      </c>
      <c r="G609" s="24">
        <f t="shared" ref="G609:H609" si="614">F609</f>
        <v>45981</v>
      </c>
      <c r="H609" s="26">
        <f t="shared" si="614"/>
        <v>45981</v>
      </c>
      <c r="I609" s="14" t="s">
        <v>90</v>
      </c>
      <c r="K609" s="27">
        <v>2.0E7</v>
      </c>
      <c r="L609" s="29" t="s">
        <v>1203</v>
      </c>
      <c r="M609" s="31"/>
      <c r="N609" s="14" t="s">
        <v>84</v>
      </c>
      <c r="O609" s="31"/>
      <c r="Q609" s="36"/>
      <c r="R609" s="36"/>
      <c r="S609" s="36"/>
      <c r="T609" s="36"/>
      <c r="V609" s="31"/>
    </row>
    <row r="610">
      <c r="A610" s="14" t="s">
        <v>1787</v>
      </c>
      <c r="B610" s="14" t="s">
        <v>2902</v>
      </c>
      <c r="C610" s="14" t="s">
        <v>2903</v>
      </c>
      <c r="D610" s="14" t="s">
        <v>40</v>
      </c>
      <c r="E610" s="20" t="str">
        <f t="shared" si="2"/>
        <v>noviembre 2025</v>
      </c>
      <c r="F610" s="22">
        <v>45980.0</v>
      </c>
      <c r="G610" s="24">
        <f t="shared" ref="G610:H610" si="615">F610</f>
        <v>45980</v>
      </c>
      <c r="H610" s="26">
        <f t="shared" si="615"/>
        <v>45980</v>
      </c>
      <c r="I610" s="14" t="s">
        <v>90</v>
      </c>
      <c r="K610" s="27">
        <v>1.0E7</v>
      </c>
      <c r="L610" s="29" t="s">
        <v>1203</v>
      </c>
      <c r="M610" s="31"/>
      <c r="N610" s="14" t="s">
        <v>84</v>
      </c>
      <c r="O610" s="31"/>
      <c r="Q610" s="36"/>
      <c r="R610" s="36"/>
      <c r="S610" s="36"/>
      <c r="T610" s="36"/>
      <c r="V610" s="31"/>
    </row>
    <row r="611">
      <c r="A611" s="14" t="s">
        <v>1012</v>
      </c>
      <c r="B611" s="14" t="s">
        <v>2904</v>
      </c>
      <c r="C611" s="14" t="s">
        <v>2905</v>
      </c>
      <c r="D611" s="14" t="s">
        <v>133</v>
      </c>
      <c r="E611" s="20" t="str">
        <f t="shared" si="2"/>
        <v>noviembre 2025</v>
      </c>
      <c r="F611" s="22">
        <v>45982.0</v>
      </c>
      <c r="G611" s="24">
        <f t="shared" ref="G611:H611" si="616">F611</f>
        <v>45982</v>
      </c>
      <c r="H611" s="26">
        <f t="shared" si="616"/>
        <v>45982</v>
      </c>
      <c r="I611" s="14" t="s">
        <v>1865</v>
      </c>
      <c r="K611" s="27">
        <v>2.0E8</v>
      </c>
      <c r="L611" s="29" t="s">
        <v>2906</v>
      </c>
      <c r="M611" s="31"/>
      <c r="N611" s="14" t="s">
        <v>133</v>
      </c>
      <c r="O611" s="14" t="s">
        <v>40</v>
      </c>
      <c r="Q611" s="36"/>
      <c r="R611" s="36"/>
      <c r="S611" s="36"/>
      <c r="T611" s="36"/>
      <c r="V611" s="31"/>
    </row>
    <row r="612">
      <c r="A612" s="14" t="s">
        <v>1012</v>
      </c>
      <c r="B612" s="14" t="s">
        <v>2904</v>
      </c>
      <c r="C612" s="14" t="s">
        <v>2907</v>
      </c>
      <c r="D612" s="14" t="s">
        <v>133</v>
      </c>
      <c r="E612" s="20" t="str">
        <f t="shared" si="2"/>
        <v>noviembre 2025</v>
      </c>
      <c r="F612" s="22">
        <v>45982.0</v>
      </c>
      <c r="G612" s="24">
        <f t="shared" ref="G612:H612" si="617">F612</f>
        <v>45982</v>
      </c>
      <c r="H612" s="26">
        <f t="shared" si="617"/>
        <v>45982</v>
      </c>
      <c r="I612" s="14" t="s">
        <v>1865</v>
      </c>
      <c r="K612" s="27">
        <v>2.0E8</v>
      </c>
      <c r="L612" s="29" t="s">
        <v>2906</v>
      </c>
      <c r="M612" s="31"/>
      <c r="N612" s="14" t="s">
        <v>133</v>
      </c>
      <c r="O612" s="14" t="s">
        <v>40</v>
      </c>
      <c r="Q612" s="36"/>
      <c r="R612" s="36"/>
      <c r="S612" s="36"/>
      <c r="T612" s="36"/>
      <c r="V612" s="31"/>
    </row>
    <row r="613">
      <c r="A613" s="14" t="s">
        <v>1012</v>
      </c>
      <c r="B613" s="14" t="s">
        <v>2904</v>
      </c>
      <c r="C613" s="14" t="s">
        <v>2908</v>
      </c>
      <c r="D613" s="14" t="s">
        <v>133</v>
      </c>
      <c r="E613" s="20" t="str">
        <f t="shared" si="2"/>
        <v>noviembre 2025</v>
      </c>
      <c r="F613" s="22">
        <v>45982.0</v>
      </c>
      <c r="G613" s="24">
        <f t="shared" ref="G613:H613" si="618">F613</f>
        <v>45982</v>
      </c>
      <c r="H613" s="26">
        <f t="shared" si="618"/>
        <v>45982</v>
      </c>
      <c r="I613" s="14" t="s">
        <v>1865</v>
      </c>
      <c r="K613" s="27">
        <v>2.0E8</v>
      </c>
      <c r="L613" s="29" t="s">
        <v>2906</v>
      </c>
      <c r="M613" s="31"/>
      <c r="N613" s="14" t="s">
        <v>133</v>
      </c>
      <c r="O613" s="14" t="s">
        <v>40</v>
      </c>
      <c r="Q613" s="36"/>
      <c r="R613" s="36"/>
      <c r="S613" s="36"/>
      <c r="T613" s="36"/>
      <c r="V613" s="31"/>
    </row>
    <row r="614">
      <c r="A614" s="14" t="s">
        <v>1012</v>
      </c>
      <c r="B614" s="14" t="s">
        <v>2904</v>
      </c>
      <c r="C614" s="14" t="s">
        <v>2909</v>
      </c>
      <c r="D614" s="14" t="s">
        <v>133</v>
      </c>
      <c r="E614" s="20" t="str">
        <f t="shared" si="2"/>
        <v>noviembre 2025</v>
      </c>
      <c r="F614" s="22">
        <v>45982.0</v>
      </c>
      <c r="G614" s="24">
        <f t="shared" ref="G614:H614" si="619">F614</f>
        <v>45982</v>
      </c>
      <c r="H614" s="26">
        <f t="shared" si="619"/>
        <v>45982</v>
      </c>
      <c r="I614" s="14" t="s">
        <v>1865</v>
      </c>
      <c r="K614" s="27">
        <v>2.0E8</v>
      </c>
      <c r="L614" s="29" t="s">
        <v>2906</v>
      </c>
      <c r="M614" s="31"/>
      <c r="N614" s="14" t="s">
        <v>133</v>
      </c>
      <c r="O614" s="14" t="s">
        <v>40</v>
      </c>
      <c r="Q614" s="36"/>
      <c r="R614" s="36"/>
      <c r="S614" s="36"/>
      <c r="T614" s="36"/>
      <c r="V614" s="31"/>
    </row>
    <row r="615">
      <c r="A615" s="14" t="s">
        <v>1012</v>
      </c>
      <c r="B615" s="14" t="s">
        <v>2904</v>
      </c>
      <c r="C615" s="14" t="s">
        <v>2910</v>
      </c>
      <c r="D615" s="14" t="s">
        <v>133</v>
      </c>
      <c r="E615" s="20" t="str">
        <f t="shared" si="2"/>
        <v>noviembre 2025</v>
      </c>
      <c r="F615" s="22">
        <v>45982.0</v>
      </c>
      <c r="G615" s="24">
        <f t="shared" ref="G615:H615" si="620">F615</f>
        <v>45982</v>
      </c>
      <c r="H615" s="26">
        <f t="shared" si="620"/>
        <v>45982</v>
      </c>
      <c r="I615" s="14" t="s">
        <v>1865</v>
      </c>
      <c r="K615" s="27">
        <v>2.0E8</v>
      </c>
      <c r="L615" s="29" t="s">
        <v>2906</v>
      </c>
      <c r="M615" s="31"/>
      <c r="N615" s="14" t="s">
        <v>133</v>
      </c>
      <c r="O615" s="14" t="s">
        <v>40</v>
      </c>
      <c r="Q615" s="36"/>
      <c r="R615" s="36"/>
      <c r="S615" s="36"/>
      <c r="T615" s="36"/>
      <c r="V615" s="31"/>
    </row>
    <row r="616">
      <c r="A616" s="14" t="s">
        <v>1045</v>
      </c>
      <c r="B616" s="14" t="s">
        <v>2911</v>
      </c>
      <c r="C616" s="14" t="s">
        <v>2912</v>
      </c>
      <c r="D616" s="14" t="s">
        <v>40</v>
      </c>
      <c r="E616" s="20" t="str">
        <f t="shared" si="2"/>
        <v>noviembre 2025</v>
      </c>
      <c r="F616" s="22">
        <v>45979.0</v>
      </c>
      <c r="G616" s="24">
        <f t="shared" ref="G616:H616" si="621">F616</f>
        <v>45979</v>
      </c>
      <c r="H616" s="26">
        <f t="shared" si="621"/>
        <v>45979</v>
      </c>
      <c r="I616" s="14" t="s">
        <v>1865</v>
      </c>
      <c r="K616" s="27">
        <v>1.0E8</v>
      </c>
      <c r="L616" s="15" t="s">
        <v>2913</v>
      </c>
      <c r="M616" s="31"/>
      <c r="N616" s="14" t="s">
        <v>133</v>
      </c>
      <c r="O616" s="14" t="s">
        <v>133</v>
      </c>
      <c r="Q616" s="36"/>
      <c r="R616" s="36"/>
      <c r="S616" s="36"/>
      <c r="T616" s="36"/>
      <c r="V616" s="31"/>
    </row>
    <row r="617">
      <c r="A617" s="14" t="s">
        <v>76</v>
      </c>
      <c r="B617" s="14" t="s">
        <v>2914</v>
      </c>
      <c r="C617" s="14" t="s">
        <v>2915</v>
      </c>
      <c r="D617" s="14" t="s">
        <v>40</v>
      </c>
      <c r="E617" s="20" t="str">
        <f t="shared" si="2"/>
        <v>noviembre 2025</v>
      </c>
      <c r="F617" s="22">
        <v>45979.0</v>
      </c>
      <c r="G617" s="24">
        <f t="shared" ref="G617:H617" si="622">F617</f>
        <v>45979</v>
      </c>
      <c r="H617" s="26">
        <f t="shared" si="622"/>
        <v>45979</v>
      </c>
      <c r="I617" s="14" t="s">
        <v>90</v>
      </c>
      <c r="K617" s="27">
        <v>6.0E8</v>
      </c>
      <c r="L617" s="29"/>
      <c r="M617" s="31"/>
      <c r="N617" s="14"/>
      <c r="O617" s="14"/>
      <c r="Q617" s="36"/>
      <c r="R617" s="36"/>
      <c r="S617" s="36"/>
      <c r="T617" s="36"/>
      <c r="V617" s="31"/>
    </row>
    <row r="618">
      <c r="A618" s="14" t="s">
        <v>736</v>
      </c>
      <c r="B618" s="14" t="s">
        <v>2916</v>
      </c>
      <c r="C618" s="14" t="s">
        <v>2917</v>
      </c>
      <c r="D618" s="14" t="s">
        <v>40</v>
      </c>
      <c r="E618" s="20" t="str">
        <f t="shared" si="2"/>
        <v>noviembre 2025</v>
      </c>
      <c r="F618" s="22">
        <v>45986.0</v>
      </c>
      <c r="G618" s="24">
        <f t="shared" ref="G618:H618" si="623">F618</f>
        <v>45986</v>
      </c>
      <c r="H618" s="26">
        <f t="shared" si="623"/>
        <v>45986</v>
      </c>
      <c r="I618" s="14" t="s">
        <v>90</v>
      </c>
      <c r="K618" s="27">
        <v>3.0E7</v>
      </c>
      <c r="L618" s="29" t="s">
        <v>2918</v>
      </c>
      <c r="M618" s="31"/>
      <c r="N618" s="14" t="s">
        <v>84</v>
      </c>
      <c r="O618" s="14" t="s">
        <v>133</v>
      </c>
      <c r="Q618" s="36"/>
      <c r="R618" s="36"/>
      <c r="S618" s="36"/>
      <c r="T618" s="36"/>
      <c r="V618" s="31"/>
    </row>
    <row r="619">
      <c r="A619" s="14" t="s">
        <v>1045</v>
      </c>
      <c r="B619" s="14" t="s">
        <v>2919</v>
      </c>
      <c r="C619" s="14" t="s">
        <v>2920</v>
      </c>
      <c r="D619" s="14" t="s">
        <v>40</v>
      </c>
      <c r="E619" s="20" t="str">
        <f t="shared" si="2"/>
        <v>noviembre 2025</v>
      </c>
      <c r="F619" s="22">
        <v>45982.0</v>
      </c>
      <c r="G619" s="24">
        <f t="shared" ref="G619:H619" si="624">F619</f>
        <v>45982</v>
      </c>
      <c r="H619" s="26">
        <f t="shared" si="624"/>
        <v>45982</v>
      </c>
      <c r="I619" s="14" t="s">
        <v>90</v>
      </c>
      <c r="K619" s="27">
        <v>2.0E7</v>
      </c>
      <c r="L619" s="29" t="s">
        <v>1008</v>
      </c>
      <c r="M619" s="31"/>
      <c r="N619" s="14" t="s">
        <v>84</v>
      </c>
      <c r="O619" s="14" t="s">
        <v>133</v>
      </c>
      <c r="Q619" s="36"/>
      <c r="R619" s="36"/>
      <c r="S619" s="36"/>
      <c r="T619" s="36"/>
      <c r="V619" s="31"/>
    </row>
    <row r="620">
      <c r="A620" s="14" t="s">
        <v>208</v>
      </c>
      <c r="B620" s="14" t="s">
        <v>2923</v>
      </c>
      <c r="C620" s="14" t="s">
        <v>2924</v>
      </c>
      <c r="D620" s="14" t="s">
        <v>40</v>
      </c>
      <c r="E620" s="20" t="str">
        <f t="shared" si="2"/>
        <v>noviembre 2025</v>
      </c>
      <c r="F620" s="22">
        <v>45981.0</v>
      </c>
      <c r="G620" s="24">
        <f t="shared" ref="G620:H620" si="625">F620</f>
        <v>45981</v>
      </c>
      <c r="H620" s="26">
        <f t="shared" si="625"/>
        <v>45981</v>
      </c>
      <c r="I620" s="14" t="s">
        <v>90</v>
      </c>
      <c r="K620" s="27">
        <v>2.8E7</v>
      </c>
      <c r="L620" s="29" t="s">
        <v>1008</v>
      </c>
      <c r="M620" s="31"/>
      <c r="N620" s="14" t="s">
        <v>84</v>
      </c>
      <c r="O620" s="14" t="s">
        <v>133</v>
      </c>
      <c r="Q620" s="36"/>
      <c r="R620" s="36"/>
      <c r="S620" s="36"/>
      <c r="T620" s="36"/>
      <c r="V620" s="31"/>
    </row>
    <row r="621">
      <c r="A621" s="14" t="s">
        <v>1045</v>
      </c>
      <c r="B621" s="14" t="s">
        <v>2926</v>
      </c>
      <c r="C621" s="14" t="s">
        <v>2927</v>
      </c>
      <c r="D621" s="14" t="s">
        <v>40</v>
      </c>
      <c r="E621" s="20" t="str">
        <f t="shared" si="2"/>
        <v>noviembre 2025</v>
      </c>
      <c r="F621" s="22">
        <v>45985.0</v>
      </c>
      <c r="G621" s="24">
        <f t="shared" ref="G621:H621" si="626">F621</f>
        <v>45985</v>
      </c>
      <c r="H621" s="26">
        <f t="shared" si="626"/>
        <v>45985</v>
      </c>
      <c r="I621" s="14" t="s">
        <v>90</v>
      </c>
      <c r="K621" s="27">
        <v>1.5E7</v>
      </c>
      <c r="L621" s="29" t="s">
        <v>1203</v>
      </c>
      <c r="M621" s="31"/>
      <c r="N621" s="14" t="s">
        <v>84</v>
      </c>
      <c r="O621" s="14" t="s">
        <v>133</v>
      </c>
      <c r="Q621" s="36"/>
      <c r="R621" s="36"/>
      <c r="S621" s="36"/>
      <c r="T621" s="36"/>
      <c r="V621" s="31"/>
    </row>
    <row r="622">
      <c r="A622" s="37" t="s">
        <v>66</v>
      </c>
      <c r="B622" s="14" t="s">
        <v>2933</v>
      </c>
      <c r="C622" s="14" t="s">
        <v>2934</v>
      </c>
      <c r="D622" s="14" t="s">
        <v>133</v>
      </c>
      <c r="E622" s="20" t="str">
        <f t="shared" si="2"/>
        <v>noviembre 2025</v>
      </c>
      <c r="F622" s="22">
        <v>45985.0</v>
      </c>
      <c r="G622" s="24">
        <f t="shared" ref="G622:H622" si="627">F622</f>
        <v>45985</v>
      </c>
      <c r="H622" s="26">
        <f t="shared" si="627"/>
        <v>45985</v>
      </c>
      <c r="I622" s="14" t="s">
        <v>1865</v>
      </c>
      <c r="K622" s="27">
        <v>6.0E8</v>
      </c>
      <c r="L622" s="15" t="s">
        <v>2913</v>
      </c>
      <c r="M622" s="31"/>
      <c r="N622" s="14" t="s">
        <v>84</v>
      </c>
      <c r="O622" s="14" t="s">
        <v>40</v>
      </c>
      <c r="Q622" s="36"/>
      <c r="R622" s="36"/>
      <c r="S622" s="36"/>
      <c r="T622" s="36"/>
      <c r="V622" s="31"/>
    </row>
    <row r="623">
      <c r="A623" s="14" t="s">
        <v>208</v>
      </c>
      <c r="B623" s="14" t="s">
        <v>2936</v>
      </c>
      <c r="C623" s="14" t="s">
        <v>2937</v>
      </c>
      <c r="D623" s="14" t="s">
        <v>133</v>
      </c>
      <c r="E623" s="20" t="str">
        <f t="shared" si="2"/>
        <v>noviembre 2025</v>
      </c>
      <c r="F623" s="22">
        <v>45969.0</v>
      </c>
      <c r="G623" s="24">
        <f t="shared" ref="G623:H623" si="628">F623</f>
        <v>45969</v>
      </c>
      <c r="H623" s="26">
        <f t="shared" si="628"/>
        <v>45969</v>
      </c>
      <c r="I623" s="14" t="s">
        <v>2398</v>
      </c>
      <c r="K623" s="27">
        <v>1.3E8</v>
      </c>
      <c r="L623" s="78"/>
      <c r="M623" s="31"/>
      <c r="N623" s="14" t="s">
        <v>84</v>
      </c>
      <c r="O623" s="14" t="s">
        <v>133</v>
      </c>
      <c r="Q623" s="36"/>
      <c r="R623" s="36"/>
      <c r="S623" s="36"/>
      <c r="T623" s="36"/>
      <c r="V623" s="31"/>
    </row>
    <row r="624">
      <c r="A624" s="14" t="s">
        <v>1787</v>
      </c>
      <c r="B624" s="14" t="s">
        <v>2938</v>
      </c>
      <c r="C624" s="14" t="s">
        <v>2939</v>
      </c>
      <c r="D624" s="14" t="s">
        <v>40</v>
      </c>
      <c r="E624" s="20" t="str">
        <f t="shared" si="2"/>
        <v>noviembre 2025</v>
      </c>
      <c r="F624" s="22">
        <v>45988.0</v>
      </c>
      <c r="G624" s="24">
        <f t="shared" ref="G624:H624" si="629">F624</f>
        <v>45988</v>
      </c>
      <c r="H624" s="26">
        <f t="shared" si="629"/>
        <v>45988</v>
      </c>
      <c r="I624" s="14" t="s">
        <v>90</v>
      </c>
      <c r="K624" s="27">
        <v>1.5E7</v>
      </c>
      <c r="L624" s="29" t="s">
        <v>1203</v>
      </c>
      <c r="M624" s="31"/>
      <c r="N624" s="14" t="s">
        <v>84</v>
      </c>
      <c r="O624" s="31"/>
      <c r="Q624" s="36"/>
      <c r="R624" s="36"/>
      <c r="S624" s="36"/>
      <c r="T624" s="36"/>
      <c r="V624" s="31"/>
    </row>
    <row r="625">
      <c r="A625" s="14" t="s">
        <v>1045</v>
      </c>
      <c r="B625" s="14" t="s">
        <v>2942</v>
      </c>
      <c r="C625" s="14" t="s">
        <v>2943</v>
      </c>
      <c r="D625" s="14" t="s">
        <v>40</v>
      </c>
      <c r="E625" s="20" t="str">
        <f t="shared" si="2"/>
        <v>noviembre 2025</v>
      </c>
      <c r="F625" s="22">
        <v>45987.0</v>
      </c>
      <c r="G625" s="24">
        <f t="shared" ref="G625:H625" si="630">F625</f>
        <v>45987</v>
      </c>
      <c r="H625" s="26">
        <f t="shared" si="630"/>
        <v>45987</v>
      </c>
      <c r="I625" s="14" t="s">
        <v>90</v>
      </c>
      <c r="K625" s="27">
        <v>4.0E7</v>
      </c>
      <c r="L625" s="29" t="s">
        <v>2944</v>
      </c>
      <c r="M625" s="14"/>
      <c r="N625" s="14" t="s">
        <v>133</v>
      </c>
      <c r="O625" s="14" t="s">
        <v>133</v>
      </c>
      <c r="P625" s="14"/>
      <c r="Q625" s="36"/>
      <c r="R625" s="36"/>
      <c r="S625" s="36"/>
      <c r="T625" s="36"/>
      <c r="V625" s="31"/>
    </row>
    <row r="626">
      <c r="A626" s="14" t="s">
        <v>1787</v>
      </c>
      <c r="B626" s="14" t="s">
        <v>2945</v>
      </c>
      <c r="C626" s="14" t="s">
        <v>2946</v>
      </c>
      <c r="D626" s="14" t="s">
        <v>133</v>
      </c>
      <c r="E626" s="20" t="str">
        <f t="shared" si="2"/>
        <v>diciembre 2025</v>
      </c>
      <c r="F626" s="22">
        <v>45992.0</v>
      </c>
      <c r="G626" s="24">
        <f t="shared" ref="G626:H626" si="631">F626</f>
        <v>45992</v>
      </c>
      <c r="H626" s="26">
        <f t="shared" si="631"/>
        <v>45992</v>
      </c>
      <c r="I626" s="14" t="s">
        <v>1865</v>
      </c>
      <c r="K626" s="27">
        <v>7.0E8</v>
      </c>
      <c r="L626" s="29" t="s">
        <v>2947</v>
      </c>
      <c r="M626" s="14"/>
      <c r="N626" s="14" t="s">
        <v>84</v>
      </c>
      <c r="O626" s="14" t="s">
        <v>40</v>
      </c>
      <c r="P626" s="14" t="s">
        <v>2948</v>
      </c>
      <c r="Q626" s="36"/>
      <c r="R626" s="36"/>
      <c r="S626" s="36"/>
      <c r="T626" s="36"/>
      <c r="V626" s="31"/>
    </row>
    <row r="627">
      <c r="A627" s="14" t="s">
        <v>1045</v>
      </c>
      <c r="B627" s="14" t="s">
        <v>2949</v>
      </c>
      <c r="C627" s="14" t="s">
        <v>2950</v>
      </c>
      <c r="D627" s="14" t="s">
        <v>133</v>
      </c>
      <c r="E627" s="20" t="str">
        <f t="shared" si="2"/>
        <v>diciembre 2025</v>
      </c>
      <c r="F627" s="22">
        <v>45992.0</v>
      </c>
      <c r="G627" s="24">
        <f t="shared" ref="G627:H627" si="632">F627</f>
        <v>45992</v>
      </c>
      <c r="H627" s="26">
        <f t="shared" si="632"/>
        <v>45992</v>
      </c>
      <c r="I627" s="14" t="s">
        <v>2398</v>
      </c>
      <c r="K627" s="27">
        <v>5.0E8</v>
      </c>
      <c r="L627" s="29" t="s">
        <v>1384</v>
      </c>
      <c r="M627" s="14"/>
      <c r="N627" s="14" t="s">
        <v>84</v>
      </c>
      <c r="O627" s="14" t="s">
        <v>40</v>
      </c>
      <c r="P627" s="14" t="s">
        <v>2948</v>
      </c>
      <c r="Q627" s="36"/>
      <c r="R627" s="36"/>
      <c r="S627" s="36"/>
      <c r="T627" s="36"/>
      <c r="V627" s="31"/>
    </row>
    <row r="628">
      <c r="A628" s="14" t="s">
        <v>1787</v>
      </c>
      <c r="B628" s="14" t="s">
        <v>2952</v>
      </c>
      <c r="C628" s="14" t="s">
        <v>2953</v>
      </c>
      <c r="D628" s="14" t="s">
        <v>40</v>
      </c>
      <c r="E628" s="20" t="str">
        <f t="shared" si="2"/>
        <v>diciembre 2025</v>
      </c>
      <c r="F628" s="22">
        <v>45992.0</v>
      </c>
      <c r="G628" s="24">
        <f t="shared" ref="G628:H628" si="633">F628</f>
        <v>45992</v>
      </c>
      <c r="H628" s="26">
        <f t="shared" si="633"/>
        <v>45992</v>
      </c>
      <c r="I628" s="14" t="s">
        <v>90</v>
      </c>
      <c r="K628" s="27">
        <v>1.4E8</v>
      </c>
      <c r="L628" s="29" t="s">
        <v>2955</v>
      </c>
      <c r="M628" s="31"/>
      <c r="N628" s="14" t="s">
        <v>84</v>
      </c>
      <c r="O628" s="31"/>
      <c r="Q628" s="36"/>
      <c r="R628" s="36"/>
      <c r="S628" s="36"/>
      <c r="T628" s="36"/>
      <c r="V628" s="31"/>
    </row>
    <row r="629">
      <c r="A629" s="14" t="s">
        <v>1787</v>
      </c>
      <c r="B629" s="14" t="s">
        <v>2956</v>
      </c>
      <c r="C629" s="14" t="s">
        <v>2957</v>
      </c>
      <c r="D629" s="14" t="s">
        <v>40</v>
      </c>
      <c r="E629" s="20" t="str">
        <f t="shared" si="2"/>
        <v>diciembre 2025</v>
      </c>
      <c r="F629" s="22">
        <v>45992.0</v>
      </c>
      <c r="G629" s="24">
        <f t="shared" ref="G629:H629" si="634">F629</f>
        <v>45992</v>
      </c>
      <c r="H629" s="26">
        <f t="shared" si="634"/>
        <v>45992</v>
      </c>
      <c r="I629" s="14" t="s">
        <v>90</v>
      </c>
      <c r="K629" s="27">
        <v>6.0E7</v>
      </c>
      <c r="L629" s="29" t="s">
        <v>2955</v>
      </c>
      <c r="M629" s="31"/>
      <c r="N629" s="14" t="s">
        <v>84</v>
      </c>
      <c r="O629" s="31"/>
      <c r="Q629" s="36"/>
      <c r="R629" s="36"/>
      <c r="S629" s="36"/>
      <c r="T629" s="36"/>
      <c r="V629" s="31"/>
    </row>
    <row r="630">
      <c r="A630" s="14" t="s">
        <v>679</v>
      </c>
      <c r="B630" s="14" t="s">
        <v>2959</v>
      </c>
      <c r="C630" s="14" t="s">
        <v>2960</v>
      </c>
      <c r="D630" s="14" t="s">
        <v>40</v>
      </c>
      <c r="E630" s="20" t="str">
        <f t="shared" si="2"/>
        <v>diciembre 2025</v>
      </c>
      <c r="F630" s="22">
        <v>45992.0</v>
      </c>
      <c r="G630" s="24">
        <f t="shared" ref="G630:H630" si="635">F630</f>
        <v>45992</v>
      </c>
      <c r="H630" s="26">
        <f t="shared" si="635"/>
        <v>45992</v>
      </c>
      <c r="I630" s="14" t="s">
        <v>90</v>
      </c>
      <c r="K630" s="27">
        <v>1.2E8</v>
      </c>
      <c r="L630" s="29" t="s">
        <v>2962</v>
      </c>
      <c r="M630" s="31"/>
      <c r="N630" s="14" t="s">
        <v>84</v>
      </c>
      <c r="O630" s="31"/>
      <c r="Q630" s="36"/>
      <c r="R630" s="36"/>
      <c r="S630" s="36"/>
      <c r="T630" s="36"/>
      <c r="V630" s="31"/>
    </row>
    <row r="631">
      <c r="A631" s="14" t="s">
        <v>679</v>
      </c>
      <c r="B631" s="14" t="s">
        <v>2963</v>
      </c>
      <c r="C631" s="14" t="s">
        <v>2964</v>
      </c>
      <c r="D631" s="14" t="s">
        <v>40</v>
      </c>
      <c r="E631" s="20" t="str">
        <f t="shared" si="2"/>
        <v>diciembre 2025</v>
      </c>
      <c r="F631" s="22">
        <v>45992.0</v>
      </c>
      <c r="G631" s="24">
        <f t="shared" ref="G631:H631" si="636">F631</f>
        <v>45992</v>
      </c>
      <c r="H631" s="26">
        <f t="shared" si="636"/>
        <v>45992</v>
      </c>
      <c r="I631" s="14" t="s">
        <v>90</v>
      </c>
      <c r="K631" s="27">
        <v>1.2E8</v>
      </c>
      <c r="L631" s="29" t="s">
        <v>2962</v>
      </c>
      <c r="M631" s="31"/>
      <c r="N631" s="14" t="s">
        <v>84</v>
      </c>
      <c r="O631" s="31"/>
      <c r="Q631" s="36"/>
      <c r="R631" s="36"/>
      <c r="S631" s="36"/>
      <c r="T631" s="36"/>
      <c r="V631" s="31"/>
    </row>
    <row r="632">
      <c r="A632" s="14" t="s">
        <v>208</v>
      </c>
      <c r="B632" s="14" t="s">
        <v>2965</v>
      </c>
      <c r="C632" s="14" t="s">
        <v>2966</v>
      </c>
      <c r="D632" s="14" t="s">
        <v>133</v>
      </c>
      <c r="E632" s="20" t="str">
        <f t="shared" si="2"/>
        <v>diciembre 2025</v>
      </c>
      <c r="F632" s="22">
        <v>45992.0</v>
      </c>
      <c r="G632" s="24">
        <f t="shared" ref="G632:H632" si="637">F632</f>
        <v>45992</v>
      </c>
      <c r="H632" s="26">
        <f t="shared" si="637"/>
        <v>45992</v>
      </c>
      <c r="I632" s="14" t="s">
        <v>2398</v>
      </c>
      <c r="K632" s="27">
        <v>5.75E7</v>
      </c>
      <c r="L632" s="29" t="s">
        <v>2967</v>
      </c>
      <c r="M632" s="14"/>
      <c r="N632" s="14" t="s">
        <v>84</v>
      </c>
      <c r="O632" s="14" t="s">
        <v>133</v>
      </c>
      <c r="P632" s="14" t="s">
        <v>2968</v>
      </c>
      <c r="Q632" s="36"/>
      <c r="R632" s="36"/>
      <c r="S632" s="36"/>
      <c r="T632" s="36"/>
      <c r="V632" s="31"/>
    </row>
    <row r="633">
      <c r="A633" s="14" t="s">
        <v>208</v>
      </c>
      <c r="B633" s="14" t="s">
        <v>2969</v>
      </c>
      <c r="C633" s="14" t="s">
        <v>2970</v>
      </c>
      <c r="D633" s="14" t="s">
        <v>133</v>
      </c>
      <c r="E633" s="20" t="str">
        <f t="shared" si="2"/>
        <v>diciembre 2025</v>
      </c>
      <c r="F633" s="22">
        <v>45992.0</v>
      </c>
      <c r="G633" s="24">
        <f t="shared" ref="G633:H633" si="638">F633</f>
        <v>45992</v>
      </c>
      <c r="H633" s="26">
        <f t="shared" si="638"/>
        <v>45992</v>
      </c>
      <c r="I633" s="14" t="s">
        <v>2398</v>
      </c>
      <c r="K633" s="27">
        <v>5.75E7</v>
      </c>
      <c r="L633" s="29" t="s">
        <v>2967</v>
      </c>
      <c r="M633" s="14"/>
      <c r="N633" s="14" t="s">
        <v>84</v>
      </c>
      <c r="O633" s="14" t="s">
        <v>133</v>
      </c>
      <c r="P633" s="14" t="s">
        <v>2968</v>
      </c>
      <c r="Q633" s="36"/>
      <c r="R633" s="36"/>
      <c r="S633" s="36"/>
      <c r="T633" s="36"/>
      <c r="V633" s="31"/>
    </row>
    <row r="634">
      <c r="A634" s="14" t="s">
        <v>1787</v>
      </c>
      <c r="B634" s="14" t="s">
        <v>2973</v>
      </c>
      <c r="C634" s="14" t="s">
        <v>2974</v>
      </c>
      <c r="D634" s="14" t="s">
        <v>40</v>
      </c>
      <c r="E634" s="20" t="str">
        <f t="shared" si="2"/>
        <v>diciembre 2025</v>
      </c>
      <c r="F634" s="22">
        <v>45993.0</v>
      </c>
      <c r="G634" s="24">
        <f t="shared" ref="G634:H634" si="639">F634</f>
        <v>45993</v>
      </c>
      <c r="H634" s="26">
        <f t="shared" si="639"/>
        <v>45993</v>
      </c>
      <c r="I634" s="14" t="s">
        <v>90</v>
      </c>
      <c r="K634" s="27">
        <v>1.0E8</v>
      </c>
      <c r="L634" s="29" t="s">
        <v>2976</v>
      </c>
      <c r="M634" s="31"/>
      <c r="N634" s="14" t="s">
        <v>84</v>
      </c>
      <c r="O634" s="14" t="s">
        <v>40</v>
      </c>
      <c r="Q634" s="36"/>
      <c r="R634" s="36"/>
      <c r="S634" s="36"/>
      <c r="T634" s="36"/>
      <c r="V634" s="31"/>
    </row>
    <row r="635">
      <c r="A635" s="14" t="s">
        <v>1045</v>
      </c>
      <c r="B635" s="14" t="s">
        <v>2977</v>
      </c>
      <c r="C635" s="14" t="s">
        <v>2979</v>
      </c>
      <c r="D635" s="14" t="s">
        <v>40</v>
      </c>
      <c r="E635" s="20" t="str">
        <f t="shared" si="2"/>
        <v>diciembre 2025</v>
      </c>
      <c r="F635" s="22">
        <v>45993.0</v>
      </c>
      <c r="G635" s="24">
        <f t="shared" ref="G635:H635" si="640">F635</f>
        <v>45993</v>
      </c>
      <c r="H635" s="26">
        <f t="shared" si="640"/>
        <v>45993</v>
      </c>
      <c r="I635" s="14" t="s">
        <v>90</v>
      </c>
      <c r="K635" s="27">
        <v>3.0E7</v>
      </c>
      <c r="L635" s="29" t="s">
        <v>1008</v>
      </c>
      <c r="M635" s="31"/>
      <c r="N635" s="14" t="s">
        <v>84</v>
      </c>
      <c r="O635" s="31"/>
      <c r="Q635" s="36"/>
      <c r="R635" s="36"/>
      <c r="S635" s="36"/>
      <c r="T635" s="36"/>
      <c r="V635" s="31"/>
    </row>
    <row r="636">
      <c r="A636" s="14" t="s">
        <v>1787</v>
      </c>
      <c r="B636" s="14" t="s">
        <v>2982</v>
      </c>
      <c r="C636" s="14" t="s">
        <v>2983</v>
      </c>
      <c r="D636" s="14" t="s">
        <v>40</v>
      </c>
      <c r="E636" s="20" t="str">
        <f t="shared" si="2"/>
        <v>diciembre 2025</v>
      </c>
      <c r="F636" s="22">
        <v>45994.0</v>
      </c>
      <c r="G636" s="24">
        <f t="shared" ref="G636:H636" si="641">F636</f>
        <v>45994</v>
      </c>
      <c r="H636" s="26">
        <f t="shared" si="641"/>
        <v>45994</v>
      </c>
      <c r="I636" s="14" t="s">
        <v>90</v>
      </c>
      <c r="K636" s="27">
        <v>1.5E7</v>
      </c>
      <c r="L636" s="29" t="s">
        <v>1203</v>
      </c>
      <c r="M636" s="31"/>
      <c r="N636" s="14" t="s">
        <v>84</v>
      </c>
      <c r="O636" s="31"/>
      <c r="Q636" s="36"/>
      <c r="R636" s="36"/>
      <c r="S636" s="36"/>
      <c r="T636" s="36"/>
      <c r="V636" s="31"/>
    </row>
    <row r="637">
      <c r="A637" s="14" t="s">
        <v>1787</v>
      </c>
      <c r="B637" s="14" t="s">
        <v>2987</v>
      </c>
      <c r="C637" s="14" t="s">
        <v>2988</v>
      </c>
      <c r="D637" s="14" t="s">
        <v>40</v>
      </c>
      <c r="E637" s="20" t="str">
        <f t="shared" si="2"/>
        <v>diciembre 2025</v>
      </c>
      <c r="F637" s="22">
        <v>45994.0</v>
      </c>
      <c r="G637" s="24">
        <f t="shared" ref="G637:H637" si="642">F637</f>
        <v>45994</v>
      </c>
      <c r="H637" s="26">
        <f t="shared" si="642"/>
        <v>45994</v>
      </c>
      <c r="I637" s="14" t="s">
        <v>90</v>
      </c>
      <c r="K637" s="27">
        <v>1.0E7</v>
      </c>
      <c r="L637" s="29" t="s">
        <v>1203</v>
      </c>
      <c r="M637" s="31"/>
      <c r="N637" s="14" t="s">
        <v>84</v>
      </c>
      <c r="O637" s="31"/>
      <c r="Q637" s="36"/>
      <c r="R637" s="36"/>
      <c r="S637" s="36"/>
      <c r="T637" s="36"/>
      <c r="V637" s="31"/>
    </row>
    <row r="638">
      <c r="A638" s="14" t="s">
        <v>1012</v>
      </c>
      <c r="B638" s="14" t="s">
        <v>2990</v>
      </c>
      <c r="C638" s="14" t="s">
        <v>2991</v>
      </c>
      <c r="D638" s="14" t="s">
        <v>133</v>
      </c>
      <c r="E638" s="20" t="str">
        <f t="shared" si="2"/>
        <v>diciembre 2025</v>
      </c>
      <c r="F638" s="22">
        <v>45994.0</v>
      </c>
      <c r="G638" s="24">
        <f t="shared" ref="G638:H638" si="643">F638</f>
        <v>45994</v>
      </c>
      <c r="H638" s="26">
        <f t="shared" si="643"/>
        <v>45994</v>
      </c>
      <c r="I638" s="14" t="s">
        <v>2398</v>
      </c>
      <c r="K638" s="27">
        <v>1.0E8</v>
      </c>
      <c r="L638" s="29" t="s">
        <v>1210</v>
      </c>
      <c r="M638" s="31"/>
      <c r="N638" s="14" t="s">
        <v>84</v>
      </c>
      <c r="O638" s="14" t="s">
        <v>133</v>
      </c>
      <c r="Q638" s="36"/>
      <c r="R638" s="36"/>
      <c r="S638" s="36"/>
      <c r="T638" s="36"/>
      <c r="V638" s="31"/>
    </row>
    <row r="639">
      <c r="A639" s="14" t="s">
        <v>736</v>
      </c>
      <c r="B639" s="14" t="s">
        <v>2992</v>
      </c>
      <c r="C639" s="95" t="s">
        <v>2993</v>
      </c>
      <c r="D639" s="14" t="s">
        <v>40</v>
      </c>
      <c r="E639" s="20" t="str">
        <f t="shared" si="2"/>
        <v>diciembre 2025</v>
      </c>
      <c r="F639" s="22">
        <v>45992.0</v>
      </c>
      <c r="G639" s="24">
        <f t="shared" ref="G639:H639" si="644">F639</f>
        <v>45992</v>
      </c>
      <c r="H639" s="26">
        <f t="shared" si="644"/>
        <v>45992</v>
      </c>
      <c r="I639" s="14" t="s">
        <v>90</v>
      </c>
      <c r="K639" s="27">
        <v>5.0E7</v>
      </c>
      <c r="L639" s="29" t="s">
        <v>2994</v>
      </c>
      <c r="M639" s="14"/>
      <c r="N639" s="14" t="s">
        <v>84</v>
      </c>
      <c r="O639" s="14" t="s">
        <v>133</v>
      </c>
      <c r="P639" s="14" t="s">
        <v>2948</v>
      </c>
      <c r="Q639" s="36"/>
      <c r="R639" s="36"/>
      <c r="S639" s="36"/>
      <c r="T639" s="36"/>
      <c r="V639" s="31"/>
    </row>
    <row r="640">
      <c r="A640" s="14" t="s">
        <v>736</v>
      </c>
      <c r="B640" s="14" t="s">
        <v>2996</v>
      </c>
      <c r="C640" s="14" t="s">
        <v>2997</v>
      </c>
      <c r="D640" s="14" t="s">
        <v>40</v>
      </c>
      <c r="E640" s="20" t="str">
        <f t="shared" si="2"/>
        <v>diciembre 2025</v>
      </c>
      <c r="F640" s="22">
        <v>45992.0</v>
      </c>
      <c r="G640" s="24">
        <f t="shared" ref="G640:H640" si="645">F640</f>
        <v>45992</v>
      </c>
      <c r="H640" s="26">
        <f t="shared" si="645"/>
        <v>45992</v>
      </c>
      <c r="I640" s="14" t="s">
        <v>90</v>
      </c>
      <c r="M640" s="14"/>
      <c r="N640" s="14" t="s">
        <v>84</v>
      </c>
      <c r="O640" s="14" t="s">
        <v>133</v>
      </c>
      <c r="P640" s="14" t="s">
        <v>2948</v>
      </c>
      <c r="Q640" s="36"/>
      <c r="R640" s="36"/>
      <c r="S640" s="36"/>
      <c r="T640" s="36"/>
      <c r="V640" s="31"/>
    </row>
    <row r="641">
      <c r="A641" s="14" t="s">
        <v>736</v>
      </c>
      <c r="B641" s="14" t="s">
        <v>2998</v>
      </c>
      <c r="C641" s="14" t="s">
        <v>2999</v>
      </c>
      <c r="D641" s="14" t="s">
        <v>40</v>
      </c>
      <c r="E641" s="20" t="str">
        <f t="shared" si="2"/>
        <v>diciembre 2025</v>
      </c>
      <c r="F641" s="22">
        <v>45992.0</v>
      </c>
      <c r="G641" s="24">
        <f t="shared" ref="G641:H641" si="646">F641</f>
        <v>45992</v>
      </c>
      <c r="H641" s="26">
        <f t="shared" si="646"/>
        <v>45992</v>
      </c>
      <c r="I641" s="14" t="s">
        <v>90</v>
      </c>
      <c r="M641" s="14"/>
      <c r="N641" s="14" t="s">
        <v>84</v>
      </c>
      <c r="O641" s="14" t="s">
        <v>133</v>
      </c>
      <c r="P641" s="14" t="s">
        <v>2948</v>
      </c>
      <c r="Q641" s="36"/>
      <c r="R641" s="36"/>
      <c r="S641" s="36"/>
      <c r="T641" s="36"/>
      <c r="V641" s="31"/>
    </row>
    <row r="642">
      <c r="A642" s="14" t="s">
        <v>736</v>
      </c>
      <c r="B642" s="14" t="s">
        <v>3000</v>
      </c>
      <c r="C642" s="14" t="s">
        <v>3001</v>
      </c>
      <c r="D642" s="14" t="s">
        <v>40</v>
      </c>
      <c r="E642" s="20" t="str">
        <f t="shared" si="2"/>
        <v>diciembre 2025</v>
      </c>
      <c r="F642" s="22">
        <v>45992.0</v>
      </c>
      <c r="G642" s="24">
        <f t="shared" ref="G642:H642" si="647">F642</f>
        <v>45992</v>
      </c>
      <c r="H642" s="26">
        <f t="shared" si="647"/>
        <v>45992</v>
      </c>
      <c r="I642" s="14" t="s">
        <v>90</v>
      </c>
      <c r="M642" s="14"/>
      <c r="N642" s="14" t="s">
        <v>84</v>
      </c>
      <c r="O642" s="14" t="s">
        <v>133</v>
      </c>
      <c r="P642" s="14" t="s">
        <v>2948</v>
      </c>
      <c r="Q642" s="36"/>
      <c r="R642" s="36"/>
      <c r="S642" s="36"/>
      <c r="T642" s="36"/>
      <c r="V642" s="31"/>
    </row>
    <row r="643">
      <c r="A643" s="14" t="s">
        <v>36</v>
      </c>
      <c r="B643" s="14" t="s">
        <v>3002</v>
      </c>
      <c r="C643" s="14" t="s">
        <v>3003</v>
      </c>
      <c r="D643" s="14" t="s">
        <v>133</v>
      </c>
      <c r="E643" s="20" t="str">
        <f t="shared" si="2"/>
        <v>diciembre 2025</v>
      </c>
      <c r="F643" s="22">
        <v>45992.0</v>
      </c>
      <c r="G643" s="24">
        <f t="shared" ref="G643:H643" si="648">F643</f>
        <v>45992</v>
      </c>
      <c r="H643" s="26">
        <f t="shared" si="648"/>
        <v>45992</v>
      </c>
      <c r="I643" s="14" t="s">
        <v>1865</v>
      </c>
      <c r="K643" s="27">
        <v>1.5E8</v>
      </c>
      <c r="L643" s="29" t="s">
        <v>3004</v>
      </c>
      <c r="M643" s="14"/>
      <c r="N643" s="14" t="s">
        <v>84</v>
      </c>
      <c r="O643" s="14" t="s">
        <v>40</v>
      </c>
      <c r="P643" s="14" t="s">
        <v>47</v>
      </c>
      <c r="Q643" s="36"/>
      <c r="R643" s="36"/>
      <c r="S643" s="36"/>
      <c r="T643" s="36"/>
      <c r="V643" s="31"/>
    </row>
    <row r="644">
      <c r="A644" s="14" t="s">
        <v>736</v>
      </c>
      <c r="B644" s="14" t="s">
        <v>3005</v>
      </c>
      <c r="C644" s="14" t="s">
        <v>3006</v>
      </c>
      <c r="D644" s="14" t="s">
        <v>40</v>
      </c>
      <c r="E644" s="20" t="str">
        <f t="shared" si="2"/>
        <v>diciembre 2025</v>
      </c>
      <c r="F644" s="22">
        <v>45995.0</v>
      </c>
      <c r="G644" s="24">
        <f t="shared" ref="G644:H644" si="649">F644</f>
        <v>45995</v>
      </c>
      <c r="H644" s="26">
        <f t="shared" si="649"/>
        <v>45995</v>
      </c>
      <c r="I644" s="14" t="s">
        <v>90</v>
      </c>
      <c r="K644" s="27">
        <v>1.0E7</v>
      </c>
      <c r="L644" s="29" t="s">
        <v>2764</v>
      </c>
      <c r="M644" s="31"/>
      <c r="N644" s="14" t="s">
        <v>84</v>
      </c>
      <c r="O644" s="14" t="s">
        <v>133</v>
      </c>
      <c r="Q644" s="36"/>
      <c r="R644" s="36"/>
      <c r="S644" s="36"/>
      <c r="T644" s="36"/>
      <c r="V644" s="31"/>
    </row>
    <row r="645">
      <c r="A645" s="14" t="s">
        <v>679</v>
      </c>
      <c r="B645" s="14" t="s">
        <v>3008</v>
      </c>
      <c r="C645" s="14" t="s">
        <v>3009</v>
      </c>
      <c r="D645" s="14" t="s">
        <v>40</v>
      </c>
      <c r="E645" s="20" t="str">
        <f t="shared" si="2"/>
        <v>diciembre 2025</v>
      </c>
      <c r="F645" s="22">
        <v>45995.0</v>
      </c>
      <c r="G645" s="24">
        <f t="shared" ref="G645:H645" si="650">F645</f>
        <v>45995</v>
      </c>
      <c r="H645" s="26">
        <f t="shared" si="650"/>
        <v>45995</v>
      </c>
      <c r="I645" s="14" t="s">
        <v>90</v>
      </c>
      <c r="K645" s="27">
        <v>1.0E7</v>
      </c>
      <c r="L645" s="29" t="s">
        <v>2764</v>
      </c>
      <c r="M645" s="31"/>
      <c r="N645" s="14" t="s">
        <v>84</v>
      </c>
      <c r="O645" s="31"/>
      <c r="Q645" s="36"/>
      <c r="R645" s="36"/>
      <c r="S645" s="36"/>
      <c r="T645" s="36"/>
      <c r="V645" s="31"/>
    </row>
    <row r="646">
      <c r="A646" s="14" t="s">
        <v>208</v>
      </c>
      <c r="B646" s="14" t="s">
        <v>3013</v>
      </c>
      <c r="C646" s="14" t="s">
        <v>3014</v>
      </c>
      <c r="D646" s="14" t="s">
        <v>40</v>
      </c>
      <c r="E646" s="20" t="str">
        <f t="shared" si="2"/>
        <v>diciembre 2025</v>
      </c>
      <c r="F646" s="22">
        <v>45996.0</v>
      </c>
      <c r="G646" s="24">
        <f t="shared" ref="G646:H646" si="651">F646</f>
        <v>45996</v>
      </c>
      <c r="H646" s="26">
        <f t="shared" si="651"/>
        <v>45996</v>
      </c>
      <c r="I646" s="14" t="s">
        <v>90</v>
      </c>
      <c r="K646" s="27">
        <v>3.7E8</v>
      </c>
      <c r="L646" s="37" t="s">
        <v>3015</v>
      </c>
      <c r="M646" s="31"/>
      <c r="N646" s="14" t="s">
        <v>84</v>
      </c>
      <c r="O646" s="31"/>
      <c r="Q646" s="36"/>
      <c r="R646" s="36"/>
      <c r="S646" s="36"/>
      <c r="T646" s="36"/>
      <c r="V646" s="31"/>
    </row>
    <row r="647">
      <c r="A647" s="14" t="s">
        <v>679</v>
      </c>
      <c r="B647" s="14" t="s">
        <v>3016</v>
      </c>
      <c r="C647" s="14" t="s">
        <v>3017</v>
      </c>
      <c r="D647" s="14" t="s">
        <v>40</v>
      </c>
      <c r="E647" s="20" t="str">
        <f t="shared" si="2"/>
        <v>diciembre 2025</v>
      </c>
      <c r="F647" s="22">
        <v>45996.0</v>
      </c>
      <c r="G647" s="24">
        <f t="shared" ref="G647:H647" si="652">F647</f>
        <v>45996</v>
      </c>
      <c r="H647" s="26">
        <f t="shared" si="652"/>
        <v>45996</v>
      </c>
      <c r="I647" s="14" t="s">
        <v>1596</v>
      </c>
      <c r="K647" s="27">
        <v>5.0E7</v>
      </c>
      <c r="L647" s="78"/>
      <c r="M647" s="31"/>
      <c r="N647" s="31"/>
      <c r="O647" s="31"/>
      <c r="Q647" s="36"/>
      <c r="R647" s="36"/>
      <c r="S647" s="36"/>
      <c r="T647" s="36"/>
      <c r="V647" s="31"/>
    </row>
    <row r="648">
      <c r="A648" s="14" t="s">
        <v>1045</v>
      </c>
      <c r="B648" s="14" t="s">
        <v>3018</v>
      </c>
      <c r="C648" s="14" t="s">
        <v>3019</v>
      </c>
      <c r="D648" s="14" t="s">
        <v>133</v>
      </c>
      <c r="E648" s="20" t="str">
        <f t="shared" si="2"/>
        <v>diciembre 2025</v>
      </c>
      <c r="F648" s="22">
        <v>45996.0</v>
      </c>
      <c r="G648" s="24">
        <f t="shared" ref="G648:H648" si="653">F648</f>
        <v>45996</v>
      </c>
      <c r="H648" s="26">
        <f t="shared" si="653"/>
        <v>45996</v>
      </c>
      <c r="I648" s="14" t="s">
        <v>1865</v>
      </c>
      <c r="K648" s="27">
        <v>2.0E8</v>
      </c>
      <c r="L648" s="29" t="s">
        <v>3020</v>
      </c>
      <c r="M648" s="31"/>
      <c r="N648" s="14" t="s">
        <v>84</v>
      </c>
      <c r="O648" s="14" t="s">
        <v>133</v>
      </c>
      <c r="Q648" s="36"/>
      <c r="R648" s="36"/>
      <c r="S648" s="36"/>
      <c r="T648" s="36"/>
      <c r="V648" s="31"/>
    </row>
    <row r="649">
      <c r="A649" s="14" t="s">
        <v>679</v>
      </c>
      <c r="B649" s="14" t="s">
        <v>3021</v>
      </c>
      <c r="C649" s="14" t="s">
        <v>3022</v>
      </c>
      <c r="D649" s="14" t="s">
        <v>40</v>
      </c>
      <c r="E649" s="20" t="str">
        <f t="shared" si="2"/>
        <v>diciembre 2025</v>
      </c>
      <c r="F649" s="22">
        <v>45996.0</v>
      </c>
      <c r="G649" s="24">
        <f t="shared" ref="G649:H649" si="654">F649</f>
        <v>45996</v>
      </c>
      <c r="H649" s="26">
        <f t="shared" si="654"/>
        <v>45996</v>
      </c>
      <c r="I649" s="14" t="s">
        <v>90</v>
      </c>
      <c r="K649" s="27">
        <v>8.0E7</v>
      </c>
      <c r="L649" s="29" t="s">
        <v>1210</v>
      </c>
      <c r="M649" s="31"/>
      <c r="N649" s="14" t="s">
        <v>84</v>
      </c>
      <c r="O649" s="31"/>
      <c r="Q649" s="36"/>
      <c r="R649" s="36"/>
      <c r="S649" s="36"/>
      <c r="T649" s="36"/>
      <c r="V649" s="31"/>
    </row>
    <row r="650">
      <c r="A650" s="14" t="s">
        <v>736</v>
      </c>
      <c r="B650" s="14" t="s">
        <v>3024</v>
      </c>
      <c r="C650" s="14" t="s">
        <v>2667</v>
      </c>
      <c r="D650" s="14" t="s">
        <v>133</v>
      </c>
      <c r="E650" s="20" t="str">
        <f t="shared" si="2"/>
        <v>diciembre 2025</v>
      </c>
      <c r="F650" s="22">
        <v>46000.0</v>
      </c>
      <c r="G650" s="24">
        <f t="shared" ref="G650:H650" si="655">F650</f>
        <v>46000</v>
      </c>
      <c r="H650" s="26">
        <f t="shared" si="655"/>
        <v>46000</v>
      </c>
      <c r="I650" s="14" t="s">
        <v>2398</v>
      </c>
      <c r="K650" s="27">
        <v>4.0E7</v>
      </c>
      <c r="L650" s="29" t="s">
        <v>3030</v>
      </c>
      <c r="M650" s="31"/>
      <c r="N650" s="14" t="s">
        <v>84</v>
      </c>
      <c r="O650" s="14" t="s">
        <v>133</v>
      </c>
      <c r="Q650" s="36"/>
      <c r="R650" s="36"/>
      <c r="S650" s="36"/>
      <c r="T650" s="36"/>
      <c r="V650" s="31"/>
    </row>
    <row r="651">
      <c r="A651" s="14" t="s">
        <v>736</v>
      </c>
      <c r="B651" s="14" t="s">
        <v>3034</v>
      </c>
      <c r="C651" s="14" t="s">
        <v>2655</v>
      </c>
      <c r="D651" s="14" t="s">
        <v>133</v>
      </c>
      <c r="E651" s="20" t="str">
        <f t="shared" si="2"/>
        <v>diciembre 2025</v>
      </c>
      <c r="F651" s="22">
        <v>46000.0</v>
      </c>
      <c r="G651" s="24">
        <f t="shared" ref="G651:H651" si="656">F651</f>
        <v>46000</v>
      </c>
      <c r="H651" s="26">
        <f t="shared" si="656"/>
        <v>46000</v>
      </c>
      <c r="I651" s="14" t="s">
        <v>2398</v>
      </c>
      <c r="K651" s="27">
        <v>5.0E7</v>
      </c>
      <c r="L651" s="29" t="s">
        <v>3030</v>
      </c>
      <c r="M651" s="31"/>
      <c r="N651" s="14" t="s">
        <v>84</v>
      </c>
      <c r="O651" s="14" t="s">
        <v>133</v>
      </c>
      <c r="Q651" s="36"/>
      <c r="R651" s="36"/>
      <c r="S651" s="36"/>
      <c r="T651" s="36"/>
      <c r="V651" s="31"/>
    </row>
    <row r="652">
      <c r="A652" s="14" t="s">
        <v>736</v>
      </c>
      <c r="B652" s="14" t="s">
        <v>3039</v>
      </c>
      <c r="C652" s="14" t="s">
        <v>3041</v>
      </c>
      <c r="D652" s="14" t="s">
        <v>40</v>
      </c>
      <c r="E652" s="20" t="str">
        <f t="shared" si="2"/>
        <v>diciembre 2025</v>
      </c>
      <c r="F652" s="22">
        <v>46000.0</v>
      </c>
      <c r="G652" s="24">
        <f t="shared" ref="G652:H652" si="657">F652</f>
        <v>46000</v>
      </c>
      <c r="H652" s="26">
        <f t="shared" si="657"/>
        <v>46000</v>
      </c>
      <c r="I652" s="14" t="s">
        <v>90</v>
      </c>
      <c r="K652" s="27">
        <v>1.0E7</v>
      </c>
      <c r="L652" s="29" t="s">
        <v>2764</v>
      </c>
      <c r="M652" s="31"/>
      <c r="N652" s="14" t="s">
        <v>84</v>
      </c>
      <c r="O652" s="14" t="s">
        <v>133</v>
      </c>
      <c r="Q652" s="36"/>
      <c r="R652" s="36"/>
      <c r="S652" s="36"/>
      <c r="T652" s="36"/>
      <c r="V652" s="31"/>
    </row>
    <row r="653">
      <c r="A653" s="14" t="s">
        <v>1787</v>
      </c>
      <c r="B653" s="14" t="s">
        <v>3043</v>
      </c>
      <c r="C653" s="14" t="s">
        <v>3044</v>
      </c>
      <c r="D653" s="14" t="s">
        <v>40</v>
      </c>
      <c r="E653" s="20" t="str">
        <f t="shared" si="2"/>
        <v>diciembre 2025</v>
      </c>
      <c r="F653" s="22">
        <v>46002.0</v>
      </c>
      <c r="G653" s="24">
        <f t="shared" ref="G653:H653" si="658">F653</f>
        <v>46002</v>
      </c>
      <c r="H653" s="26">
        <f t="shared" si="658"/>
        <v>46002</v>
      </c>
      <c r="I653" s="14" t="s">
        <v>90</v>
      </c>
      <c r="K653" s="27">
        <v>1.0E7</v>
      </c>
      <c r="L653" s="29" t="s">
        <v>2764</v>
      </c>
      <c r="M653" s="31"/>
      <c r="N653" s="14" t="s">
        <v>84</v>
      </c>
      <c r="O653" s="31"/>
      <c r="Q653" s="36"/>
      <c r="R653" s="36"/>
      <c r="S653" s="36"/>
      <c r="T653" s="36"/>
      <c r="V653" s="31"/>
    </row>
    <row r="654">
      <c r="A654" s="14" t="s">
        <v>36</v>
      </c>
      <c r="B654" s="14" t="s">
        <v>3045</v>
      </c>
      <c r="C654" s="14" t="s">
        <v>3046</v>
      </c>
      <c r="D654" s="14" t="s">
        <v>133</v>
      </c>
      <c r="E654" s="20" t="str">
        <f t="shared" si="2"/>
        <v>diciembre 2025</v>
      </c>
      <c r="F654" s="22">
        <v>46000.0</v>
      </c>
      <c r="G654" s="24">
        <f t="shared" ref="G654:H654" si="659">F654</f>
        <v>46000</v>
      </c>
      <c r="H654" s="26">
        <f t="shared" si="659"/>
        <v>46000</v>
      </c>
      <c r="I654" s="14" t="s">
        <v>2398</v>
      </c>
      <c r="K654" s="27">
        <v>2.5E8</v>
      </c>
      <c r="L654" s="29" t="s">
        <v>3047</v>
      </c>
      <c r="M654" s="31"/>
      <c r="N654" s="14" t="s">
        <v>84</v>
      </c>
      <c r="O654" s="31"/>
      <c r="Q654" s="36"/>
      <c r="R654" s="36"/>
      <c r="S654" s="36"/>
      <c r="T654" s="36"/>
      <c r="V654" s="31"/>
    </row>
    <row r="655">
      <c r="A655" s="14" t="s">
        <v>36</v>
      </c>
      <c r="B655" s="14" t="s">
        <v>3048</v>
      </c>
      <c r="C655" s="14" t="s">
        <v>3049</v>
      </c>
      <c r="D655" s="14" t="s">
        <v>133</v>
      </c>
      <c r="E655" s="20" t="str">
        <f t="shared" si="2"/>
        <v>diciembre 2025</v>
      </c>
      <c r="F655" s="22">
        <v>46000.0</v>
      </c>
      <c r="G655" s="24">
        <f t="shared" ref="G655:H655" si="660">F655</f>
        <v>46000</v>
      </c>
      <c r="H655" s="26">
        <f t="shared" si="660"/>
        <v>46000</v>
      </c>
      <c r="I655" s="14" t="s">
        <v>2398</v>
      </c>
      <c r="K655" s="27">
        <v>2.5E8</v>
      </c>
      <c r="L655" s="29" t="s">
        <v>3047</v>
      </c>
      <c r="M655" s="31"/>
      <c r="N655" s="14" t="s">
        <v>84</v>
      </c>
      <c r="O655" s="31"/>
      <c r="Q655" s="36"/>
      <c r="R655" s="36"/>
      <c r="S655" s="36"/>
      <c r="T655" s="36"/>
      <c r="V655" s="31"/>
    </row>
    <row r="656">
      <c r="A656" s="14" t="s">
        <v>679</v>
      </c>
      <c r="B656" s="14" t="s">
        <v>3050</v>
      </c>
      <c r="C656" s="14" t="s">
        <v>3051</v>
      </c>
      <c r="D656" s="14" t="s">
        <v>133</v>
      </c>
      <c r="E656" s="20" t="str">
        <f t="shared" si="2"/>
        <v>diciembre 2025</v>
      </c>
      <c r="F656" s="22">
        <v>46003.0</v>
      </c>
      <c r="G656" s="24">
        <f t="shared" ref="G656:H656" si="661">F656</f>
        <v>46003</v>
      </c>
      <c r="H656" s="26">
        <f t="shared" si="661"/>
        <v>46003</v>
      </c>
      <c r="I656" s="14" t="s">
        <v>1865</v>
      </c>
      <c r="K656" s="27">
        <v>1.5E8</v>
      </c>
      <c r="L656" s="29" t="s">
        <v>3052</v>
      </c>
      <c r="M656" s="14"/>
      <c r="N656" s="14" t="s">
        <v>84</v>
      </c>
      <c r="O656" s="14"/>
      <c r="P656" s="14" t="s">
        <v>2820</v>
      </c>
      <c r="Q656" s="36"/>
      <c r="R656" s="36"/>
      <c r="S656" s="36"/>
      <c r="T656" s="36"/>
      <c r="V656" s="31"/>
    </row>
    <row r="657">
      <c r="A657" s="14" t="s">
        <v>679</v>
      </c>
      <c r="B657" s="14" t="s">
        <v>3053</v>
      </c>
      <c r="C657" s="14" t="s">
        <v>3054</v>
      </c>
      <c r="D657" s="14" t="s">
        <v>133</v>
      </c>
      <c r="E657" s="20" t="str">
        <f t="shared" si="2"/>
        <v>diciembre 2025</v>
      </c>
      <c r="F657" s="22">
        <v>46003.0</v>
      </c>
      <c r="G657" s="24">
        <f t="shared" ref="G657:H657" si="662">F657</f>
        <v>46003</v>
      </c>
      <c r="H657" s="26">
        <f t="shared" si="662"/>
        <v>46003</v>
      </c>
      <c r="I657" s="14" t="s">
        <v>1865</v>
      </c>
      <c r="K657" s="27">
        <v>2.2E8</v>
      </c>
      <c r="L657" s="29" t="s">
        <v>3052</v>
      </c>
      <c r="M657" s="14"/>
      <c r="N657" s="14" t="s">
        <v>84</v>
      </c>
      <c r="O657" s="31"/>
      <c r="P657" s="14" t="s">
        <v>2820</v>
      </c>
      <c r="Q657" s="36"/>
      <c r="R657" s="36"/>
      <c r="S657" s="36"/>
      <c r="T657" s="36"/>
      <c r="V657" s="31"/>
    </row>
    <row r="658">
      <c r="A658" s="14" t="s">
        <v>679</v>
      </c>
      <c r="B658" s="14" t="s">
        <v>3055</v>
      </c>
      <c r="C658" s="14" t="s">
        <v>3056</v>
      </c>
      <c r="D658" s="14" t="s">
        <v>133</v>
      </c>
      <c r="E658" s="20" t="str">
        <f t="shared" si="2"/>
        <v>diciembre 2025</v>
      </c>
      <c r="F658" s="22">
        <v>46003.0</v>
      </c>
      <c r="G658" s="24">
        <f t="shared" ref="G658:H658" si="663">F658</f>
        <v>46003</v>
      </c>
      <c r="H658" s="26">
        <f t="shared" si="663"/>
        <v>46003</v>
      </c>
      <c r="I658" s="14" t="s">
        <v>1865</v>
      </c>
      <c r="K658" s="27">
        <v>1.3E8</v>
      </c>
      <c r="L658" s="29" t="s">
        <v>3052</v>
      </c>
      <c r="M658" s="14"/>
      <c r="N658" s="14" t="s">
        <v>84</v>
      </c>
      <c r="O658" s="31"/>
      <c r="P658" s="14" t="s">
        <v>2820</v>
      </c>
      <c r="Q658" s="36"/>
      <c r="R658" s="36"/>
      <c r="S658" s="36"/>
      <c r="T658" s="36"/>
      <c r="V658" s="31"/>
    </row>
    <row r="659">
      <c r="A659" s="14" t="s">
        <v>36</v>
      </c>
      <c r="B659" s="14" t="s">
        <v>3057</v>
      </c>
      <c r="C659" s="14" t="s">
        <v>3058</v>
      </c>
      <c r="D659" s="14" t="s">
        <v>40</v>
      </c>
      <c r="E659" s="20" t="str">
        <f t="shared" si="2"/>
        <v>diciembre 2025</v>
      </c>
      <c r="F659" s="22">
        <v>46003.0</v>
      </c>
      <c r="G659" s="24">
        <f t="shared" ref="G659:H659" si="664">F659</f>
        <v>46003</v>
      </c>
      <c r="H659" s="26">
        <f t="shared" si="664"/>
        <v>46003</v>
      </c>
      <c r="I659" s="14" t="s">
        <v>90</v>
      </c>
      <c r="K659" s="27">
        <v>1.0E8</v>
      </c>
      <c r="L659" s="29" t="s">
        <v>1153</v>
      </c>
      <c r="M659" s="14"/>
      <c r="N659" s="14" t="s">
        <v>84</v>
      </c>
      <c r="O659" s="14" t="s">
        <v>40</v>
      </c>
      <c r="P659" s="14" t="s">
        <v>3059</v>
      </c>
      <c r="Q659" s="36"/>
      <c r="R659" s="36"/>
      <c r="S659" s="36"/>
      <c r="T659" s="36"/>
      <c r="V659" s="31"/>
    </row>
    <row r="660">
      <c r="A660" s="14" t="s">
        <v>36</v>
      </c>
      <c r="B660" s="14" t="s">
        <v>3060</v>
      </c>
      <c r="C660" s="14" t="s">
        <v>3061</v>
      </c>
      <c r="D660" s="14" t="s">
        <v>133</v>
      </c>
      <c r="E660" s="20" t="str">
        <f t="shared" si="2"/>
        <v>diciembre 2025</v>
      </c>
      <c r="F660" s="22">
        <v>46003.0</v>
      </c>
      <c r="G660" s="24">
        <f t="shared" ref="G660:H660" si="665">F660</f>
        <v>46003</v>
      </c>
      <c r="H660" s="26">
        <f t="shared" si="665"/>
        <v>46003</v>
      </c>
      <c r="I660" s="14" t="s">
        <v>2398</v>
      </c>
      <c r="K660" s="27">
        <v>2.5E8</v>
      </c>
      <c r="L660" s="29" t="s">
        <v>2775</v>
      </c>
      <c r="M660" s="14"/>
      <c r="N660" s="14" t="s">
        <v>84</v>
      </c>
      <c r="O660" s="14" t="s">
        <v>40</v>
      </c>
      <c r="P660" s="14" t="s">
        <v>40</v>
      </c>
      <c r="Q660" s="36"/>
      <c r="R660" s="36"/>
      <c r="S660" s="36"/>
      <c r="T660" s="36"/>
      <c r="V660" s="31"/>
    </row>
    <row r="661">
      <c r="A661" s="14" t="s">
        <v>1045</v>
      </c>
      <c r="B661" s="14" t="s">
        <v>3063</v>
      </c>
      <c r="C661" s="15" t="s">
        <v>3064</v>
      </c>
      <c r="D661" s="14" t="s">
        <v>40</v>
      </c>
      <c r="E661" s="20" t="str">
        <f t="shared" si="2"/>
        <v>diciembre 2025</v>
      </c>
      <c r="F661" s="22">
        <v>46006.0</v>
      </c>
      <c r="G661" s="24">
        <f t="shared" ref="G661:H661" si="666">F661</f>
        <v>46006</v>
      </c>
      <c r="H661" s="26">
        <f t="shared" si="666"/>
        <v>46006</v>
      </c>
      <c r="I661" s="14" t="s">
        <v>90</v>
      </c>
      <c r="K661" s="27">
        <v>8.0E7</v>
      </c>
      <c r="L661" s="15" t="s">
        <v>3065</v>
      </c>
      <c r="M661" s="31"/>
      <c r="N661" s="14" t="s">
        <v>133</v>
      </c>
      <c r="O661" s="14" t="s">
        <v>133</v>
      </c>
      <c r="Q661" s="36"/>
      <c r="R661" s="36"/>
      <c r="S661" s="36"/>
      <c r="T661" s="36"/>
      <c r="V661" s="31"/>
    </row>
    <row r="662">
      <c r="A662" s="14" t="s">
        <v>1787</v>
      </c>
      <c r="B662" s="14" t="s">
        <v>3066</v>
      </c>
      <c r="C662" s="15" t="s">
        <v>3067</v>
      </c>
      <c r="D662" s="14" t="s">
        <v>40</v>
      </c>
      <c r="E662" s="20" t="str">
        <f t="shared" si="2"/>
        <v>diciembre 2025</v>
      </c>
      <c r="F662" s="22">
        <v>46007.0</v>
      </c>
      <c r="G662" s="24">
        <f t="shared" ref="G662:H662" si="667">F662</f>
        <v>46007</v>
      </c>
      <c r="H662" s="26">
        <f t="shared" si="667"/>
        <v>46007</v>
      </c>
      <c r="I662" s="14" t="s">
        <v>90</v>
      </c>
      <c r="K662" s="27">
        <v>5.0E7</v>
      </c>
      <c r="L662" s="29" t="s">
        <v>3068</v>
      </c>
      <c r="M662" s="31"/>
      <c r="N662" s="31"/>
      <c r="O662" s="31"/>
      <c r="Q662" s="36"/>
      <c r="R662" s="36"/>
      <c r="S662" s="36"/>
      <c r="T662" s="36"/>
      <c r="V662" s="31"/>
    </row>
    <row r="663">
      <c r="A663" s="14" t="s">
        <v>1045</v>
      </c>
      <c r="B663" s="14" t="s">
        <v>2515</v>
      </c>
      <c r="C663" s="15" t="s">
        <v>2516</v>
      </c>
      <c r="D663" s="14" t="s">
        <v>40</v>
      </c>
      <c r="E663" s="20" t="str">
        <f t="shared" si="2"/>
        <v>diciembre 2025</v>
      </c>
      <c r="F663" s="22">
        <v>46007.0</v>
      </c>
      <c r="G663" s="24">
        <f t="shared" ref="G663:H663" si="668">F663</f>
        <v>46007</v>
      </c>
      <c r="H663" s="26">
        <f t="shared" si="668"/>
        <v>46007</v>
      </c>
      <c r="I663" s="14" t="s">
        <v>90</v>
      </c>
      <c r="K663" s="27">
        <v>2.0E8</v>
      </c>
      <c r="L663" s="15" t="s">
        <v>3069</v>
      </c>
      <c r="M663" s="31"/>
      <c r="N663" s="14" t="s">
        <v>84</v>
      </c>
      <c r="O663" s="14" t="s">
        <v>40</v>
      </c>
      <c r="Q663" s="36"/>
      <c r="R663" s="36"/>
      <c r="S663" s="36"/>
      <c r="T663" s="36"/>
      <c r="V663" s="31"/>
    </row>
    <row r="664">
      <c r="A664" s="14" t="s">
        <v>1787</v>
      </c>
      <c r="B664" s="14" t="s">
        <v>3070</v>
      </c>
      <c r="C664" s="15" t="s">
        <v>3071</v>
      </c>
      <c r="D664" s="14" t="s">
        <v>40</v>
      </c>
      <c r="E664" s="20" t="str">
        <f t="shared" si="2"/>
        <v>diciembre 2025</v>
      </c>
      <c r="F664" s="22">
        <v>46008.0</v>
      </c>
      <c r="G664" s="24">
        <f t="shared" ref="G664:H664" si="669">F664</f>
        <v>46008</v>
      </c>
      <c r="H664" s="26">
        <f t="shared" si="669"/>
        <v>46008</v>
      </c>
      <c r="I664" s="14" t="s">
        <v>90</v>
      </c>
      <c r="K664" s="27">
        <v>3.0E8</v>
      </c>
      <c r="L664" s="29" t="s">
        <v>3072</v>
      </c>
      <c r="M664" s="31"/>
      <c r="N664" s="14" t="s">
        <v>84</v>
      </c>
      <c r="O664" s="14" t="s">
        <v>40</v>
      </c>
      <c r="Q664" s="36"/>
      <c r="R664" s="36"/>
      <c r="S664" s="36"/>
      <c r="T664" s="36"/>
      <c r="V664" s="31"/>
    </row>
    <row r="665">
      <c r="A665" s="14" t="s">
        <v>736</v>
      </c>
      <c r="B665" s="14" t="s">
        <v>3073</v>
      </c>
      <c r="C665" s="14" t="s">
        <v>3074</v>
      </c>
      <c r="D665" s="14" t="s">
        <v>40</v>
      </c>
      <c r="E665" s="20" t="str">
        <f t="shared" si="2"/>
        <v>diciembre 2025</v>
      </c>
      <c r="F665" s="22">
        <v>46002.0</v>
      </c>
      <c r="G665" s="24">
        <f t="shared" ref="G665:H665" si="670">F665</f>
        <v>46002</v>
      </c>
      <c r="H665" s="26">
        <f t="shared" si="670"/>
        <v>46002</v>
      </c>
      <c r="I665" s="14" t="s">
        <v>2398</v>
      </c>
      <c r="K665" s="27">
        <v>1.5E8</v>
      </c>
      <c r="L665" s="29" t="s">
        <v>3075</v>
      </c>
      <c r="M665" s="14"/>
      <c r="N665" s="14" t="s">
        <v>84</v>
      </c>
      <c r="O665" s="14" t="s">
        <v>40</v>
      </c>
      <c r="P665" s="14" t="s">
        <v>2820</v>
      </c>
      <c r="Q665" s="36"/>
      <c r="R665" s="36"/>
      <c r="S665" s="36"/>
      <c r="T665" s="36"/>
      <c r="V665" s="31"/>
    </row>
    <row r="666">
      <c r="A666" s="14" t="s">
        <v>1045</v>
      </c>
      <c r="B666" s="14" t="s">
        <v>3076</v>
      </c>
      <c r="C666" s="14" t="s">
        <v>3077</v>
      </c>
      <c r="D666" s="14" t="s">
        <v>40</v>
      </c>
      <c r="E666" s="20" t="str">
        <f t="shared" si="2"/>
        <v>diciembre 2025</v>
      </c>
      <c r="F666" s="22">
        <v>46008.0</v>
      </c>
      <c r="G666" s="24">
        <f t="shared" ref="G666:H666" si="671">F666</f>
        <v>46008</v>
      </c>
      <c r="H666" s="26">
        <f t="shared" si="671"/>
        <v>46008</v>
      </c>
      <c r="I666" s="14" t="s">
        <v>90</v>
      </c>
      <c r="K666" s="27">
        <v>1.0E7</v>
      </c>
      <c r="L666" s="29" t="s">
        <v>1016</v>
      </c>
      <c r="M666" s="31"/>
      <c r="N666" s="14" t="s">
        <v>84</v>
      </c>
      <c r="O666" s="14" t="s">
        <v>133</v>
      </c>
      <c r="Q666" s="36"/>
      <c r="R666" s="36"/>
      <c r="S666" s="36"/>
      <c r="T666" s="36"/>
      <c r="V666" s="31"/>
    </row>
    <row r="667">
      <c r="A667" s="14" t="s">
        <v>1045</v>
      </c>
      <c r="B667" s="14" t="s">
        <v>3078</v>
      </c>
      <c r="C667" s="14" t="s">
        <v>3079</v>
      </c>
      <c r="D667" s="14" t="s">
        <v>40</v>
      </c>
      <c r="E667" s="20" t="str">
        <f t="shared" si="2"/>
        <v>diciembre 2025</v>
      </c>
      <c r="F667" s="22">
        <v>46008.0</v>
      </c>
      <c r="G667" s="24">
        <f t="shared" ref="G667:H667" si="672">F667</f>
        <v>46008</v>
      </c>
      <c r="H667" s="26">
        <f t="shared" si="672"/>
        <v>46008</v>
      </c>
      <c r="I667" s="14" t="s">
        <v>90</v>
      </c>
      <c r="K667" s="27">
        <v>1.0E7</v>
      </c>
      <c r="L667" s="29" t="s">
        <v>1016</v>
      </c>
      <c r="M667" s="31"/>
      <c r="N667" s="14" t="s">
        <v>84</v>
      </c>
      <c r="O667" s="14" t="s">
        <v>133</v>
      </c>
      <c r="Q667" s="36"/>
      <c r="R667" s="36"/>
      <c r="S667" s="36"/>
      <c r="T667" s="36"/>
      <c r="V667" s="31"/>
    </row>
    <row r="668">
      <c r="A668" s="14" t="s">
        <v>1012</v>
      </c>
      <c r="B668" s="14" t="s">
        <v>3080</v>
      </c>
      <c r="C668" s="14" t="s">
        <v>3081</v>
      </c>
      <c r="D668" s="14" t="s">
        <v>133</v>
      </c>
      <c r="E668" s="20" t="str">
        <f t="shared" si="2"/>
        <v>diciembre 2025</v>
      </c>
      <c r="F668" s="22">
        <v>46010.0</v>
      </c>
      <c r="G668" s="24">
        <f t="shared" ref="G668:H668" si="673">F668</f>
        <v>46010</v>
      </c>
      <c r="H668" s="26">
        <f t="shared" si="673"/>
        <v>46010</v>
      </c>
      <c r="I668" s="14" t="s">
        <v>1865</v>
      </c>
      <c r="K668" s="27">
        <v>1.2E8</v>
      </c>
      <c r="L668" s="29" t="s">
        <v>2994</v>
      </c>
      <c r="M668" s="31"/>
      <c r="N668" s="14" t="s">
        <v>84</v>
      </c>
      <c r="O668" s="14" t="s">
        <v>40</v>
      </c>
      <c r="P668" s="31" t="s">
        <v>62</v>
      </c>
      <c r="Q668" s="36"/>
      <c r="R668" s="36"/>
      <c r="S668" s="36"/>
      <c r="T668" s="36"/>
      <c r="V668" s="31"/>
    </row>
    <row r="669">
      <c r="A669" s="14" t="s">
        <v>736</v>
      </c>
      <c r="B669" s="14" t="s">
        <v>3082</v>
      </c>
      <c r="C669" s="95" t="s">
        <v>103</v>
      </c>
      <c r="D669" s="14" t="s">
        <v>40</v>
      </c>
      <c r="E669" s="348" t="str">
        <f t="shared" si="2"/>
        <v>diciembre 1899</v>
      </c>
      <c r="F669" s="349"/>
      <c r="G669" s="24" t="str">
        <f t="shared" ref="G669:H669" si="674">F669</f>
        <v/>
      </c>
      <c r="H669" s="26" t="str">
        <f t="shared" si="674"/>
        <v/>
      </c>
      <c r="I669" s="14" t="s">
        <v>90</v>
      </c>
      <c r="K669" s="88"/>
      <c r="L669" s="29" t="s">
        <v>3085</v>
      </c>
      <c r="M669" s="31"/>
      <c r="N669" s="14" t="s">
        <v>84</v>
      </c>
      <c r="O669" s="31"/>
      <c r="Q669" s="36"/>
      <c r="R669" s="36"/>
      <c r="S669" s="36"/>
      <c r="T669" s="36"/>
      <c r="V669" s="31"/>
    </row>
    <row r="670">
      <c r="A670" s="14" t="s">
        <v>736</v>
      </c>
      <c r="B670" s="351" t="s">
        <v>3088</v>
      </c>
      <c r="C670" s="50" t="s">
        <v>1069</v>
      </c>
      <c r="D670" s="14" t="s">
        <v>40</v>
      </c>
      <c r="E670" s="348" t="str">
        <f t="shared" si="2"/>
        <v>diciembre 2025</v>
      </c>
      <c r="F670" s="349">
        <v>46018.0</v>
      </c>
      <c r="G670" s="24">
        <f t="shared" ref="G670:H670" si="675">F670</f>
        <v>46018</v>
      </c>
      <c r="H670" s="26">
        <f t="shared" si="675"/>
        <v>46018</v>
      </c>
      <c r="I670" s="14" t="s">
        <v>90</v>
      </c>
      <c r="K670" s="27"/>
      <c r="L670" s="29" t="s">
        <v>3085</v>
      </c>
      <c r="M670" s="31"/>
      <c r="N670" s="14" t="s">
        <v>84</v>
      </c>
      <c r="O670" s="31"/>
      <c r="Q670" s="36"/>
      <c r="R670" s="36"/>
      <c r="S670" s="36"/>
      <c r="T670" s="36"/>
      <c r="V670" s="31"/>
    </row>
    <row r="671">
      <c r="A671" s="14" t="s">
        <v>736</v>
      </c>
      <c r="B671" s="351" t="s">
        <v>3092</v>
      </c>
      <c r="C671" s="50" t="s">
        <v>1076</v>
      </c>
      <c r="D671" s="14" t="s">
        <v>40</v>
      </c>
      <c r="E671" s="348" t="str">
        <f t="shared" si="2"/>
        <v>diciembre 2025</v>
      </c>
      <c r="F671" s="349">
        <v>46018.0</v>
      </c>
      <c r="G671" s="24">
        <f t="shared" ref="G671:H671" si="676">F671</f>
        <v>46018</v>
      </c>
      <c r="H671" s="26">
        <f t="shared" si="676"/>
        <v>46018</v>
      </c>
      <c r="I671" s="14" t="s">
        <v>90</v>
      </c>
      <c r="K671" s="27"/>
      <c r="L671" s="29" t="s">
        <v>3085</v>
      </c>
      <c r="M671" s="31"/>
      <c r="N671" s="14" t="s">
        <v>84</v>
      </c>
      <c r="O671" s="31"/>
      <c r="Q671" s="36"/>
      <c r="R671" s="36"/>
      <c r="S671" s="36"/>
      <c r="T671" s="36"/>
      <c r="V671" s="31"/>
    </row>
    <row r="672">
      <c r="A672" s="14" t="s">
        <v>208</v>
      </c>
      <c r="C672" s="14" t="s">
        <v>3093</v>
      </c>
      <c r="D672" s="14" t="s">
        <v>40</v>
      </c>
      <c r="E672" s="20" t="str">
        <f t="shared" si="2"/>
        <v>diciembre 2025</v>
      </c>
      <c r="F672" s="22">
        <v>46008.0</v>
      </c>
      <c r="G672" s="24">
        <f t="shared" ref="G672:H672" si="677">F672</f>
        <v>46008</v>
      </c>
      <c r="H672" s="26">
        <f t="shared" si="677"/>
        <v>46008</v>
      </c>
      <c r="I672" s="14" t="s">
        <v>259</v>
      </c>
      <c r="K672" s="27">
        <v>2.0E8</v>
      </c>
      <c r="L672" s="37" t="s">
        <v>3094</v>
      </c>
      <c r="M672" s="31"/>
      <c r="N672" s="14" t="s">
        <v>84</v>
      </c>
      <c r="O672" s="14" t="s">
        <v>133</v>
      </c>
      <c r="Q672" s="36"/>
      <c r="R672" s="36"/>
      <c r="S672" s="36"/>
      <c r="T672" s="36"/>
      <c r="V672" s="31"/>
    </row>
    <row r="673">
      <c r="A673" s="14" t="s">
        <v>208</v>
      </c>
      <c r="C673" s="37" t="s">
        <v>3095</v>
      </c>
      <c r="D673" s="14" t="s">
        <v>133</v>
      </c>
      <c r="E673" s="20" t="str">
        <f t="shared" si="2"/>
        <v>diciembre 2025</v>
      </c>
      <c r="F673" s="22">
        <v>46009.0</v>
      </c>
      <c r="G673" s="24">
        <f t="shared" ref="G673:H673" si="678">F673</f>
        <v>46009</v>
      </c>
      <c r="H673" s="26">
        <f t="shared" si="678"/>
        <v>46009</v>
      </c>
      <c r="I673" s="14" t="s">
        <v>1865</v>
      </c>
      <c r="K673" s="27">
        <v>4.0E8</v>
      </c>
      <c r="L673" s="352" t="s">
        <v>3096</v>
      </c>
      <c r="M673" s="31"/>
      <c r="N673" s="14" t="s">
        <v>84</v>
      </c>
      <c r="O673" s="14" t="s">
        <v>40</v>
      </c>
      <c r="Q673" s="36"/>
      <c r="R673" s="36"/>
      <c r="S673" s="36"/>
      <c r="T673" s="36"/>
      <c r="V673" s="31"/>
    </row>
    <row r="674">
      <c r="A674" s="14" t="s">
        <v>1045</v>
      </c>
      <c r="C674" s="353" t="s">
        <v>3097</v>
      </c>
      <c r="D674" s="14" t="s">
        <v>40</v>
      </c>
      <c r="E674" s="20" t="str">
        <f t="shared" si="2"/>
        <v>diciembre 2025</v>
      </c>
      <c r="F674" s="22">
        <v>46010.0</v>
      </c>
      <c r="G674" s="24">
        <f t="shared" ref="G674:H674" si="679">F674</f>
        <v>46010</v>
      </c>
      <c r="H674" s="26">
        <f t="shared" si="679"/>
        <v>46010</v>
      </c>
      <c r="I674" s="14" t="s">
        <v>90</v>
      </c>
      <c r="K674" s="27">
        <v>1.0E8</v>
      </c>
      <c r="L674" s="37" t="s">
        <v>3098</v>
      </c>
      <c r="M674" s="31"/>
      <c r="N674" s="14" t="s">
        <v>84</v>
      </c>
      <c r="O674" s="14" t="s">
        <v>133</v>
      </c>
      <c r="Q674" s="36"/>
      <c r="R674" s="36"/>
      <c r="S674" s="36"/>
      <c r="T674" s="36"/>
      <c r="V674" s="31"/>
    </row>
    <row r="675">
      <c r="A675" s="14" t="s">
        <v>736</v>
      </c>
      <c r="C675" s="95" t="s">
        <v>98</v>
      </c>
      <c r="D675" s="14" t="s">
        <v>40</v>
      </c>
      <c r="E675" s="20" t="str">
        <f t="shared" si="2"/>
        <v>octubre 2025</v>
      </c>
      <c r="F675" s="22">
        <v>45933.0</v>
      </c>
      <c r="G675" s="24">
        <f t="shared" ref="G675:H675" si="680">F675</f>
        <v>45933</v>
      </c>
      <c r="H675" s="26">
        <f t="shared" si="680"/>
        <v>45933</v>
      </c>
      <c r="I675" s="14" t="s">
        <v>90</v>
      </c>
      <c r="K675" s="88"/>
      <c r="L675" s="78"/>
      <c r="M675" s="14"/>
      <c r="N675" s="14" t="s">
        <v>84</v>
      </c>
      <c r="O675" s="31"/>
      <c r="P675" s="14" t="s">
        <v>3099</v>
      </c>
      <c r="Q675" s="36"/>
      <c r="R675" s="36"/>
      <c r="S675" s="36"/>
      <c r="T675" s="36"/>
      <c r="V675" s="31"/>
    </row>
    <row r="676">
      <c r="A676" s="37" t="s">
        <v>66</v>
      </c>
      <c r="C676" s="15" t="s">
        <v>3100</v>
      </c>
      <c r="D676" s="14" t="s">
        <v>133</v>
      </c>
      <c r="E676" s="20" t="str">
        <f t="shared" si="2"/>
        <v>noviembre 2025</v>
      </c>
      <c r="F676" s="22">
        <v>45990.0</v>
      </c>
      <c r="G676" s="24">
        <f t="shared" ref="G676:H676" si="681">F676</f>
        <v>45990</v>
      </c>
      <c r="H676" s="26">
        <f t="shared" si="681"/>
        <v>45990</v>
      </c>
      <c r="I676" s="14" t="s">
        <v>2398</v>
      </c>
      <c r="K676" s="27">
        <v>2.0E9</v>
      </c>
      <c r="L676" s="78"/>
      <c r="M676" s="31"/>
      <c r="N676" s="31"/>
      <c r="O676" s="14" t="s">
        <v>40</v>
      </c>
      <c r="Q676" s="36"/>
      <c r="R676" s="36"/>
      <c r="S676" s="36"/>
      <c r="T676" s="36"/>
      <c r="V676" s="31"/>
    </row>
    <row r="677">
      <c r="A677" s="37" t="s">
        <v>66</v>
      </c>
      <c r="C677" s="15" t="s">
        <v>3101</v>
      </c>
      <c r="D677" s="14" t="s">
        <v>133</v>
      </c>
      <c r="E677" s="20" t="str">
        <f t="shared" si="2"/>
        <v>noviembre 2025</v>
      </c>
      <c r="F677" s="22">
        <v>45990.0</v>
      </c>
      <c r="G677" s="24">
        <f t="shared" ref="G677:H677" si="682">F677</f>
        <v>45990</v>
      </c>
      <c r="H677" s="26">
        <f t="shared" si="682"/>
        <v>45990</v>
      </c>
      <c r="I677" s="14" t="s">
        <v>2398</v>
      </c>
      <c r="K677" s="27">
        <v>2.0E9</v>
      </c>
      <c r="L677" s="78"/>
      <c r="M677" s="31"/>
      <c r="N677" s="31"/>
      <c r="O677" s="14" t="s">
        <v>40</v>
      </c>
      <c r="Q677" s="36"/>
      <c r="R677" s="36"/>
      <c r="S677" s="36"/>
      <c r="T677" s="36"/>
      <c r="V677" s="31"/>
    </row>
    <row r="678">
      <c r="A678" s="37" t="s">
        <v>66</v>
      </c>
      <c r="C678" s="15" t="s">
        <v>3103</v>
      </c>
      <c r="D678" s="14" t="s">
        <v>133</v>
      </c>
      <c r="E678" s="20" t="str">
        <f t="shared" si="2"/>
        <v>noviembre 2025</v>
      </c>
      <c r="F678" s="22">
        <v>45990.0</v>
      </c>
      <c r="G678" s="24">
        <f t="shared" ref="G678:H678" si="683">F678</f>
        <v>45990</v>
      </c>
      <c r="H678" s="26">
        <f t="shared" si="683"/>
        <v>45990</v>
      </c>
      <c r="I678" s="14" t="s">
        <v>2398</v>
      </c>
      <c r="K678" s="27">
        <v>2.0E9</v>
      </c>
      <c r="L678" s="78"/>
      <c r="M678" s="31"/>
      <c r="N678" s="31"/>
      <c r="O678" s="14" t="s">
        <v>40</v>
      </c>
      <c r="Q678" s="36"/>
      <c r="R678" s="36"/>
      <c r="S678" s="36"/>
      <c r="T678" s="36"/>
      <c r="V678" s="31"/>
    </row>
    <row r="679">
      <c r="A679" s="37" t="s">
        <v>66</v>
      </c>
      <c r="C679" s="15" t="s">
        <v>3104</v>
      </c>
      <c r="D679" s="14" t="s">
        <v>133</v>
      </c>
      <c r="E679" s="20" t="str">
        <f t="shared" si="2"/>
        <v>enero 2026</v>
      </c>
      <c r="F679" s="355">
        <v>46052.0</v>
      </c>
      <c r="G679" s="24">
        <f t="shared" ref="G679:H679" si="684">F679</f>
        <v>46052</v>
      </c>
      <c r="H679" s="26">
        <f t="shared" si="684"/>
        <v>46052</v>
      </c>
      <c r="I679" s="14" t="s">
        <v>2398</v>
      </c>
      <c r="K679" s="27">
        <v>2.0E9</v>
      </c>
      <c r="L679" s="29"/>
      <c r="M679" s="31"/>
      <c r="N679" s="31"/>
      <c r="O679" s="31"/>
      <c r="Q679" s="36"/>
      <c r="R679" s="36"/>
      <c r="S679" s="36"/>
      <c r="T679" s="36"/>
      <c r="V679" s="31"/>
    </row>
    <row r="680">
      <c r="A680" s="37" t="s">
        <v>66</v>
      </c>
      <c r="C680" s="15" t="s">
        <v>3104</v>
      </c>
      <c r="D680" s="14" t="s">
        <v>133</v>
      </c>
      <c r="E680" s="20" t="str">
        <f t="shared" si="2"/>
        <v>febrero 2026</v>
      </c>
      <c r="F680" s="355">
        <v>46055.0</v>
      </c>
      <c r="G680" s="24">
        <f t="shared" ref="G680:H680" si="685">F680</f>
        <v>46055</v>
      </c>
      <c r="H680" s="26">
        <f t="shared" si="685"/>
        <v>46055</v>
      </c>
      <c r="I680" s="14" t="s">
        <v>2398</v>
      </c>
      <c r="K680" s="27">
        <v>2.0E9</v>
      </c>
      <c r="L680" s="29"/>
      <c r="M680" s="31"/>
      <c r="N680" s="31"/>
      <c r="O680" s="31"/>
      <c r="Q680" s="36"/>
      <c r="R680" s="36"/>
      <c r="S680" s="36"/>
      <c r="T680" s="36"/>
      <c r="V680" s="31"/>
    </row>
    <row r="681">
      <c r="A681" s="14" t="s">
        <v>1787</v>
      </c>
      <c r="C681" s="14" t="s">
        <v>2953</v>
      </c>
      <c r="D681" s="14" t="s">
        <v>40</v>
      </c>
      <c r="E681" s="20" t="str">
        <f t="shared" si="2"/>
        <v>diciembre 2025</v>
      </c>
      <c r="F681" s="355">
        <v>46021.0</v>
      </c>
      <c r="G681" s="24">
        <f t="shared" ref="G681:H681" si="686">F681</f>
        <v>46021</v>
      </c>
      <c r="H681" s="26">
        <f t="shared" si="686"/>
        <v>46021</v>
      </c>
      <c r="I681" s="14" t="s">
        <v>1596</v>
      </c>
      <c r="K681" s="27">
        <v>7.0E7</v>
      </c>
      <c r="L681" s="29" t="s">
        <v>3105</v>
      </c>
      <c r="M681" s="31"/>
      <c r="N681" s="31"/>
      <c r="O681" s="31"/>
      <c r="Q681" s="36"/>
      <c r="R681" s="36"/>
      <c r="S681" s="36"/>
      <c r="T681" s="36"/>
      <c r="V681" s="31"/>
    </row>
    <row r="682">
      <c r="A682" s="14" t="s">
        <v>679</v>
      </c>
      <c r="C682" s="14" t="s">
        <v>3106</v>
      </c>
      <c r="D682" s="14" t="s">
        <v>40</v>
      </c>
      <c r="E682" s="20" t="str">
        <f t="shared" si="2"/>
        <v>enero 2026</v>
      </c>
      <c r="F682" s="355">
        <v>46036.0</v>
      </c>
      <c r="G682" s="24">
        <f t="shared" ref="G682:H682" si="687">F682</f>
        <v>46036</v>
      </c>
      <c r="H682" s="26">
        <f t="shared" si="687"/>
        <v>46036</v>
      </c>
      <c r="I682" s="14" t="s">
        <v>90</v>
      </c>
      <c r="K682" s="27">
        <v>4.0E7</v>
      </c>
      <c r="L682" s="29" t="s">
        <v>1008</v>
      </c>
      <c r="M682" s="31"/>
      <c r="N682" s="14" t="s">
        <v>84</v>
      </c>
      <c r="O682" s="31"/>
      <c r="Q682" s="36"/>
      <c r="R682" s="36"/>
      <c r="S682" s="36"/>
      <c r="T682" s="36"/>
      <c r="V682" s="31"/>
    </row>
    <row r="683">
      <c r="A683" s="14" t="s">
        <v>117</v>
      </c>
      <c r="B683" s="14" t="s">
        <v>3212</v>
      </c>
      <c r="C683" s="14" t="s">
        <v>3107</v>
      </c>
      <c r="D683" s="14" t="s">
        <v>40</v>
      </c>
      <c r="E683" s="20" t="str">
        <f t="shared" si="2"/>
        <v>enero 2026</v>
      </c>
      <c r="F683" s="355">
        <v>46024.0</v>
      </c>
      <c r="G683" s="24">
        <f t="shared" ref="G683:H683" si="688">F683</f>
        <v>46024</v>
      </c>
      <c r="H683" s="26">
        <f t="shared" si="688"/>
        <v>46024</v>
      </c>
      <c r="I683" s="14" t="s">
        <v>90</v>
      </c>
      <c r="K683" s="27">
        <v>8.5E7</v>
      </c>
      <c r="L683" s="29" t="s">
        <v>3108</v>
      </c>
      <c r="M683" s="31"/>
      <c r="N683" s="14" t="s">
        <v>84</v>
      </c>
      <c r="O683" s="14" t="s">
        <v>133</v>
      </c>
      <c r="Q683" s="36"/>
      <c r="R683" s="36"/>
      <c r="S683" s="36"/>
      <c r="T683" s="36"/>
      <c r="V683" s="31"/>
    </row>
    <row r="684">
      <c r="A684" s="14" t="s">
        <v>679</v>
      </c>
      <c r="C684" s="14" t="s">
        <v>3110</v>
      </c>
      <c r="D684" s="14" t="s">
        <v>40</v>
      </c>
      <c r="E684" s="20" t="str">
        <f t="shared" si="2"/>
        <v>enero 2026</v>
      </c>
      <c r="F684" s="355">
        <v>46052.0</v>
      </c>
      <c r="G684" s="24">
        <f t="shared" ref="G684:H684" si="689">F684</f>
        <v>46052</v>
      </c>
      <c r="H684" s="26">
        <f t="shared" si="689"/>
        <v>46052</v>
      </c>
      <c r="I684" s="14" t="s">
        <v>259</v>
      </c>
      <c r="K684" s="27">
        <v>2.0E7</v>
      </c>
      <c r="L684" s="29" t="s">
        <v>887</v>
      </c>
      <c r="M684" s="31"/>
      <c r="N684" s="14" t="s">
        <v>84</v>
      </c>
      <c r="O684" s="31"/>
      <c r="Q684" s="36"/>
      <c r="R684" s="36"/>
      <c r="S684" s="36"/>
      <c r="T684" s="36"/>
      <c r="V684" s="31"/>
    </row>
    <row r="685">
      <c r="A685" s="14" t="s">
        <v>736</v>
      </c>
      <c r="C685" s="14" t="s">
        <v>3111</v>
      </c>
      <c r="D685" s="14" t="s">
        <v>40</v>
      </c>
      <c r="E685" s="20" t="str">
        <f t="shared" si="2"/>
        <v>enero 2026</v>
      </c>
      <c r="F685" s="355">
        <v>46052.0</v>
      </c>
      <c r="G685" s="24">
        <f t="shared" ref="G685:H685" si="690">F685</f>
        <v>46052</v>
      </c>
      <c r="H685" s="26">
        <f t="shared" si="690"/>
        <v>46052</v>
      </c>
      <c r="I685" s="14" t="s">
        <v>259</v>
      </c>
      <c r="K685" s="27">
        <v>1.0E7</v>
      </c>
      <c r="L685" s="29" t="s">
        <v>1016</v>
      </c>
      <c r="M685" s="14"/>
      <c r="N685" s="14" t="s">
        <v>84</v>
      </c>
      <c r="O685" s="14" t="s">
        <v>133</v>
      </c>
      <c r="P685" s="14" t="s">
        <v>3112</v>
      </c>
      <c r="Q685" s="36"/>
      <c r="R685" s="36"/>
      <c r="S685" s="36"/>
      <c r="T685" s="36"/>
      <c r="V685" s="31"/>
    </row>
    <row r="686">
      <c r="A686" s="14" t="s">
        <v>736</v>
      </c>
      <c r="C686" s="14" t="s">
        <v>2647</v>
      </c>
      <c r="D686" s="14" t="s">
        <v>40</v>
      </c>
      <c r="E686" s="20" t="str">
        <f t="shared" si="2"/>
        <v>enero 2026</v>
      </c>
      <c r="F686" s="355">
        <v>46051.0</v>
      </c>
      <c r="G686" s="24">
        <f t="shared" ref="G686:H686" si="691">F686</f>
        <v>46051</v>
      </c>
      <c r="H686" s="26">
        <f t="shared" si="691"/>
        <v>46051</v>
      </c>
      <c r="I686" s="14" t="s">
        <v>90</v>
      </c>
      <c r="K686" s="88"/>
      <c r="L686" s="29" t="s">
        <v>1016</v>
      </c>
      <c r="M686" s="31"/>
      <c r="N686" s="14" t="s">
        <v>84</v>
      </c>
      <c r="O686" s="14" t="s">
        <v>133</v>
      </c>
      <c r="Q686" s="36"/>
      <c r="R686" s="36"/>
      <c r="S686" s="36"/>
      <c r="T686" s="36"/>
      <c r="V686" s="31"/>
    </row>
    <row r="687">
      <c r="A687" s="14" t="s">
        <v>679</v>
      </c>
      <c r="C687" s="95" t="s">
        <v>3113</v>
      </c>
      <c r="D687" s="14" t="s">
        <v>40</v>
      </c>
      <c r="E687" s="20" t="str">
        <f t="shared" si="2"/>
        <v>febrero 2026</v>
      </c>
      <c r="F687" s="355">
        <v>46056.0</v>
      </c>
      <c r="G687" s="24">
        <f t="shared" ref="G687:H687" si="692">F687</f>
        <v>46056</v>
      </c>
      <c r="H687" s="26">
        <f t="shared" si="692"/>
        <v>46056</v>
      </c>
      <c r="I687" s="14" t="s">
        <v>90</v>
      </c>
      <c r="K687" s="27">
        <v>8.0E7</v>
      </c>
      <c r="L687" s="29" t="s">
        <v>1153</v>
      </c>
      <c r="M687" s="14"/>
      <c r="N687" s="14" t="s">
        <v>84</v>
      </c>
      <c r="O687" s="14" t="s">
        <v>133</v>
      </c>
      <c r="P687" s="14" t="s">
        <v>3114</v>
      </c>
      <c r="Q687" s="36"/>
      <c r="R687" s="36"/>
      <c r="S687" s="36"/>
      <c r="T687" s="36"/>
      <c r="V687" s="31"/>
    </row>
    <row r="688">
      <c r="A688" s="14" t="s">
        <v>679</v>
      </c>
      <c r="C688" s="14" t="s">
        <v>3115</v>
      </c>
      <c r="D688" s="14" t="s">
        <v>133</v>
      </c>
      <c r="E688" s="20" t="str">
        <f t="shared" si="2"/>
        <v>febrero 2026</v>
      </c>
      <c r="F688" s="355">
        <v>46059.0</v>
      </c>
      <c r="G688" s="24">
        <f t="shared" ref="G688:H688" si="693">F688</f>
        <v>46059</v>
      </c>
      <c r="H688" s="26">
        <f t="shared" si="693"/>
        <v>46059</v>
      </c>
      <c r="I688" s="14" t="s">
        <v>1865</v>
      </c>
      <c r="K688" s="27">
        <v>2.4E9</v>
      </c>
      <c r="L688" s="29" t="s">
        <v>3117</v>
      </c>
      <c r="M688" s="14"/>
      <c r="N688" s="14" t="s">
        <v>84</v>
      </c>
      <c r="O688" s="14" t="s">
        <v>133</v>
      </c>
      <c r="P688" s="14" t="s">
        <v>3118</v>
      </c>
      <c r="Q688" s="36"/>
      <c r="R688" s="36"/>
      <c r="S688" s="36"/>
      <c r="T688" s="36"/>
      <c r="V688" s="31"/>
    </row>
    <row r="689">
      <c r="A689" s="37" t="s">
        <v>66</v>
      </c>
      <c r="C689" s="95" t="s">
        <v>368</v>
      </c>
      <c r="D689" s="14" t="s">
        <v>40</v>
      </c>
      <c r="E689" s="20" t="str">
        <f t="shared" si="2"/>
        <v>febrero 2026</v>
      </c>
      <c r="F689" s="355">
        <v>46058.0</v>
      </c>
      <c r="G689" s="24">
        <f t="shared" ref="G689:H689" si="694">F689</f>
        <v>46058</v>
      </c>
      <c r="H689" s="26">
        <f t="shared" si="694"/>
        <v>46058</v>
      </c>
      <c r="I689" s="14" t="s">
        <v>90</v>
      </c>
      <c r="K689" s="27">
        <v>3.0E9</v>
      </c>
      <c r="L689" s="29" t="s">
        <v>3120</v>
      </c>
      <c r="M689" s="14"/>
      <c r="N689" s="14"/>
      <c r="O689" s="14" t="s">
        <v>40</v>
      </c>
      <c r="P689" s="14"/>
      <c r="Q689" s="36"/>
      <c r="R689" s="36"/>
      <c r="S689" s="36"/>
      <c r="T689" s="36"/>
      <c r="V689" s="31"/>
    </row>
    <row r="690">
      <c r="A690" s="37" t="s">
        <v>66</v>
      </c>
      <c r="C690" s="95" t="s">
        <v>373</v>
      </c>
      <c r="D690" s="14" t="s">
        <v>40</v>
      </c>
      <c r="E690" s="20" t="str">
        <f t="shared" si="2"/>
        <v>febrero 2026</v>
      </c>
      <c r="F690" s="355">
        <v>46058.0</v>
      </c>
      <c r="G690" s="24">
        <f t="shared" ref="G690:H690" si="695">F690</f>
        <v>46058</v>
      </c>
      <c r="H690" s="26">
        <f t="shared" si="695"/>
        <v>46058</v>
      </c>
      <c r="I690" s="14" t="s">
        <v>90</v>
      </c>
      <c r="K690" s="27">
        <v>3.0E9</v>
      </c>
      <c r="L690" s="29" t="s">
        <v>3120</v>
      </c>
      <c r="M690" s="14"/>
      <c r="N690" s="14"/>
      <c r="O690" s="14" t="s">
        <v>40</v>
      </c>
      <c r="P690" s="14"/>
      <c r="Q690" s="36"/>
      <c r="R690" s="36"/>
      <c r="S690" s="36"/>
      <c r="T690" s="36"/>
      <c r="V690" s="31"/>
    </row>
    <row r="691">
      <c r="A691" s="37" t="s">
        <v>66</v>
      </c>
      <c r="C691" s="95" t="s">
        <v>374</v>
      </c>
      <c r="D691" s="14" t="s">
        <v>40</v>
      </c>
      <c r="E691" s="20" t="str">
        <f t="shared" si="2"/>
        <v>febrero 2026</v>
      </c>
      <c r="F691" s="355">
        <v>46058.0</v>
      </c>
      <c r="G691" s="24">
        <f t="shared" ref="G691:H691" si="696">F691</f>
        <v>46058</v>
      </c>
      <c r="H691" s="26">
        <f t="shared" si="696"/>
        <v>46058</v>
      </c>
      <c r="I691" s="14" t="s">
        <v>90</v>
      </c>
      <c r="K691" s="27">
        <v>3.0E9</v>
      </c>
      <c r="L691" s="29" t="s">
        <v>3120</v>
      </c>
      <c r="M691" s="14"/>
      <c r="N691" s="14"/>
      <c r="O691" s="14" t="s">
        <v>40</v>
      </c>
      <c r="P691" s="14"/>
      <c r="Q691" s="36"/>
      <c r="R691" s="36"/>
      <c r="S691" s="36"/>
      <c r="T691" s="36"/>
      <c r="V691" s="31"/>
    </row>
    <row r="692">
      <c r="A692" s="37" t="s">
        <v>66</v>
      </c>
      <c r="C692" s="95" t="s">
        <v>377</v>
      </c>
      <c r="D692" s="14" t="s">
        <v>40</v>
      </c>
      <c r="E692" s="20" t="str">
        <f t="shared" si="2"/>
        <v>febrero 2026</v>
      </c>
      <c r="F692" s="355">
        <v>46058.0</v>
      </c>
      <c r="G692" s="24">
        <f t="shared" ref="G692:H692" si="697">F692</f>
        <v>46058</v>
      </c>
      <c r="H692" s="26">
        <f t="shared" si="697"/>
        <v>46058</v>
      </c>
      <c r="I692" s="14" t="s">
        <v>90</v>
      </c>
      <c r="K692" s="27">
        <v>3.0E9</v>
      </c>
      <c r="L692" s="29" t="s">
        <v>3120</v>
      </c>
      <c r="M692" s="14"/>
      <c r="N692" s="14"/>
      <c r="O692" s="14" t="s">
        <v>40</v>
      </c>
      <c r="P692" s="14"/>
      <c r="Q692" s="36"/>
      <c r="R692" s="36"/>
      <c r="S692" s="36"/>
      <c r="T692" s="36"/>
      <c r="V692" s="31"/>
    </row>
    <row r="693">
      <c r="A693" s="37" t="s">
        <v>66</v>
      </c>
      <c r="C693" s="95" t="s">
        <v>380</v>
      </c>
      <c r="D693" s="14" t="s">
        <v>40</v>
      </c>
      <c r="E693" s="20" t="str">
        <f t="shared" si="2"/>
        <v>febrero 2026</v>
      </c>
      <c r="F693" s="355">
        <v>46058.0</v>
      </c>
      <c r="G693" s="24">
        <f t="shared" ref="G693:H693" si="698">F693</f>
        <v>46058</v>
      </c>
      <c r="H693" s="26">
        <f t="shared" si="698"/>
        <v>46058</v>
      </c>
      <c r="I693" s="14" t="s">
        <v>90</v>
      </c>
      <c r="K693" s="27">
        <v>3.0E9</v>
      </c>
      <c r="L693" s="29" t="s">
        <v>3120</v>
      </c>
      <c r="M693" s="14"/>
      <c r="N693" s="14"/>
      <c r="O693" s="14" t="s">
        <v>40</v>
      </c>
      <c r="P693" s="14"/>
      <c r="Q693" s="36"/>
      <c r="R693" s="36"/>
      <c r="S693" s="36"/>
      <c r="T693" s="36"/>
      <c r="V693" s="31"/>
    </row>
    <row r="694">
      <c r="A694" s="37" t="s">
        <v>66</v>
      </c>
      <c r="C694" s="95" t="s">
        <v>383</v>
      </c>
      <c r="D694" s="14" t="s">
        <v>40</v>
      </c>
      <c r="E694" s="20" t="str">
        <f t="shared" si="2"/>
        <v>febrero 2026</v>
      </c>
      <c r="F694" s="355">
        <v>46058.0</v>
      </c>
      <c r="G694" s="24">
        <f t="shared" ref="G694:H694" si="699">F694</f>
        <v>46058</v>
      </c>
      <c r="H694" s="26">
        <f t="shared" si="699"/>
        <v>46058</v>
      </c>
      <c r="I694" s="14" t="s">
        <v>90</v>
      </c>
      <c r="K694" s="27">
        <v>4.0E9</v>
      </c>
      <c r="L694" s="29" t="s">
        <v>3120</v>
      </c>
      <c r="M694" s="14"/>
      <c r="N694" s="14" t="s">
        <v>84</v>
      </c>
      <c r="O694" s="14" t="s">
        <v>40</v>
      </c>
      <c r="P694" s="14" t="s">
        <v>3124</v>
      </c>
      <c r="Q694" s="36"/>
      <c r="R694" s="36"/>
      <c r="S694" s="36"/>
      <c r="T694" s="36"/>
      <c r="V694" s="31"/>
    </row>
    <row r="695">
      <c r="A695" s="37" t="s">
        <v>66</v>
      </c>
      <c r="C695" s="14" t="s">
        <v>387</v>
      </c>
      <c r="D695" s="14" t="s">
        <v>40</v>
      </c>
      <c r="E695" s="20" t="str">
        <f t="shared" si="2"/>
        <v>febrero 2026</v>
      </c>
      <c r="F695" s="355">
        <v>46058.0</v>
      </c>
      <c r="G695" s="24">
        <f t="shared" ref="G695:H695" si="700">F695</f>
        <v>46058</v>
      </c>
      <c r="H695" s="26">
        <f t="shared" si="700"/>
        <v>46058</v>
      </c>
      <c r="I695" s="14" t="s">
        <v>90</v>
      </c>
      <c r="K695" s="27">
        <v>3.0E9</v>
      </c>
      <c r="L695" s="29" t="s">
        <v>3120</v>
      </c>
      <c r="M695" s="31"/>
      <c r="N695" s="14"/>
      <c r="O695" s="14" t="s">
        <v>40</v>
      </c>
      <c r="Q695" s="36"/>
      <c r="R695" s="36"/>
      <c r="S695" s="36"/>
      <c r="T695" s="36"/>
      <c r="V695" s="31"/>
    </row>
    <row r="696">
      <c r="A696" s="37" t="s">
        <v>66</v>
      </c>
      <c r="C696" s="14" t="s">
        <v>389</v>
      </c>
      <c r="D696" s="14" t="s">
        <v>40</v>
      </c>
      <c r="E696" s="20" t="str">
        <f t="shared" si="2"/>
        <v>febrero 2026</v>
      </c>
      <c r="F696" s="355">
        <v>46058.0</v>
      </c>
      <c r="G696" s="24">
        <f t="shared" ref="G696:H696" si="701">F696</f>
        <v>46058</v>
      </c>
      <c r="H696" s="26">
        <f t="shared" si="701"/>
        <v>46058</v>
      </c>
      <c r="I696" s="14" t="s">
        <v>90</v>
      </c>
      <c r="K696" s="27">
        <v>4.0E9</v>
      </c>
      <c r="L696" s="29" t="s">
        <v>3120</v>
      </c>
      <c r="M696" s="31"/>
      <c r="N696" s="14"/>
      <c r="O696" s="14" t="s">
        <v>40</v>
      </c>
      <c r="Q696" s="36"/>
      <c r="R696" s="36"/>
      <c r="S696" s="36"/>
      <c r="T696" s="36"/>
      <c r="V696" s="31"/>
    </row>
    <row r="697">
      <c r="A697" s="37" t="s">
        <v>66</v>
      </c>
      <c r="C697" s="14" t="s">
        <v>392</v>
      </c>
      <c r="D697" s="14" t="s">
        <v>40</v>
      </c>
      <c r="E697" s="20" t="str">
        <f t="shared" si="2"/>
        <v>febrero 2026</v>
      </c>
      <c r="F697" s="355">
        <v>46058.0</v>
      </c>
      <c r="G697" s="24">
        <f t="shared" ref="G697:H697" si="702">F697</f>
        <v>46058</v>
      </c>
      <c r="H697" s="26">
        <f t="shared" si="702"/>
        <v>46058</v>
      </c>
      <c r="I697" s="14" t="s">
        <v>90</v>
      </c>
      <c r="K697" s="27">
        <v>4.0E9</v>
      </c>
      <c r="L697" s="29" t="s">
        <v>3120</v>
      </c>
      <c r="M697" s="31"/>
      <c r="N697" s="14"/>
      <c r="O697" s="14" t="s">
        <v>40</v>
      </c>
      <c r="Q697" s="36"/>
      <c r="R697" s="36"/>
      <c r="S697" s="36"/>
      <c r="T697" s="36"/>
      <c r="V697" s="31"/>
    </row>
    <row r="698">
      <c r="A698" s="14" t="s">
        <v>117</v>
      </c>
      <c r="B698" s="14" t="s">
        <v>3232</v>
      </c>
      <c r="C698" s="14" t="s">
        <v>3125</v>
      </c>
      <c r="D698" s="14" t="s">
        <v>40</v>
      </c>
      <c r="E698" s="20" t="str">
        <f t="shared" si="2"/>
        <v>febrero 2026</v>
      </c>
      <c r="F698" s="355">
        <v>46056.0</v>
      </c>
      <c r="G698" s="24">
        <f t="shared" ref="G698:H698" si="703">F698</f>
        <v>46056</v>
      </c>
      <c r="H698" s="26">
        <f t="shared" si="703"/>
        <v>46056</v>
      </c>
      <c r="I698" s="14" t="s">
        <v>90</v>
      </c>
      <c r="K698" s="27">
        <v>8.0E7</v>
      </c>
      <c r="L698" s="29" t="s">
        <v>3108</v>
      </c>
      <c r="M698" s="31"/>
      <c r="N698" s="14" t="s">
        <v>84</v>
      </c>
      <c r="O698" s="14" t="s">
        <v>133</v>
      </c>
      <c r="Q698" s="36"/>
      <c r="R698" s="36"/>
      <c r="S698" s="36"/>
      <c r="T698" s="36"/>
      <c r="V698" s="31"/>
    </row>
    <row r="699">
      <c r="A699" s="14" t="s">
        <v>736</v>
      </c>
      <c r="B699" s="351" t="s">
        <v>3126</v>
      </c>
      <c r="C699" s="50" t="s">
        <v>1079</v>
      </c>
      <c r="D699" s="14" t="s">
        <v>40</v>
      </c>
      <c r="E699" s="348" t="str">
        <f t="shared" si="2"/>
        <v>febrero 2026</v>
      </c>
      <c r="F699" s="349">
        <v>46071.0</v>
      </c>
      <c r="G699" s="24">
        <f t="shared" ref="G699:H699" si="704">F699</f>
        <v>46071</v>
      </c>
      <c r="H699" s="26">
        <f t="shared" si="704"/>
        <v>46071</v>
      </c>
      <c r="I699" s="14" t="s">
        <v>90</v>
      </c>
      <c r="K699" s="27"/>
      <c r="L699" s="29" t="s">
        <v>3085</v>
      </c>
      <c r="M699" s="31"/>
      <c r="N699" s="14" t="s">
        <v>84</v>
      </c>
      <c r="O699" s="31"/>
      <c r="Q699" s="36"/>
      <c r="R699" s="36"/>
      <c r="S699" s="36"/>
      <c r="T699" s="36"/>
      <c r="V699" s="31"/>
    </row>
    <row r="700">
      <c r="A700" s="14" t="s">
        <v>736</v>
      </c>
      <c r="B700" s="351" t="s">
        <v>3127</v>
      </c>
      <c r="C700" s="50" t="s">
        <v>1080</v>
      </c>
      <c r="D700" s="14" t="s">
        <v>40</v>
      </c>
      <c r="E700" s="348" t="str">
        <f t="shared" si="2"/>
        <v>febrero 2026</v>
      </c>
      <c r="F700" s="349">
        <v>46071.0</v>
      </c>
      <c r="G700" s="24">
        <f t="shared" ref="G700:H700" si="705">F700</f>
        <v>46071</v>
      </c>
      <c r="H700" s="26">
        <f t="shared" si="705"/>
        <v>46071</v>
      </c>
      <c r="I700" s="14" t="s">
        <v>90</v>
      </c>
      <c r="K700" s="27"/>
      <c r="L700" s="29" t="s">
        <v>3085</v>
      </c>
      <c r="M700" s="31"/>
      <c r="N700" s="14" t="s">
        <v>84</v>
      </c>
      <c r="O700" s="31"/>
      <c r="Q700" s="36"/>
      <c r="R700" s="36"/>
      <c r="S700" s="36"/>
      <c r="T700" s="36"/>
      <c r="V700" s="31"/>
    </row>
    <row r="701">
      <c r="A701" s="14" t="s">
        <v>736</v>
      </c>
      <c r="C701" s="14" t="s">
        <v>2650</v>
      </c>
      <c r="D701" s="14" t="s">
        <v>40</v>
      </c>
      <c r="E701" s="20" t="str">
        <f t="shared" si="2"/>
        <v>febrero 2026</v>
      </c>
      <c r="F701" s="355">
        <v>46064.0</v>
      </c>
      <c r="G701" s="24">
        <f t="shared" ref="G701:H701" si="706">F701</f>
        <v>46064</v>
      </c>
      <c r="H701" s="26">
        <f t="shared" si="706"/>
        <v>46064</v>
      </c>
      <c r="I701" s="14" t="s">
        <v>90</v>
      </c>
      <c r="K701" s="88"/>
      <c r="L701" s="29" t="s">
        <v>1203</v>
      </c>
      <c r="M701" s="31"/>
      <c r="N701" s="31"/>
      <c r="O701" s="31"/>
      <c r="Q701" s="36"/>
      <c r="R701" s="36"/>
      <c r="S701" s="36"/>
      <c r="T701" s="36"/>
      <c r="V701" s="31"/>
    </row>
    <row r="702">
      <c r="A702" s="14" t="s">
        <v>736</v>
      </c>
      <c r="B702" s="351" t="s">
        <v>3128</v>
      </c>
      <c r="C702" s="50" t="s">
        <v>1081</v>
      </c>
      <c r="D702" s="14" t="s">
        <v>40</v>
      </c>
      <c r="E702" s="348" t="str">
        <f t="shared" si="2"/>
        <v>febrero 2026</v>
      </c>
      <c r="F702" s="349">
        <v>46071.0</v>
      </c>
      <c r="G702" s="24">
        <f t="shared" ref="G702:H702" si="707">F702</f>
        <v>46071</v>
      </c>
      <c r="H702" s="26">
        <f t="shared" si="707"/>
        <v>46071</v>
      </c>
      <c r="I702" s="14" t="s">
        <v>90</v>
      </c>
      <c r="K702" s="27"/>
      <c r="L702" s="29" t="s">
        <v>3085</v>
      </c>
      <c r="M702" s="31"/>
      <c r="N702" s="14" t="s">
        <v>84</v>
      </c>
      <c r="O702" s="31"/>
      <c r="Q702" s="36"/>
      <c r="R702" s="36"/>
      <c r="S702" s="36"/>
      <c r="T702" s="36"/>
      <c r="V702" s="31"/>
    </row>
    <row r="703">
      <c r="A703" s="14" t="s">
        <v>736</v>
      </c>
      <c r="B703" s="351" t="s">
        <v>3129</v>
      </c>
      <c r="C703" s="50" t="s">
        <v>1084</v>
      </c>
      <c r="D703" s="14" t="s">
        <v>40</v>
      </c>
      <c r="E703" s="348" t="str">
        <f t="shared" si="2"/>
        <v>febrero 2026</v>
      </c>
      <c r="F703" s="349">
        <v>46071.0</v>
      </c>
      <c r="G703" s="24">
        <f t="shared" ref="G703:H703" si="708">F703</f>
        <v>46071</v>
      </c>
      <c r="H703" s="26">
        <f t="shared" si="708"/>
        <v>46071</v>
      </c>
      <c r="I703" s="14" t="s">
        <v>90</v>
      </c>
      <c r="K703" s="27"/>
      <c r="L703" s="29" t="s">
        <v>3085</v>
      </c>
      <c r="M703" s="31"/>
      <c r="N703" s="14" t="s">
        <v>84</v>
      </c>
      <c r="O703" s="31"/>
      <c r="Q703" s="36"/>
      <c r="R703" s="36"/>
      <c r="S703" s="36"/>
      <c r="T703" s="36"/>
      <c r="V703" s="31"/>
    </row>
    <row r="704">
      <c r="A704" s="14" t="s">
        <v>736</v>
      </c>
      <c r="C704" s="14" t="s">
        <v>2651</v>
      </c>
      <c r="D704" s="14" t="s">
        <v>40</v>
      </c>
      <c r="E704" s="20" t="str">
        <f t="shared" si="2"/>
        <v>febrero 2026</v>
      </c>
      <c r="F704" s="355">
        <v>46065.0</v>
      </c>
      <c r="G704" s="24">
        <f t="shared" ref="G704:H704" si="709">F704</f>
        <v>46065</v>
      </c>
      <c r="H704" s="26">
        <f t="shared" si="709"/>
        <v>46065</v>
      </c>
      <c r="I704" s="14" t="s">
        <v>1596</v>
      </c>
      <c r="K704" s="27">
        <v>6.081E7</v>
      </c>
      <c r="L704" s="62">
        <v>0.017</v>
      </c>
      <c r="M704" s="31"/>
      <c r="N704" s="31"/>
      <c r="O704" s="31"/>
      <c r="Q704" s="36"/>
      <c r="R704" s="36"/>
      <c r="S704" s="36"/>
      <c r="T704" s="36"/>
      <c r="V704" s="31"/>
    </row>
    <row r="705">
      <c r="A705" s="14" t="s">
        <v>736</v>
      </c>
      <c r="C705" s="14" t="s">
        <v>2652</v>
      </c>
      <c r="D705" s="14" t="s">
        <v>40</v>
      </c>
      <c r="E705" s="20" t="str">
        <f t="shared" si="2"/>
        <v>febrero 2026</v>
      </c>
      <c r="F705" s="355">
        <v>46070.0</v>
      </c>
      <c r="G705" s="24">
        <f t="shared" ref="G705:H705" si="710">F705</f>
        <v>46070</v>
      </c>
      <c r="H705" s="26">
        <f t="shared" si="710"/>
        <v>46070</v>
      </c>
      <c r="I705" s="14" t="s">
        <v>1596</v>
      </c>
      <c r="K705" s="27">
        <v>1.7E8</v>
      </c>
      <c r="L705" s="62">
        <v>0.017</v>
      </c>
      <c r="M705" s="31"/>
      <c r="N705" s="31"/>
      <c r="O705" s="31"/>
      <c r="Q705" s="36"/>
      <c r="R705" s="36"/>
      <c r="S705" s="36"/>
      <c r="T705" s="36"/>
      <c r="V705" s="31"/>
    </row>
    <row r="706">
      <c r="A706" s="37" t="s">
        <v>66</v>
      </c>
      <c r="C706" s="14" t="s">
        <v>3130</v>
      </c>
      <c r="D706" s="14" t="s">
        <v>40</v>
      </c>
      <c r="E706" s="20" t="str">
        <f t="shared" si="2"/>
        <v>febrero 2026</v>
      </c>
      <c r="F706" s="355">
        <v>46071.0</v>
      </c>
      <c r="G706" s="24">
        <f t="shared" ref="G706:H706" si="711">F706</f>
        <v>46071</v>
      </c>
      <c r="H706" s="26">
        <f t="shared" si="711"/>
        <v>46071</v>
      </c>
      <c r="I706" s="14" t="s">
        <v>2398</v>
      </c>
      <c r="K706" s="27">
        <v>4.0E9</v>
      </c>
      <c r="L706" s="78"/>
      <c r="M706" s="31"/>
      <c r="N706" s="14" t="s">
        <v>84</v>
      </c>
      <c r="O706" s="14" t="s">
        <v>40</v>
      </c>
      <c r="Q706" s="36"/>
      <c r="R706" s="36"/>
      <c r="S706" s="36"/>
      <c r="T706" s="36"/>
      <c r="V706" s="31"/>
    </row>
    <row r="707">
      <c r="A707" s="37" t="s">
        <v>66</v>
      </c>
      <c r="C707" s="14" t="s">
        <v>3131</v>
      </c>
      <c r="D707" s="14" t="s">
        <v>40</v>
      </c>
      <c r="E707" s="20" t="str">
        <f t="shared" si="2"/>
        <v>febrero 2026</v>
      </c>
      <c r="F707" s="355">
        <v>46071.0</v>
      </c>
      <c r="G707" s="24">
        <f t="shared" ref="G707:H707" si="712">F707</f>
        <v>46071</v>
      </c>
      <c r="H707" s="26">
        <f t="shared" si="712"/>
        <v>46071</v>
      </c>
      <c r="I707" s="14" t="s">
        <v>2398</v>
      </c>
      <c r="K707" s="27">
        <v>4.0E9</v>
      </c>
      <c r="L707" s="78"/>
      <c r="M707" s="31"/>
      <c r="N707" s="14" t="s">
        <v>84</v>
      </c>
      <c r="O707" s="14" t="s">
        <v>40</v>
      </c>
      <c r="Q707" s="36"/>
      <c r="R707" s="36"/>
      <c r="S707" s="36"/>
      <c r="T707" s="36"/>
      <c r="V707" s="31"/>
    </row>
    <row r="708">
      <c r="A708" s="14" t="s">
        <v>736</v>
      </c>
      <c r="B708" s="351" t="s">
        <v>3132</v>
      </c>
      <c r="C708" s="50" t="s">
        <v>1086</v>
      </c>
      <c r="D708" s="50" t="s">
        <v>40</v>
      </c>
      <c r="E708" s="348" t="str">
        <f t="shared" si="2"/>
        <v>marzo 2026</v>
      </c>
      <c r="F708" s="349">
        <v>46085.0</v>
      </c>
      <c r="G708" s="24">
        <f t="shared" ref="G708:H708" si="713">F708</f>
        <v>46085</v>
      </c>
      <c r="H708" s="26">
        <f t="shared" si="713"/>
        <v>46085</v>
      </c>
      <c r="I708" s="50" t="s">
        <v>90</v>
      </c>
      <c r="K708" s="27"/>
      <c r="L708" s="29" t="s">
        <v>3085</v>
      </c>
      <c r="M708" s="31"/>
      <c r="N708" s="14" t="s">
        <v>84</v>
      </c>
      <c r="O708" s="31"/>
      <c r="Q708" s="36"/>
      <c r="R708" s="36"/>
      <c r="S708" s="36"/>
      <c r="T708" s="36"/>
      <c r="V708" s="31"/>
    </row>
    <row r="709">
      <c r="A709" s="14" t="s">
        <v>736</v>
      </c>
      <c r="B709" s="351" t="s">
        <v>3133</v>
      </c>
      <c r="C709" s="50" t="s">
        <v>1085</v>
      </c>
      <c r="D709" s="14" t="s">
        <v>40</v>
      </c>
      <c r="E709" s="348" t="str">
        <f t="shared" si="2"/>
        <v>marzo 2026</v>
      </c>
      <c r="F709" s="349">
        <v>46082.0</v>
      </c>
      <c r="G709" s="24">
        <f t="shared" ref="G709:H709" si="714">F709</f>
        <v>46082</v>
      </c>
      <c r="H709" s="26">
        <f t="shared" si="714"/>
        <v>46082</v>
      </c>
      <c r="I709" s="14" t="s">
        <v>90</v>
      </c>
      <c r="K709" s="27"/>
      <c r="L709" s="29" t="s">
        <v>3085</v>
      </c>
      <c r="M709" s="31"/>
      <c r="N709" s="14" t="s">
        <v>84</v>
      </c>
      <c r="O709" s="31"/>
      <c r="Q709" s="36"/>
      <c r="R709" s="36"/>
      <c r="S709" s="36"/>
      <c r="T709" s="36"/>
      <c r="V709" s="31"/>
    </row>
    <row r="710">
      <c r="A710" s="14" t="s">
        <v>736</v>
      </c>
      <c r="B710" s="351" t="s">
        <v>3134</v>
      </c>
      <c r="C710" s="50" t="s">
        <v>1087</v>
      </c>
      <c r="D710" s="14" t="s">
        <v>40</v>
      </c>
      <c r="E710" s="348" t="str">
        <f t="shared" si="2"/>
        <v>marzo 2026</v>
      </c>
      <c r="F710" s="349">
        <v>46105.0</v>
      </c>
      <c r="G710" s="24">
        <f t="shared" ref="G710:H710" si="715">F710</f>
        <v>46105</v>
      </c>
      <c r="H710" s="26">
        <f t="shared" si="715"/>
        <v>46105</v>
      </c>
      <c r="I710" s="14" t="s">
        <v>90</v>
      </c>
      <c r="K710" s="27"/>
      <c r="L710" s="29" t="s">
        <v>3085</v>
      </c>
      <c r="M710" s="31"/>
      <c r="N710" s="14" t="s">
        <v>84</v>
      </c>
      <c r="O710" s="31"/>
      <c r="Q710" s="36"/>
      <c r="R710" s="36"/>
      <c r="S710" s="36"/>
      <c r="T710" s="36"/>
      <c r="V710" s="31"/>
    </row>
    <row r="711">
      <c r="A711" s="14" t="s">
        <v>736</v>
      </c>
      <c r="C711" s="14" t="s">
        <v>2655</v>
      </c>
      <c r="D711" s="14" t="s">
        <v>40</v>
      </c>
      <c r="E711" s="20" t="str">
        <f t="shared" si="2"/>
        <v>febrero 2026</v>
      </c>
      <c r="F711" s="355">
        <v>46078.0</v>
      </c>
      <c r="G711" s="24">
        <f t="shared" ref="G711:H711" si="716">F711</f>
        <v>46078</v>
      </c>
      <c r="H711" s="26">
        <f t="shared" si="716"/>
        <v>46078</v>
      </c>
      <c r="I711" s="14" t="s">
        <v>1596</v>
      </c>
      <c r="K711" s="27">
        <v>5.0E7</v>
      </c>
      <c r="L711" s="78"/>
      <c r="M711" s="31"/>
      <c r="N711" s="31"/>
      <c r="O711" s="31"/>
      <c r="Q711" s="36"/>
      <c r="R711" s="36"/>
      <c r="S711" s="36"/>
      <c r="T711" s="36"/>
      <c r="V711" s="31"/>
    </row>
    <row r="712">
      <c r="A712" s="14" t="s">
        <v>679</v>
      </c>
      <c r="C712" s="14" t="s">
        <v>3135</v>
      </c>
      <c r="D712" s="14" t="s">
        <v>40</v>
      </c>
      <c r="E712" s="20" t="str">
        <f t="shared" si="2"/>
        <v>marzo 2026</v>
      </c>
      <c r="F712" s="355">
        <v>46105.0</v>
      </c>
      <c r="G712" s="24">
        <f t="shared" ref="G712:H712" si="717">F712</f>
        <v>46105</v>
      </c>
      <c r="H712" s="26">
        <f t="shared" si="717"/>
        <v>46105</v>
      </c>
      <c r="I712" s="14" t="s">
        <v>90</v>
      </c>
      <c r="K712" s="27">
        <v>1.0E8</v>
      </c>
      <c r="L712" s="29" t="s">
        <v>3136</v>
      </c>
      <c r="M712" s="31"/>
      <c r="N712" s="31"/>
      <c r="O712" s="31"/>
      <c r="Q712" s="36"/>
      <c r="R712" s="36"/>
      <c r="S712" s="36"/>
      <c r="T712" s="36"/>
      <c r="V712" s="31"/>
    </row>
    <row r="713">
      <c r="A713" s="14" t="s">
        <v>117</v>
      </c>
      <c r="B713" s="14" t="s">
        <v>3266</v>
      </c>
      <c r="C713" s="14" t="s">
        <v>3137</v>
      </c>
      <c r="D713" s="14" t="s">
        <v>40</v>
      </c>
      <c r="E713" s="20" t="str">
        <f t="shared" si="2"/>
        <v>febrero 2026</v>
      </c>
      <c r="F713" s="355">
        <v>46076.0</v>
      </c>
      <c r="G713" s="24">
        <f t="shared" ref="G713:H713" si="718">F713</f>
        <v>46076</v>
      </c>
      <c r="H713" s="26">
        <f t="shared" si="718"/>
        <v>46076</v>
      </c>
      <c r="I713" s="14" t="s">
        <v>90</v>
      </c>
      <c r="K713" s="27">
        <v>3.0E8</v>
      </c>
      <c r="L713" s="78"/>
      <c r="M713" s="31"/>
      <c r="N713" s="14" t="s">
        <v>84</v>
      </c>
      <c r="O713" s="14" t="s">
        <v>40</v>
      </c>
      <c r="Q713" s="36"/>
      <c r="R713" s="36"/>
      <c r="S713" s="36"/>
      <c r="T713" s="36"/>
      <c r="V713" s="31"/>
    </row>
    <row r="714">
      <c r="A714" s="14" t="s">
        <v>679</v>
      </c>
      <c r="C714" s="14" t="s">
        <v>3138</v>
      </c>
      <c r="D714" s="14" t="s">
        <v>40</v>
      </c>
      <c r="E714" s="20" t="str">
        <f t="shared" si="2"/>
        <v>marzo 2026</v>
      </c>
      <c r="F714" s="355">
        <v>46084.0</v>
      </c>
      <c r="G714" s="24">
        <f t="shared" ref="G714:H714" si="719">F714</f>
        <v>46084</v>
      </c>
      <c r="H714" s="26">
        <f t="shared" si="719"/>
        <v>46084</v>
      </c>
      <c r="I714" s="14" t="s">
        <v>90</v>
      </c>
      <c r="K714" s="27">
        <v>1.3E8</v>
      </c>
      <c r="L714" s="29" t="s">
        <v>3117</v>
      </c>
      <c r="M714" s="31"/>
      <c r="N714" s="14" t="s">
        <v>84</v>
      </c>
      <c r="O714" s="31"/>
      <c r="Q714" s="36"/>
      <c r="R714" s="36"/>
      <c r="S714" s="36"/>
      <c r="T714" s="36"/>
      <c r="V714" s="31"/>
    </row>
    <row r="715">
      <c r="A715" s="14" t="s">
        <v>679</v>
      </c>
      <c r="C715" s="14" t="s">
        <v>3139</v>
      </c>
      <c r="D715" s="14" t="s">
        <v>40</v>
      </c>
      <c r="E715" s="20" t="str">
        <f t="shared" si="2"/>
        <v>marzo 2026</v>
      </c>
      <c r="F715" s="355">
        <v>46084.0</v>
      </c>
      <c r="G715" s="24">
        <f t="shared" ref="G715:H715" si="720">F715</f>
        <v>46084</v>
      </c>
      <c r="H715" s="26">
        <f t="shared" si="720"/>
        <v>46084</v>
      </c>
      <c r="I715" s="14" t="s">
        <v>90</v>
      </c>
      <c r="K715" s="27">
        <v>1.0E8</v>
      </c>
      <c r="L715" s="29" t="s">
        <v>3117</v>
      </c>
      <c r="M715" s="31"/>
      <c r="N715" s="14" t="s">
        <v>84</v>
      </c>
      <c r="O715" s="31"/>
      <c r="Q715" s="36"/>
      <c r="R715" s="36"/>
      <c r="S715" s="36"/>
      <c r="T715" s="36"/>
      <c r="V715" s="31"/>
    </row>
    <row r="716">
      <c r="A716" s="14" t="s">
        <v>679</v>
      </c>
      <c r="C716" s="14" t="s">
        <v>3140</v>
      </c>
      <c r="D716" s="14" t="s">
        <v>40</v>
      </c>
      <c r="E716" s="20" t="str">
        <f t="shared" si="2"/>
        <v>marzo 2026</v>
      </c>
      <c r="F716" s="355">
        <v>46084.0</v>
      </c>
      <c r="G716" s="24">
        <f t="shared" ref="G716:H716" si="721">F716</f>
        <v>46084</v>
      </c>
      <c r="H716" s="26">
        <f t="shared" si="721"/>
        <v>46084</v>
      </c>
      <c r="I716" s="14" t="s">
        <v>90</v>
      </c>
      <c r="K716" s="27">
        <v>1.7E8</v>
      </c>
      <c r="L716" s="29" t="s">
        <v>3117</v>
      </c>
      <c r="M716" s="31"/>
      <c r="N716" s="14" t="s">
        <v>84</v>
      </c>
      <c r="O716" s="31"/>
      <c r="Q716" s="363" t="s">
        <v>3131</v>
      </c>
      <c r="R716" s="36"/>
      <c r="S716" s="36"/>
      <c r="T716" s="36"/>
      <c r="V716" s="31"/>
    </row>
    <row r="717">
      <c r="A717" s="14" t="s">
        <v>679</v>
      </c>
      <c r="C717" s="14" t="s">
        <v>3141</v>
      </c>
      <c r="D717" s="14" t="s">
        <v>40</v>
      </c>
      <c r="E717" s="20" t="str">
        <f t="shared" si="2"/>
        <v>marzo 2026</v>
      </c>
      <c r="F717" s="355">
        <v>46085.0</v>
      </c>
      <c r="G717" s="24">
        <f t="shared" ref="G717:H717" si="722">F717</f>
        <v>46085</v>
      </c>
      <c r="H717" s="26">
        <f t="shared" si="722"/>
        <v>46085</v>
      </c>
      <c r="I717" s="14" t="s">
        <v>90</v>
      </c>
      <c r="K717" s="27">
        <v>5.0E7</v>
      </c>
      <c r="L717" s="29" t="s">
        <v>3117</v>
      </c>
      <c r="M717" s="31"/>
      <c r="N717" s="14"/>
      <c r="O717" s="31"/>
      <c r="Q717" s="365"/>
      <c r="R717" s="36"/>
      <c r="S717" s="36"/>
      <c r="T717" s="36"/>
      <c r="V717" s="31"/>
    </row>
    <row r="718">
      <c r="A718" s="14" t="s">
        <v>679</v>
      </c>
      <c r="C718" s="14" t="s">
        <v>3143</v>
      </c>
      <c r="D718" s="14" t="s">
        <v>40</v>
      </c>
      <c r="E718" s="20" t="str">
        <f t="shared" si="2"/>
        <v>marzo 2026</v>
      </c>
      <c r="F718" s="355">
        <v>46085.0</v>
      </c>
      <c r="G718" s="24">
        <f t="shared" ref="G718:H718" si="723">F718</f>
        <v>46085</v>
      </c>
      <c r="H718" s="26">
        <f t="shared" si="723"/>
        <v>46085</v>
      </c>
      <c r="I718" s="14" t="s">
        <v>90</v>
      </c>
      <c r="K718" s="27">
        <v>5.0E7</v>
      </c>
      <c r="L718" s="29"/>
      <c r="M718" s="31"/>
      <c r="N718" s="14"/>
      <c r="O718" s="31"/>
      <c r="Q718" s="363" t="s">
        <v>3144</v>
      </c>
      <c r="R718" s="36"/>
      <c r="S718" s="36"/>
      <c r="T718" s="36"/>
      <c r="V718" s="31"/>
    </row>
    <row r="719">
      <c r="A719" s="14" t="s">
        <v>117</v>
      </c>
      <c r="B719" s="14" t="s">
        <v>3276</v>
      </c>
      <c r="C719" s="14" t="s">
        <v>353</v>
      </c>
      <c r="D719" s="14" t="s">
        <v>40</v>
      </c>
      <c r="E719" s="20" t="str">
        <f t="shared" si="2"/>
        <v>marzo 2026</v>
      </c>
      <c r="F719" s="355">
        <v>46092.0</v>
      </c>
      <c r="G719" s="24">
        <f t="shared" ref="G719:H719" si="724">F719</f>
        <v>46092</v>
      </c>
      <c r="H719" s="26">
        <f t="shared" si="724"/>
        <v>46092</v>
      </c>
      <c r="I719" s="14" t="s">
        <v>90</v>
      </c>
      <c r="K719" s="27">
        <v>2.0E10</v>
      </c>
      <c r="L719" s="29" t="s">
        <v>3145</v>
      </c>
      <c r="M719" s="14"/>
      <c r="N719" s="14" t="s">
        <v>84</v>
      </c>
      <c r="O719" s="31"/>
      <c r="P719" s="14" t="s">
        <v>3148</v>
      </c>
      <c r="Q719" s="363" t="s">
        <v>3149</v>
      </c>
      <c r="R719" s="36"/>
      <c r="S719" s="36"/>
      <c r="T719" s="36"/>
      <c r="V719" s="31"/>
    </row>
    <row r="720">
      <c r="A720" s="14" t="s">
        <v>679</v>
      </c>
      <c r="C720" s="14" t="s">
        <v>3150</v>
      </c>
      <c r="D720" s="14" t="s">
        <v>133</v>
      </c>
      <c r="E720" s="20" t="str">
        <f t="shared" si="2"/>
        <v>marzo 2026</v>
      </c>
      <c r="F720" s="355">
        <v>46085.0</v>
      </c>
      <c r="G720" s="24">
        <f t="shared" ref="G720:H720" si="725">F720</f>
        <v>46085</v>
      </c>
      <c r="H720" s="26">
        <f t="shared" si="725"/>
        <v>46085</v>
      </c>
      <c r="I720" s="14" t="s">
        <v>1865</v>
      </c>
      <c r="K720" s="27">
        <v>1.0E9</v>
      </c>
      <c r="L720" s="29" t="s">
        <v>3117</v>
      </c>
      <c r="M720" s="31"/>
      <c r="N720" s="14" t="s">
        <v>84</v>
      </c>
      <c r="O720" s="31"/>
      <c r="Q720" s="36"/>
      <c r="R720" s="36"/>
      <c r="S720" s="36"/>
      <c r="T720" s="36"/>
      <c r="V720" s="31"/>
    </row>
    <row r="721">
      <c r="A721" s="14" t="s">
        <v>736</v>
      </c>
      <c r="B721" s="351" t="s">
        <v>3151</v>
      </c>
      <c r="C721" s="50" t="s">
        <v>1088</v>
      </c>
      <c r="D721" s="50" t="s">
        <v>40</v>
      </c>
      <c r="E721" s="348" t="str">
        <f t="shared" si="2"/>
        <v>marzo 2026</v>
      </c>
      <c r="F721" s="349">
        <v>46083.0</v>
      </c>
      <c r="G721" s="24">
        <f t="shared" ref="G721:H721" si="726">F721</f>
        <v>46083</v>
      </c>
      <c r="H721" s="26">
        <f t="shared" si="726"/>
        <v>46083</v>
      </c>
      <c r="I721" s="50" t="s">
        <v>90</v>
      </c>
      <c r="K721" s="27"/>
      <c r="L721" s="29" t="s">
        <v>3085</v>
      </c>
      <c r="M721" s="31"/>
      <c r="N721" s="14" t="s">
        <v>84</v>
      </c>
      <c r="O721" s="31"/>
      <c r="Q721" s="36"/>
      <c r="R721" s="36"/>
      <c r="S721" s="36"/>
      <c r="T721" s="36"/>
      <c r="V721" s="31"/>
    </row>
    <row r="722">
      <c r="A722" s="14" t="s">
        <v>736</v>
      </c>
      <c r="B722" s="351" t="s">
        <v>3152</v>
      </c>
      <c r="C722" s="50" t="s">
        <v>1091</v>
      </c>
      <c r="D722" s="50" t="s">
        <v>40</v>
      </c>
      <c r="E722" s="348" t="str">
        <f t="shared" si="2"/>
        <v>marzo 2026</v>
      </c>
      <c r="F722" s="349">
        <v>46085.0</v>
      </c>
      <c r="G722" s="24">
        <f t="shared" ref="G722:H722" si="727">F722</f>
        <v>46085</v>
      </c>
      <c r="H722" s="26">
        <f t="shared" si="727"/>
        <v>46085</v>
      </c>
      <c r="I722" s="50" t="s">
        <v>90</v>
      </c>
      <c r="K722" s="27"/>
      <c r="L722" s="29" t="s">
        <v>3085</v>
      </c>
      <c r="M722" s="31"/>
      <c r="N722" s="14" t="s">
        <v>84</v>
      </c>
      <c r="O722" s="31"/>
      <c r="Q722" s="36"/>
      <c r="R722" s="36"/>
      <c r="S722" s="36"/>
      <c r="T722" s="36"/>
      <c r="V722" s="31"/>
    </row>
    <row r="723">
      <c r="A723" s="14" t="s">
        <v>736</v>
      </c>
      <c r="B723" s="351" t="s">
        <v>3154</v>
      </c>
      <c r="C723" s="50" t="s">
        <v>1092</v>
      </c>
      <c r="D723" s="50" t="s">
        <v>40</v>
      </c>
      <c r="E723" s="348" t="str">
        <f t="shared" si="2"/>
        <v>marzo 2026</v>
      </c>
      <c r="F723" s="349">
        <v>46087.0</v>
      </c>
      <c r="G723" s="24">
        <f t="shared" ref="G723:H723" si="728">F723</f>
        <v>46087</v>
      </c>
      <c r="H723" s="26">
        <f t="shared" si="728"/>
        <v>46087</v>
      </c>
      <c r="I723" s="50" t="s">
        <v>90</v>
      </c>
      <c r="K723" s="27"/>
      <c r="L723" s="29" t="s">
        <v>3085</v>
      </c>
      <c r="M723" s="31"/>
      <c r="N723" s="14" t="s">
        <v>84</v>
      </c>
      <c r="O723" s="31"/>
      <c r="Q723" s="36"/>
      <c r="R723" s="36"/>
      <c r="S723" s="36"/>
      <c r="T723" s="36"/>
      <c r="V723" s="31"/>
    </row>
    <row r="724">
      <c r="A724" s="14" t="s">
        <v>736</v>
      </c>
      <c r="B724" s="351" t="s">
        <v>3155</v>
      </c>
      <c r="C724" s="50" t="s">
        <v>1093</v>
      </c>
      <c r="D724" s="50" t="s">
        <v>40</v>
      </c>
      <c r="E724" s="348" t="str">
        <f t="shared" si="2"/>
        <v>marzo 2026</v>
      </c>
      <c r="F724" s="349">
        <v>46088.0</v>
      </c>
      <c r="G724" s="24">
        <f t="shared" ref="G724:H724" si="729">F724</f>
        <v>46088</v>
      </c>
      <c r="H724" s="26">
        <f t="shared" si="729"/>
        <v>46088</v>
      </c>
      <c r="I724" s="50" t="s">
        <v>90</v>
      </c>
      <c r="K724" s="27"/>
      <c r="L724" s="29" t="s">
        <v>3085</v>
      </c>
      <c r="M724" s="31"/>
      <c r="N724" s="14" t="s">
        <v>84</v>
      </c>
      <c r="O724" s="31"/>
      <c r="Q724" s="36"/>
      <c r="R724" s="36"/>
      <c r="S724" s="36"/>
      <c r="T724" s="36"/>
      <c r="V724" s="31"/>
    </row>
    <row r="725">
      <c r="A725" s="14" t="s">
        <v>117</v>
      </c>
      <c r="B725" s="14" t="s">
        <v>3284</v>
      </c>
      <c r="C725" s="302" t="s">
        <v>3156</v>
      </c>
      <c r="D725" s="379" t="s">
        <v>40</v>
      </c>
      <c r="E725" s="380" t="str">
        <f t="shared" si="2"/>
        <v>marzo 2026</v>
      </c>
      <c r="F725" s="381">
        <v>46097.0</v>
      </c>
      <c r="G725" s="24">
        <f t="shared" ref="G725:H725" si="730">F725</f>
        <v>46097</v>
      </c>
      <c r="H725" s="26">
        <f t="shared" si="730"/>
        <v>46097</v>
      </c>
      <c r="I725" s="14" t="s">
        <v>90</v>
      </c>
      <c r="K725" s="27">
        <v>8.0E7</v>
      </c>
      <c r="L725" s="29" t="s">
        <v>3157</v>
      </c>
      <c r="M725" s="31"/>
      <c r="N725" s="14" t="s">
        <v>84</v>
      </c>
      <c r="O725" s="31"/>
      <c r="Q725" s="36"/>
      <c r="R725" s="36"/>
      <c r="S725" s="36"/>
      <c r="T725" s="36"/>
      <c r="V725" s="31"/>
    </row>
    <row r="726">
      <c r="A726" s="14" t="s">
        <v>679</v>
      </c>
      <c r="B726" s="14" t="s">
        <v>3158</v>
      </c>
      <c r="C726" s="302" t="s">
        <v>3159</v>
      </c>
      <c r="D726" s="382" t="s">
        <v>40</v>
      </c>
      <c r="E726" s="383" t="str">
        <f t="shared" si="2"/>
        <v>marzo 2026</v>
      </c>
      <c r="F726" s="386">
        <v>46092.0</v>
      </c>
      <c r="G726" s="24">
        <f t="shared" ref="G726:H726" si="731">F726</f>
        <v>46092</v>
      </c>
      <c r="H726" s="26">
        <f t="shared" si="731"/>
        <v>46092</v>
      </c>
      <c r="I726" s="14" t="s">
        <v>90</v>
      </c>
      <c r="K726" s="27">
        <v>3000000.0</v>
      </c>
      <c r="L726" s="29" t="s">
        <v>1203</v>
      </c>
      <c r="M726" s="31"/>
      <c r="N726" s="14" t="s">
        <v>84</v>
      </c>
      <c r="O726" s="31"/>
      <c r="Q726" s="36"/>
      <c r="R726" s="36"/>
      <c r="S726" s="36"/>
      <c r="T726" s="36"/>
      <c r="V726" s="31"/>
    </row>
    <row r="727">
      <c r="A727" s="14" t="s">
        <v>117</v>
      </c>
      <c r="B727" s="14" t="s">
        <v>3288</v>
      </c>
      <c r="C727" s="302" t="s">
        <v>2589</v>
      </c>
      <c r="D727" s="302" t="s">
        <v>40</v>
      </c>
      <c r="E727" s="380" t="str">
        <f t="shared" si="2"/>
        <v>marzo 2026</v>
      </c>
      <c r="F727" s="381">
        <v>46092.0</v>
      </c>
      <c r="G727" s="24">
        <f t="shared" ref="G727:H727" si="732">F727</f>
        <v>46092</v>
      </c>
      <c r="H727" s="26">
        <f t="shared" si="732"/>
        <v>46092</v>
      </c>
      <c r="I727" s="14" t="s">
        <v>90</v>
      </c>
      <c r="K727" s="27">
        <v>8.0E7</v>
      </c>
      <c r="L727" s="29" t="s">
        <v>3160</v>
      </c>
      <c r="M727" s="14"/>
      <c r="N727" s="14" t="s">
        <v>84</v>
      </c>
      <c r="O727" s="14" t="s">
        <v>40</v>
      </c>
      <c r="P727" s="14" t="s">
        <v>2493</v>
      </c>
      <c r="Q727" s="35" t="s">
        <v>3161</v>
      </c>
      <c r="R727" s="36"/>
      <c r="S727" s="36"/>
      <c r="T727" s="36"/>
      <c r="V727" s="31"/>
    </row>
    <row r="728">
      <c r="A728" s="14" t="s">
        <v>117</v>
      </c>
      <c r="B728" s="14" t="s">
        <v>3276</v>
      </c>
      <c r="C728" s="302" t="s">
        <v>353</v>
      </c>
      <c r="D728" s="302" t="s">
        <v>40</v>
      </c>
      <c r="E728" s="383" t="str">
        <f t="shared" si="2"/>
        <v>marzo 2026</v>
      </c>
      <c r="F728" s="386">
        <v>46092.0</v>
      </c>
      <c r="G728" s="24">
        <f t="shared" ref="G728:H728" si="733">F728</f>
        <v>46092</v>
      </c>
      <c r="H728" s="26">
        <f t="shared" si="733"/>
        <v>46092</v>
      </c>
      <c r="I728" s="14" t="s">
        <v>425</v>
      </c>
      <c r="K728" s="27">
        <v>1.0E10</v>
      </c>
      <c r="L728" s="29" t="s">
        <v>2630</v>
      </c>
      <c r="M728" s="31"/>
      <c r="N728" s="14" t="s">
        <v>84</v>
      </c>
      <c r="O728" s="14" t="s">
        <v>40</v>
      </c>
      <c r="Q728" s="36"/>
      <c r="R728" s="36"/>
      <c r="S728" s="36"/>
      <c r="T728" s="36"/>
      <c r="V728" s="31"/>
    </row>
    <row r="729">
      <c r="A729" s="14" t="s">
        <v>117</v>
      </c>
      <c r="B729" s="14" t="s">
        <v>3291</v>
      </c>
      <c r="C729" s="302" t="s">
        <v>2054</v>
      </c>
      <c r="D729" s="302" t="s">
        <v>40</v>
      </c>
      <c r="E729" s="380" t="str">
        <f t="shared" si="2"/>
        <v>marzo 2026</v>
      </c>
      <c r="F729" s="381">
        <v>46099.0</v>
      </c>
      <c r="G729" s="24">
        <f t="shared" ref="G729:H729" si="734">F729</f>
        <v>46099</v>
      </c>
      <c r="H729" s="26">
        <f t="shared" si="734"/>
        <v>46099</v>
      </c>
      <c r="I729" s="14" t="s">
        <v>1596</v>
      </c>
      <c r="K729" s="27">
        <v>2.0E8</v>
      </c>
      <c r="L729" s="78"/>
      <c r="M729" s="31"/>
      <c r="N729" s="31"/>
      <c r="O729" s="31"/>
      <c r="Q729" s="36"/>
      <c r="R729" s="36"/>
      <c r="S729" s="36"/>
      <c r="T729" s="36"/>
      <c r="V729" s="31"/>
    </row>
    <row r="730">
      <c r="A730" s="14" t="s">
        <v>117</v>
      </c>
      <c r="B730" s="14" t="s">
        <v>3291</v>
      </c>
      <c r="C730" s="302" t="s">
        <v>1999</v>
      </c>
      <c r="D730" s="389"/>
      <c r="E730" s="383" t="str">
        <f t="shared" si="2"/>
        <v>marzo 2026</v>
      </c>
      <c r="F730" s="386">
        <v>46099.0</v>
      </c>
      <c r="G730" s="24">
        <f t="shared" ref="G730:H730" si="735">F730</f>
        <v>46099</v>
      </c>
      <c r="H730" s="26">
        <f t="shared" si="735"/>
        <v>46099</v>
      </c>
      <c r="I730" s="14" t="s">
        <v>1596</v>
      </c>
      <c r="K730" s="27">
        <v>2.0E8</v>
      </c>
      <c r="L730" s="78"/>
      <c r="M730" s="31"/>
      <c r="N730" s="31"/>
      <c r="O730" s="31"/>
      <c r="Q730" s="36"/>
      <c r="R730" s="36"/>
      <c r="S730" s="36"/>
      <c r="T730" s="36"/>
      <c r="V730" s="31"/>
    </row>
    <row r="731">
      <c r="A731" s="14" t="s">
        <v>117</v>
      </c>
      <c r="B731" s="379" t="s">
        <v>3291</v>
      </c>
      <c r="C731" s="302" t="s">
        <v>2005</v>
      </c>
      <c r="D731" s="389"/>
      <c r="E731" s="380" t="str">
        <f t="shared" si="2"/>
        <v>marzo 2026</v>
      </c>
      <c r="F731" s="381">
        <v>46099.0</v>
      </c>
      <c r="G731" s="24">
        <f t="shared" ref="G731:H731" si="736">F731</f>
        <v>46099</v>
      </c>
      <c r="H731" s="26">
        <f t="shared" si="736"/>
        <v>46099</v>
      </c>
      <c r="I731" s="14" t="s">
        <v>1596</v>
      </c>
      <c r="K731" s="27">
        <v>2.0E8</v>
      </c>
      <c r="L731" s="78"/>
      <c r="M731" s="31"/>
      <c r="N731" s="31"/>
      <c r="O731" s="31"/>
      <c r="Q731" s="36"/>
      <c r="R731" s="36"/>
      <c r="S731" s="36"/>
      <c r="T731" s="36"/>
      <c r="V731" s="31"/>
    </row>
    <row r="732">
      <c r="A732" s="14" t="s">
        <v>117</v>
      </c>
      <c r="B732" s="382" t="s">
        <v>3291</v>
      </c>
      <c r="C732" s="302" t="s">
        <v>1979</v>
      </c>
      <c r="D732" s="389"/>
      <c r="E732" s="383" t="str">
        <f>TEXT(F733, "mmmm yyyy")
</f>
        <v>diciembre 1899</v>
      </c>
      <c r="F732" s="386">
        <v>46099.0</v>
      </c>
      <c r="G732" s="24">
        <f t="shared" ref="G732:H732" si="737">F732</f>
        <v>46099</v>
      </c>
      <c r="H732" s="26">
        <f t="shared" si="737"/>
        <v>46099</v>
      </c>
      <c r="I732" s="14" t="s">
        <v>1596</v>
      </c>
      <c r="K732" s="27">
        <v>2.0E8</v>
      </c>
      <c r="L732" s="78"/>
      <c r="M732" s="31"/>
      <c r="N732" s="31"/>
      <c r="O732" s="31"/>
      <c r="Q732" s="36"/>
      <c r="R732" s="36"/>
      <c r="S732" s="36"/>
      <c r="T732" s="36"/>
      <c r="V732" s="31"/>
    </row>
    <row r="733">
      <c r="A733" s="37" t="s">
        <v>66</v>
      </c>
      <c r="B733" s="390"/>
      <c r="C733" s="302" t="s">
        <v>3165</v>
      </c>
      <c r="D733" s="302" t="s">
        <v>40</v>
      </c>
      <c r="E733" s="397">
        <v>46113.0</v>
      </c>
      <c r="F733" s="381"/>
      <c r="G733" s="24" t="str">
        <f t="shared" ref="G733:H733" si="738">F733</f>
        <v/>
      </c>
      <c r="H733" s="26" t="str">
        <f t="shared" si="738"/>
        <v/>
      </c>
      <c r="I733" s="302" t="s">
        <v>90</v>
      </c>
      <c r="K733" s="27">
        <v>3.0E9</v>
      </c>
      <c r="L733" s="78"/>
      <c r="M733" s="31"/>
      <c r="N733" s="14" t="s">
        <v>84</v>
      </c>
      <c r="O733" s="14" t="s">
        <v>40</v>
      </c>
      <c r="Q733" s="36"/>
      <c r="R733" s="36"/>
      <c r="S733" s="36"/>
      <c r="T733" s="36"/>
      <c r="V733" s="31"/>
    </row>
    <row r="734">
      <c r="A734" s="14" t="s">
        <v>736</v>
      </c>
      <c r="B734" s="351" t="s">
        <v>3166</v>
      </c>
      <c r="C734" s="50" t="s">
        <v>1094</v>
      </c>
      <c r="D734" s="50" t="s">
        <v>40</v>
      </c>
      <c r="E734" s="348" t="str">
        <f t="shared" ref="E734:E877" si="740">TEXT(F734, "mmmm yyyy")
</f>
        <v>marzo 2026</v>
      </c>
      <c r="F734" s="349">
        <v>46109.0</v>
      </c>
      <c r="G734" s="24">
        <f t="shared" ref="G734:H734" si="739">F734</f>
        <v>46109</v>
      </c>
      <c r="H734" s="26">
        <f t="shared" si="739"/>
        <v>46109</v>
      </c>
      <c r="I734" s="50" t="s">
        <v>90</v>
      </c>
      <c r="K734" s="27"/>
      <c r="L734" s="29" t="s">
        <v>3085</v>
      </c>
      <c r="M734" s="31"/>
      <c r="N734" s="14" t="s">
        <v>84</v>
      </c>
      <c r="O734" s="31"/>
      <c r="Q734" s="36"/>
      <c r="R734" s="36"/>
      <c r="S734" s="36"/>
      <c r="T734" s="36"/>
      <c r="V734" s="31"/>
    </row>
    <row r="735">
      <c r="A735" s="14" t="s">
        <v>679</v>
      </c>
      <c r="B735" s="390"/>
      <c r="C735" s="15" t="s">
        <v>314</v>
      </c>
      <c r="D735" s="389"/>
      <c r="E735" s="380" t="str">
        <f t="shared" si="740"/>
        <v>marzo 2026</v>
      </c>
      <c r="F735" s="381">
        <v>46104.0</v>
      </c>
      <c r="G735" s="24">
        <f t="shared" ref="G735:H735" si="741">F735</f>
        <v>46104</v>
      </c>
      <c r="H735" s="26">
        <f t="shared" si="741"/>
        <v>46104</v>
      </c>
      <c r="I735" s="14" t="s">
        <v>90</v>
      </c>
      <c r="K735" s="27"/>
      <c r="L735" s="15" t="s">
        <v>3167</v>
      </c>
      <c r="M735" s="31"/>
      <c r="N735" s="14"/>
      <c r="O735" s="14"/>
      <c r="Q735" s="36"/>
      <c r="R735" s="36"/>
      <c r="S735" s="36"/>
      <c r="T735" s="36"/>
      <c r="V735" s="31"/>
    </row>
    <row r="736">
      <c r="A736" s="37" t="s">
        <v>66</v>
      </c>
      <c r="B736" s="391"/>
      <c r="C736" s="15" t="s">
        <v>3168</v>
      </c>
      <c r="D736" s="382" t="s">
        <v>133</v>
      </c>
      <c r="E736" s="383" t="str">
        <f t="shared" si="740"/>
        <v>abril 2026</v>
      </c>
      <c r="F736" s="386">
        <v>46113.0</v>
      </c>
      <c r="G736" s="24">
        <f t="shared" ref="G736:H736" si="742">F736</f>
        <v>46113</v>
      </c>
      <c r="H736" s="26">
        <f t="shared" si="742"/>
        <v>46113</v>
      </c>
      <c r="I736" s="14" t="s">
        <v>1865</v>
      </c>
      <c r="K736" s="27">
        <v>1.0E9</v>
      </c>
      <c r="L736" s="15" t="s">
        <v>2906</v>
      </c>
      <c r="M736" s="31"/>
      <c r="N736" s="14" t="s">
        <v>84</v>
      </c>
      <c r="O736" s="14" t="s">
        <v>40</v>
      </c>
      <c r="Q736" s="36"/>
      <c r="R736" s="36"/>
      <c r="S736" s="36"/>
      <c r="T736" s="36"/>
      <c r="V736" s="31"/>
    </row>
    <row r="737">
      <c r="A737" s="14" t="s">
        <v>679</v>
      </c>
      <c r="B737" s="390"/>
      <c r="C737" s="50" t="s">
        <v>3169</v>
      </c>
      <c r="D737" s="379" t="s">
        <v>133</v>
      </c>
      <c r="E737" s="380" t="str">
        <f t="shared" si="740"/>
        <v>abril 2026</v>
      </c>
      <c r="F737" s="381">
        <v>46113.0</v>
      </c>
      <c r="G737" s="24">
        <f t="shared" ref="G737:H737" si="743">F737</f>
        <v>46113</v>
      </c>
      <c r="H737" s="26">
        <f t="shared" si="743"/>
        <v>46113</v>
      </c>
      <c r="I737" s="14" t="s">
        <v>1865</v>
      </c>
      <c r="K737" s="27">
        <v>7.5E8</v>
      </c>
      <c r="L737" s="15" t="s">
        <v>3167</v>
      </c>
      <c r="M737" s="31"/>
      <c r="N737" s="31"/>
      <c r="O737" s="31"/>
      <c r="Q737" s="36"/>
      <c r="R737" s="36"/>
      <c r="S737" s="36"/>
      <c r="T737" s="36"/>
      <c r="V737" s="31"/>
    </row>
    <row r="738">
      <c r="A738" s="14" t="s">
        <v>736</v>
      </c>
      <c r="B738" s="351" t="s">
        <v>3170</v>
      </c>
      <c r="C738" s="50" t="s">
        <v>1096</v>
      </c>
      <c r="D738" s="50" t="s">
        <v>40</v>
      </c>
      <c r="E738" s="348" t="str">
        <f t="shared" si="740"/>
        <v>abril 2026</v>
      </c>
      <c r="F738" s="349">
        <v>46121.0</v>
      </c>
      <c r="G738" s="24">
        <f t="shared" ref="G738:H738" si="744">F738</f>
        <v>46121</v>
      </c>
      <c r="H738" s="26">
        <f t="shared" si="744"/>
        <v>46121</v>
      </c>
      <c r="I738" s="50" t="s">
        <v>90</v>
      </c>
      <c r="K738" s="27"/>
      <c r="L738" s="29" t="s">
        <v>3085</v>
      </c>
      <c r="M738" s="31"/>
      <c r="N738" s="14" t="s">
        <v>84</v>
      </c>
      <c r="O738" s="31"/>
      <c r="Q738" s="36"/>
      <c r="R738" s="36"/>
      <c r="S738" s="36"/>
      <c r="T738" s="36"/>
      <c r="V738" s="31"/>
    </row>
    <row r="739">
      <c r="A739" s="14" t="s">
        <v>736</v>
      </c>
      <c r="B739" s="351" t="s">
        <v>3171</v>
      </c>
      <c r="C739" s="50" t="s">
        <v>1098</v>
      </c>
      <c r="D739" s="50" t="s">
        <v>40</v>
      </c>
      <c r="E739" s="348" t="str">
        <f t="shared" si="740"/>
        <v>abril 2026</v>
      </c>
      <c r="F739" s="349">
        <v>46122.0</v>
      </c>
      <c r="G739" s="24">
        <f t="shared" ref="G739:H739" si="745">F739</f>
        <v>46122</v>
      </c>
      <c r="H739" s="26">
        <f t="shared" si="745"/>
        <v>46122</v>
      </c>
      <c r="I739" s="50" t="s">
        <v>90</v>
      </c>
      <c r="K739" s="27"/>
      <c r="L739" s="29" t="s">
        <v>3085</v>
      </c>
      <c r="M739" s="31"/>
      <c r="N739" s="14" t="s">
        <v>84</v>
      </c>
      <c r="O739" s="31"/>
      <c r="Q739" s="36"/>
      <c r="R739" s="36"/>
      <c r="S739" s="36"/>
      <c r="T739" s="36"/>
      <c r="V739" s="31"/>
    </row>
    <row r="740">
      <c r="A740" s="14" t="s">
        <v>736</v>
      </c>
      <c r="B740" s="351" t="s">
        <v>3172</v>
      </c>
      <c r="C740" s="50" t="s">
        <v>1101</v>
      </c>
      <c r="D740" s="50" t="s">
        <v>40</v>
      </c>
      <c r="E740" s="348" t="str">
        <f t="shared" si="740"/>
        <v>abril 2026</v>
      </c>
      <c r="F740" s="349">
        <v>46122.0</v>
      </c>
      <c r="G740" s="24">
        <f t="shared" ref="G740:H740" si="746">F740</f>
        <v>46122</v>
      </c>
      <c r="H740" s="26">
        <f t="shared" si="746"/>
        <v>46122</v>
      </c>
      <c r="I740" s="50" t="s">
        <v>90</v>
      </c>
      <c r="K740" s="27"/>
      <c r="L740" s="29" t="s">
        <v>3085</v>
      </c>
      <c r="M740" s="31"/>
      <c r="N740" s="14" t="s">
        <v>84</v>
      </c>
      <c r="O740" s="31"/>
      <c r="Q740" s="36"/>
      <c r="R740" s="36"/>
      <c r="S740" s="36"/>
      <c r="T740" s="36"/>
      <c r="V740" s="31"/>
    </row>
    <row r="741">
      <c r="A741" s="14" t="s">
        <v>736</v>
      </c>
      <c r="B741" s="351" t="s">
        <v>3173</v>
      </c>
      <c r="C741" s="50" t="s">
        <v>1103</v>
      </c>
      <c r="D741" s="50" t="s">
        <v>40</v>
      </c>
      <c r="E741" s="348" t="str">
        <f t="shared" si="740"/>
        <v>abril 2026</v>
      </c>
      <c r="F741" s="349">
        <v>46121.0</v>
      </c>
      <c r="G741" s="24">
        <f t="shared" ref="G741:H741" si="747">F741</f>
        <v>46121</v>
      </c>
      <c r="H741" s="26">
        <f t="shared" si="747"/>
        <v>46121</v>
      </c>
      <c r="I741" s="50" t="s">
        <v>90</v>
      </c>
      <c r="K741" s="27"/>
      <c r="L741" s="29" t="s">
        <v>3085</v>
      </c>
      <c r="M741" s="31"/>
      <c r="N741" s="14" t="s">
        <v>84</v>
      </c>
      <c r="O741" s="31"/>
      <c r="Q741" s="36"/>
      <c r="R741" s="36"/>
      <c r="S741" s="36"/>
      <c r="T741" s="36"/>
      <c r="V741" s="31"/>
    </row>
    <row r="742">
      <c r="A742" s="14" t="s">
        <v>736</v>
      </c>
      <c r="B742" s="351" t="s">
        <v>3174</v>
      </c>
      <c r="C742" s="50" t="s">
        <v>1104</v>
      </c>
      <c r="D742" s="50" t="s">
        <v>40</v>
      </c>
      <c r="E742" s="348" t="str">
        <f t="shared" si="740"/>
        <v>abril 2026</v>
      </c>
      <c r="F742" s="349">
        <v>46121.0</v>
      </c>
      <c r="G742" s="24">
        <f t="shared" ref="G742:H742" si="748">F742</f>
        <v>46121</v>
      </c>
      <c r="H742" s="26">
        <f t="shared" si="748"/>
        <v>46121</v>
      </c>
      <c r="I742" s="50" t="s">
        <v>90</v>
      </c>
      <c r="K742" s="27"/>
      <c r="L742" s="29" t="s">
        <v>3085</v>
      </c>
      <c r="M742" s="31"/>
      <c r="N742" s="14" t="s">
        <v>84</v>
      </c>
      <c r="O742" s="31"/>
      <c r="Q742" s="36"/>
      <c r="R742" s="36"/>
      <c r="S742" s="36"/>
      <c r="T742" s="36"/>
      <c r="V742" s="31"/>
    </row>
    <row r="743">
      <c r="A743" s="14" t="s">
        <v>736</v>
      </c>
      <c r="B743" s="351" t="s">
        <v>3175</v>
      </c>
      <c r="C743" s="50" t="s">
        <v>1106</v>
      </c>
      <c r="D743" s="50" t="s">
        <v>40</v>
      </c>
      <c r="E743" s="348" t="str">
        <f t="shared" si="740"/>
        <v>abril 2026</v>
      </c>
      <c r="F743" s="349">
        <v>46121.0</v>
      </c>
      <c r="G743" s="24">
        <f t="shared" ref="G743:H743" si="749">F743</f>
        <v>46121</v>
      </c>
      <c r="H743" s="26">
        <f t="shared" si="749"/>
        <v>46121</v>
      </c>
      <c r="I743" s="50" t="s">
        <v>90</v>
      </c>
      <c r="K743" s="27"/>
      <c r="L743" s="29" t="s">
        <v>3085</v>
      </c>
      <c r="M743" s="31"/>
      <c r="N743" s="14" t="s">
        <v>84</v>
      </c>
      <c r="O743" s="31"/>
      <c r="Q743" s="36"/>
      <c r="R743" s="36"/>
      <c r="S743" s="36"/>
      <c r="T743" s="36"/>
      <c r="V743" s="31"/>
    </row>
    <row r="744">
      <c r="A744" s="14" t="s">
        <v>736</v>
      </c>
      <c r="B744" s="351" t="s">
        <v>3176</v>
      </c>
      <c r="C744" s="50" t="s">
        <v>1108</v>
      </c>
      <c r="D744" s="50" t="s">
        <v>40</v>
      </c>
      <c r="E744" s="348" t="str">
        <f t="shared" si="740"/>
        <v>abril 2026</v>
      </c>
      <c r="F744" s="349">
        <v>46122.0</v>
      </c>
      <c r="G744" s="24">
        <f t="shared" ref="G744:H744" si="750">F744</f>
        <v>46122</v>
      </c>
      <c r="H744" s="26">
        <f t="shared" si="750"/>
        <v>46122</v>
      </c>
      <c r="I744" s="50" t="s">
        <v>90</v>
      </c>
      <c r="K744" s="27"/>
      <c r="L744" s="29" t="s">
        <v>3085</v>
      </c>
      <c r="M744" s="31"/>
      <c r="N744" s="14" t="s">
        <v>84</v>
      </c>
      <c r="O744" s="31"/>
      <c r="Q744" s="36"/>
      <c r="R744" s="36"/>
      <c r="S744" s="36"/>
      <c r="T744" s="36"/>
      <c r="V744" s="31"/>
    </row>
    <row r="745">
      <c r="A745" s="14" t="s">
        <v>736</v>
      </c>
      <c r="B745" s="351" t="s">
        <v>3177</v>
      </c>
      <c r="C745" s="50" t="s">
        <v>1109</v>
      </c>
      <c r="D745" s="50" t="s">
        <v>40</v>
      </c>
      <c r="E745" s="348" t="str">
        <f t="shared" si="740"/>
        <v>abril 2026</v>
      </c>
      <c r="F745" s="349">
        <v>46128.0</v>
      </c>
      <c r="G745" s="24">
        <f t="shared" ref="G745:H745" si="751">F745</f>
        <v>46128</v>
      </c>
      <c r="H745" s="26">
        <f t="shared" si="751"/>
        <v>46128</v>
      </c>
      <c r="I745" s="50" t="s">
        <v>90</v>
      </c>
      <c r="K745" s="27"/>
      <c r="L745" s="29" t="s">
        <v>3085</v>
      </c>
      <c r="M745" s="31"/>
      <c r="N745" s="14" t="s">
        <v>84</v>
      </c>
      <c r="O745" s="31"/>
      <c r="Q745" s="36"/>
      <c r="R745" s="36"/>
      <c r="S745" s="36"/>
      <c r="T745" s="36"/>
      <c r="V745" s="31"/>
    </row>
    <row r="746">
      <c r="A746" s="14" t="s">
        <v>736</v>
      </c>
      <c r="B746" s="351" t="s">
        <v>3178</v>
      </c>
      <c r="C746" s="50" t="s">
        <v>1110</v>
      </c>
      <c r="D746" s="50" t="s">
        <v>40</v>
      </c>
      <c r="E746" s="348" t="str">
        <f t="shared" si="740"/>
        <v>abril 2026</v>
      </c>
      <c r="F746" s="349">
        <v>46128.0</v>
      </c>
      <c r="G746" s="24">
        <f t="shared" ref="G746:H746" si="752">F746</f>
        <v>46128</v>
      </c>
      <c r="H746" s="26">
        <f t="shared" si="752"/>
        <v>46128</v>
      </c>
      <c r="I746" s="50" t="s">
        <v>90</v>
      </c>
      <c r="K746" s="27"/>
      <c r="L746" s="29" t="s">
        <v>3085</v>
      </c>
      <c r="M746" s="31"/>
      <c r="N746" s="14" t="s">
        <v>84</v>
      </c>
      <c r="O746" s="31"/>
      <c r="Q746" s="36"/>
      <c r="R746" s="36"/>
      <c r="S746" s="36"/>
      <c r="T746" s="36"/>
      <c r="V746" s="31"/>
    </row>
    <row r="747">
      <c r="A747" s="14" t="s">
        <v>679</v>
      </c>
      <c r="C747" s="302" t="s">
        <v>3179</v>
      </c>
      <c r="D747" s="379" t="s">
        <v>40</v>
      </c>
      <c r="E747" s="380" t="str">
        <f t="shared" si="740"/>
        <v>abril 2026</v>
      </c>
      <c r="F747" s="381">
        <v>46126.0</v>
      </c>
      <c r="G747" s="24">
        <f t="shared" ref="G747:H747" si="753">F747</f>
        <v>46126</v>
      </c>
      <c r="H747" s="26">
        <f t="shared" si="753"/>
        <v>46126</v>
      </c>
      <c r="I747" s="14" t="s">
        <v>90</v>
      </c>
      <c r="K747" s="88"/>
      <c r="L747" s="29" t="s">
        <v>3117</v>
      </c>
      <c r="M747" s="31"/>
      <c r="N747" s="14" t="s">
        <v>84</v>
      </c>
      <c r="O747" s="31"/>
      <c r="Q747" s="36"/>
      <c r="R747" s="36"/>
      <c r="S747" s="36"/>
      <c r="T747" s="36"/>
      <c r="V747" s="31"/>
    </row>
    <row r="748">
      <c r="A748" s="14" t="s">
        <v>117</v>
      </c>
      <c r="B748" s="14" t="s">
        <v>3309</v>
      </c>
      <c r="C748" s="302" t="s">
        <v>3180</v>
      </c>
      <c r="D748" s="382" t="s">
        <v>133</v>
      </c>
      <c r="E748" s="383" t="str">
        <f t="shared" si="740"/>
        <v>abril 2026</v>
      </c>
      <c r="F748" s="386">
        <v>46126.0</v>
      </c>
      <c r="G748" s="24">
        <f t="shared" ref="G748:H748" si="754">F748</f>
        <v>46126</v>
      </c>
      <c r="H748" s="26">
        <f t="shared" si="754"/>
        <v>46126</v>
      </c>
      <c r="I748" s="14" t="s">
        <v>1865</v>
      </c>
      <c r="K748" s="27">
        <v>3.0E9</v>
      </c>
      <c r="L748" s="29" t="s">
        <v>1923</v>
      </c>
      <c r="M748" s="31"/>
      <c r="N748" s="14" t="s">
        <v>84</v>
      </c>
      <c r="O748" s="14" t="s">
        <v>40</v>
      </c>
      <c r="Q748" s="36"/>
      <c r="R748" s="36"/>
      <c r="S748" s="36"/>
      <c r="T748" s="36"/>
      <c r="V748" s="31"/>
    </row>
    <row r="749">
      <c r="A749" s="14" t="s">
        <v>736</v>
      </c>
      <c r="B749" s="351" t="s">
        <v>3181</v>
      </c>
      <c r="C749" s="50" t="s">
        <v>1111</v>
      </c>
      <c r="D749" s="50" t="s">
        <v>40</v>
      </c>
      <c r="E749" s="348" t="str">
        <f t="shared" si="740"/>
        <v>abril 2026</v>
      </c>
      <c r="F749" s="349">
        <v>46129.0</v>
      </c>
      <c r="G749" s="24">
        <f t="shared" ref="G749:H749" si="755">F749</f>
        <v>46129</v>
      </c>
      <c r="H749" s="26">
        <f t="shared" si="755"/>
        <v>46129</v>
      </c>
      <c r="I749" s="50" t="s">
        <v>90</v>
      </c>
      <c r="K749" s="27"/>
      <c r="L749" s="29" t="s">
        <v>3085</v>
      </c>
      <c r="M749" s="31"/>
      <c r="N749" s="14" t="s">
        <v>84</v>
      </c>
      <c r="O749" s="31"/>
      <c r="Q749" s="36"/>
      <c r="R749" s="36"/>
      <c r="S749" s="36"/>
      <c r="T749" s="36"/>
      <c r="V749" s="31"/>
    </row>
    <row r="750">
      <c r="A750" s="14" t="s">
        <v>736</v>
      </c>
      <c r="B750" s="351" t="s">
        <v>3182</v>
      </c>
      <c r="C750" s="50" t="s">
        <v>1112</v>
      </c>
      <c r="D750" s="50" t="s">
        <v>40</v>
      </c>
      <c r="E750" s="348" t="str">
        <f t="shared" si="740"/>
        <v>abril 2026</v>
      </c>
      <c r="F750" s="349">
        <v>46129.0</v>
      </c>
      <c r="G750" s="24">
        <f t="shared" ref="G750:H750" si="756">F750</f>
        <v>46129</v>
      </c>
      <c r="H750" s="26">
        <f t="shared" si="756"/>
        <v>46129</v>
      </c>
      <c r="I750" s="50" t="s">
        <v>90</v>
      </c>
      <c r="K750" s="27"/>
      <c r="L750" s="29" t="s">
        <v>3085</v>
      </c>
      <c r="M750" s="31"/>
      <c r="N750" s="14" t="s">
        <v>84</v>
      </c>
      <c r="O750" s="31"/>
      <c r="Q750" s="36"/>
      <c r="R750" s="36"/>
      <c r="S750" s="36"/>
      <c r="T750" s="36"/>
      <c r="V750" s="31"/>
    </row>
    <row r="751">
      <c r="A751" s="14" t="s">
        <v>736</v>
      </c>
      <c r="B751" s="351" t="s">
        <v>3183</v>
      </c>
      <c r="C751" s="50" t="s">
        <v>1115</v>
      </c>
      <c r="D751" s="50" t="s">
        <v>40</v>
      </c>
      <c r="E751" s="348" t="str">
        <f t="shared" si="740"/>
        <v>abril 2026</v>
      </c>
      <c r="F751" s="349">
        <v>46129.0</v>
      </c>
      <c r="G751" s="24">
        <f t="shared" ref="G751:H751" si="757">F751</f>
        <v>46129</v>
      </c>
      <c r="H751" s="26">
        <f t="shared" si="757"/>
        <v>46129</v>
      </c>
      <c r="I751" s="50" t="s">
        <v>90</v>
      </c>
      <c r="K751" s="27"/>
      <c r="L751" s="29" t="s">
        <v>3085</v>
      </c>
      <c r="M751" s="31"/>
      <c r="N751" s="14" t="s">
        <v>84</v>
      </c>
      <c r="O751" s="31"/>
      <c r="Q751" s="36"/>
      <c r="R751" s="36"/>
      <c r="S751" s="36"/>
      <c r="T751" s="36"/>
      <c r="V751" s="31"/>
    </row>
    <row r="752">
      <c r="A752" s="14" t="s">
        <v>736</v>
      </c>
      <c r="B752" s="351" t="s">
        <v>3185</v>
      </c>
      <c r="C752" s="50" t="s">
        <v>1116</v>
      </c>
      <c r="D752" s="50" t="s">
        <v>40</v>
      </c>
      <c r="E752" s="348" t="str">
        <f t="shared" si="740"/>
        <v>abril 2026</v>
      </c>
      <c r="F752" s="349">
        <v>46133.0</v>
      </c>
      <c r="G752" s="24">
        <f t="shared" ref="G752:H752" si="758">F752</f>
        <v>46133</v>
      </c>
      <c r="H752" s="26">
        <f t="shared" si="758"/>
        <v>46133</v>
      </c>
      <c r="I752" s="50" t="s">
        <v>90</v>
      </c>
      <c r="K752" s="27"/>
      <c r="L752" s="29" t="s">
        <v>3085</v>
      </c>
      <c r="M752" s="31"/>
      <c r="N752" s="14" t="s">
        <v>84</v>
      </c>
      <c r="O752" s="31"/>
      <c r="Q752" s="36"/>
      <c r="R752" s="36"/>
      <c r="S752" s="36"/>
      <c r="T752" s="36"/>
      <c r="V752" s="31"/>
    </row>
    <row r="753">
      <c r="A753" s="14" t="s">
        <v>736</v>
      </c>
      <c r="B753" s="351" t="s">
        <v>3192</v>
      </c>
      <c r="C753" s="50" t="s">
        <v>1118</v>
      </c>
      <c r="D753" s="50" t="s">
        <v>40</v>
      </c>
      <c r="E753" s="348" t="str">
        <f t="shared" si="740"/>
        <v>abril 2026</v>
      </c>
      <c r="F753" s="349">
        <v>46129.0</v>
      </c>
      <c r="G753" s="24">
        <f t="shared" ref="G753:H753" si="759">F753</f>
        <v>46129</v>
      </c>
      <c r="H753" s="26">
        <f t="shared" si="759"/>
        <v>46129</v>
      </c>
      <c r="I753" s="50" t="s">
        <v>90</v>
      </c>
      <c r="K753" s="27"/>
      <c r="L753" s="29" t="s">
        <v>3085</v>
      </c>
      <c r="M753" s="31"/>
      <c r="N753" s="14" t="s">
        <v>84</v>
      </c>
      <c r="O753" s="31"/>
      <c r="Q753" s="36"/>
      <c r="R753" s="36"/>
      <c r="S753" s="36"/>
      <c r="T753" s="36"/>
      <c r="V753" s="31"/>
    </row>
    <row r="754">
      <c r="A754" s="14" t="s">
        <v>736</v>
      </c>
      <c r="B754" s="351" t="s">
        <v>3204</v>
      </c>
      <c r="C754" s="50" t="s">
        <v>1120</v>
      </c>
      <c r="D754" s="50" t="s">
        <v>40</v>
      </c>
      <c r="E754" s="348" t="str">
        <f t="shared" si="740"/>
        <v>abril 2026</v>
      </c>
      <c r="F754" s="349">
        <v>46129.0</v>
      </c>
      <c r="G754" s="24">
        <f t="shared" ref="G754:H754" si="760">F754</f>
        <v>46129</v>
      </c>
      <c r="H754" s="26">
        <f t="shared" si="760"/>
        <v>46129</v>
      </c>
      <c r="I754" s="50" t="s">
        <v>90</v>
      </c>
      <c r="K754" s="27"/>
      <c r="L754" s="29" t="s">
        <v>3085</v>
      </c>
      <c r="M754" s="31"/>
      <c r="N754" s="14" t="s">
        <v>84</v>
      </c>
      <c r="O754" s="31"/>
      <c r="Q754" s="36"/>
      <c r="R754" s="36"/>
      <c r="S754" s="36"/>
      <c r="T754" s="36"/>
      <c r="V754" s="31"/>
    </row>
    <row r="755">
      <c r="A755" s="14" t="s">
        <v>736</v>
      </c>
      <c r="B755" s="351" t="s">
        <v>3211</v>
      </c>
      <c r="C755" s="50" t="s">
        <v>1124</v>
      </c>
      <c r="D755" s="50" t="s">
        <v>40</v>
      </c>
      <c r="E755" s="348" t="str">
        <f t="shared" si="740"/>
        <v>abril 2026</v>
      </c>
      <c r="F755" s="349">
        <v>46129.0</v>
      </c>
      <c r="G755" s="24">
        <f t="shared" ref="G755:H755" si="761">F755</f>
        <v>46129</v>
      </c>
      <c r="H755" s="26">
        <f t="shared" si="761"/>
        <v>46129</v>
      </c>
      <c r="I755" s="50" t="s">
        <v>90</v>
      </c>
      <c r="K755" s="27"/>
      <c r="L755" s="29" t="s">
        <v>3085</v>
      </c>
      <c r="M755" s="31"/>
      <c r="N755" s="14" t="s">
        <v>84</v>
      </c>
      <c r="O755" s="31"/>
      <c r="Q755" s="36"/>
      <c r="R755" s="36"/>
      <c r="S755" s="36"/>
      <c r="T755" s="36"/>
      <c r="V755" s="31"/>
    </row>
    <row r="756">
      <c r="A756" s="14" t="s">
        <v>736</v>
      </c>
      <c r="B756" s="351" t="s">
        <v>3213</v>
      </c>
      <c r="C756" s="50" t="s">
        <v>1125</v>
      </c>
      <c r="D756" s="50" t="s">
        <v>40</v>
      </c>
      <c r="E756" s="348" t="str">
        <f t="shared" si="740"/>
        <v>abril 2026</v>
      </c>
      <c r="F756" s="349">
        <v>46133.0</v>
      </c>
      <c r="G756" s="24">
        <f t="shared" ref="G756:H756" si="762">F756</f>
        <v>46133</v>
      </c>
      <c r="H756" s="26">
        <f t="shared" si="762"/>
        <v>46133</v>
      </c>
      <c r="I756" s="50" t="s">
        <v>90</v>
      </c>
      <c r="K756" s="27"/>
      <c r="L756" s="29" t="s">
        <v>3085</v>
      </c>
      <c r="M756" s="31"/>
      <c r="N756" s="14" t="s">
        <v>84</v>
      </c>
      <c r="O756" s="31"/>
      <c r="Q756" s="36"/>
      <c r="R756" s="36"/>
      <c r="S756" s="36"/>
      <c r="T756" s="36"/>
      <c r="V756" s="31"/>
    </row>
    <row r="757">
      <c r="A757" s="14" t="s">
        <v>736</v>
      </c>
      <c r="B757" s="351" t="s">
        <v>3214</v>
      </c>
      <c r="C757" s="50" t="s">
        <v>1126</v>
      </c>
      <c r="D757" s="50" t="s">
        <v>40</v>
      </c>
      <c r="E757" s="348" t="str">
        <f t="shared" si="740"/>
        <v>abril 2026</v>
      </c>
      <c r="F757" s="349">
        <v>46141.0</v>
      </c>
      <c r="G757" s="24">
        <f t="shared" ref="G757:H757" si="763">F757</f>
        <v>46141</v>
      </c>
      <c r="H757" s="26">
        <f t="shared" si="763"/>
        <v>46141</v>
      </c>
      <c r="I757" s="50" t="s">
        <v>90</v>
      </c>
      <c r="K757" s="27"/>
      <c r="L757" s="29" t="s">
        <v>3085</v>
      </c>
      <c r="M757" s="31"/>
      <c r="N757" s="14" t="s">
        <v>84</v>
      </c>
      <c r="O757" s="31"/>
      <c r="Q757" s="36"/>
      <c r="R757" s="36"/>
      <c r="S757" s="36"/>
      <c r="T757" s="36"/>
      <c r="V757" s="31"/>
    </row>
    <row r="758">
      <c r="A758" s="14" t="s">
        <v>736</v>
      </c>
      <c r="B758" s="351" t="s">
        <v>3217</v>
      </c>
      <c r="C758" s="50" t="s">
        <v>1127</v>
      </c>
      <c r="D758" s="50" t="s">
        <v>40</v>
      </c>
      <c r="E758" s="348" t="str">
        <f t="shared" si="740"/>
        <v>abril 2026</v>
      </c>
      <c r="F758" s="349">
        <v>46129.0</v>
      </c>
      <c r="G758" s="24">
        <f t="shared" ref="G758:H758" si="764">F758</f>
        <v>46129</v>
      </c>
      <c r="H758" s="26">
        <f t="shared" si="764"/>
        <v>46129</v>
      </c>
      <c r="I758" s="50" t="s">
        <v>90</v>
      </c>
      <c r="K758" s="27"/>
      <c r="L758" s="29" t="s">
        <v>3085</v>
      </c>
      <c r="M758" s="31"/>
      <c r="N758" s="14" t="s">
        <v>84</v>
      </c>
      <c r="O758" s="31"/>
      <c r="Q758" s="36"/>
      <c r="R758" s="36"/>
      <c r="S758" s="36"/>
      <c r="T758" s="36"/>
      <c r="V758" s="31"/>
    </row>
    <row r="759">
      <c r="A759" s="14" t="s">
        <v>736</v>
      </c>
      <c r="B759" s="351" t="s">
        <v>3219</v>
      </c>
      <c r="C759" s="50" t="s">
        <v>1128</v>
      </c>
      <c r="D759" s="50" t="s">
        <v>40</v>
      </c>
      <c r="E759" s="348" t="str">
        <f t="shared" si="740"/>
        <v>abril 2026</v>
      </c>
      <c r="F759" s="349">
        <v>46130.0</v>
      </c>
      <c r="G759" s="24">
        <f t="shared" ref="G759:H759" si="765">F759</f>
        <v>46130</v>
      </c>
      <c r="H759" s="26">
        <f t="shared" si="765"/>
        <v>46130</v>
      </c>
      <c r="I759" s="50" t="s">
        <v>90</v>
      </c>
      <c r="K759" s="27"/>
      <c r="L759" s="29" t="s">
        <v>3085</v>
      </c>
      <c r="M759" s="31"/>
      <c r="N759" s="14" t="s">
        <v>84</v>
      </c>
      <c r="O759" s="31"/>
      <c r="Q759" s="36"/>
      <c r="R759" s="36"/>
      <c r="S759" s="36"/>
      <c r="T759" s="36"/>
      <c r="V759" s="31"/>
    </row>
    <row r="760">
      <c r="A760" s="14" t="s">
        <v>736</v>
      </c>
      <c r="B760" s="351" t="s">
        <v>3220</v>
      </c>
      <c r="C760" s="50" t="s">
        <v>1131</v>
      </c>
      <c r="D760" s="50" t="s">
        <v>40</v>
      </c>
      <c r="E760" s="348" t="str">
        <f t="shared" si="740"/>
        <v>abril 2026</v>
      </c>
      <c r="F760" s="349">
        <v>46134.0</v>
      </c>
      <c r="G760" s="24">
        <f t="shared" ref="G760:H760" si="766">F760</f>
        <v>46134</v>
      </c>
      <c r="H760" s="26">
        <f t="shared" si="766"/>
        <v>46134</v>
      </c>
      <c r="I760" s="50" t="s">
        <v>90</v>
      </c>
      <c r="K760" s="27"/>
      <c r="L760" s="29" t="s">
        <v>3085</v>
      </c>
      <c r="M760" s="31"/>
      <c r="N760" s="14" t="s">
        <v>84</v>
      </c>
      <c r="O760" s="31"/>
      <c r="Q760" s="36"/>
      <c r="R760" s="36"/>
      <c r="S760" s="36"/>
      <c r="T760" s="36"/>
      <c r="V760" s="31"/>
    </row>
    <row r="761">
      <c r="A761" s="14" t="s">
        <v>736</v>
      </c>
      <c r="B761" s="351" t="s">
        <v>3222</v>
      </c>
      <c r="C761" s="50" t="s">
        <v>1132</v>
      </c>
      <c r="D761" s="50" t="s">
        <v>40</v>
      </c>
      <c r="E761" s="348" t="str">
        <f t="shared" si="740"/>
        <v>abril 2026</v>
      </c>
      <c r="F761" s="349">
        <v>46134.0</v>
      </c>
      <c r="G761" s="24">
        <f t="shared" ref="G761:H761" si="767">F761</f>
        <v>46134</v>
      </c>
      <c r="H761" s="26">
        <f t="shared" si="767"/>
        <v>46134</v>
      </c>
      <c r="I761" s="50" t="s">
        <v>90</v>
      </c>
      <c r="K761" s="27"/>
      <c r="L761" s="29" t="s">
        <v>3085</v>
      </c>
      <c r="M761" s="31"/>
      <c r="N761" s="14" t="s">
        <v>84</v>
      </c>
      <c r="O761" s="31"/>
      <c r="Q761" s="36"/>
      <c r="R761" s="36"/>
      <c r="S761" s="36"/>
      <c r="T761" s="36"/>
      <c r="V761" s="31"/>
    </row>
    <row r="762">
      <c r="A762" s="14" t="s">
        <v>736</v>
      </c>
      <c r="B762" s="351" t="s">
        <v>3223</v>
      </c>
      <c r="C762" s="50" t="s">
        <v>1133</v>
      </c>
      <c r="D762" s="50" t="s">
        <v>40</v>
      </c>
      <c r="E762" s="348" t="str">
        <f t="shared" si="740"/>
        <v>abril 2026</v>
      </c>
      <c r="F762" s="349">
        <v>46134.0</v>
      </c>
      <c r="G762" s="24">
        <f t="shared" ref="G762:H762" si="768">F762</f>
        <v>46134</v>
      </c>
      <c r="H762" s="26">
        <f t="shared" si="768"/>
        <v>46134</v>
      </c>
      <c r="I762" s="50" t="s">
        <v>90</v>
      </c>
      <c r="K762" s="27"/>
      <c r="L762" s="29" t="s">
        <v>3085</v>
      </c>
      <c r="M762" s="31"/>
      <c r="N762" s="14" t="s">
        <v>84</v>
      </c>
      <c r="O762" s="31"/>
      <c r="Q762" s="36"/>
      <c r="R762" s="36"/>
      <c r="S762" s="36"/>
      <c r="T762" s="36"/>
      <c r="V762" s="31"/>
    </row>
    <row r="763">
      <c r="A763" s="14" t="s">
        <v>117</v>
      </c>
      <c r="B763" s="379" t="s">
        <v>3324</v>
      </c>
      <c r="C763" s="379" t="s">
        <v>2645</v>
      </c>
      <c r="D763" s="379" t="s">
        <v>133</v>
      </c>
      <c r="E763" s="380" t="str">
        <f t="shared" si="740"/>
        <v>mayo 2026</v>
      </c>
      <c r="F763" s="381">
        <v>46146.0</v>
      </c>
      <c r="G763" s="24">
        <f t="shared" ref="G763:H763" si="769">F763</f>
        <v>46146</v>
      </c>
      <c r="H763" s="26">
        <f t="shared" si="769"/>
        <v>46146</v>
      </c>
      <c r="I763" s="14" t="s">
        <v>82</v>
      </c>
      <c r="K763" s="27">
        <v>8.0E8</v>
      </c>
      <c r="L763" s="29" t="s">
        <v>3226</v>
      </c>
      <c r="M763" s="14"/>
      <c r="N763" s="14" t="s">
        <v>84</v>
      </c>
      <c r="O763" s="31"/>
      <c r="P763" s="14" t="s">
        <v>3227</v>
      </c>
      <c r="Q763" s="36"/>
      <c r="R763" s="36"/>
      <c r="S763" s="36"/>
      <c r="T763" s="36"/>
      <c r="V763" s="31"/>
    </row>
    <row r="764">
      <c r="A764" s="14" t="s">
        <v>736</v>
      </c>
      <c r="B764" s="351" t="s">
        <v>3228</v>
      </c>
      <c r="C764" s="50" t="s">
        <v>1135</v>
      </c>
      <c r="D764" s="50" t="s">
        <v>40</v>
      </c>
      <c r="E764" s="348" t="str">
        <f t="shared" si="740"/>
        <v>mayo 2026</v>
      </c>
      <c r="F764" s="349">
        <v>46158.0</v>
      </c>
      <c r="G764" s="24">
        <f t="shared" ref="G764:H764" si="770">F764</f>
        <v>46158</v>
      </c>
      <c r="H764" s="26">
        <f t="shared" si="770"/>
        <v>46158</v>
      </c>
      <c r="I764" s="50" t="s">
        <v>90</v>
      </c>
      <c r="K764" s="27"/>
      <c r="L764" s="29" t="s">
        <v>3085</v>
      </c>
      <c r="M764" s="31"/>
      <c r="N764" s="14" t="s">
        <v>84</v>
      </c>
      <c r="O764" s="31"/>
      <c r="Q764" s="36"/>
      <c r="R764" s="36"/>
      <c r="S764" s="36"/>
      <c r="T764" s="36"/>
      <c r="V764" s="31"/>
    </row>
    <row r="765">
      <c r="A765" s="14" t="s">
        <v>736</v>
      </c>
      <c r="B765" s="351" t="s">
        <v>3229</v>
      </c>
      <c r="C765" s="50" t="s">
        <v>1138</v>
      </c>
      <c r="D765" s="50" t="s">
        <v>40</v>
      </c>
      <c r="E765" s="348" t="str">
        <f t="shared" si="740"/>
        <v>abril 2026</v>
      </c>
      <c r="F765" s="349">
        <v>46134.0</v>
      </c>
      <c r="G765" s="24">
        <f t="shared" ref="G765:H765" si="771">F765</f>
        <v>46134</v>
      </c>
      <c r="H765" s="26">
        <f t="shared" si="771"/>
        <v>46134</v>
      </c>
      <c r="I765" s="50" t="s">
        <v>90</v>
      </c>
      <c r="K765" s="27"/>
      <c r="L765" s="29" t="s">
        <v>3085</v>
      </c>
      <c r="M765" s="31"/>
      <c r="N765" s="14" t="s">
        <v>84</v>
      </c>
      <c r="O765" s="31"/>
      <c r="Q765" s="36"/>
      <c r="R765" s="36"/>
      <c r="S765" s="36"/>
      <c r="T765" s="36"/>
      <c r="V765" s="31"/>
    </row>
    <row r="766">
      <c r="A766" s="14" t="s">
        <v>736</v>
      </c>
      <c r="B766" s="351" t="s">
        <v>3231</v>
      </c>
      <c r="C766" s="50" t="s">
        <v>1139</v>
      </c>
      <c r="D766" s="50" t="s">
        <v>40</v>
      </c>
      <c r="E766" s="348" t="str">
        <f t="shared" si="740"/>
        <v>abril 2026</v>
      </c>
      <c r="F766" s="349">
        <v>46134.0</v>
      </c>
      <c r="G766" s="24">
        <f t="shared" ref="G766:H766" si="772">F766</f>
        <v>46134</v>
      </c>
      <c r="H766" s="26">
        <f t="shared" si="772"/>
        <v>46134</v>
      </c>
      <c r="I766" s="50" t="s">
        <v>90</v>
      </c>
      <c r="K766" s="27"/>
      <c r="L766" s="29" t="s">
        <v>3085</v>
      </c>
      <c r="M766" s="31"/>
      <c r="N766" s="14" t="s">
        <v>84</v>
      </c>
      <c r="O766" s="31"/>
      <c r="Q766" s="36"/>
      <c r="R766" s="36"/>
      <c r="S766" s="36"/>
      <c r="T766" s="36"/>
      <c r="V766" s="31"/>
    </row>
    <row r="767">
      <c r="A767" s="14" t="s">
        <v>736</v>
      </c>
      <c r="B767" s="351" t="s">
        <v>3233</v>
      </c>
      <c r="C767" s="50" t="s">
        <v>1142</v>
      </c>
      <c r="D767" s="50" t="s">
        <v>40</v>
      </c>
      <c r="E767" s="348" t="str">
        <f t="shared" si="740"/>
        <v>abril 2026</v>
      </c>
      <c r="F767" s="349">
        <v>46134.0</v>
      </c>
      <c r="G767" s="24">
        <f t="shared" ref="G767:H767" si="773">F767</f>
        <v>46134</v>
      </c>
      <c r="H767" s="26">
        <f t="shared" si="773"/>
        <v>46134</v>
      </c>
      <c r="I767" s="50" t="s">
        <v>90</v>
      </c>
      <c r="K767" s="27"/>
      <c r="L767" s="29" t="s">
        <v>3085</v>
      </c>
      <c r="M767" s="31"/>
      <c r="N767" s="14" t="s">
        <v>84</v>
      </c>
      <c r="O767" s="31"/>
      <c r="Q767" s="36"/>
      <c r="R767" s="36"/>
      <c r="S767" s="36"/>
      <c r="T767" s="36"/>
      <c r="V767" s="31"/>
    </row>
    <row r="768">
      <c r="A768" s="14" t="s">
        <v>736</v>
      </c>
      <c r="B768" s="351" t="s">
        <v>3237</v>
      </c>
      <c r="C768" s="50" t="s">
        <v>1144</v>
      </c>
      <c r="D768" s="50" t="s">
        <v>40</v>
      </c>
      <c r="E768" s="348" t="str">
        <f t="shared" si="740"/>
        <v>mayo 2026</v>
      </c>
      <c r="F768" s="349">
        <v>46148.0</v>
      </c>
      <c r="G768" s="24">
        <f t="shared" ref="G768:H768" si="774">F768</f>
        <v>46148</v>
      </c>
      <c r="H768" s="26">
        <f t="shared" si="774"/>
        <v>46148</v>
      </c>
      <c r="I768" s="50" t="s">
        <v>90</v>
      </c>
      <c r="K768" s="27"/>
      <c r="L768" s="29" t="s">
        <v>3085</v>
      </c>
      <c r="M768" s="31"/>
      <c r="N768" s="14" t="s">
        <v>84</v>
      </c>
      <c r="O768" s="31"/>
      <c r="Q768" s="36"/>
      <c r="R768" s="36"/>
      <c r="S768" s="36"/>
      <c r="T768" s="36"/>
      <c r="V768" s="31"/>
    </row>
    <row r="769">
      <c r="A769" s="14" t="s">
        <v>736</v>
      </c>
      <c r="B769" s="351" t="s">
        <v>3244</v>
      </c>
      <c r="C769" s="50" t="s">
        <v>1147</v>
      </c>
      <c r="D769" s="50" t="s">
        <v>40</v>
      </c>
      <c r="E769" s="348" t="str">
        <f t="shared" si="740"/>
        <v>mayo 2026</v>
      </c>
      <c r="F769" s="349">
        <v>46149.0</v>
      </c>
      <c r="G769" s="24">
        <f t="shared" ref="G769:H769" si="775">F769</f>
        <v>46149</v>
      </c>
      <c r="H769" s="26">
        <f t="shared" si="775"/>
        <v>46149</v>
      </c>
      <c r="I769" s="50" t="s">
        <v>90</v>
      </c>
      <c r="K769" s="27"/>
      <c r="L769" s="29" t="s">
        <v>3085</v>
      </c>
      <c r="M769" s="31"/>
      <c r="N769" s="14" t="s">
        <v>84</v>
      </c>
      <c r="O769" s="31"/>
      <c r="Q769" s="36"/>
      <c r="R769" s="36"/>
      <c r="S769" s="36"/>
      <c r="T769" s="36"/>
      <c r="V769" s="31"/>
    </row>
    <row r="770">
      <c r="A770" s="14" t="s">
        <v>736</v>
      </c>
      <c r="B770" s="351" t="s">
        <v>3249</v>
      </c>
      <c r="C770" s="50" t="s">
        <v>1149</v>
      </c>
      <c r="D770" s="50" t="s">
        <v>40</v>
      </c>
      <c r="E770" s="348" t="str">
        <f t="shared" si="740"/>
        <v>mayo 2026</v>
      </c>
      <c r="F770" s="349">
        <v>46149.0</v>
      </c>
      <c r="G770" s="24">
        <f t="shared" ref="G770:H770" si="776">F770</f>
        <v>46149</v>
      </c>
      <c r="H770" s="26">
        <f t="shared" si="776"/>
        <v>46149</v>
      </c>
      <c r="I770" s="50" t="s">
        <v>90</v>
      </c>
      <c r="K770" s="27"/>
      <c r="L770" s="29" t="s">
        <v>3085</v>
      </c>
      <c r="M770" s="31"/>
      <c r="N770" s="14" t="s">
        <v>84</v>
      </c>
      <c r="O770" s="31"/>
      <c r="Q770" s="36"/>
      <c r="R770" s="36"/>
      <c r="S770" s="36"/>
      <c r="T770" s="36"/>
      <c r="V770" s="31"/>
    </row>
    <row r="771">
      <c r="A771" s="14" t="s">
        <v>736</v>
      </c>
      <c r="B771" s="351" t="s">
        <v>3254</v>
      </c>
      <c r="C771" s="50" t="s">
        <v>1151</v>
      </c>
      <c r="D771" s="50" t="s">
        <v>40</v>
      </c>
      <c r="E771" s="348" t="str">
        <f t="shared" si="740"/>
        <v>mayo 2026</v>
      </c>
      <c r="F771" s="349">
        <v>46148.0</v>
      </c>
      <c r="G771" s="24">
        <f t="shared" ref="G771:H771" si="777">F771</f>
        <v>46148</v>
      </c>
      <c r="H771" s="26">
        <f t="shared" si="777"/>
        <v>46148</v>
      </c>
      <c r="I771" s="50" t="s">
        <v>90</v>
      </c>
      <c r="K771" s="27"/>
      <c r="L771" s="29" t="s">
        <v>3085</v>
      </c>
      <c r="M771" s="31"/>
      <c r="N771" s="14" t="s">
        <v>84</v>
      </c>
      <c r="O771" s="31"/>
      <c r="Q771" s="36"/>
      <c r="R771" s="36"/>
      <c r="S771" s="36"/>
      <c r="T771" s="36"/>
      <c r="V771" s="31"/>
    </row>
    <row r="772">
      <c r="A772" s="14" t="s">
        <v>736</v>
      </c>
      <c r="B772" s="351" t="s">
        <v>3256</v>
      </c>
      <c r="C772" s="50" t="s">
        <v>1154</v>
      </c>
      <c r="D772" s="50" t="s">
        <v>40</v>
      </c>
      <c r="E772" s="348" t="str">
        <f t="shared" si="740"/>
        <v>mayo 2026</v>
      </c>
      <c r="F772" s="349">
        <v>46148.0</v>
      </c>
      <c r="G772" s="24">
        <f t="shared" ref="G772:H772" si="778">F772</f>
        <v>46148</v>
      </c>
      <c r="H772" s="26">
        <f t="shared" si="778"/>
        <v>46148</v>
      </c>
      <c r="I772" s="50" t="s">
        <v>90</v>
      </c>
      <c r="K772" s="27"/>
      <c r="L772" s="29" t="s">
        <v>3085</v>
      </c>
      <c r="M772" s="31"/>
      <c r="N772" s="14" t="s">
        <v>84</v>
      </c>
      <c r="O772" s="31"/>
      <c r="Q772" s="36"/>
      <c r="R772" s="36"/>
      <c r="S772" s="36"/>
      <c r="T772" s="36"/>
      <c r="V772" s="31"/>
    </row>
    <row r="773">
      <c r="A773" s="14" t="s">
        <v>736</v>
      </c>
      <c r="B773" s="351" t="s">
        <v>3258</v>
      </c>
      <c r="C773" s="50" t="s">
        <v>1156</v>
      </c>
      <c r="D773" s="50" t="s">
        <v>40</v>
      </c>
      <c r="E773" s="348" t="str">
        <f t="shared" si="740"/>
        <v>mayo 2026</v>
      </c>
      <c r="F773" s="349">
        <v>46148.0</v>
      </c>
      <c r="G773" s="24">
        <f t="shared" ref="G773:H773" si="779">F773</f>
        <v>46148</v>
      </c>
      <c r="H773" s="26">
        <f t="shared" si="779"/>
        <v>46148</v>
      </c>
      <c r="I773" s="50" t="s">
        <v>90</v>
      </c>
      <c r="K773" s="27"/>
      <c r="L773" s="29" t="s">
        <v>3085</v>
      </c>
      <c r="M773" s="31"/>
      <c r="N773" s="14" t="s">
        <v>84</v>
      </c>
      <c r="O773" s="31"/>
      <c r="Q773" s="36"/>
      <c r="R773" s="36"/>
      <c r="S773" s="36"/>
      <c r="T773" s="36"/>
      <c r="V773" s="31"/>
    </row>
    <row r="774">
      <c r="A774" s="14" t="s">
        <v>736</v>
      </c>
      <c r="B774" s="351" t="s">
        <v>3261</v>
      </c>
      <c r="C774" s="50" t="s">
        <v>1159</v>
      </c>
      <c r="D774" s="50" t="s">
        <v>40</v>
      </c>
      <c r="E774" s="348" t="str">
        <f t="shared" si="740"/>
        <v>mayo 2026</v>
      </c>
      <c r="F774" s="349">
        <v>46148.0</v>
      </c>
      <c r="G774" s="24">
        <f t="shared" ref="G774:H774" si="780">F774</f>
        <v>46148</v>
      </c>
      <c r="H774" s="26">
        <f t="shared" si="780"/>
        <v>46148</v>
      </c>
      <c r="I774" s="50" t="s">
        <v>90</v>
      </c>
      <c r="K774" s="27"/>
      <c r="L774" s="29" t="s">
        <v>3085</v>
      </c>
      <c r="M774" s="31"/>
      <c r="N774" s="14" t="s">
        <v>84</v>
      </c>
      <c r="O774" s="31"/>
      <c r="Q774" s="36"/>
      <c r="R774" s="36"/>
      <c r="S774" s="36"/>
      <c r="T774" s="36"/>
      <c r="V774" s="31"/>
    </row>
    <row r="775">
      <c r="A775" s="14" t="s">
        <v>736</v>
      </c>
      <c r="B775" s="390"/>
      <c r="C775" s="302" t="s">
        <v>2666</v>
      </c>
      <c r="D775" s="379" t="s">
        <v>133</v>
      </c>
      <c r="E775" s="380" t="str">
        <f t="shared" si="740"/>
        <v>diciembre 1899</v>
      </c>
      <c r="F775" s="381"/>
      <c r="G775" s="24" t="str">
        <f t="shared" ref="G775:H775" si="781">F775</f>
        <v/>
      </c>
      <c r="H775" s="26" t="str">
        <f t="shared" si="781"/>
        <v/>
      </c>
      <c r="I775" s="14" t="s">
        <v>1865</v>
      </c>
      <c r="K775" s="88"/>
      <c r="L775" s="78"/>
      <c r="M775" s="14"/>
      <c r="N775" s="31"/>
      <c r="O775" s="31"/>
      <c r="P775" s="14" t="s">
        <v>3265</v>
      </c>
      <c r="Q775" s="36"/>
      <c r="R775" s="36"/>
      <c r="S775" s="36"/>
      <c r="T775" s="36"/>
      <c r="V775" s="31"/>
    </row>
    <row r="776">
      <c r="A776" s="14" t="s">
        <v>736</v>
      </c>
      <c r="B776" s="391"/>
      <c r="C776" s="302" t="s">
        <v>2667</v>
      </c>
      <c r="D776" s="50" t="s">
        <v>40</v>
      </c>
      <c r="E776" s="383" t="str">
        <f t="shared" si="740"/>
        <v>mayo 2026</v>
      </c>
      <c r="F776" s="386">
        <v>46149.0</v>
      </c>
      <c r="G776" s="24">
        <f t="shared" ref="G776:H776" si="782">F776</f>
        <v>46149</v>
      </c>
      <c r="H776" s="26">
        <f t="shared" si="782"/>
        <v>46149</v>
      </c>
      <c r="I776" s="50" t="s">
        <v>1596</v>
      </c>
      <c r="K776" s="88"/>
      <c r="L776" s="78"/>
      <c r="M776" s="14"/>
      <c r="N776" s="31"/>
      <c r="O776" s="31"/>
      <c r="P776" s="14" t="s">
        <v>3267</v>
      </c>
      <c r="Q776" s="36"/>
      <c r="R776" s="36"/>
      <c r="S776" s="36"/>
      <c r="T776" s="36"/>
      <c r="V776" s="31"/>
    </row>
    <row r="777">
      <c r="A777" s="14" t="s">
        <v>679</v>
      </c>
      <c r="B777" s="390"/>
      <c r="C777" s="379" t="s">
        <v>3268</v>
      </c>
      <c r="D777" s="379" t="s">
        <v>133</v>
      </c>
      <c r="E777" s="380" t="str">
        <f t="shared" si="740"/>
        <v>diciembre 1899</v>
      </c>
      <c r="F777" s="381"/>
      <c r="G777" s="24" t="str">
        <f t="shared" ref="G777:H777" si="783">F777</f>
        <v/>
      </c>
      <c r="H777" s="26" t="str">
        <f t="shared" si="783"/>
        <v/>
      </c>
      <c r="I777" s="14" t="s">
        <v>2398</v>
      </c>
      <c r="K777" s="88"/>
      <c r="L777" s="29" t="s">
        <v>3269</v>
      </c>
      <c r="M777" s="31"/>
      <c r="N777" s="14" t="s">
        <v>84</v>
      </c>
      <c r="O777" s="31"/>
      <c r="Q777" s="36"/>
      <c r="R777" s="36"/>
      <c r="S777" s="36"/>
      <c r="T777" s="36"/>
      <c r="V777" s="31"/>
    </row>
    <row r="778">
      <c r="A778" s="14" t="s">
        <v>736</v>
      </c>
      <c r="B778" s="351" t="s">
        <v>3270</v>
      </c>
      <c r="C778" s="50" t="s">
        <v>1160</v>
      </c>
      <c r="D778" s="50" t="s">
        <v>40</v>
      </c>
      <c r="E778" s="348" t="str">
        <f t="shared" si="740"/>
        <v>mayo 2026</v>
      </c>
      <c r="F778" s="349">
        <v>46150.0</v>
      </c>
      <c r="G778" s="24">
        <f t="shared" ref="G778:H778" si="784">F778</f>
        <v>46150</v>
      </c>
      <c r="H778" s="26">
        <f t="shared" si="784"/>
        <v>46150</v>
      </c>
      <c r="I778" s="50" t="s">
        <v>90</v>
      </c>
      <c r="K778" s="27"/>
      <c r="L778" s="29" t="s">
        <v>3085</v>
      </c>
      <c r="M778" s="31"/>
      <c r="N778" s="14" t="s">
        <v>84</v>
      </c>
      <c r="O778" s="31"/>
      <c r="Q778" s="36"/>
      <c r="R778" s="36"/>
      <c r="S778" s="36"/>
      <c r="T778" s="36"/>
      <c r="V778" s="31"/>
    </row>
    <row r="779">
      <c r="A779" s="14" t="s">
        <v>736</v>
      </c>
      <c r="B779" s="351" t="s">
        <v>3272</v>
      </c>
      <c r="C779" s="50" t="s">
        <v>1161</v>
      </c>
      <c r="D779" s="50" t="s">
        <v>40</v>
      </c>
      <c r="E779" s="348" t="str">
        <f t="shared" si="740"/>
        <v>mayo 2026</v>
      </c>
      <c r="F779" s="349">
        <v>46150.0</v>
      </c>
      <c r="G779" s="24">
        <f t="shared" ref="G779:H779" si="785">F779</f>
        <v>46150</v>
      </c>
      <c r="H779" s="26">
        <f t="shared" si="785"/>
        <v>46150</v>
      </c>
      <c r="I779" s="50" t="s">
        <v>90</v>
      </c>
      <c r="K779" s="27"/>
      <c r="L779" s="29" t="s">
        <v>3085</v>
      </c>
      <c r="M779" s="31"/>
      <c r="N779" s="14" t="s">
        <v>84</v>
      </c>
      <c r="O779" s="31"/>
      <c r="Q779" s="36"/>
      <c r="R779" s="36"/>
      <c r="S779" s="36"/>
      <c r="T779" s="36"/>
      <c r="V779" s="31"/>
    </row>
    <row r="780">
      <c r="A780" s="14" t="s">
        <v>736</v>
      </c>
      <c r="B780" s="351" t="s">
        <v>3273</v>
      </c>
      <c r="C780" s="50" t="s">
        <v>1167</v>
      </c>
      <c r="D780" s="50" t="s">
        <v>40</v>
      </c>
      <c r="E780" s="348" t="str">
        <f t="shared" si="740"/>
        <v>mayo 2026</v>
      </c>
      <c r="F780" s="349">
        <v>46153.0</v>
      </c>
      <c r="G780" s="24">
        <f t="shared" ref="G780:H780" si="786">F780</f>
        <v>46153</v>
      </c>
      <c r="H780" s="26">
        <f t="shared" si="786"/>
        <v>46153</v>
      </c>
      <c r="I780" s="50" t="s">
        <v>90</v>
      </c>
      <c r="K780" s="27"/>
      <c r="L780" s="29" t="s">
        <v>3085</v>
      </c>
      <c r="M780" s="31"/>
      <c r="N780" s="14" t="s">
        <v>84</v>
      </c>
      <c r="O780" s="31"/>
      <c r="Q780" s="36"/>
      <c r="R780" s="36"/>
      <c r="S780" s="36"/>
      <c r="T780" s="36"/>
      <c r="V780" s="31"/>
    </row>
    <row r="781">
      <c r="A781" s="14" t="s">
        <v>736</v>
      </c>
      <c r="B781" s="351" t="s">
        <v>3275</v>
      </c>
      <c r="C781" s="50" t="s">
        <v>1171</v>
      </c>
      <c r="D781" s="50" t="s">
        <v>40</v>
      </c>
      <c r="E781" s="348" t="str">
        <f t="shared" si="740"/>
        <v>mayo 2026</v>
      </c>
      <c r="F781" s="349">
        <v>46153.0</v>
      </c>
      <c r="G781" s="24">
        <f t="shared" ref="G781:H781" si="787">F781</f>
        <v>46153</v>
      </c>
      <c r="H781" s="26">
        <f t="shared" si="787"/>
        <v>46153</v>
      </c>
      <c r="I781" s="50" t="s">
        <v>90</v>
      </c>
      <c r="K781" s="27"/>
      <c r="L781" s="29" t="s">
        <v>3085</v>
      </c>
      <c r="M781" s="31"/>
      <c r="N781" s="14" t="s">
        <v>84</v>
      </c>
      <c r="O781" s="31"/>
      <c r="Q781" s="36"/>
      <c r="R781" s="36"/>
      <c r="S781" s="36"/>
      <c r="T781" s="36"/>
      <c r="V781" s="31"/>
    </row>
    <row r="782">
      <c r="A782" s="14" t="s">
        <v>736</v>
      </c>
      <c r="B782" s="351" t="s">
        <v>3277</v>
      </c>
      <c r="C782" s="50" t="s">
        <v>1172</v>
      </c>
      <c r="D782" s="50" t="s">
        <v>40</v>
      </c>
      <c r="E782" s="348" t="str">
        <f t="shared" si="740"/>
        <v>mayo 2026</v>
      </c>
      <c r="F782" s="349">
        <v>46155.0</v>
      </c>
      <c r="G782" s="24">
        <f t="shared" ref="G782:H782" si="788">F782</f>
        <v>46155</v>
      </c>
      <c r="H782" s="26">
        <f t="shared" si="788"/>
        <v>46155</v>
      </c>
      <c r="I782" s="50" t="s">
        <v>90</v>
      </c>
      <c r="K782" s="27"/>
      <c r="L782" s="29" t="s">
        <v>3085</v>
      </c>
      <c r="M782" s="31"/>
      <c r="N782" s="14" t="s">
        <v>84</v>
      </c>
      <c r="O782" s="31"/>
      <c r="Q782" s="36"/>
      <c r="R782" s="36"/>
      <c r="S782" s="36"/>
      <c r="T782" s="36"/>
      <c r="V782" s="31"/>
    </row>
    <row r="783">
      <c r="A783" s="14" t="s">
        <v>736</v>
      </c>
      <c r="B783" s="351" t="s">
        <v>3279</v>
      </c>
      <c r="C783" s="50" t="s">
        <v>1173</v>
      </c>
      <c r="D783" s="50" t="s">
        <v>40</v>
      </c>
      <c r="E783" s="348" t="str">
        <f t="shared" si="740"/>
        <v>mayo 2026</v>
      </c>
      <c r="F783" s="349">
        <v>46155.0</v>
      </c>
      <c r="G783" s="24">
        <f t="shared" ref="G783:H783" si="789">F783</f>
        <v>46155</v>
      </c>
      <c r="H783" s="26">
        <f t="shared" si="789"/>
        <v>46155</v>
      </c>
      <c r="I783" s="50" t="s">
        <v>90</v>
      </c>
      <c r="K783" s="27"/>
      <c r="L783" s="29" t="s">
        <v>3085</v>
      </c>
      <c r="M783" s="31"/>
      <c r="N783" s="14" t="s">
        <v>84</v>
      </c>
      <c r="O783" s="31"/>
      <c r="Q783" s="36"/>
      <c r="R783" s="36"/>
      <c r="S783" s="36"/>
      <c r="T783" s="36"/>
      <c r="V783" s="31"/>
    </row>
    <row r="784">
      <c r="A784" s="14" t="s">
        <v>736</v>
      </c>
      <c r="B784" s="351" t="s">
        <v>3280</v>
      </c>
      <c r="C784" s="50" t="s">
        <v>1176</v>
      </c>
      <c r="D784" s="50" t="s">
        <v>40</v>
      </c>
      <c r="E784" s="348" t="str">
        <f t="shared" si="740"/>
        <v>mayo 2026</v>
      </c>
      <c r="F784" s="349">
        <v>46155.0</v>
      </c>
      <c r="G784" s="24">
        <f t="shared" ref="G784:H784" si="790">F784</f>
        <v>46155</v>
      </c>
      <c r="H784" s="26">
        <f t="shared" si="790"/>
        <v>46155</v>
      </c>
      <c r="I784" s="50" t="s">
        <v>90</v>
      </c>
      <c r="K784" s="27"/>
      <c r="L784" s="29" t="s">
        <v>3085</v>
      </c>
      <c r="M784" s="31"/>
      <c r="N784" s="14" t="s">
        <v>84</v>
      </c>
      <c r="O784" s="31"/>
      <c r="Q784" s="36"/>
      <c r="R784" s="36"/>
      <c r="S784" s="36"/>
      <c r="T784" s="36"/>
      <c r="V784" s="31"/>
    </row>
    <row r="785">
      <c r="A785" s="14" t="s">
        <v>736</v>
      </c>
      <c r="B785" s="351" t="s">
        <v>3281</v>
      </c>
      <c r="C785" s="50" t="s">
        <v>1179</v>
      </c>
      <c r="D785" s="50" t="s">
        <v>40</v>
      </c>
      <c r="E785" s="348" t="str">
        <f t="shared" si="740"/>
        <v>junio 2026</v>
      </c>
      <c r="F785" s="349">
        <v>46190.0</v>
      </c>
      <c r="G785" s="24">
        <f t="shared" ref="G785:H785" si="791">F785</f>
        <v>46190</v>
      </c>
      <c r="H785" s="26">
        <f t="shared" si="791"/>
        <v>46190</v>
      </c>
      <c r="I785" s="50" t="s">
        <v>90</v>
      </c>
      <c r="K785" s="27"/>
      <c r="L785" s="29" t="s">
        <v>3085</v>
      </c>
      <c r="M785" s="31"/>
      <c r="N785" s="14" t="s">
        <v>84</v>
      </c>
      <c r="O785" s="31"/>
      <c r="Q785" s="36"/>
      <c r="R785" s="36"/>
      <c r="S785" s="36"/>
      <c r="T785" s="36"/>
      <c r="V785" s="31"/>
    </row>
    <row r="786">
      <c r="A786" s="14" t="s">
        <v>736</v>
      </c>
      <c r="B786" s="351" t="s">
        <v>3282</v>
      </c>
      <c r="C786" s="50" t="s">
        <v>1183</v>
      </c>
      <c r="D786" s="50" t="s">
        <v>40</v>
      </c>
      <c r="E786" s="348" t="str">
        <f t="shared" si="740"/>
        <v>junio 2026</v>
      </c>
      <c r="F786" s="349">
        <v>46185.0</v>
      </c>
      <c r="G786" s="24">
        <f t="shared" ref="G786:H786" si="792">F786</f>
        <v>46185</v>
      </c>
      <c r="H786" s="26">
        <f t="shared" si="792"/>
        <v>46185</v>
      </c>
      <c r="I786" s="50" t="s">
        <v>90</v>
      </c>
      <c r="K786" s="27"/>
      <c r="L786" s="29" t="s">
        <v>3085</v>
      </c>
      <c r="M786" s="31"/>
      <c r="N786" s="14" t="s">
        <v>84</v>
      </c>
      <c r="O786" s="31"/>
      <c r="Q786" s="36"/>
      <c r="R786" s="36"/>
      <c r="S786" s="36"/>
      <c r="T786" s="36"/>
      <c r="V786" s="31"/>
    </row>
    <row r="787">
      <c r="A787" s="14" t="s">
        <v>736</v>
      </c>
      <c r="B787" s="351" t="s">
        <v>3283</v>
      </c>
      <c r="C787" s="50" t="s">
        <v>1185</v>
      </c>
      <c r="D787" s="50" t="s">
        <v>40</v>
      </c>
      <c r="E787" s="348" t="str">
        <f t="shared" si="740"/>
        <v>mayo 2026</v>
      </c>
      <c r="F787" s="349">
        <v>46155.0</v>
      </c>
      <c r="G787" s="24">
        <f t="shared" ref="G787:H787" si="793">F787</f>
        <v>46155</v>
      </c>
      <c r="H787" s="26">
        <f t="shared" si="793"/>
        <v>46155</v>
      </c>
      <c r="I787" s="50" t="s">
        <v>90</v>
      </c>
      <c r="K787" s="27"/>
      <c r="L787" s="29" t="s">
        <v>3085</v>
      </c>
      <c r="M787" s="31"/>
      <c r="N787" s="14" t="s">
        <v>84</v>
      </c>
      <c r="O787" s="31"/>
      <c r="Q787" s="36"/>
      <c r="R787" s="36"/>
      <c r="S787" s="36"/>
      <c r="T787" s="36"/>
      <c r="V787" s="31"/>
    </row>
    <row r="788">
      <c r="A788" s="14" t="s">
        <v>736</v>
      </c>
      <c r="B788" s="351" t="s">
        <v>3285</v>
      </c>
      <c r="C788" s="50" t="s">
        <v>1186</v>
      </c>
      <c r="D788" s="50" t="s">
        <v>40</v>
      </c>
      <c r="E788" s="348" t="str">
        <f t="shared" si="740"/>
        <v>mayo 2026</v>
      </c>
      <c r="F788" s="349">
        <v>46164.0</v>
      </c>
      <c r="G788" s="24">
        <f t="shared" ref="G788:H788" si="794">F788</f>
        <v>46164</v>
      </c>
      <c r="H788" s="26">
        <f t="shared" si="794"/>
        <v>46164</v>
      </c>
      <c r="I788" s="50" t="s">
        <v>90</v>
      </c>
      <c r="K788" s="27"/>
      <c r="L788" s="29" t="s">
        <v>3085</v>
      </c>
      <c r="M788" s="31"/>
      <c r="N788" s="14" t="s">
        <v>84</v>
      </c>
      <c r="O788" s="31"/>
      <c r="Q788" s="36"/>
      <c r="R788" s="36"/>
      <c r="S788" s="36"/>
      <c r="T788" s="36"/>
      <c r="V788" s="31"/>
    </row>
    <row r="789">
      <c r="A789" s="14" t="s">
        <v>736</v>
      </c>
      <c r="B789" s="351" t="s">
        <v>3286</v>
      </c>
      <c r="C789" s="50" t="s">
        <v>1187</v>
      </c>
      <c r="D789" s="50" t="s">
        <v>40</v>
      </c>
      <c r="E789" s="348" t="str">
        <f t="shared" si="740"/>
        <v>mayo 2026</v>
      </c>
      <c r="F789" s="349">
        <v>46155.0</v>
      </c>
      <c r="G789" s="24">
        <f t="shared" ref="G789:H789" si="795">F789</f>
        <v>46155</v>
      </c>
      <c r="H789" s="26">
        <f t="shared" si="795"/>
        <v>46155</v>
      </c>
      <c r="I789" s="50" t="s">
        <v>90</v>
      </c>
      <c r="K789" s="27"/>
      <c r="L789" s="29" t="s">
        <v>3085</v>
      </c>
      <c r="M789" s="31"/>
      <c r="N789" s="14" t="s">
        <v>84</v>
      </c>
      <c r="O789" s="31"/>
      <c r="Q789" s="36"/>
      <c r="R789" s="36"/>
      <c r="S789" s="36"/>
      <c r="T789" s="36"/>
      <c r="V789" s="31"/>
    </row>
    <row r="790">
      <c r="A790" s="14" t="s">
        <v>736</v>
      </c>
      <c r="B790" s="351" t="s">
        <v>3287</v>
      </c>
      <c r="C790" s="50" t="s">
        <v>1188</v>
      </c>
      <c r="D790" s="50" t="s">
        <v>40</v>
      </c>
      <c r="E790" s="348" t="str">
        <f t="shared" si="740"/>
        <v>mayo 2026</v>
      </c>
      <c r="F790" s="349">
        <v>46155.0</v>
      </c>
      <c r="G790" s="24">
        <f t="shared" ref="G790:H790" si="796">F790</f>
        <v>46155</v>
      </c>
      <c r="H790" s="26">
        <f t="shared" si="796"/>
        <v>46155</v>
      </c>
      <c r="I790" s="50" t="s">
        <v>90</v>
      </c>
      <c r="K790" s="27"/>
      <c r="L790" s="29" t="s">
        <v>3085</v>
      </c>
      <c r="M790" s="31"/>
      <c r="N790" s="14" t="s">
        <v>84</v>
      </c>
      <c r="O790" s="31"/>
      <c r="Q790" s="36"/>
      <c r="R790" s="36"/>
      <c r="S790" s="36"/>
      <c r="T790" s="36"/>
      <c r="V790" s="31"/>
    </row>
    <row r="791">
      <c r="A791" s="14" t="s">
        <v>736</v>
      </c>
      <c r="B791" s="351" t="s">
        <v>3289</v>
      </c>
      <c r="C791" s="50" t="s">
        <v>1189</v>
      </c>
      <c r="D791" s="50" t="s">
        <v>40</v>
      </c>
      <c r="E791" s="348" t="str">
        <f t="shared" si="740"/>
        <v>mayo 2026</v>
      </c>
      <c r="F791" s="349">
        <v>46155.0</v>
      </c>
      <c r="G791" s="24">
        <f t="shared" ref="G791:H791" si="797">F791</f>
        <v>46155</v>
      </c>
      <c r="H791" s="26">
        <f t="shared" si="797"/>
        <v>46155</v>
      </c>
      <c r="I791" s="50" t="s">
        <v>90</v>
      </c>
      <c r="K791" s="435"/>
      <c r="L791" s="29" t="s">
        <v>3085</v>
      </c>
      <c r="M791" s="31"/>
      <c r="N791" s="14" t="s">
        <v>84</v>
      </c>
      <c r="O791" s="31"/>
      <c r="Q791" s="36"/>
      <c r="R791" s="36"/>
      <c r="S791" s="36"/>
      <c r="T791" s="36"/>
      <c r="V791" s="31"/>
    </row>
    <row r="792">
      <c r="A792" s="14" t="s">
        <v>736</v>
      </c>
      <c r="B792" s="351" t="s">
        <v>3290</v>
      </c>
      <c r="C792" s="50" t="s">
        <v>1192</v>
      </c>
      <c r="D792" s="50" t="s">
        <v>40</v>
      </c>
      <c r="E792" s="348" t="str">
        <f t="shared" si="740"/>
        <v>mayo 2026</v>
      </c>
      <c r="F792" s="349">
        <v>46171.0</v>
      </c>
      <c r="G792" s="24">
        <f t="shared" ref="G792:H792" si="798">F792</f>
        <v>46171</v>
      </c>
      <c r="H792" s="26">
        <f t="shared" si="798"/>
        <v>46171</v>
      </c>
      <c r="I792" s="50" t="s">
        <v>90</v>
      </c>
      <c r="K792" s="436"/>
      <c r="L792" s="29" t="s">
        <v>3085</v>
      </c>
      <c r="M792" s="31"/>
      <c r="N792" s="14" t="s">
        <v>84</v>
      </c>
      <c r="O792" s="31"/>
      <c r="Q792" s="36"/>
      <c r="R792" s="36"/>
      <c r="S792" s="36"/>
      <c r="T792" s="36"/>
      <c r="V792" s="31"/>
    </row>
    <row r="793">
      <c r="A793" s="14" t="s">
        <v>736</v>
      </c>
      <c r="B793" s="351" t="s">
        <v>3292</v>
      </c>
      <c r="C793" s="50" t="s">
        <v>1194</v>
      </c>
      <c r="D793" s="50" t="s">
        <v>40</v>
      </c>
      <c r="E793" s="348" t="str">
        <f t="shared" si="740"/>
        <v>junio 2026</v>
      </c>
      <c r="F793" s="349">
        <v>46185.0</v>
      </c>
      <c r="G793" s="24">
        <f t="shared" ref="G793:H793" si="799">F793</f>
        <v>46185</v>
      </c>
      <c r="H793" s="26">
        <f t="shared" si="799"/>
        <v>46185</v>
      </c>
      <c r="I793" s="50" t="s">
        <v>90</v>
      </c>
      <c r="K793" s="435"/>
      <c r="L793" s="29" t="s">
        <v>3085</v>
      </c>
      <c r="M793" s="31"/>
      <c r="N793" s="14" t="s">
        <v>84</v>
      </c>
      <c r="O793" s="31"/>
      <c r="Q793" s="36"/>
      <c r="R793" s="36"/>
      <c r="S793" s="36"/>
      <c r="T793" s="36"/>
      <c r="V793" s="31"/>
    </row>
    <row r="794">
      <c r="A794" s="14" t="s">
        <v>736</v>
      </c>
      <c r="B794" s="351" t="s">
        <v>3293</v>
      </c>
      <c r="C794" s="50" t="s">
        <v>1201</v>
      </c>
      <c r="D794" s="50" t="s">
        <v>40</v>
      </c>
      <c r="E794" s="348" t="str">
        <f t="shared" si="740"/>
        <v>mayo 2026</v>
      </c>
      <c r="F794" s="349">
        <v>46158.0</v>
      </c>
      <c r="G794" s="24">
        <f t="shared" ref="G794:H794" si="800">F794</f>
        <v>46158</v>
      </c>
      <c r="H794" s="26">
        <f t="shared" si="800"/>
        <v>46158</v>
      </c>
      <c r="I794" s="50" t="s">
        <v>90</v>
      </c>
      <c r="K794" s="436"/>
      <c r="L794" s="29" t="s">
        <v>3085</v>
      </c>
      <c r="M794" s="31"/>
      <c r="N794" s="14" t="s">
        <v>84</v>
      </c>
      <c r="O794" s="31"/>
      <c r="Q794" s="36"/>
      <c r="R794" s="36"/>
      <c r="S794" s="36"/>
      <c r="T794" s="36"/>
      <c r="V794" s="31"/>
    </row>
    <row r="795">
      <c r="A795" s="14" t="s">
        <v>736</v>
      </c>
      <c r="B795" s="351" t="s">
        <v>3294</v>
      </c>
      <c r="C795" s="50" t="s">
        <v>1202</v>
      </c>
      <c r="D795" s="50" t="s">
        <v>40</v>
      </c>
      <c r="E795" s="348" t="str">
        <f t="shared" si="740"/>
        <v>mayo 2026</v>
      </c>
      <c r="F795" s="349">
        <v>46158.0</v>
      </c>
      <c r="G795" s="24">
        <f t="shared" ref="G795:H795" si="801">F795</f>
        <v>46158</v>
      </c>
      <c r="H795" s="26">
        <f t="shared" si="801"/>
        <v>46158</v>
      </c>
      <c r="I795" s="50" t="s">
        <v>90</v>
      </c>
      <c r="K795" s="435"/>
      <c r="L795" s="29" t="s">
        <v>3085</v>
      </c>
      <c r="M795" s="31"/>
      <c r="N795" s="14" t="s">
        <v>84</v>
      </c>
      <c r="O795" s="31"/>
      <c r="Q795" s="36"/>
      <c r="R795" s="36"/>
      <c r="S795" s="36"/>
      <c r="T795" s="36"/>
      <c r="V795" s="31"/>
    </row>
    <row r="796">
      <c r="A796" s="14" t="s">
        <v>736</v>
      </c>
      <c r="B796" s="351" t="s">
        <v>3295</v>
      </c>
      <c r="C796" s="50" t="s">
        <v>1204</v>
      </c>
      <c r="D796" s="50" t="s">
        <v>40</v>
      </c>
      <c r="E796" s="348" t="str">
        <f t="shared" si="740"/>
        <v>mayo 2026</v>
      </c>
      <c r="F796" s="349">
        <v>46158.0</v>
      </c>
      <c r="G796" s="24">
        <f t="shared" ref="G796:H796" si="802">F796</f>
        <v>46158</v>
      </c>
      <c r="H796" s="26">
        <f t="shared" si="802"/>
        <v>46158</v>
      </c>
      <c r="I796" s="50" t="s">
        <v>90</v>
      </c>
      <c r="K796" s="436"/>
      <c r="L796" s="29" t="s">
        <v>3085</v>
      </c>
      <c r="M796" s="31"/>
      <c r="N796" s="14" t="s">
        <v>84</v>
      </c>
      <c r="O796" s="31"/>
      <c r="Q796" s="36"/>
      <c r="R796" s="36"/>
      <c r="S796" s="36"/>
      <c r="T796" s="36"/>
      <c r="V796" s="31"/>
    </row>
    <row r="797">
      <c r="A797" s="14" t="s">
        <v>736</v>
      </c>
      <c r="B797" s="351" t="s">
        <v>3296</v>
      </c>
      <c r="C797" s="50" t="s">
        <v>1206</v>
      </c>
      <c r="D797" s="50" t="s">
        <v>40</v>
      </c>
      <c r="E797" s="348" t="str">
        <f t="shared" si="740"/>
        <v>mayo 2026</v>
      </c>
      <c r="F797" s="349">
        <v>46158.0</v>
      </c>
      <c r="G797" s="24">
        <f t="shared" ref="G797:H797" si="803">F797</f>
        <v>46158</v>
      </c>
      <c r="H797" s="26">
        <f t="shared" si="803"/>
        <v>46158</v>
      </c>
      <c r="I797" s="50" t="s">
        <v>90</v>
      </c>
      <c r="K797" s="435"/>
      <c r="L797" s="29" t="s">
        <v>3085</v>
      </c>
      <c r="M797" s="31"/>
      <c r="N797" s="14" t="s">
        <v>84</v>
      </c>
      <c r="O797" s="31"/>
      <c r="Q797" s="36"/>
      <c r="R797" s="36"/>
      <c r="S797" s="36"/>
      <c r="T797" s="36"/>
      <c r="V797" s="31"/>
    </row>
    <row r="798">
      <c r="A798" s="14" t="s">
        <v>736</v>
      </c>
      <c r="B798" s="351" t="s">
        <v>3297</v>
      </c>
      <c r="C798" s="50" t="s">
        <v>1208</v>
      </c>
      <c r="D798" s="50" t="s">
        <v>40</v>
      </c>
      <c r="E798" s="348" t="str">
        <f t="shared" si="740"/>
        <v>mayo 2026</v>
      </c>
      <c r="F798" s="349">
        <v>46159.0</v>
      </c>
      <c r="G798" s="24">
        <f t="shared" ref="G798:H798" si="804">F798</f>
        <v>46159</v>
      </c>
      <c r="H798" s="26">
        <f t="shared" si="804"/>
        <v>46159</v>
      </c>
      <c r="I798" s="50" t="s">
        <v>90</v>
      </c>
      <c r="K798" s="436"/>
      <c r="L798" s="29" t="s">
        <v>3085</v>
      </c>
      <c r="M798" s="31"/>
      <c r="N798" s="14" t="s">
        <v>84</v>
      </c>
      <c r="O798" s="31"/>
      <c r="Q798" s="36"/>
      <c r="R798" s="36"/>
      <c r="S798" s="36"/>
      <c r="T798" s="36"/>
      <c r="V798" s="31"/>
    </row>
    <row r="799">
      <c r="A799" s="14" t="s">
        <v>736</v>
      </c>
      <c r="B799" s="351" t="s">
        <v>3298</v>
      </c>
      <c r="C799" s="50" t="s">
        <v>1209</v>
      </c>
      <c r="D799" s="50" t="s">
        <v>40</v>
      </c>
      <c r="E799" s="348" t="str">
        <f t="shared" si="740"/>
        <v>mayo 2026</v>
      </c>
      <c r="F799" s="349">
        <v>46158.0</v>
      </c>
      <c r="G799" s="24">
        <f t="shared" ref="G799:H799" si="805">F799</f>
        <v>46158</v>
      </c>
      <c r="H799" s="26">
        <f t="shared" si="805"/>
        <v>46158</v>
      </c>
      <c r="I799" s="50" t="s">
        <v>90</v>
      </c>
      <c r="K799" s="435"/>
      <c r="L799" s="29" t="s">
        <v>3085</v>
      </c>
      <c r="M799" s="31"/>
      <c r="N799" s="14" t="s">
        <v>84</v>
      </c>
      <c r="O799" s="31"/>
      <c r="Q799" s="36"/>
      <c r="R799" s="36"/>
      <c r="S799" s="36"/>
      <c r="T799" s="36"/>
      <c r="V799" s="31"/>
    </row>
    <row r="800">
      <c r="A800" s="14" t="s">
        <v>736</v>
      </c>
      <c r="B800" s="351" t="s">
        <v>3299</v>
      </c>
      <c r="C800" s="50" t="s">
        <v>1211</v>
      </c>
      <c r="D800" s="50" t="s">
        <v>40</v>
      </c>
      <c r="E800" s="348" t="str">
        <f t="shared" si="740"/>
        <v>mayo 2026</v>
      </c>
      <c r="F800" s="349">
        <v>46158.0</v>
      </c>
      <c r="G800" s="24">
        <f t="shared" ref="G800:H800" si="806">F800</f>
        <v>46158</v>
      </c>
      <c r="H800" s="26">
        <f t="shared" si="806"/>
        <v>46158</v>
      </c>
      <c r="I800" s="50" t="s">
        <v>90</v>
      </c>
      <c r="K800" s="436"/>
      <c r="L800" s="29" t="s">
        <v>3085</v>
      </c>
      <c r="M800" s="31"/>
      <c r="N800" s="14" t="s">
        <v>84</v>
      </c>
      <c r="O800" s="31"/>
      <c r="Q800" s="36"/>
      <c r="R800" s="36"/>
      <c r="S800" s="36"/>
      <c r="T800" s="36"/>
      <c r="V800" s="31"/>
    </row>
    <row r="801">
      <c r="A801" s="14" t="s">
        <v>736</v>
      </c>
      <c r="B801" s="351" t="s">
        <v>3300</v>
      </c>
      <c r="C801" s="50" t="s">
        <v>1212</v>
      </c>
      <c r="D801" s="50" t="s">
        <v>40</v>
      </c>
      <c r="E801" s="348" t="str">
        <f t="shared" si="740"/>
        <v>mayo 2026</v>
      </c>
      <c r="F801" s="349">
        <v>46170.0</v>
      </c>
      <c r="G801" s="24">
        <f t="shared" ref="G801:H801" si="807">F801</f>
        <v>46170</v>
      </c>
      <c r="H801" s="26">
        <f t="shared" si="807"/>
        <v>46170</v>
      </c>
      <c r="I801" s="50" t="s">
        <v>90</v>
      </c>
      <c r="K801" s="435"/>
      <c r="L801" s="29" t="s">
        <v>3085</v>
      </c>
      <c r="M801" s="31"/>
      <c r="N801" s="14" t="s">
        <v>84</v>
      </c>
      <c r="O801" s="31"/>
      <c r="Q801" s="36"/>
      <c r="R801" s="36"/>
      <c r="S801" s="36"/>
      <c r="T801" s="36"/>
      <c r="V801" s="31"/>
    </row>
    <row r="802">
      <c r="A802" s="14" t="s">
        <v>736</v>
      </c>
      <c r="B802" s="351" t="s">
        <v>3301</v>
      </c>
      <c r="C802" s="50" t="s">
        <v>1216</v>
      </c>
      <c r="D802" s="50" t="s">
        <v>40</v>
      </c>
      <c r="E802" s="348" t="str">
        <f t="shared" si="740"/>
        <v>junio 2026</v>
      </c>
      <c r="F802" s="349">
        <v>46199.0</v>
      </c>
      <c r="G802" s="24">
        <f t="shared" ref="G802:H802" si="808">F802</f>
        <v>46199</v>
      </c>
      <c r="H802" s="26">
        <f t="shared" si="808"/>
        <v>46199</v>
      </c>
      <c r="I802" s="50" t="s">
        <v>90</v>
      </c>
      <c r="K802" s="436"/>
      <c r="L802" s="29" t="s">
        <v>3085</v>
      </c>
      <c r="M802" s="31"/>
      <c r="N802" s="14" t="s">
        <v>84</v>
      </c>
      <c r="O802" s="31"/>
      <c r="Q802" s="36"/>
      <c r="R802" s="36"/>
      <c r="S802" s="36"/>
      <c r="T802" s="36"/>
      <c r="V802" s="31"/>
    </row>
    <row r="803">
      <c r="A803" s="14" t="s">
        <v>736</v>
      </c>
      <c r="B803" s="351" t="s">
        <v>3302</v>
      </c>
      <c r="C803" s="50" t="s">
        <v>1218</v>
      </c>
      <c r="D803" s="50" t="s">
        <v>40</v>
      </c>
      <c r="E803" s="348" t="str">
        <f t="shared" si="740"/>
        <v>junio 2026</v>
      </c>
      <c r="F803" s="349">
        <v>46191.0</v>
      </c>
      <c r="G803" s="24">
        <f t="shared" ref="G803:H803" si="809">F803</f>
        <v>46191</v>
      </c>
      <c r="H803" s="26">
        <f t="shared" si="809"/>
        <v>46191</v>
      </c>
      <c r="I803" s="50" t="s">
        <v>90</v>
      </c>
      <c r="K803" s="435"/>
      <c r="L803" s="29" t="s">
        <v>3085</v>
      </c>
      <c r="M803" s="31"/>
      <c r="N803" s="14" t="s">
        <v>84</v>
      </c>
      <c r="O803" s="31"/>
      <c r="Q803" s="36"/>
      <c r="R803" s="36"/>
      <c r="S803" s="36"/>
      <c r="T803" s="36"/>
      <c r="V803" s="31"/>
    </row>
    <row r="804">
      <c r="A804" s="14" t="s">
        <v>736</v>
      </c>
      <c r="B804" s="351" t="s">
        <v>3303</v>
      </c>
      <c r="C804" s="50" t="s">
        <v>1221</v>
      </c>
      <c r="D804" s="50" t="s">
        <v>40</v>
      </c>
      <c r="E804" s="348" t="str">
        <f t="shared" si="740"/>
        <v>junio 2026</v>
      </c>
      <c r="F804" s="349">
        <v>46191.0</v>
      </c>
      <c r="G804" s="24">
        <f t="shared" ref="G804:H804" si="810">F804</f>
        <v>46191</v>
      </c>
      <c r="H804" s="26">
        <f t="shared" si="810"/>
        <v>46191</v>
      </c>
      <c r="I804" s="50" t="s">
        <v>90</v>
      </c>
      <c r="K804" s="436"/>
      <c r="L804" s="29" t="s">
        <v>3085</v>
      </c>
      <c r="M804" s="31"/>
      <c r="N804" s="14" t="s">
        <v>84</v>
      </c>
      <c r="O804" s="31"/>
      <c r="Q804" s="36"/>
      <c r="R804" s="36"/>
      <c r="S804" s="36"/>
      <c r="T804" s="36"/>
      <c r="V804" s="31"/>
    </row>
    <row r="805">
      <c r="A805" s="14" t="s">
        <v>736</v>
      </c>
      <c r="B805" s="351" t="s">
        <v>3304</v>
      </c>
      <c r="C805" s="50" t="s">
        <v>1225</v>
      </c>
      <c r="D805" s="50" t="s">
        <v>40</v>
      </c>
      <c r="E805" s="348" t="str">
        <f t="shared" si="740"/>
        <v>junio 2026</v>
      </c>
      <c r="F805" s="349">
        <v>46174.0</v>
      </c>
      <c r="G805" s="24">
        <f t="shared" ref="G805:H805" si="811">F805</f>
        <v>46174</v>
      </c>
      <c r="H805" s="26">
        <f t="shared" si="811"/>
        <v>46174</v>
      </c>
      <c r="I805" s="50" t="s">
        <v>90</v>
      </c>
      <c r="K805" s="435"/>
      <c r="L805" s="29" t="s">
        <v>3085</v>
      </c>
      <c r="M805" s="31"/>
      <c r="N805" s="14" t="s">
        <v>84</v>
      </c>
      <c r="O805" s="31"/>
      <c r="Q805" s="36"/>
      <c r="R805" s="36"/>
      <c r="S805" s="36"/>
      <c r="T805" s="36"/>
      <c r="V805" s="31"/>
    </row>
    <row r="806">
      <c r="A806" s="14" t="s">
        <v>736</v>
      </c>
      <c r="B806" s="351" t="s">
        <v>3305</v>
      </c>
      <c r="C806" s="50" t="s">
        <v>1228</v>
      </c>
      <c r="D806" s="50" t="s">
        <v>40</v>
      </c>
      <c r="E806" s="348" t="str">
        <f t="shared" si="740"/>
        <v>junio 2026</v>
      </c>
      <c r="F806" s="349">
        <v>46185.0</v>
      </c>
      <c r="G806" s="24">
        <f t="shared" ref="G806:H806" si="812">F806</f>
        <v>46185</v>
      </c>
      <c r="H806" s="26">
        <f t="shared" si="812"/>
        <v>46185</v>
      </c>
      <c r="I806" s="50" t="s">
        <v>90</v>
      </c>
      <c r="K806" s="436"/>
      <c r="L806" s="29" t="s">
        <v>3085</v>
      </c>
      <c r="M806" s="31"/>
      <c r="N806" s="14" t="s">
        <v>84</v>
      </c>
      <c r="O806" s="31"/>
      <c r="Q806" s="36"/>
      <c r="R806" s="36"/>
      <c r="S806" s="36"/>
      <c r="T806" s="36"/>
      <c r="V806" s="31"/>
    </row>
    <row r="807">
      <c r="A807" s="14" t="s">
        <v>736</v>
      </c>
      <c r="B807" s="351" t="s">
        <v>3306</v>
      </c>
      <c r="C807" s="50" t="s">
        <v>1231</v>
      </c>
      <c r="D807" s="50" t="s">
        <v>40</v>
      </c>
      <c r="E807" s="348" t="str">
        <f t="shared" si="740"/>
        <v>mayo 2026</v>
      </c>
      <c r="F807" s="349">
        <v>46172.0</v>
      </c>
      <c r="G807" s="24">
        <f t="shared" ref="G807:H807" si="813">F807</f>
        <v>46172</v>
      </c>
      <c r="H807" s="26">
        <f t="shared" si="813"/>
        <v>46172</v>
      </c>
      <c r="I807" s="50" t="s">
        <v>90</v>
      </c>
      <c r="K807" s="27"/>
      <c r="L807" s="29" t="s">
        <v>3085</v>
      </c>
      <c r="M807" s="31"/>
      <c r="N807" s="14" t="s">
        <v>84</v>
      </c>
      <c r="O807" s="31"/>
      <c r="Q807" s="36"/>
      <c r="R807" s="36"/>
      <c r="S807" s="36"/>
      <c r="T807" s="36"/>
      <c r="V807" s="31"/>
    </row>
    <row r="808">
      <c r="A808" s="14" t="s">
        <v>736</v>
      </c>
      <c r="B808" s="351" t="s">
        <v>3307</v>
      </c>
      <c r="C808" s="50" t="s">
        <v>1233</v>
      </c>
      <c r="D808" s="50" t="s">
        <v>40</v>
      </c>
      <c r="E808" s="348" t="str">
        <f t="shared" si="740"/>
        <v>junio 2026</v>
      </c>
      <c r="F808" s="349">
        <v>46185.0</v>
      </c>
      <c r="G808" s="24">
        <f t="shared" ref="G808:H808" si="814">F808</f>
        <v>46185</v>
      </c>
      <c r="H808" s="26">
        <f t="shared" si="814"/>
        <v>46185</v>
      </c>
      <c r="I808" s="50" t="s">
        <v>90</v>
      </c>
      <c r="K808" s="27"/>
      <c r="L808" s="29" t="s">
        <v>3085</v>
      </c>
      <c r="M808" s="31"/>
      <c r="N808" s="14" t="s">
        <v>84</v>
      </c>
      <c r="O808" s="31"/>
      <c r="Q808" s="36"/>
      <c r="R808" s="36"/>
      <c r="S808" s="36"/>
      <c r="T808" s="36"/>
      <c r="V808" s="31"/>
    </row>
    <row r="809">
      <c r="A809" s="34" t="s">
        <v>117</v>
      </c>
      <c r="B809" s="442" t="s">
        <v>3381</v>
      </c>
      <c r="C809" s="443" t="s">
        <v>3308</v>
      </c>
      <c r="D809" s="438"/>
      <c r="E809" s="380" t="str">
        <f t="shared" si="740"/>
        <v>mayo 2026</v>
      </c>
      <c r="F809" s="381">
        <v>46146.0</v>
      </c>
      <c r="G809" s="24">
        <f t="shared" ref="G809:H809" si="815">F809</f>
        <v>46146</v>
      </c>
      <c r="H809" s="26">
        <f t="shared" si="815"/>
        <v>46146</v>
      </c>
      <c r="I809" s="14" t="s">
        <v>90</v>
      </c>
      <c r="K809" s="27">
        <v>1.0E9</v>
      </c>
      <c r="L809" s="78"/>
      <c r="M809" s="31"/>
      <c r="N809" s="31"/>
      <c r="O809" s="31"/>
      <c r="Q809" s="36"/>
      <c r="R809" s="36"/>
      <c r="S809" s="36"/>
      <c r="T809" s="36"/>
      <c r="V809" s="31"/>
    </row>
    <row r="810">
      <c r="A810" s="14" t="s">
        <v>736</v>
      </c>
      <c r="B810" s="351" t="s">
        <v>3310</v>
      </c>
      <c r="C810" s="50" t="s">
        <v>1237</v>
      </c>
      <c r="D810" s="50" t="s">
        <v>40</v>
      </c>
      <c r="E810" s="348" t="str">
        <f t="shared" si="740"/>
        <v>mayo 2026</v>
      </c>
      <c r="F810" s="349">
        <v>46170.0</v>
      </c>
      <c r="G810" s="24">
        <f t="shared" ref="G810:H810" si="816">F810</f>
        <v>46170</v>
      </c>
      <c r="H810" s="26">
        <f t="shared" si="816"/>
        <v>46170</v>
      </c>
      <c r="I810" s="50" t="s">
        <v>90</v>
      </c>
      <c r="K810" s="435"/>
      <c r="L810" s="29" t="s">
        <v>3085</v>
      </c>
      <c r="M810" s="31"/>
      <c r="N810" s="14" t="s">
        <v>84</v>
      </c>
      <c r="O810" s="31"/>
      <c r="Q810" s="36"/>
      <c r="R810" s="36"/>
      <c r="S810" s="36"/>
      <c r="T810" s="36"/>
      <c r="V810" s="31"/>
    </row>
    <row r="811">
      <c r="A811" s="14" t="s">
        <v>736</v>
      </c>
      <c r="B811" s="351" t="s">
        <v>3311</v>
      </c>
      <c r="C811" s="50" t="s">
        <v>1239</v>
      </c>
      <c r="D811" s="50" t="s">
        <v>40</v>
      </c>
      <c r="E811" s="348" t="str">
        <f t="shared" si="740"/>
        <v>mayo 2026</v>
      </c>
      <c r="F811" s="349">
        <v>46164.0</v>
      </c>
      <c r="G811" s="24">
        <f t="shared" ref="G811:H811" si="817">F811</f>
        <v>46164</v>
      </c>
      <c r="H811" s="26">
        <f t="shared" si="817"/>
        <v>46164</v>
      </c>
      <c r="I811" s="50" t="s">
        <v>90</v>
      </c>
      <c r="K811" s="436"/>
      <c r="L811" s="29" t="s">
        <v>3085</v>
      </c>
      <c r="M811" s="31"/>
      <c r="N811" s="14" t="s">
        <v>84</v>
      </c>
      <c r="O811" s="31"/>
      <c r="Q811" s="36"/>
      <c r="R811" s="36"/>
      <c r="S811" s="36"/>
      <c r="T811" s="36"/>
      <c r="V811" s="31"/>
    </row>
    <row r="812">
      <c r="A812" s="14" t="s">
        <v>736</v>
      </c>
      <c r="B812" s="351" t="s">
        <v>3312</v>
      </c>
      <c r="C812" s="50" t="s">
        <v>1241</v>
      </c>
      <c r="D812" s="50" t="s">
        <v>40</v>
      </c>
      <c r="E812" s="348" t="str">
        <f t="shared" si="740"/>
        <v>mayo 2026</v>
      </c>
      <c r="F812" s="349">
        <v>46172.0</v>
      </c>
      <c r="G812" s="24">
        <f t="shared" ref="G812:H812" si="818">F812</f>
        <v>46172</v>
      </c>
      <c r="H812" s="26">
        <f t="shared" si="818"/>
        <v>46172</v>
      </c>
      <c r="I812" s="50" t="s">
        <v>90</v>
      </c>
      <c r="K812" s="435"/>
      <c r="L812" s="29" t="s">
        <v>3085</v>
      </c>
      <c r="M812" s="31"/>
      <c r="N812" s="14" t="s">
        <v>84</v>
      </c>
      <c r="O812" s="31"/>
      <c r="Q812" s="36"/>
      <c r="R812" s="36"/>
      <c r="S812" s="36"/>
      <c r="T812" s="36"/>
      <c r="V812" s="31"/>
    </row>
    <row r="813">
      <c r="A813" s="14" t="s">
        <v>736</v>
      </c>
      <c r="B813" s="351" t="s">
        <v>3313</v>
      </c>
      <c r="C813" s="50" t="s">
        <v>1243</v>
      </c>
      <c r="D813" s="50" t="s">
        <v>40</v>
      </c>
      <c r="E813" s="348" t="str">
        <f t="shared" si="740"/>
        <v>julio 2026</v>
      </c>
      <c r="F813" s="349">
        <v>46213.0</v>
      </c>
      <c r="G813" s="24">
        <f t="shared" ref="G813:H813" si="819">F813</f>
        <v>46213</v>
      </c>
      <c r="H813" s="26">
        <f t="shared" si="819"/>
        <v>46213</v>
      </c>
      <c r="I813" s="50" t="s">
        <v>90</v>
      </c>
      <c r="K813" s="436"/>
      <c r="L813" s="29" t="s">
        <v>3085</v>
      </c>
      <c r="M813" s="31"/>
      <c r="N813" s="14" t="s">
        <v>84</v>
      </c>
      <c r="O813" s="31"/>
      <c r="Q813" s="36"/>
      <c r="R813" s="36"/>
      <c r="S813" s="36"/>
      <c r="T813" s="36"/>
      <c r="V813" s="31"/>
    </row>
    <row r="814">
      <c r="A814" s="14" t="s">
        <v>736</v>
      </c>
      <c r="B814" s="351" t="s">
        <v>3314</v>
      </c>
      <c r="C814" s="50" t="s">
        <v>1246</v>
      </c>
      <c r="D814" s="50" t="s">
        <v>40</v>
      </c>
      <c r="E814" s="348" t="str">
        <f t="shared" si="740"/>
        <v>diciembre 1899</v>
      </c>
      <c r="F814" s="349"/>
      <c r="G814" s="24" t="str">
        <f t="shared" ref="G814:H814" si="820">F814</f>
        <v/>
      </c>
      <c r="H814" s="26" t="str">
        <f t="shared" si="820"/>
        <v/>
      </c>
      <c r="I814" s="50" t="s">
        <v>90</v>
      </c>
      <c r="K814" s="435"/>
      <c r="L814" s="29" t="s">
        <v>3085</v>
      </c>
      <c r="M814" s="31"/>
      <c r="N814" s="14" t="s">
        <v>84</v>
      </c>
      <c r="O814" s="31"/>
      <c r="Q814" s="36"/>
      <c r="R814" s="36"/>
      <c r="S814" s="36"/>
      <c r="T814" s="36"/>
      <c r="V814" s="31"/>
    </row>
    <row r="815">
      <c r="A815" s="14" t="s">
        <v>736</v>
      </c>
      <c r="B815" s="351" t="s">
        <v>3315</v>
      </c>
      <c r="C815" s="50" t="s">
        <v>1247</v>
      </c>
      <c r="D815" s="50" t="s">
        <v>40</v>
      </c>
      <c r="E815" s="348" t="str">
        <f t="shared" si="740"/>
        <v>mayo 2026</v>
      </c>
      <c r="F815" s="349">
        <v>46170.0</v>
      </c>
      <c r="G815" s="24">
        <f t="shared" ref="G815:H815" si="821">F815</f>
        <v>46170</v>
      </c>
      <c r="H815" s="26">
        <f t="shared" si="821"/>
        <v>46170</v>
      </c>
      <c r="I815" s="50" t="s">
        <v>90</v>
      </c>
      <c r="K815" s="436"/>
      <c r="L815" s="29" t="s">
        <v>3085</v>
      </c>
      <c r="M815" s="31"/>
      <c r="N815" s="14" t="s">
        <v>84</v>
      </c>
      <c r="O815" s="31"/>
      <c r="Q815" s="36"/>
      <c r="R815" s="36"/>
      <c r="S815" s="36"/>
      <c r="T815" s="36"/>
      <c r="V815" s="31"/>
    </row>
    <row r="816">
      <c r="A816" s="14" t="s">
        <v>736</v>
      </c>
      <c r="B816" s="351" t="s">
        <v>3316</v>
      </c>
      <c r="C816" s="50" t="s">
        <v>1248</v>
      </c>
      <c r="D816" s="50" t="s">
        <v>40</v>
      </c>
      <c r="E816" s="348" t="str">
        <f t="shared" si="740"/>
        <v>junio 2026</v>
      </c>
      <c r="F816" s="349">
        <v>46189.0</v>
      </c>
      <c r="G816" s="24">
        <f t="shared" ref="G816:H816" si="822">F816</f>
        <v>46189</v>
      </c>
      <c r="H816" s="26">
        <f t="shared" si="822"/>
        <v>46189</v>
      </c>
      <c r="I816" s="50" t="s">
        <v>90</v>
      </c>
      <c r="K816" s="435"/>
      <c r="L816" s="29" t="s">
        <v>3085</v>
      </c>
      <c r="M816" s="31"/>
      <c r="N816" s="14" t="s">
        <v>84</v>
      </c>
      <c r="O816" s="31"/>
      <c r="Q816" s="36"/>
      <c r="R816" s="36"/>
      <c r="S816" s="36"/>
      <c r="T816" s="36"/>
      <c r="V816" s="31"/>
    </row>
    <row r="817">
      <c r="A817" s="14" t="s">
        <v>736</v>
      </c>
      <c r="B817" s="351" t="s">
        <v>3317</v>
      </c>
      <c r="C817" s="50" t="s">
        <v>1250</v>
      </c>
      <c r="D817" s="50" t="s">
        <v>40</v>
      </c>
      <c r="E817" s="348" t="str">
        <f t="shared" si="740"/>
        <v>mayo 2026</v>
      </c>
      <c r="F817" s="349">
        <v>46168.0</v>
      </c>
      <c r="G817" s="24">
        <f t="shared" ref="G817:H817" si="823">F817</f>
        <v>46168</v>
      </c>
      <c r="H817" s="26">
        <f t="shared" si="823"/>
        <v>46168</v>
      </c>
      <c r="I817" s="50" t="s">
        <v>90</v>
      </c>
      <c r="K817" s="436"/>
      <c r="L817" s="29" t="s">
        <v>3085</v>
      </c>
      <c r="M817" s="31"/>
      <c r="N817" s="14" t="s">
        <v>84</v>
      </c>
      <c r="O817" s="31"/>
      <c r="Q817" s="36"/>
      <c r="R817" s="36"/>
      <c r="S817" s="36"/>
      <c r="T817" s="36"/>
      <c r="V817" s="31"/>
    </row>
    <row r="818">
      <c r="A818" s="14" t="s">
        <v>736</v>
      </c>
      <c r="B818" s="351" t="s">
        <v>3318</v>
      </c>
      <c r="C818" s="50" t="s">
        <v>1251</v>
      </c>
      <c r="D818" s="50" t="s">
        <v>40</v>
      </c>
      <c r="E818" s="348" t="str">
        <f t="shared" si="740"/>
        <v>mayo 2026</v>
      </c>
      <c r="F818" s="349">
        <v>46167.0</v>
      </c>
      <c r="G818" s="24">
        <f t="shared" ref="G818:H818" si="824">F818</f>
        <v>46167</v>
      </c>
      <c r="H818" s="26">
        <f t="shared" si="824"/>
        <v>46167</v>
      </c>
      <c r="I818" s="50" t="s">
        <v>90</v>
      </c>
      <c r="K818" s="435"/>
      <c r="L818" s="29" t="s">
        <v>3085</v>
      </c>
      <c r="M818" s="31"/>
      <c r="N818" s="14" t="s">
        <v>84</v>
      </c>
      <c r="O818" s="31"/>
      <c r="Q818" s="36"/>
      <c r="R818" s="36"/>
      <c r="S818" s="36"/>
      <c r="T818" s="36"/>
      <c r="V818" s="31"/>
    </row>
    <row r="819">
      <c r="A819" s="14" t="s">
        <v>736</v>
      </c>
      <c r="B819" s="351" t="s">
        <v>3319</v>
      </c>
      <c r="C819" s="50" t="s">
        <v>1252</v>
      </c>
      <c r="D819" s="50" t="s">
        <v>40</v>
      </c>
      <c r="E819" s="348" t="str">
        <f t="shared" si="740"/>
        <v>mayo 2026</v>
      </c>
      <c r="F819" s="349">
        <v>46167.0</v>
      </c>
      <c r="G819" s="24">
        <f t="shared" ref="G819:H819" si="825">F819</f>
        <v>46167</v>
      </c>
      <c r="H819" s="26">
        <f t="shared" si="825"/>
        <v>46167</v>
      </c>
      <c r="I819" s="50" t="s">
        <v>90</v>
      </c>
      <c r="K819" s="436"/>
      <c r="L819" s="29" t="s">
        <v>3085</v>
      </c>
      <c r="M819" s="31"/>
      <c r="N819" s="14" t="s">
        <v>84</v>
      </c>
      <c r="O819" s="31"/>
      <c r="Q819" s="36"/>
      <c r="R819" s="36"/>
      <c r="S819" s="36"/>
      <c r="T819" s="36"/>
      <c r="V819" s="31"/>
    </row>
    <row r="820">
      <c r="A820" s="14" t="s">
        <v>736</v>
      </c>
      <c r="B820" s="351" t="s">
        <v>3320</v>
      </c>
      <c r="C820" s="50" t="s">
        <v>1256</v>
      </c>
      <c r="D820" s="50" t="s">
        <v>40</v>
      </c>
      <c r="E820" s="348" t="str">
        <f t="shared" si="740"/>
        <v>mayo 2026</v>
      </c>
      <c r="F820" s="349">
        <v>46164.0</v>
      </c>
      <c r="G820" s="24">
        <f t="shared" ref="G820:H820" si="826">F820</f>
        <v>46164</v>
      </c>
      <c r="H820" s="26">
        <f t="shared" si="826"/>
        <v>46164</v>
      </c>
      <c r="I820" s="50" t="s">
        <v>90</v>
      </c>
      <c r="K820" s="435"/>
      <c r="L820" s="29" t="s">
        <v>3085</v>
      </c>
      <c r="M820" s="31"/>
      <c r="N820" s="14" t="s">
        <v>84</v>
      </c>
      <c r="O820" s="31"/>
      <c r="Q820" s="36"/>
      <c r="R820" s="36"/>
      <c r="S820" s="36"/>
      <c r="T820" s="36"/>
      <c r="V820" s="31"/>
    </row>
    <row r="821">
      <c r="A821" s="14" t="s">
        <v>736</v>
      </c>
      <c r="B821" s="351" t="s">
        <v>3321</v>
      </c>
      <c r="C821" s="50" t="s">
        <v>1258</v>
      </c>
      <c r="D821" s="50" t="s">
        <v>40</v>
      </c>
      <c r="E821" s="348" t="str">
        <f t="shared" si="740"/>
        <v>mayo 2026</v>
      </c>
      <c r="F821" s="349">
        <v>46167.0</v>
      </c>
      <c r="G821" s="24">
        <f t="shared" ref="G821:H821" si="827">F821</f>
        <v>46167</v>
      </c>
      <c r="H821" s="26">
        <f t="shared" si="827"/>
        <v>46167</v>
      </c>
      <c r="I821" s="50" t="s">
        <v>90</v>
      </c>
      <c r="K821" s="436"/>
      <c r="L821" s="29" t="s">
        <v>3085</v>
      </c>
      <c r="M821" s="31"/>
      <c r="N821" s="14" t="s">
        <v>84</v>
      </c>
      <c r="O821" s="31"/>
      <c r="Q821" s="36"/>
      <c r="R821" s="36"/>
      <c r="S821" s="36"/>
      <c r="T821" s="36"/>
      <c r="V821" s="31"/>
    </row>
    <row r="822">
      <c r="A822" s="14" t="s">
        <v>736</v>
      </c>
      <c r="B822" s="351" t="s">
        <v>3322</v>
      </c>
      <c r="C822" s="50" t="s">
        <v>1260</v>
      </c>
      <c r="D822" s="50" t="s">
        <v>40</v>
      </c>
      <c r="E822" s="348" t="str">
        <f t="shared" si="740"/>
        <v>mayo 2026</v>
      </c>
      <c r="F822" s="349">
        <v>46167.0</v>
      </c>
      <c r="G822" s="24">
        <f t="shared" ref="G822:H822" si="828">F822</f>
        <v>46167</v>
      </c>
      <c r="H822" s="26">
        <f t="shared" si="828"/>
        <v>46167</v>
      </c>
      <c r="I822" s="50" t="s">
        <v>90</v>
      </c>
      <c r="K822" s="435"/>
      <c r="L822" s="29" t="s">
        <v>3085</v>
      </c>
      <c r="M822" s="31"/>
      <c r="N822" s="14" t="s">
        <v>84</v>
      </c>
      <c r="O822" s="31"/>
      <c r="Q822" s="36"/>
      <c r="R822" s="36"/>
      <c r="S822" s="36"/>
      <c r="T822" s="36"/>
      <c r="V822" s="31"/>
    </row>
    <row r="823">
      <c r="A823" s="14" t="s">
        <v>736</v>
      </c>
      <c r="B823" s="351" t="s">
        <v>3323</v>
      </c>
      <c r="C823" s="50" t="s">
        <v>1261</v>
      </c>
      <c r="D823" s="50" t="s">
        <v>40</v>
      </c>
      <c r="E823" s="348" t="str">
        <f t="shared" si="740"/>
        <v>junio 2026</v>
      </c>
      <c r="F823" s="349">
        <v>46178.0</v>
      </c>
      <c r="G823" s="24">
        <f t="shared" ref="G823:H823" si="829">F823</f>
        <v>46178</v>
      </c>
      <c r="H823" s="26">
        <f t="shared" si="829"/>
        <v>46178</v>
      </c>
      <c r="I823" s="50" t="s">
        <v>90</v>
      </c>
      <c r="K823" s="436"/>
      <c r="L823" s="29" t="s">
        <v>3085</v>
      </c>
      <c r="M823" s="31"/>
      <c r="N823" s="14" t="s">
        <v>84</v>
      </c>
      <c r="O823" s="31"/>
      <c r="Q823" s="36"/>
      <c r="R823" s="36"/>
      <c r="S823" s="36"/>
      <c r="T823" s="36"/>
      <c r="V823" s="31"/>
    </row>
    <row r="824">
      <c r="A824" s="14" t="s">
        <v>736</v>
      </c>
      <c r="B824" s="351" t="s">
        <v>3325</v>
      </c>
      <c r="C824" s="50" t="s">
        <v>1262</v>
      </c>
      <c r="D824" s="50" t="s">
        <v>40</v>
      </c>
      <c r="E824" s="348" t="str">
        <f t="shared" si="740"/>
        <v>mayo 2026</v>
      </c>
      <c r="F824" s="349">
        <v>46168.0</v>
      </c>
      <c r="G824" s="24">
        <f t="shared" ref="G824:H824" si="830">F824</f>
        <v>46168</v>
      </c>
      <c r="H824" s="26">
        <f t="shared" si="830"/>
        <v>46168</v>
      </c>
      <c r="I824" s="50" t="s">
        <v>90</v>
      </c>
      <c r="K824" s="435"/>
      <c r="L824" s="29" t="s">
        <v>3085</v>
      </c>
      <c r="M824" s="31"/>
      <c r="N824" s="14" t="s">
        <v>84</v>
      </c>
      <c r="O824" s="31"/>
      <c r="Q824" s="36"/>
      <c r="R824" s="36"/>
      <c r="S824" s="36"/>
      <c r="T824" s="36"/>
      <c r="V824" s="31"/>
    </row>
    <row r="825">
      <c r="A825" s="14" t="s">
        <v>736</v>
      </c>
      <c r="B825" s="351" t="s">
        <v>3326</v>
      </c>
      <c r="C825" s="50" t="s">
        <v>1264</v>
      </c>
      <c r="D825" s="50" t="s">
        <v>40</v>
      </c>
      <c r="E825" s="348" t="str">
        <f t="shared" si="740"/>
        <v>julio 2026</v>
      </c>
      <c r="F825" s="349">
        <v>46206.0</v>
      </c>
      <c r="G825" s="24">
        <f t="shared" ref="G825:H825" si="831">F825</f>
        <v>46206</v>
      </c>
      <c r="H825" s="26">
        <f t="shared" si="831"/>
        <v>46206</v>
      </c>
      <c r="I825" s="50" t="s">
        <v>90</v>
      </c>
      <c r="K825" s="436"/>
      <c r="L825" s="29" t="s">
        <v>3085</v>
      </c>
      <c r="M825" s="31"/>
      <c r="N825" s="14" t="s">
        <v>84</v>
      </c>
      <c r="O825" s="31"/>
      <c r="Q825" s="36"/>
      <c r="R825" s="36"/>
      <c r="S825" s="36"/>
      <c r="T825" s="36"/>
      <c r="V825" s="31"/>
    </row>
    <row r="826">
      <c r="A826" s="14" t="s">
        <v>736</v>
      </c>
      <c r="B826" s="351" t="s">
        <v>3327</v>
      </c>
      <c r="C826" s="50" t="s">
        <v>1265</v>
      </c>
      <c r="D826" s="50" t="s">
        <v>40</v>
      </c>
      <c r="E826" s="348" t="str">
        <f t="shared" si="740"/>
        <v>mayo 2026</v>
      </c>
      <c r="F826" s="349">
        <v>46168.0</v>
      </c>
      <c r="G826" s="24">
        <f t="shared" ref="G826:H826" si="832">F826</f>
        <v>46168</v>
      </c>
      <c r="H826" s="26">
        <f t="shared" si="832"/>
        <v>46168</v>
      </c>
      <c r="I826" s="50" t="s">
        <v>90</v>
      </c>
      <c r="K826" s="435"/>
      <c r="L826" s="29" t="s">
        <v>3085</v>
      </c>
      <c r="M826" s="31"/>
      <c r="N826" s="14" t="s">
        <v>84</v>
      </c>
      <c r="O826" s="31"/>
      <c r="Q826" s="36"/>
      <c r="R826" s="36"/>
      <c r="S826" s="36"/>
      <c r="T826" s="36"/>
      <c r="V826" s="31"/>
    </row>
    <row r="827">
      <c r="A827" s="14" t="s">
        <v>736</v>
      </c>
      <c r="B827" s="437"/>
      <c r="C827" s="302" t="s">
        <v>2677</v>
      </c>
      <c r="D827" s="50" t="s">
        <v>133</v>
      </c>
      <c r="E827" s="380" t="str">
        <f t="shared" si="740"/>
        <v>diciembre 1899</v>
      </c>
      <c r="F827" s="381"/>
      <c r="G827" s="24" t="str">
        <f t="shared" ref="G827:H827" si="833">F827</f>
        <v/>
      </c>
      <c r="H827" s="26" t="str">
        <f t="shared" si="833"/>
        <v/>
      </c>
      <c r="I827" s="50" t="s">
        <v>2398</v>
      </c>
      <c r="K827" s="440"/>
      <c r="L827" s="29" t="s">
        <v>3328</v>
      </c>
      <c r="M827" s="31"/>
      <c r="N827" s="14"/>
      <c r="O827" s="31"/>
      <c r="Q827" s="36"/>
      <c r="R827" s="36"/>
      <c r="S827" s="36"/>
      <c r="T827" s="36"/>
      <c r="V827" s="31"/>
    </row>
    <row r="828">
      <c r="A828" s="14" t="s">
        <v>736</v>
      </c>
      <c r="B828" s="351" t="s">
        <v>3329</v>
      </c>
      <c r="C828" s="50" t="s">
        <v>1268</v>
      </c>
      <c r="D828" s="50" t="s">
        <v>40</v>
      </c>
      <c r="E828" s="348" t="str">
        <f t="shared" si="740"/>
        <v>junio 2026</v>
      </c>
      <c r="F828" s="349">
        <v>46188.0</v>
      </c>
      <c r="G828" s="24">
        <f t="shared" ref="G828:H828" si="834">F828</f>
        <v>46188</v>
      </c>
      <c r="H828" s="26">
        <f t="shared" si="834"/>
        <v>46188</v>
      </c>
      <c r="I828" s="50" t="s">
        <v>90</v>
      </c>
      <c r="K828" s="435"/>
      <c r="L828" s="29" t="s">
        <v>3085</v>
      </c>
      <c r="M828" s="31"/>
      <c r="N828" s="14" t="s">
        <v>84</v>
      </c>
      <c r="O828" s="31"/>
      <c r="Q828" s="36"/>
      <c r="R828" s="36"/>
      <c r="S828" s="36"/>
      <c r="T828" s="36"/>
      <c r="V828" s="31"/>
    </row>
    <row r="829">
      <c r="A829" s="14" t="s">
        <v>736</v>
      </c>
      <c r="B829" s="351" t="s">
        <v>3330</v>
      </c>
      <c r="C829" s="50" t="s">
        <v>1269</v>
      </c>
      <c r="D829" s="50" t="s">
        <v>40</v>
      </c>
      <c r="E829" s="348" t="str">
        <f t="shared" si="740"/>
        <v>junio 2026</v>
      </c>
      <c r="F829" s="349">
        <v>46191.0</v>
      </c>
      <c r="G829" s="24">
        <f t="shared" ref="G829:H829" si="835">F829</f>
        <v>46191</v>
      </c>
      <c r="H829" s="26">
        <f t="shared" si="835"/>
        <v>46191</v>
      </c>
      <c r="I829" s="50" t="s">
        <v>90</v>
      </c>
      <c r="K829" s="436"/>
      <c r="L829" s="29" t="s">
        <v>3085</v>
      </c>
      <c r="M829" s="31"/>
      <c r="N829" s="14" t="s">
        <v>84</v>
      </c>
      <c r="O829" s="31"/>
      <c r="Q829" s="36"/>
      <c r="R829" s="36"/>
      <c r="S829" s="36"/>
      <c r="T829" s="36"/>
      <c r="V829" s="31"/>
    </row>
    <row r="830">
      <c r="A830" s="14" t="s">
        <v>736</v>
      </c>
      <c r="B830" s="351" t="s">
        <v>3331</v>
      </c>
      <c r="C830" s="50" t="s">
        <v>1270</v>
      </c>
      <c r="D830" s="50" t="s">
        <v>40</v>
      </c>
      <c r="E830" s="348" t="str">
        <f t="shared" si="740"/>
        <v>junio 2026</v>
      </c>
      <c r="F830" s="349">
        <v>46195.0</v>
      </c>
      <c r="G830" s="24">
        <f t="shared" ref="G830:H830" si="836">F830</f>
        <v>46195</v>
      </c>
      <c r="H830" s="26">
        <f t="shared" si="836"/>
        <v>46195</v>
      </c>
      <c r="I830" s="50" t="s">
        <v>90</v>
      </c>
      <c r="K830" s="435"/>
      <c r="L830" s="29" t="s">
        <v>3085</v>
      </c>
      <c r="M830" s="31"/>
      <c r="N830" s="14" t="s">
        <v>84</v>
      </c>
      <c r="O830" s="31"/>
      <c r="Q830" s="36"/>
      <c r="R830" s="36"/>
      <c r="S830" s="36"/>
      <c r="T830" s="36"/>
      <c r="V830" s="31"/>
    </row>
    <row r="831">
      <c r="A831" s="14" t="s">
        <v>736</v>
      </c>
      <c r="B831" s="351" t="s">
        <v>3332</v>
      </c>
      <c r="C831" s="50" t="s">
        <v>1273</v>
      </c>
      <c r="D831" s="50" t="s">
        <v>40</v>
      </c>
      <c r="E831" s="348" t="str">
        <f t="shared" si="740"/>
        <v>mayo 2026</v>
      </c>
      <c r="F831" s="349">
        <v>46167.0</v>
      </c>
      <c r="G831" s="24">
        <f t="shared" ref="G831:H831" si="837">F831</f>
        <v>46167</v>
      </c>
      <c r="H831" s="26">
        <f t="shared" si="837"/>
        <v>46167</v>
      </c>
      <c r="I831" s="50" t="s">
        <v>90</v>
      </c>
      <c r="K831" s="436"/>
      <c r="L831" s="29" t="s">
        <v>3085</v>
      </c>
      <c r="M831" s="31"/>
      <c r="N831" s="14" t="s">
        <v>84</v>
      </c>
      <c r="O831" s="31"/>
      <c r="Q831" s="36"/>
      <c r="R831" s="36"/>
      <c r="S831" s="36"/>
      <c r="T831" s="36"/>
      <c r="V831" s="31"/>
    </row>
    <row r="832">
      <c r="A832" s="14" t="s">
        <v>736</v>
      </c>
      <c r="B832" s="351" t="s">
        <v>3333</v>
      </c>
      <c r="C832" s="50" t="s">
        <v>1278</v>
      </c>
      <c r="D832" s="50" t="s">
        <v>40</v>
      </c>
      <c r="E832" s="348" t="str">
        <f t="shared" si="740"/>
        <v>mayo 2026</v>
      </c>
      <c r="F832" s="349">
        <v>46167.0</v>
      </c>
      <c r="G832" s="24">
        <f t="shared" ref="G832:H832" si="838">F832</f>
        <v>46167</v>
      </c>
      <c r="H832" s="26">
        <f t="shared" si="838"/>
        <v>46167</v>
      </c>
      <c r="I832" s="50" t="s">
        <v>90</v>
      </c>
      <c r="K832" s="435"/>
      <c r="L832" s="29" t="s">
        <v>3085</v>
      </c>
      <c r="M832" s="31"/>
      <c r="N832" s="14" t="s">
        <v>84</v>
      </c>
      <c r="O832" s="31"/>
      <c r="Q832" s="36"/>
      <c r="R832" s="36"/>
      <c r="S832" s="36"/>
      <c r="T832" s="36"/>
      <c r="V832" s="31"/>
    </row>
    <row r="833">
      <c r="A833" s="14" t="s">
        <v>736</v>
      </c>
      <c r="B833" s="351" t="s">
        <v>3334</v>
      </c>
      <c r="C833" s="50" t="s">
        <v>1280</v>
      </c>
      <c r="D833" s="50" t="s">
        <v>40</v>
      </c>
      <c r="E833" s="348" t="str">
        <f t="shared" si="740"/>
        <v>mayo 2026</v>
      </c>
      <c r="F833" s="349">
        <v>46167.0</v>
      </c>
      <c r="G833" s="24">
        <f t="shared" ref="G833:H833" si="839">F833</f>
        <v>46167</v>
      </c>
      <c r="H833" s="26">
        <f t="shared" si="839"/>
        <v>46167</v>
      </c>
      <c r="I833" s="50" t="s">
        <v>90</v>
      </c>
      <c r="K833" s="436"/>
      <c r="L833" s="29" t="s">
        <v>3085</v>
      </c>
      <c r="M833" s="31"/>
      <c r="N833" s="14" t="s">
        <v>84</v>
      </c>
      <c r="O833" s="31"/>
      <c r="Q833" s="36"/>
      <c r="R833" s="36"/>
      <c r="S833" s="36"/>
      <c r="T833" s="36"/>
      <c r="V833" s="31"/>
    </row>
    <row r="834">
      <c r="A834" s="14" t="s">
        <v>736</v>
      </c>
      <c r="B834" s="351" t="s">
        <v>3335</v>
      </c>
      <c r="C834" s="50" t="s">
        <v>1282</v>
      </c>
      <c r="D834" s="50" t="s">
        <v>40</v>
      </c>
      <c r="E834" s="348" t="str">
        <f t="shared" si="740"/>
        <v>mayo 2026</v>
      </c>
      <c r="F834" s="349">
        <v>46167.0</v>
      </c>
      <c r="G834" s="24">
        <f t="shared" ref="G834:H834" si="840">F834</f>
        <v>46167</v>
      </c>
      <c r="H834" s="26">
        <f t="shared" si="840"/>
        <v>46167</v>
      </c>
      <c r="I834" s="50" t="s">
        <v>90</v>
      </c>
      <c r="K834" s="435"/>
      <c r="L834" s="29" t="s">
        <v>3085</v>
      </c>
      <c r="M834" s="31"/>
      <c r="N834" s="14" t="s">
        <v>84</v>
      </c>
      <c r="O834" s="31"/>
      <c r="Q834" s="36"/>
      <c r="R834" s="36"/>
      <c r="S834" s="36"/>
      <c r="T834" s="36"/>
      <c r="V834" s="31"/>
    </row>
    <row r="835">
      <c r="A835" s="14" t="s">
        <v>736</v>
      </c>
      <c r="B835" s="351" t="s">
        <v>3336</v>
      </c>
      <c r="C835" s="50" t="s">
        <v>1284</v>
      </c>
      <c r="D835" s="50" t="s">
        <v>40</v>
      </c>
      <c r="E835" s="348" t="str">
        <f t="shared" si="740"/>
        <v>mayo 2026</v>
      </c>
      <c r="F835" s="349">
        <v>46167.0</v>
      </c>
      <c r="G835" s="24">
        <f t="shared" ref="G835:H835" si="841">F835</f>
        <v>46167</v>
      </c>
      <c r="H835" s="26">
        <f t="shared" si="841"/>
        <v>46167</v>
      </c>
      <c r="I835" s="50" t="s">
        <v>90</v>
      </c>
      <c r="K835" s="436"/>
      <c r="L835" s="29" t="s">
        <v>3085</v>
      </c>
      <c r="M835" s="31"/>
      <c r="N835" s="14" t="s">
        <v>84</v>
      </c>
      <c r="O835" s="31"/>
      <c r="Q835" s="36"/>
      <c r="R835" s="36"/>
      <c r="S835" s="36"/>
      <c r="T835" s="36"/>
      <c r="V835" s="31"/>
    </row>
    <row r="836">
      <c r="A836" s="14" t="s">
        <v>736</v>
      </c>
      <c r="B836" s="351" t="s">
        <v>3337</v>
      </c>
      <c r="C836" s="50" t="s">
        <v>1288</v>
      </c>
      <c r="D836" s="50" t="s">
        <v>40</v>
      </c>
      <c r="E836" s="348" t="str">
        <f t="shared" si="740"/>
        <v>mayo 2026</v>
      </c>
      <c r="F836" s="349">
        <v>46170.0</v>
      </c>
      <c r="G836" s="24">
        <f t="shared" ref="G836:H836" si="842">F836</f>
        <v>46170</v>
      </c>
      <c r="H836" s="26">
        <f t="shared" si="842"/>
        <v>46170</v>
      </c>
      <c r="I836" s="50" t="s">
        <v>90</v>
      </c>
      <c r="K836" s="435"/>
      <c r="L836" s="29" t="s">
        <v>3085</v>
      </c>
      <c r="M836" s="31"/>
      <c r="N836" s="14" t="s">
        <v>84</v>
      </c>
      <c r="O836" s="31"/>
      <c r="Q836" s="36"/>
      <c r="R836" s="36"/>
      <c r="S836" s="36"/>
      <c r="T836" s="36"/>
      <c r="V836" s="31"/>
    </row>
    <row r="837">
      <c r="A837" s="14" t="s">
        <v>736</v>
      </c>
      <c r="B837" s="351" t="s">
        <v>3338</v>
      </c>
      <c r="C837" s="50" t="s">
        <v>1290</v>
      </c>
      <c r="D837" s="50" t="s">
        <v>40</v>
      </c>
      <c r="E837" s="348" t="str">
        <f t="shared" si="740"/>
        <v>junio 2026</v>
      </c>
      <c r="F837" s="349">
        <v>46191.0</v>
      </c>
      <c r="G837" s="24">
        <f t="shared" ref="G837:H837" si="843">F837</f>
        <v>46191</v>
      </c>
      <c r="H837" s="26">
        <f t="shared" si="843"/>
        <v>46191</v>
      </c>
      <c r="I837" s="50" t="s">
        <v>90</v>
      </c>
      <c r="K837" s="436"/>
      <c r="L837" s="29" t="s">
        <v>3085</v>
      </c>
      <c r="M837" s="31"/>
      <c r="N837" s="14" t="s">
        <v>84</v>
      </c>
      <c r="O837" s="31"/>
      <c r="Q837" s="36"/>
      <c r="R837" s="36"/>
      <c r="S837" s="36"/>
      <c r="T837" s="36"/>
      <c r="V837" s="31"/>
    </row>
    <row r="838">
      <c r="A838" s="14" t="s">
        <v>736</v>
      </c>
      <c r="B838" s="351" t="s">
        <v>3339</v>
      </c>
      <c r="C838" s="50" t="s">
        <v>1292</v>
      </c>
      <c r="D838" s="50" t="s">
        <v>40</v>
      </c>
      <c r="E838" s="348" t="str">
        <f t="shared" si="740"/>
        <v>mayo 2026</v>
      </c>
      <c r="F838" s="349">
        <v>46172.0</v>
      </c>
      <c r="G838" s="24">
        <f t="shared" ref="G838:H838" si="844">F838</f>
        <v>46172</v>
      </c>
      <c r="H838" s="26">
        <f t="shared" si="844"/>
        <v>46172</v>
      </c>
      <c r="I838" s="50" t="s">
        <v>90</v>
      </c>
      <c r="K838" s="435"/>
      <c r="L838" s="29" t="s">
        <v>3085</v>
      </c>
      <c r="M838" s="31"/>
      <c r="N838" s="14" t="s">
        <v>84</v>
      </c>
      <c r="O838" s="31"/>
      <c r="Q838" s="36"/>
      <c r="R838" s="36"/>
      <c r="S838" s="36"/>
      <c r="T838" s="36"/>
      <c r="V838" s="31"/>
    </row>
    <row r="839">
      <c r="A839" s="14" t="s">
        <v>736</v>
      </c>
      <c r="B839" s="351" t="s">
        <v>3340</v>
      </c>
      <c r="C839" s="50" t="s">
        <v>1294</v>
      </c>
      <c r="D839" s="50" t="s">
        <v>40</v>
      </c>
      <c r="E839" s="348" t="str">
        <f t="shared" si="740"/>
        <v>julio 2026</v>
      </c>
      <c r="F839" s="349">
        <v>46225.0</v>
      </c>
      <c r="G839" s="24">
        <f t="shared" ref="G839:H839" si="845">F839</f>
        <v>46225</v>
      </c>
      <c r="H839" s="26">
        <f t="shared" si="845"/>
        <v>46225</v>
      </c>
      <c r="I839" s="50" t="s">
        <v>90</v>
      </c>
      <c r="K839" s="436"/>
      <c r="L839" s="29" t="s">
        <v>3085</v>
      </c>
      <c r="M839" s="31"/>
      <c r="N839" s="14" t="s">
        <v>84</v>
      </c>
      <c r="O839" s="31"/>
      <c r="Q839" s="36"/>
      <c r="R839" s="36"/>
      <c r="S839" s="36"/>
      <c r="T839" s="36"/>
      <c r="V839" s="31"/>
    </row>
    <row r="840">
      <c r="A840" s="14" t="s">
        <v>736</v>
      </c>
      <c r="B840" s="351" t="s">
        <v>3341</v>
      </c>
      <c r="C840" s="50" t="s">
        <v>1299</v>
      </c>
      <c r="D840" s="50" t="s">
        <v>40</v>
      </c>
      <c r="E840" s="348" t="str">
        <f t="shared" si="740"/>
        <v>julio 2026</v>
      </c>
      <c r="F840" s="349">
        <v>46225.0</v>
      </c>
      <c r="G840" s="24">
        <f t="shared" ref="G840:H840" si="846">F840</f>
        <v>46225</v>
      </c>
      <c r="H840" s="26">
        <f t="shared" si="846"/>
        <v>46225</v>
      </c>
      <c r="I840" s="50" t="s">
        <v>90</v>
      </c>
      <c r="K840" s="435"/>
      <c r="L840" s="29" t="s">
        <v>3085</v>
      </c>
      <c r="M840" s="31"/>
      <c r="N840" s="14" t="s">
        <v>84</v>
      </c>
      <c r="O840" s="31"/>
      <c r="Q840" s="36"/>
      <c r="R840" s="36"/>
      <c r="S840" s="36"/>
      <c r="T840" s="36"/>
      <c r="V840" s="31"/>
    </row>
    <row r="841">
      <c r="A841" s="14" t="s">
        <v>736</v>
      </c>
      <c r="B841" s="351" t="s">
        <v>3342</v>
      </c>
      <c r="C841" s="50" t="s">
        <v>1300</v>
      </c>
      <c r="D841" s="50" t="s">
        <v>40</v>
      </c>
      <c r="E841" s="348" t="str">
        <f t="shared" si="740"/>
        <v>mayo 2026</v>
      </c>
      <c r="F841" s="349">
        <v>46167.0</v>
      </c>
      <c r="G841" s="24">
        <f t="shared" ref="G841:H841" si="847">F841</f>
        <v>46167</v>
      </c>
      <c r="H841" s="26">
        <f t="shared" si="847"/>
        <v>46167</v>
      </c>
      <c r="I841" s="50" t="s">
        <v>90</v>
      </c>
      <c r="K841" s="436"/>
      <c r="L841" s="29" t="s">
        <v>3085</v>
      </c>
      <c r="M841" s="31"/>
      <c r="N841" s="14" t="s">
        <v>84</v>
      </c>
      <c r="O841" s="31"/>
      <c r="Q841" s="36"/>
      <c r="R841" s="36"/>
      <c r="S841" s="36"/>
      <c r="T841" s="36"/>
      <c r="V841" s="31"/>
    </row>
    <row r="842">
      <c r="A842" s="14" t="s">
        <v>736</v>
      </c>
      <c r="B842" s="351" t="s">
        <v>3343</v>
      </c>
      <c r="C842" s="50" t="s">
        <v>1302</v>
      </c>
      <c r="D842" s="50" t="s">
        <v>40</v>
      </c>
      <c r="E842" s="348" t="str">
        <f t="shared" si="740"/>
        <v>mayo 2026</v>
      </c>
      <c r="F842" s="349">
        <v>46170.0</v>
      </c>
      <c r="G842" s="24">
        <f t="shared" ref="G842:H842" si="848">F842</f>
        <v>46170</v>
      </c>
      <c r="H842" s="26">
        <f t="shared" si="848"/>
        <v>46170</v>
      </c>
      <c r="I842" s="50" t="s">
        <v>90</v>
      </c>
      <c r="K842" s="435"/>
      <c r="L842" s="29" t="s">
        <v>3085</v>
      </c>
      <c r="M842" s="31"/>
      <c r="N842" s="14" t="s">
        <v>84</v>
      </c>
      <c r="O842" s="31"/>
      <c r="Q842" s="36"/>
      <c r="R842" s="36"/>
      <c r="S842" s="36"/>
      <c r="T842" s="36"/>
      <c r="V842" s="31"/>
    </row>
    <row r="843">
      <c r="A843" s="14" t="s">
        <v>736</v>
      </c>
      <c r="B843" s="351" t="s">
        <v>3344</v>
      </c>
      <c r="C843" s="50" t="s">
        <v>1303</v>
      </c>
      <c r="D843" s="50" t="s">
        <v>40</v>
      </c>
      <c r="E843" s="348" t="str">
        <f t="shared" si="740"/>
        <v>mayo 2026</v>
      </c>
      <c r="F843" s="349">
        <v>46161.0</v>
      </c>
      <c r="G843" s="24">
        <f t="shared" ref="G843:H843" si="849">F843</f>
        <v>46161</v>
      </c>
      <c r="H843" s="26">
        <f t="shared" si="849"/>
        <v>46161</v>
      </c>
      <c r="I843" s="50" t="s">
        <v>90</v>
      </c>
      <c r="K843" s="436"/>
      <c r="L843" s="29" t="s">
        <v>3085</v>
      </c>
      <c r="M843" s="31"/>
      <c r="N843" s="14" t="s">
        <v>84</v>
      </c>
      <c r="O843" s="31"/>
      <c r="Q843" s="36"/>
      <c r="R843" s="36"/>
      <c r="S843" s="36"/>
      <c r="T843" s="36"/>
      <c r="V843" s="31"/>
    </row>
    <row r="844">
      <c r="A844" s="14" t="s">
        <v>736</v>
      </c>
      <c r="B844" s="351" t="s">
        <v>3345</v>
      </c>
      <c r="C844" s="50" t="s">
        <v>1305</v>
      </c>
      <c r="D844" s="50" t="s">
        <v>40</v>
      </c>
      <c r="E844" s="348" t="str">
        <f t="shared" si="740"/>
        <v>mayo 2026</v>
      </c>
      <c r="F844" s="349">
        <v>46165.0</v>
      </c>
      <c r="G844" s="24">
        <f t="shared" ref="G844:H844" si="850">F844</f>
        <v>46165</v>
      </c>
      <c r="H844" s="26">
        <f t="shared" si="850"/>
        <v>46165</v>
      </c>
      <c r="I844" s="50" t="s">
        <v>90</v>
      </c>
      <c r="K844" s="435"/>
      <c r="L844" s="29" t="s">
        <v>3085</v>
      </c>
      <c r="M844" s="31"/>
      <c r="N844" s="14" t="s">
        <v>84</v>
      </c>
      <c r="O844" s="31"/>
      <c r="Q844" s="36"/>
      <c r="R844" s="36"/>
      <c r="S844" s="36"/>
      <c r="T844" s="36"/>
      <c r="V844" s="31"/>
    </row>
    <row r="845">
      <c r="A845" s="14" t="s">
        <v>736</v>
      </c>
      <c r="B845" s="351" t="s">
        <v>3346</v>
      </c>
      <c r="C845" s="50" t="s">
        <v>1307</v>
      </c>
      <c r="D845" s="50" t="s">
        <v>40</v>
      </c>
      <c r="E845" s="348" t="str">
        <f t="shared" si="740"/>
        <v>mayo 2026</v>
      </c>
      <c r="F845" s="349">
        <v>46165.0</v>
      </c>
      <c r="G845" s="24">
        <f t="shared" ref="G845:H845" si="851">F845</f>
        <v>46165</v>
      </c>
      <c r="H845" s="26">
        <f t="shared" si="851"/>
        <v>46165</v>
      </c>
      <c r="I845" s="50" t="s">
        <v>90</v>
      </c>
      <c r="K845" s="436"/>
      <c r="L845" s="29" t="s">
        <v>3085</v>
      </c>
      <c r="M845" s="31"/>
      <c r="N845" s="14" t="s">
        <v>84</v>
      </c>
      <c r="O845" s="31"/>
      <c r="Q845" s="36"/>
      <c r="R845" s="36"/>
      <c r="S845" s="36"/>
      <c r="T845" s="36"/>
      <c r="V845" s="31"/>
    </row>
    <row r="846">
      <c r="A846" s="14" t="s">
        <v>736</v>
      </c>
      <c r="B846" s="351" t="s">
        <v>3347</v>
      </c>
      <c r="C846" s="50" t="s">
        <v>1310</v>
      </c>
      <c r="D846" s="50" t="s">
        <v>40</v>
      </c>
      <c r="E846" s="348" t="str">
        <f t="shared" si="740"/>
        <v>mayo 2026</v>
      </c>
      <c r="F846" s="349">
        <v>46165.0</v>
      </c>
      <c r="G846" s="24">
        <f t="shared" ref="G846:H846" si="852">F846</f>
        <v>46165</v>
      </c>
      <c r="H846" s="26">
        <f t="shared" si="852"/>
        <v>46165</v>
      </c>
      <c r="I846" s="50" t="s">
        <v>90</v>
      </c>
      <c r="K846" s="435"/>
      <c r="L846" s="29" t="s">
        <v>3085</v>
      </c>
      <c r="M846" s="31"/>
      <c r="N846" s="14" t="s">
        <v>84</v>
      </c>
      <c r="O846" s="31"/>
      <c r="Q846" s="36"/>
      <c r="R846" s="36"/>
      <c r="S846" s="36"/>
      <c r="T846" s="36"/>
      <c r="V846" s="31"/>
    </row>
    <row r="847">
      <c r="A847" s="14" t="s">
        <v>736</v>
      </c>
      <c r="B847" s="351" t="s">
        <v>3348</v>
      </c>
      <c r="C847" s="50" t="s">
        <v>1311</v>
      </c>
      <c r="D847" s="50" t="s">
        <v>40</v>
      </c>
      <c r="E847" s="348" t="str">
        <f t="shared" si="740"/>
        <v>mayo 2026</v>
      </c>
      <c r="F847" s="349">
        <v>46167.0</v>
      </c>
      <c r="G847" s="24">
        <f t="shared" ref="G847:H847" si="853">F847</f>
        <v>46167</v>
      </c>
      <c r="H847" s="26">
        <f t="shared" si="853"/>
        <v>46167</v>
      </c>
      <c r="I847" s="50" t="s">
        <v>90</v>
      </c>
      <c r="K847" s="436"/>
      <c r="L847" s="29" t="s">
        <v>3085</v>
      </c>
      <c r="M847" s="31"/>
      <c r="N847" s="14" t="s">
        <v>84</v>
      </c>
      <c r="O847" s="31"/>
      <c r="Q847" s="36"/>
      <c r="R847" s="36"/>
      <c r="S847" s="36"/>
      <c r="T847" s="36"/>
      <c r="V847" s="31"/>
    </row>
    <row r="848">
      <c r="A848" s="14" t="s">
        <v>736</v>
      </c>
      <c r="B848" s="351" t="s">
        <v>3349</v>
      </c>
      <c r="C848" s="50" t="s">
        <v>1312</v>
      </c>
      <c r="D848" s="50" t="s">
        <v>40</v>
      </c>
      <c r="E848" s="348" t="str">
        <f t="shared" si="740"/>
        <v>junio 2026</v>
      </c>
      <c r="F848" s="349">
        <v>46187.0</v>
      </c>
      <c r="G848" s="24">
        <f t="shared" ref="G848:H848" si="854">F848</f>
        <v>46187</v>
      </c>
      <c r="H848" s="26">
        <f t="shared" si="854"/>
        <v>46187</v>
      </c>
      <c r="I848" s="50" t="s">
        <v>90</v>
      </c>
      <c r="K848" s="435"/>
      <c r="L848" s="29" t="s">
        <v>3085</v>
      </c>
      <c r="M848" s="31"/>
      <c r="N848" s="14" t="s">
        <v>84</v>
      </c>
      <c r="O848" s="31"/>
      <c r="Q848" s="36"/>
      <c r="R848" s="36"/>
      <c r="S848" s="36"/>
      <c r="T848" s="36"/>
      <c r="V848" s="31"/>
    </row>
    <row r="849">
      <c r="A849" s="14" t="s">
        <v>736</v>
      </c>
      <c r="B849" s="351" t="s">
        <v>3350</v>
      </c>
      <c r="C849" s="50" t="s">
        <v>1314</v>
      </c>
      <c r="D849" s="50" t="s">
        <v>40</v>
      </c>
      <c r="E849" s="348" t="str">
        <f t="shared" si="740"/>
        <v>mayo 2026</v>
      </c>
      <c r="F849" s="349">
        <v>46168.0</v>
      </c>
      <c r="G849" s="24">
        <f t="shared" ref="G849:H849" si="855">F849</f>
        <v>46168</v>
      </c>
      <c r="H849" s="26">
        <f t="shared" si="855"/>
        <v>46168</v>
      </c>
      <c r="I849" s="50" t="s">
        <v>90</v>
      </c>
      <c r="K849" s="436"/>
      <c r="L849" s="29" t="s">
        <v>3085</v>
      </c>
      <c r="M849" s="31"/>
      <c r="N849" s="14" t="s">
        <v>84</v>
      </c>
      <c r="O849" s="31"/>
      <c r="Q849" s="36"/>
      <c r="R849" s="36"/>
      <c r="S849" s="36"/>
      <c r="T849" s="36"/>
      <c r="V849" s="31"/>
    </row>
    <row r="850">
      <c r="A850" s="14" t="s">
        <v>736</v>
      </c>
      <c r="B850" s="351" t="s">
        <v>3351</v>
      </c>
      <c r="C850" s="50" t="s">
        <v>1317</v>
      </c>
      <c r="D850" s="50" t="s">
        <v>40</v>
      </c>
      <c r="E850" s="348" t="str">
        <f t="shared" si="740"/>
        <v>mayo 2026</v>
      </c>
      <c r="F850" s="349">
        <v>46169.0</v>
      </c>
      <c r="G850" s="24">
        <f t="shared" ref="G850:H850" si="856">F850</f>
        <v>46169</v>
      </c>
      <c r="H850" s="26">
        <f t="shared" si="856"/>
        <v>46169</v>
      </c>
      <c r="I850" s="50" t="s">
        <v>90</v>
      </c>
      <c r="K850" s="435"/>
      <c r="L850" s="29" t="s">
        <v>3085</v>
      </c>
      <c r="M850" s="31"/>
      <c r="N850" s="14" t="s">
        <v>84</v>
      </c>
      <c r="O850" s="31"/>
      <c r="Q850" s="36"/>
      <c r="R850" s="36"/>
      <c r="S850" s="36"/>
      <c r="T850" s="36"/>
      <c r="V850" s="31"/>
    </row>
    <row r="851">
      <c r="A851" s="37" t="s">
        <v>66</v>
      </c>
      <c r="B851" s="179"/>
      <c r="C851" s="15" t="s">
        <v>3352</v>
      </c>
      <c r="D851" s="379" t="s">
        <v>40</v>
      </c>
      <c r="E851" s="380" t="str">
        <f t="shared" si="740"/>
        <v>diciembre 1899</v>
      </c>
      <c r="F851" s="381"/>
      <c r="G851" s="24" t="str">
        <f t="shared" ref="G851:H851" si="857">F851</f>
        <v/>
      </c>
      <c r="H851" s="26" t="str">
        <f t="shared" si="857"/>
        <v/>
      </c>
      <c r="I851" s="14" t="s">
        <v>1865</v>
      </c>
      <c r="K851" s="27">
        <v>1.0E9</v>
      </c>
      <c r="L851" s="29" t="s">
        <v>3353</v>
      </c>
      <c r="M851" s="31"/>
      <c r="N851" s="14" t="s">
        <v>84</v>
      </c>
      <c r="O851" s="14" t="s">
        <v>40</v>
      </c>
      <c r="Q851" s="36"/>
      <c r="R851" s="36"/>
      <c r="S851" s="36"/>
      <c r="T851" s="36"/>
      <c r="V851" s="31"/>
    </row>
    <row r="852">
      <c r="A852" s="14" t="s">
        <v>736</v>
      </c>
      <c r="B852" s="351" t="s">
        <v>3354</v>
      </c>
      <c r="C852" s="50" t="s">
        <v>1318</v>
      </c>
      <c r="D852" s="50" t="s">
        <v>40</v>
      </c>
      <c r="E852" s="348" t="str">
        <f t="shared" si="740"/>
        <v>septiembre 2026</v>
      </c>
      <c r="F852" s="349">
        <v>46282.0</v>
      </c>
      <c r="G852" s="24">
        <f t="shared" ref="G852:H852" si="858">F852</f>
        <v>46282</v>
      </c>
      <c r="H852" s="26">
        <f t="shared" si="858"/>
        <v>46282</v>
      </c>
      <c r="I852" s="50" t="s">
        <v>90</v>
      </c>
      <c r="K852" s="436"/>
      <c r="L852" s="29" t="s">
        <v>3085</v>
      </c>
      <c r="M852" s="31"/>
      <c r="N852" s="14" t="s">
        <v>84</v>
      </c>
      <c r="O852" s="31"/>
      <c r="Q852" s="36"/>
      <c r="R852" s="36"/>
      <c r="S852" s="36"/>
      <c r="T852" s="36"/>
      <c r="V852" s="31"/>
    </row>
    <row r="853">
      <c r="A853" s="14" t="s">
        <v>736</v>
      </c>
      <c r="B853" s="351" t="s">
        <v>3355</v>
      </c>
      <c r="C853" s="50" t="s">
        <v>1319</v>
      </c>
      <c r="D853" s="50" t="s">
        <v>40</v>
      </c>
      <c r="E853" s="348" t="str">
        <f t="shared" si="740"/>
        <v>septiembre 2026</v>
      </c>
      <c r="F853" s="349">
        <v>46286.0</v>
      </c>
      <c r="G853" s="24">
        <f t="shared" ref="G853:H853" si="859">F853</f>
        <v>46286</v>
      </c>
      <c r="H853" s="26">
        <f t="shared" si="859"/>
        <v>46286</v>
      </c>
      <c r="I853" s="50" t="s">
        <v>90</v>
      </c>
      <c r="K853" s="435"/>
      <c r="L853" s="29" t="s">
        <v>3085</v>
      </c>
      <c r="M853" s="31"/>
      <c r="N853" s="14" t="s">
        <v>84</v>
      </c>
      <c r="O853" s="31"/>
      <c r="Q853" s="36"/>
      <c r="R853" s="36"/>
      <c r="S853" s="36"/>
      <c r="T853" s="36"/>
      <c r="V853" s="31"/>
    </row>
    <row r="854">
      <c r="A854" s="14" t="s">
        <v>736</v>
      </c>
      <c r="B854" s="351" t="s">
        <v>3356</v>
      </c>
      <c r="C854" s="50" t="s">
        <v>1322</v>
      </c>
      <c r="D854" s="50" t="s">
        <v>40</v>
      </c>
      <c r="E854" s="348" t="str">
        <f t="shared" si="740"/>
        <v>junio 2026</v>
      </c>
      <c r="F854" s="349">
        <v>46182.0</v>
      </c>
      <c r="G854" s="24">
        <f t="shared" ref="G854:H854" si="860">F854</f>
        <v>46182</v>
      </c>
      <c r="H854" s="26">
        <f t="shared" si="860"/>
        <v>46182</v>
      </c>
      <c r="I854" s="50" t="s">
        <v>90</v>
      </c>
      <c r="K854" s="436"/>
      <c r="L854" s="29" t="s">
        <v>3085</v>
      </c>
      <c r="M854" s="31"/>
      <c r="N854" s="14" t="s">
        <v>84</v>
      </c>
      <c r="O854" s="31"/>
      <c r="Q854" s="36"/>
      <c r="R854" s="36"/>
      <c r="S854" s="36"/>
      <c r="T854" s="36"/>
      <c r="V854" s="31"/>
    </row>
    <row r="855">
      <c r="A855" s="14" t="s">
        <v>736</v>
      </c>
      <c r="B855" s="351" t="s">
        <v>3357</v>
      </c>
      <c r="C855" s="50" t="s">
        <v>1323</v>
      </c>
      <c r="D855" s="50" t="s">
        <v>40</v>
      </c>
      <c r="E855" s="348" t="str">
        <f t="shared" si="740"/>
        <v>junio 2026</v>
      </c>
      <c r="F855" s="349">
        <v>46182.0</v>
      </c>
      <c r="G855" s="24">
        <f t="shared" ref="G855:H855" si="861">F855</f>
        <v>46182</v>
      </c>
      <c r="H855" s="26">
        <f t="shared" si="861"/>
        <v>46182</v>
      </c>
      <c r="I855" s="50" t="s">
        <v>90</v>
      </c>
      <c r="K855" s="435"/>
      <c r="L855" s="29" t="s">
        <v>3085</v>
      </c>
      <c r="M855" s="31"/>
      <c r="N855" s="14" t="s">
        <v>84</v>
      </c>
      <c r="O855" s="31"/>
      <c r="Q855" s="36"/>
      <c r="R855" s="36"/>
      <c r="S855" s="36"/>
      <c r="T855" s="36"/>
      <c r="V855" s="31"/>
    </row>
    <row r="856">
      <c r="A856" s="14" t="s">
        <v>736</v>
      </c>
      <c r="B856" s="351" t="s">
        <v>3358</v>
      </c>
      <c r="C856" s="50" t="s">
        <v>1324</v>
      </c>
      <c r="D856" s="50" t="s">
        <v>40</v>
      </c>
      <c r="E856" s="348" t="str">
        <f t="shared" si="740"/>
        <v>junio 2026</v>
      </c>
      <c r="F856" s="349">
        <v>46185.0</v>
      </c>
      <c r="G856" s="24">
        <f t="shared" ref="G856:H856" si="862">F856</f>
        <v>46185</v>
      </c>
      <c r="H856" s="26">
        <f t="shared" si="862"/>
        <v>46185</v>
      </c>
      <c r="I856" s="50" t="s">
        <v>90</v>
      </c>
      <c r="K856" s="436"/>
      <c r="L856" s="29" t="s">
        <v>3085</v>
      </c>
      <c r="M856" s="31"/>
      <c r="N856" s="14" t="s">
        <v>84</v>
      </c>
      <c r="O856" s="31"/>
      <c r="Q856" s="36"/>
      <c r="R856" s="36"/>
      <c r="S856" s="36"/>
      <c r="T856" s="36"/>
      <c r="V856" s="31"/>
    </row>
    <row r="857">
      <c r="A857" s="14" t="s">
        <v>736</v>
      </c>
      <c r="B857" s="351" t="s">
        <v>3359</v>
      </c>
      <c r="C857" s="50" t="s">
        <v>1326</v>
      </c>
      <c r="D857" s="50" t="s">
        <v>40</v>
      </c>
      <c r="E857" s="348" t="str">
        <f t="shared" si="740"/>
        <v>junio 2026</v>
      </c>
      <c r="F857" s="349">
        <v>46185.0</v>
      </c>
      <c r="G857" s="24">
        <f t="shared" ref="G857:H857" si="863">F857</f>
        <v>46185</v>
      </c>
      <c r="H857" s="26">
        <f t="shared" si="863"/>
        <v>46185</v>
      </c>
      <c r="I857" s="50" t="s">
        <v>90</v>
      </c>
      <c r="K857" s="435"/>
      <c r="L857" s="29" t="s">
        <v>3085</v>
      </c>
      <c r="M857" s="31"/>
      <c r="N857" s="14" t="s">
        <v>84</v>
      </c>
      <c r="O857" s="31"/>
      <c r="Q857" s="36"/>
      <c r="R857" s="36"/>
      <c r="S857" s="36"/>
      <c r="T857" s="36"/>
      <c r="V857" s="31"/>
    </row>
    <row r="858">
      <c r="A858" s="14" t="s">
        <v>736</v>
      </c>
      <c r="B858" s="351" t="s">
        <v>3360</v>
      </c>
      <c r="C858" s="50" t="s">
        <v>1328</v>
      </c>
      <c r="D858" s="50" t="s">
        <v>40</v>
      </c>
      <c r="E858" s="348" t="str">
        <f t="shared" si="740"/>
        <v>junio 2026</v>
      </c>
      <c r="F858" s="349">
        <v>46188.0</v>
      </c>
      <c r="G858" s="24">
        <f t="shared" ref="G858:H858" si="864">F858</f>
        <v>46188</v>
      </c>
      <c r="H858" s="26">
        <f t="shared" si="864"/>
        <v>46188</v>
      </c>
      <c r="I858" s="50" t="s">
        <v>90</v>
      </c>
      <c r="K858" s="436"/>
      <c r="L858" s="29" t="s">
        <v>3085</v>
      </c>
      <c r="M858" s="31"/>
      <c r="N858" s="14" t="s">
        <v>84</v>
      </c>
      <c r="O858" s="31"/>
      <c r="Q858" s="36"/>
      <c r="R858" s="36"/>
      <c r="S858" s="36"/>
      <c r="T858" s="36"/>
      <c r="V858" s="31"/>
    </row>
    <row r="859">
      <c r="A859" s="14" t="s">
        <v>736</v>
      </c>
      <c r="B859" s="351" t="s">
        <v>3361</v>
      </c>
      <c r="C859" s="50" t="s">
        <v>1329</v>
      </c>
      <c r="D859" s="50" t="s">
        <v>40</v>
      </c>
      <c r="E859" s="348" t="str">
        <f t="shared" si="740"/>
        <v>mayo 2026</v>
      </c>
      <c r="F859" s="349">
        <v>46169.0</v>
      </c>
      <c r="G859" s="24">
        <f t="shared" ref="G859:H859" si="865">F859</f>
        <v>46169</v>
      </c>
      <c r="H859" s="26">
        <f t="shared" si="865"/>
        <v>46169</v>
      </c>
      <c r="I859" s="50" t="s">
        <v>90</v>
      </c>
      <c r="K859" s="435"/>
      <c r="L859" s="29" t="s">
        <v>3085</v>
      </c>
      <c r="M859" s="31"/>
      <c r="N859" s="14" t="s">
        <v>84</v>
      </c>
      <c r="O859" s="31"/>
      <c r="Q859" s="36"/>
      <c r="R859" s="36"/>
      <c r="S859" s="36"/>
      <c r="T859" s="36"/>
      <c r="V859" s="31"/>
    </row>
    <row r="860">
      <c r="A860" s="14" t="s">
        <v>736</v>
      </c>
      <c r="B860" s="351" t="s">
        <v>3362</v>
      </c>
      <c r="C860" s="50" t="s">
        <v>1330</v>
      </c>
      <c r="D860" s="50" t="s">
        <v>40</v>
      </c>
      <c r="E860" s="348" t="str">
        <f t="shared" si="740"/>
        <v>mayo 2026</v>
      </c>
      <c r="F860" s="349">
        <v>46170.0</v>
      </c>
      <c r="G860" s="24">
        <f t="shared" ref="G860:H860" si="866">F860</f>
        <v>46170</v>
      </c>
      <c r="H860" s="26">
        <f t="shared" si="866"/>
        <v>46170</v>
      </c>
      <c r="I860" s="50" t="s">
        <v>90</v>
      </c>
      <c r="K860" s="436"/>
      <c r="L860" s="29" t="s">
        <v>3085</v>
      </c>
      <c r="M860" s="31"/>
      <c r="N860" s="14" t="s">
        <v>84</v>
      </c>
      <c r="O860" s="31"/>
      <c r="Q860" s="36"/>
      <c r="R860" s="36"/>
      <c r="S860" s="36"/>
      <c r="T860" s="36"/>
      <c r="V860" s="31"/>
    </row>
    <row r="861">
      <c r="A861" s="14" t="s">
        <v>736</v>
      </c>
      <c r="B861" s="351" t="s">
        <v>3363</v>
      </c>
      <c r="C861" s="50" t="s">
        <v>1333</v>
      </c>
      <c r="D861" s="50" t="s">
        <v>40</v>
      </c>
      <c r="E861" s="348" t="str">
        <f t="shared" si="740"/>
        <v>mayo 2026</v>
      </c>
      <c r="F861" s="349">
        <v>46170.0</v>
      </c>
      <c r="G861" s="24">
        <f t="shared" ref="G861:H861" si="867">F861</f>
        <v>46170</v>
      </c>
      <c r="H861" s="26">
        <f t="shared" si="867"/>
        <v>46170</v>
      </c>
      <c r="I861" s="50" t="s">
        <v>90</v>
      </c>
      <c r="K861" s="435"/>
      <c r="L861" s="29" t="s">
        <v>3085</v>
      </c>
      <c r="M861" s="31"/>
      <c r="N861" s="14" t="s">
        <v>84</v>
      </c>
      <c r="O861" s="31"/>
      <c r="Q861" s="36"/>
      <c r="R861" s="36"/>
      <c r="S861" s="36"/>
      <c r="T861" s="36"/>
      <c r="V861" s="31"/>
    </row>
    <row r="862">
      <c r="A862" s="14" t="s">
        <v>736</v>
      </c>
      <c r="B862" s="351" t="s">
        <v>3364</v>
      </c>
      <c r="C862" s="50" t="s">
        <v>1334</v>
      </c>
      <c r="D862" s="50" t="s">
        <v>40</v>
      </c>
      <c r="E862" s="348" t="str">
        <f t="shared" si="740"/>
        <v>mayo 2026</v>
      </c>
      <c r="F862" s="349">
        <v>46171.0</v>
      </c>
      <c r="G862" s="24">
        <f t="shared" ref="G862:H862" si="868">F862</f>
        <v>46171</v>
      </c>
      <c r="H862" s="26">
        <f t="shared" si="868"/>
        <v>46171</v>
      </c>
      <c r="I862" s="50" t="s">
        <v>90</v>
      </c>
      <c r="K862" s="436"/>
      <c r="L862" s="29" t="s">
        <v>3085</v>
      </c>
      <c r="M862" s="31"/>
      <c r="N862" s="14" t="s">
        <v>84</v>
      </c>
      <c r="O862" s="31"/>
      <c r="Q862" s="36"/>
      <c r="R862" s="36"/>
      <c r="S862" s="36"/>
      <c r="T862" s="36"/>
      <c r="V862" s="31"/>
    </row>
    <row r="863">
      <c r="A863" s="14" t="s">
        <v>736</v>
      </c>
      <c r="B863" s="351" t="s">
        <v>3365</v>
      </c>
      <c r="C863" s="50" t="s">
        <v>1336</v>
      </c>
      <c r="D863" s="50" t="s">
        <v>40</v>
      </c>
      <c r="E863" s="348" t="str">
        <f t="shared" si="740"/>
        <v>mayo 2026</v>
      </c>
      <c r="F863" s="349">
        <v>46171.0</v>
      </c>
      <c r="G863" s="24">
        <f t="shared" ref="G863:H863" si="869">F863</f>
        <v>46171</v>
      </c>
      <c r="H863" s="26">
        <f t="shared" si="869"/>
        <v>46171</v>
      </c>
      <c r="I863" s="50" t="s">
        <v>90</v>
      </c>
      <c r="K863" s="435"/>
      <c r="L863" s="29" t="s">
        <v>3085</v>
      </c>
      <c r="M863" s="31"/>
      <c r="N863" s="14" t="s">
        <v>84</v>
      </c>
      <c r="O863" s="31"/>
      <c r="Q863" s="36"/>
      <c r="R863" s="36"/>
      <c r="S863" s="36"/>
      <c r="T863" s="36"/>
      <c r="V863" s="31"/>
    </row>
    <row r="864">
      <c r="A864" s="14" t="s">
        <v>736</v>
      </c>
      <c r="B864" s="351" t="s">
        <v>3366</v>
      </c>
      <c r="C864" s="50" t="s">
        <v>1337</v>
      </c>
      <c r="D864" s="50" t="s">
        <v>40</v>
      </c>
      <c r="E864" s="348" t="str">
        <f t="shared" si="740"/>
        <v>mayo 2026</v>
      </c>
      <c r="F864" s="349">
        <v>46171.0</v>
      </c>
      <c r="G864" s="24">
        <f t="shared" ref="G864:H864" si="870">F864</f>
        <v>46171</v>
      </c>
      <c r="H864" s="26">
        <f t="shared" si="870"/>
        <v>46171</v>
      </c>
      <c r="I864" s="50" t="s">
        <v>90</v>
      </c>
      <c r="K864" s="436"/>
      <c r="L864" s="29" t="s">
        <v>3085</v>
      </c>
      <c r="M864" s="31"/>
      <c r="N864" s="14" t="s">
        <v>84</v>
      </c>
      <c r="O864" s="31"/>
      <c r="Q864" s="36"/>
      <c r="R864" s="36"/>
      <c r="S864" s="36"/>
      <c r="T864" s="36"/>
      <c r="V864" s="31"/>
    </row>
    <row r="865">
      <c r="A865" s="14" t="s">
        <v>736</v>
      </c>
      <c r="B865" s="351" t="s">
        <v>3367</v>
      </c>
      <c r="C865" s="50" t="s">
        <v>1340</v>
      </c>
      <c r="D865" s="50" t="s">
        <v>40</v>
      </c>
      <c r="E865" s="348" t="str">
        <f t="shared" si="740"/>
        <v>agosto 2026</v>
      </c>
      <c r="F865" s="349">
        <v>46261.0</v>
      </c>
      <c r="G865" s="24">
        <f t="shared" ref="G865:H865" si="871">F865</f>
        <v>46261</v>
      </c>
      <c r="H865" s="26">
        <f t="shared" si="871"/>
        <v>46261</v>
      </c>
      <c r="I865" s="50" t="s">
        <v>90</v>
      </c>
      <c r="K865" s="435"/>
      <c r="L865" s="29" t="s">
        <v>3085</v>
      </c>
      <c r="M865" s="31"/>
      <c r="N865" s="14" t="s">
        <v>84</v>
      </c>
      <c r="O865" s="31"/>
      <c r="Q865" s="36"/>
      <c r="R865" s="36"/>
      <c r="S865" s="36"/>
      <c r="T865" s="36"/>
      <c r="V865" s="31"/>
    </row>
    <row r="866">
      <c r="A866" s="14" t="s">
        <v>736</v>
      </c>
      <c r="B866" s="351" t="s">
        <v>3368</v>
      </c>
      <c r="C866" s="50" t="s">
        <v>1344</v>
      </c>
      <c r="D866" s="50" t="s">
        <v>40</v>
      </c>
      <c r="E866" s="348" t="str">
        <f t="shared" si="740"/>
        <v>junio 2026</v>
      </c>
      <c r="F866" s="349">
        <v>46185.0</v>
      </c>
      <c r="G866" s="24">
        <f t="shared" ref="G866:H866" si="872">F866</f>
        <v>46185</v>
      </c>
      <c r="H866" s="26">
        <f t="shared" si="872"/>
        <v>46185</v>
      </c>
      <c r="I866" s="50" t="s">
        <v>90</v>
      </c>
      <c r="K866" s="436"/>
      <c r="L866" s="29" t="s">
        <v>3085</v>
      </c>
      <c r="M866" s="31"/>
      <c r="N866" s="14" t="s">
        <v>84</v>
      </c>
      <c r="O866" s="31"/>
      <c r="Q866" s="36"/>
      <c r="R866" s="36"/>
      <c r="S866" s="36"/>
      <c r="T866" s="36"/>
      <c r="V866" s="31"/>
    </row>
    <row r="867">
      <c r="A867" s="14" t="s">
        <v>736</v>
      </c>
      <c r="B867" s="351" t="s">
        <v>3369</v>
      </c>
      <c r="C867" s="50" t="s">
        <v>1341</v>
      </c>
      <c r="D867" s="50" t="s">
        <v>40</v>
      </c>
      <c r="E867" s="348" t="str">
        <f t="shared" si="740"/>
        <v>mayo 2026</v>
      </c>
      <c r="F867" s="349">
        <v>46170.0</v>
      </c>
      <c r="G867" s="24">
        <f t="shared" ref="G867:H867" si="873">F867</f>
        <v>46170</v>
      </c>
      <c r="H867" s="26">
        <f t="shared" si="873"/>
        <v>46170</v>
      </c>
      <c r="I867" s="50" t="s">
        <v>90</v>
      </c>
      <c r="K867" s="435"/>
      <c r="L867" s="29" t="s">
        <v>3085</v>
      </c>
      <c r="M867" s="31"/>
      <c r="N867" s="14" t="s">
        <v>84</v>
      </c>
      <c r="O867" s="31"/>
      <c r="Q867" s="36"/>
      <c r="R867" s="36"/>
      <c r="S867" s="36"/>
      <c r="T867" s="36"/>
      <c r="V867" s="31"/>
    </row>
    <row r="868">
      <c r="A868" s="14" t="s">
        <v>736</v>
      </c>
      <c r="B868" s="351" t="s">
        <v>3370</v>
      </c>
      <c r="C868" s="50" t="s">
        <v>1342</v>
      </c>
      <c r="D868" s="50" t="s">
        <v>40</v>
      </c>
      <c r="E868" s="348" t="str">
        <f t="shared" si="740"/>
        <v>junio 2026</v>
      </c>
      <c r="F868" s="349">
        <v>46189.0</v>
      </c>
      <c r="G868" s="24">
        <f t="shared" ref="G868:H868" si="874">F868</f>
        <v>46189</v>
      </c>
      <c r="H868" s="26">
        <f t="shared" si="874"/>
        <v>46189</v>
      </c>
      <c r="I868" s="50" t="s">
        <v>90</v>
      </c>
      <c r="K868" s="436"/>
      <c r="L868" s="29" t="s">
        <v>3085</v>
      </c>
      <c r="M868" s="31"/>
      <c r="N868" s="14" t="s">
        <v>84</v>
      </c>
      <c r="O868" s="31"/>
      <c r="Q868" s="36"/>
      <c r="R868" s="36"/>
      <c r="S868" s="36"/>
      <c r="T868" s="36"/>
      <c r="V868" s="31"/>
    </row>
    <row r="869">
      <c r="A869" s="14" t="s">
        <v>736</v>
      </c>
      <c r="B869" s="351" t="s">
        <v>3371</v>
      </c>
      <c r="C869" s="50" t="s">
        <v>1347</v>
      </c>
      <c r="D869" s="50" t="s">
        <v>40</v>
      </c>
      <c r="E869" s="348" t="str">
        <f t="shared" si="740"/>
        <v>junio 2026</v>
      </c>
      <c r="F869" s="349">
        <v>46175.0</v>
      </c>
      <c r="G869" s="24">
        <f t="shared" ref="G869:H869" si="875">F869</f>
        <v>46175</v>
      </c>
      <c r="H869" s="26">
        <f t="shared" si="875"/>
        <v>46175</v>
      </c>
      <c r="I869" s="50" t="s">
        <v>90</v>
      </c>
      <c r="K869" s="435"/>
      <c r="L869" s="29" t="s">
        <v>3085</v>
      </c>
      <c r="M869" s="31"/>
      <c r="N869" s="14" t="s">
        <v>84</v>
      </c>
      <c r="O869" s="31"/>
      <c r="Q869" s="36"/>
      <c r="R869" s="36"/>
      <c r="S869" s="36"/>
      <c r="T869" s="36"/>
      <c r="V869" s="31"/>
    </row>
    <row r="870">
      <c r="A870" s="14" t="s">
        <v>736</v>
      </c>
      <c r="B870" s="351" t="s">
        <v>3372</v>
      </c>
      <c r="C870" s="50" t="s">
        <v>1348</v>
      </c>
      <c r="D870" s="50" t="s">
        <v>40</v>
      </c>
      <c r="E870" s="348" t="str">
        <f t="shared" si="740"/>
        <v>junio 2026</v>
      </c>
      <c r="F870" s="349">
        <v>46175.0</v>
      </c>
      <c r="G870" s="24">
        <f t="shared" ref="G870:H870" si="876">F870</f>
        <v>46175</v>
      </c>
      <c r="H870" s="26">
        <f t="shared" si="876"/>
        <v>46175</v>
      </c>
      <c r="I870" s="50" t="s">
        <v>90</v>
      </c>
      <c r="K870" s="436"/>
      <c r="L870" s="29" t="s">
        <v>3085</v>
      </c>
      <c r="M870" s="31"/>
      <c r="N870" s="14" t="s">
        <v>84</v>
      </c>
      <c r="O870" s="31"/>
      <c r="Q870" s="36"/>
      <c r="R870" s="36"/>
      <c r="S870" s="36"/>
      <c r="T870" s="36"/>
      <c r="V870" s="31"/>
    </row>
    <row r="871">
      <c r="A871" s="14" t="s">
        <v>736</v>
      </c>
      <c r="B871" s="351" t="s">
        <v>3373</v>
      </c>
      <c r="C871" s="50" t="s">
        <v>1349</v>
      </c>
      <c r="D871" s="50" t="s">
        <v>40</v>
      </c>
      <c r="E871" s="348" t="str">
        <f t="shared" si="740"/>
        <v>junio 2026</v>
      </c>
      <c r="F871" s="349">
        <v>46175.0</v>
      </c>
      <c r="G871" s="24">
        <f t="shared" ref="G871:H871" si="877">F871</f>
        <v>46175</v>
      </c>
      <c r="H871" s="26">
        <f t="shared" si="877"/>
        <v>46175</v>
      </c>
      <c r="I871" s="50" t="s">
        <v>90</v>
      </c>
      <c r="K871" s="435"/>
      <c r="L871" s="29" t="s">
        <v>3085</v>
      </c>
      <c r="M871" s="31"/>
      <c r="N871" s="14" t="s">
        <v>84</v>
      </c>
      <c r="O871" s="31"/>
      <c r="Q871" s="36"/>
      <c r="R871" s="36"/>
      <c r="S871" s="36"/>
      <c r="T871" s="36"/>
      <c r="V871" s="31"/>
    </row>
    <row r="872">
      <c r="A872" s="14" t="s">
        <v>736</v>
      </c>
      <c r="B872" s="351" t="s">
        <v>3374</v>
      </c>
      <c r="C872" s="50" t="s">
        <v>1350</v>
      </c>
      <c r="D872" s="50" t="s">
        <v>40</v>
      </c>
      <c r="E872" s="348" t="str">
        <f t="shared" si="740"/>
        <v>mayo 2026</v>
      </c>
      <c r="F872" s="349">
        <v>46171.0</v>
      </c>
      <c r="G872" s="24">
        <f t="shared" ref="G872:H872" si="878">F872</f>
        <v>46171</v>
      </c>
      <c r="H872" s="26">
        <f t="shared" si="878"/>
        <v>46171</v>
      </c>
      <c r="I872" s="50" t="s">
        <v>90</v>
      </c>
      <c r="K872" s="436"/>
      <c r="L872" s="29" t="s">
        <v>3085</v>
      </c>
      <c r="M872" s="31"/>
      <c r="N872" s="14" t="s">
        <v>84</v>
      </c>
      <c r="O872" s="31"/>
      <c r="Q872" s="36"/>
      <c r="R872" s="36"/>
      <c r="S872" s="36"/>
      <c r="T872" s="36"/>
      <c r="V872" s="31"/>
    </row>
    <row r="873">
      <c r="A873" s="14" t="s">
        <v>736</v>
      </c>
      <c r="B873" s="351" t="s">
        <v>3375</v>
      </c>
      <c r="C873" s="50" t="s">
        <v>1353</v>
      </c>
      <c r="D873" s="50" t="s">
        <v>40</v>
      </c>
      <c r="E873" s="348" t="str">
        <f t="shared" si="740"/>
        <v>mayo 2026</v>
      </c>
      <c r="F873" s="349">
        <v>46171.0</v>
      </c>
      <c r="G873" s="24">
        <f t="shared" ref="G873:H873" si="879">F873</f>
        <v>46171</v>
      </c>
      <c r="H873" s="26">
        <f t="shared" si="879"/>
        <v>46171</v>
      </c>
      <c r="I873" s="50" t="s">
        <v>90</v>
      </c>
      <c r="K873" s="435"/>
      <c r="L873" s="29" t="s">
        <v>3085</v>
      </c>
      <c r="M873" s="31"/>
      <c r="N873" s="14" t="s">
        <v>84</v>
      </c>
      <c r="O873" s="31"/>
      <c r="Q873" s="36"/>
      <c r="R873" s="36"/>
      <c r="S873" s="36"/>
      <c r="T873" s="36"/>
      <c r="V873" s="31"/>
    </row>
    <row r="874">
      <c r="A874" s="14" t="s">
        <v>736</v>
      </c>
      <c r="B874" s="351" t="s">
        <v>3376</v>
      </c>
      <c r="C874" s="50" t="s">
        <v>1354</v>
      </c>
      <c r="D874" s="50" t="s">
        <v>40</v>
      </c>
      <c r="E874" s="348" t="str">
        <f t="shared" si="740"/>
        <v>junio 2026</v>
      </c>
      <c r="F874" s="349">
        <v>46175.0</v>
      </c>
      <c r="G874" s="24">
        <f t="shared" ref="G874:H874" si="880">F874</f>
        <v>46175</v>
      </c>
      <c r="H874" s="26">
        <f t="shared" si="880"/>
        <v>46175</v>
      </c>
      <c r="I874" s="50" t="s">
        <v>90</v>
      </c>
      <c r="K874" s="436"/>
      <c r="L874" s="29" t="s">
        <v>3085</v>
      </c>
      <c r="M874" s="31"/>
      <c r="N874" s="14" t="s">
        <v>84</v>
      </c>
      <c r="O874" s="31"/>
      <c r="Q874" s="36"/>
      <c r="R874" s="36"/>
      <c r="S874" s="36"/>
      <c r="T874" s="36"/>
      <c r="V874" s="31"/>
    </row>
    <row r="875">
      <c r="A875" s="14" t="s">
        <v>736</v>
      </c>
      <c r="B875" s="351" t="s">
        <v>3377</v>
      </c>
      <c r="C875" s="50" t="s">
        <v>1355</v>
      </c>
      <c r="D875" s="50" t="s">
        <v>40</v>
      </c>
      <c r="E875" s="348" t="str">
        <f t="shared" si="740"/>
        <v>junio 2026</v>
      </c>
      <c r="F875" s="349">
        <v>46175.0</v>
      </c>
      <c r="G875" s="24">
        <f t="shared" ref="G875:H875" si="881">F875</f>
        <v>46175</v>
      </c>
      <c r="H875" s="26">
        <f t="shared" si="881"/>
        <v>46175</v>
      </c>
      <c r="I875" s="50" t="s">
        <v>90</v>
      </c>
      <c r="K875" s="435"/>
      <c r="L875" s="29" t="s">
        <v>3085</v>
      </c>
      <c r="M875" s="31"/>
      <c r="N875" s="14" t="s">
        <v>84</v>
      </c>
      <c r="O875" s="31"/>
      <c r="Q875" s="36"/>
      <c r="R875" s="36"/>
      <c r="S875" s="36"/>
      <c r="T875" s="36"/>
      <c r="V875" s="31"/>
    </row>
    <row r="876">
      <c r="A876" s="14" t="s">
        <v>736</v>
      </c>
      <c r="B876" s="351" t="s">
        <v>3378</v>
      </c>
      <c r="C876" s="50" t="s">
        <v>1356</v>
      </c>
      <c r="D876" s="50" t="s">
        <v>40</v>
      </c>
      <c r="E876" s="348" t="str">
        <f t="shared" si="740"/>
        <v>junio 2026</v>
      </c>
      <c r="F876" s="349">
        <v>46175.0</v>
      </c>
      <c r="G876" s="24">
        <f t="shared" ref="G876:H876" si="882">F876</f>
        <v>46175</v>
      </c>
      <c r="H876" s="26">
        <f t="shared" si="882"/>
        <v>46175</v>
      </c>
      <c r="I876" s="50" t="s">
        <v>90</v>
      </c>
      <c r="K876" s="436"/>
      <c r="L876" s="29" t="s">
        <v>3085</v>
      </c>
      <c r="M876" s="31"/>
      <c r="N876" s="14" t="s">
        <v>84</v>
      </c>
      <c r="O876" s="31"/>
      <c r="Q876" s="36"/>
      <c r="R876" s="36"/>
      <c r="S876" s="36"/>
      <c r="T876" s="36"/>
      <c r="V876" s="31"/>
    </row>
    <row r="877">
      <c r="A877" s="14" t="s">
        <v>736</v>
      </c>
      <c r="B877" s="351" t="s">
        <v>3379</v>
      </c>
      <c r="C877" s="50" t="s">
        <v>1359</v>
      </c>
      <c r="D877" s="50" t="s">
        <v>40</v>
      </c>
      <c r="E877" s="348" t="str">
        <f t="shared" si="740"/>
        <v>junio 2026</v>
      </c>
      <c r="F877" s="349">
        <v>46175.0</v>
      </c>
      <c r="G877" s="24">
        <f t="shared" ref="G877:H877" si="883">F877</f>
        <v>46175</v>
      </c>
      <c r="H877" s="26">
        <f t="shared" si="883"/>
        <v>46175</v>
      </c>
      <c r="I877" s="50" t="s">
        <v>90</v>
      </c>
      <c r="K877" s="435"/>
      <c r="L877" s="29" t="s">
        <v>3085</v>
      </c>
      <c r="M877" s="31"/>
      <c r="N877" s="14" t="s">
        <v>84</v>
      </c>
      <c r="O877" s="31"/>
      <c r="Q877" s="36"/>
      <c r="R877" s="36"/>
      <c r="S877" s="36"/>
      <c r="T877" s="36"/>
      <c r="V877" s="31"/>
    </row>
    <row r="878">
      <c r="A878" s="37" t="s">
        <v>66</v>
      </c>
      <c r="B878" s="179"/>
      <c r="C878" s="382" t="s">
        <v>3380</v>
      </c>
      <c r="D878" s="382" t="s">
        <v>40</v>
      </c>
      <c r="E878" s="444">
        <v>46163.0</v>
      </c>
      <c r="F878" s="386"/>
      <c r="G878" s="24" t="str">
        <f t="shared" ref="G878:H878" si="884">F878</f>
        <v/>
      </c>
      <c r="H878" s="26" t="str">
        <f t="shared" si="884"/>
        <v/>
      </c>
      <c r="I878" s="14" t="s">
        <v>1865</v>
      </c>
      <c r="K878" s="88"/>
      <c r="L878" s="29" t="s">
        <v>3382</v>
      </c>
      <c r="M878" s="14"/>
      <c r="N878" s="14" t="s">
        <v>84</v>
      </c>
      <c r="O878" s="14" t="s">
        <v>40</v>
      </c>
      <c r="P878" s="14" t="s">
        <v>3383</v>
      </c>
      <c r="Q878" s="36"/>
      <c r="R878" s="36"/>
      <c r="S878" s="36"/>
      <c r="T878" s="36"/>
      <c r="V878" s="31"/>
    </row>
    <row r="879">
      <c r="A879" s="14" t="s">
        <v>117</v>
      </c>
      <c r="B879" s="445" t="s">
        <v>3461</v>
      </c>
      <c r="C879" s="379" t="s">
        <v>1820</v>
      </c>
      <c r="D879" s="379" t="s">
        <v>40</v>
      </c>
      <c r="E879" s="380" t="str">
        <f t="shared" ref="E879:E1113" si="886">TEXT(F879, "mmmm yyyy")
</f>
        <v>junio 2026</v>
      </c>
      <c r="F879" s="381">
        <v>46183.0</v>
      </c>
      <c r="G879" s="24">
        <f t="shared" ref="G879:H879" si="885">F879</f>
        <v>46183</v>
      </c>
      <c r="H879" s="26">
        <f t="shared" si="885"/>
        <v>46183</v>
      </c>
      <c r="I879" s="14" t="s">
        <v>90</v>
      </c>
      <c r="K879" s="27">
        <v>3.0E8</v>
      </c>
      <c r="L879" s="29" t="s">
        <v>2590</v>
      </c>
      <c r="M879" s="31"/>
      <c r="N879" s="14" t="s">
        <v>84</v>
      </c>
      <c r="O879" s="14" t="s">
        <v>40</v>
      </c>
      <c r="Q879" s="36"/>
      <c r="R879" s="36"/>
      <c r="S879" s="36"/>
      <c r="T879" s="36"/>
      <c r="V879" s="31"/>
    </row>
    <row r="880">
      <c r="A880" s="14" t="s">
        <v>736</v>
      </c>
      <c r="B880" s="351" t="s">
        <v>3384</v>
      </c>
      <c r="C880" s="50" t="s">
        <v>1360</v>
      </c>
      <c r="D880" s="50"/>
      <c r="E880" s="348" t="str">
        <f t="shared" si="886"/>
        <v>julio 2026</v>
      </c>
      <c r="F880" s="349">
        <v>46206.0</v>
      </c>
      <c r="G880" s="24">
        <f t="shared" ref="G880:H880" si="887">F880</f>
        <v>46206</v>
      </c>
      <c r="H880" s="26">
        <f t="shared" si="887"/>
        <v>46206</v>
      </c>
      <c r="I880" s="50" t="s">
        <v>90</v>
      </c>
      <c r="K880" s="27"/>
      <c r="L880" s="29" t="s">
        <v>3085</v>
      </c>
      <c r="M880" s="31"/>
      <c r="N880" s="14" t="s">
        <v>84</v>
      </c>
      <c r="O880" s="31"/>
      <c r="Q880" s="36"/>
      <c r="R880" s="36"/>
      <c r="S880" s="36"/>
      <c r="T880" s="36"/>
      <c r="V880" s="31"/>
    </row>
    <row r="881">
      <c r="A881" s="14" t="s">
        <v>736</v>
      </c>
      <c r="B881" s="351" t="s">
        <v>3385</v>
      </c>
      <c r="C881" s="50" t="s">
        <v>1361</v>
      </c>
      <c r="D881" s="50"/>
      <c r="E881" s="348" t="str">
        <f t="shared" si="886"/>
        <v>junio 2026</v>
      </c>
      <c r="F881" s="349">
        <v>46179.0</v>
      </c>
      <c r="G881" s="24">
        <f t="shared" ref="G881:H881" si="888">F881</f>
        <v>46179</v>
      </c>
      <c r="H881" s="26">
        <f t="shared" si="888"/>
        <v>46179</v>
      </c>
      <c r="I881" s="50" t="s">
        <v>90</v>
      </c>
      <c r="K881" s="27"/>
      <c r="L881" s="29" t="s">
        <v>3085</v>
      </c>
      <c r="M881" s="31"/>
      <c r="N881" s="14" t="s">
        <v>84</v>
      </c>
      <c r="O881" s="31"/>
      <c r="Q881" s="36"/>
      <c r="R881" s="36"/>
      <c r="S881" s="36"/>
      <c r="T881" s="36"/>
      <c r="V881" s="31"/>
    </row>
    <row r="882">
      <c r="A882" s="14" t="s">
        <v>736</v>
      </c>
      <c r="B882" s="351" t="s">
        <v>3386</v>
      </c>
      <c r="C882" s="50" t="s">
        <v>1365</v>
      </c>
      <c r="D882" s="50"/>
      <c r="E882" s="348" t="str">
        <f t="shared" si="886"/>
        <v>junio 2026</v>
      </c>
      <c r="F882" s="349">
        <v>46175.0</v>
      </c>
      <c r="G882" s="24">
        <f t="shared" ref="G882:H882" si="889">F882</f>
        <v>46175</v>
      </c>
      <c r="H882" s="26">
        <f t="shared" si="889"/>
        <v>46175</v>
      </c>
      <c r="I882" s="50" t="s">
        <v>90</v>
      </c>
      <c r="K882" s="435"/>
      <c r="L882" s="29" t="s">
        <v>3085</v>
      </c>
      <c r="M882" s="31"/>
      <c r="N882" s="14" t="s">
        <v>84</v>
      </c>
      <c r="O882" s="31"/>
      <c r="Q882" s="36"/>
      <c r="R882" s="36"/>
      <c r="S882" s="36"/>
      <c r="T882" s="36"/>
      <c r="V882" s="31"/>
    </row>
    <row r="883">
      <c r="A883" s="14" t="s">
        <v>736</v>
      </c>
      <c r="B883" s="351" t="s">
        <v>3387</v>
      </c>
      <c r="C883" s="50" t="s">
        <v>1366</v>
      </c>
      <c r="D883" s="50"/>
      <c r="E883" s="348" t="str">
        <f t="shared" si="886"/>
        <v>junio 2026</v>
      </c>
      <c r="F883" s="349">
        <v>46185.0</v>
      </c>
      <c r="G883" s="24">
        <f t="shared" ref="G883:H883" si="890">F883</f>
        <v>46185</v>
      </c>
      <c r="H883" s="26">
        <f t="shared" si="890"/>
        <v>46185</v>
      </c>
      <c r="I883" s="50" t="s">
        <v>90</v>
      </c>
      <c r="K883" s="436"/>
      <c r="L883" s="29" t="s">
        <v>3085</v>
      </c>
      <c r="M883" s="31"/>
      <c r="N883" s="14" t="s">
        <v>84</v>
      </c>
      <c r="O883" s="31"/>
      <c r="Q883" s="36"/>
      <c r="R883" s="36"/>
      <c r="S883" s="36"/>
      <c r="T883" s="36"/>
      <c r="V883" s="31"/>
    </row>
    <row r="884">
      <c r="A884" s="14" t="s">
        <v>736</v>
      </c>
      <c r="B884" s="351" t="s">
        <v>3388</v>
      </c>
      <c r="C884" s="50" t="s">
        <v>1368</v>
      </c>
      <c r="D884" s="50"/>
      <c r="E884" s="348" t="str">
        <f t="shared" si="886"/>
        <v>junio 2026</v>
      </c>
      <c r="F884" s="349">
        <v>46185.0</v>
      </c>
      <c r="G884" s="24">
        <f t="shared" ref="G884:H884" si="891">F884</f>
        <v>46185</v>
      </c>
      <c r="H884" s="26">
        <f t="shared" si="891"/>
        <v>46185</v>
      </c>
      <c r="I884" s="50" t="s">
        <v>90</v>
      </c>
      <c r="K884" s="435"/>
      <c r="L884" s="29" t="s">
        <v>3085</v>
      </c>
      <c r="M884" s="31"/>
      <c r="N884" s="14" t="s">
        <v>84</v>
      </c>
      <c r="O884" s="31"/>
      <c r="Q884" s="36"/>
      <c r="R884" s="36"/>
      <c r="S884" s="36"/>
      <c r="T884" s="36"/>
      <c r="V884" s="31"/>
    </row>
    <row r="885">
      <c r="A885" s="14" t="s">
        <v>736</v>
      </c>
      <c r="B885" s="351" t="s">
        <v>3389</v>
      </c>
      <c r="C885" s="50" t="s">
        <v>1369</v>
      </c>
      <c r="D885" s="50"/>
      <c r="E885" s="348" t="str">
        <f t="shared" si="886"/>
        <v>junio 2026</v>
      </c>
      <c r="F885" s="349">
        <v>46184.0</v>
      </c>
      <c r="G885" s="24">
        <f t="shared" ref="G885:H885" si="892">F885</f>
        <v>46184</v>
      </c>
      <c r="H885" s="26">
        <f t="shared" si="892"/>
        <v>46184</v>
      </c>
      <c r="I885" s="50" t="s">
        <v>90</v>
      </c>
      <c r="K885" s="436"/>
      <c r="L885" s="29" t="s">
        <v>3085</v>
      </c>
      <c r="M885" s="31"/>
      <c r="N885" s="14" t="s">
        <v>84</v>
      </c>
      <c r="O885" s="31"/>
      <c r="Q885" s="36"/>
      <c r="R885" s="36"/>
      <c r="S885" s="36"/>
      <c r="T885" s="36"/>
      <c r="V885" s="31"/>
    </row>
    <row r="886">
      <c r="A886" s="14" t="s">
        <v>736</v>
      </c>
      <c r="B886" s="351" t="s">
        <v>3390</v>
      </c>
      <c r="C886" s="50" t="s">
        <v>1371</v>
      </c>
      <c r="D886" s="50"/>
      <c r="E886" s="348" t="str">
        <f t="shared" si="886"/>
        <v>junio 2026</v>
      </c>
      <c r="F886" s="349">
        <v>46184.0</v>
      </c>
      <c r="G886" s="24">
        <f t="shared" ref="G886:H886" si="893">F886</f>
        <v>46184</v>
      </c>
      <c r="H886" s="26">
        <f t="shared" si="893"/>
        <v>46184</v>
      </c>
      <c r="I886" s="50" t="s">
        <v>90</v>
      </c>
      <c r="K886" s="435"/>
      <c r="L886" s="29" t="s">
        <v>3085</v>
      </c>
      <c r="M886" s="31"/>
      <c r="N886" s="14" t="s">
        <v>84</v>
      </c>
      <c r="O886" s="31"/>
      <c r="Q886" s="36"/>
      <c r="R886" s="36"/>
      <c r="S886" s="36"/>
      <c r="T886" s="36"/>
      <c r="V886" s="31"/>
    </row>
    <row r="887">
      <c r="A887" s="14" t="s">
        <v>736</v>
      </c>
      <c r="B887" s="351" t="s">
        <v>3391</v>
      </c>
      <c r="C887" s="50" t="s">
        <v>1372</v>
      </c>
      <c r="D887" s="50"/>
      <c r="E887" s="348" t="str">
        <f t="shared" si="886"/>
        <v>junio 2026</v>
      </c>
      <c r="F887" s="349">
        <v>46186.0</v>
      </c>
      <c r="G887" s="24">
        <f t="shared" ref="G887:H887" si="894">F887</f>
        <v>46186</v>
      </c>
      <c r="H887" s="26">
        <f t="shared" si="894"/>
        <v>46186</v>
      </c>
      <c r="I887" s="50" t="s">
        <v>90</v>
      </c>
      <c r="K887" s="436"/>
      <c r="L887" s="29" t="s">
        <v>3085</v>
      </c>
      <c r="M887" s="31"/>
      <c r="N887" s="14" t="s">
        <v>84</v>
      </c>
      <c r="O887" s="31"/>
      <c r="Q887" s="36"/>
      <c r="R887" s="36"/>
      <c r="S887" s="36"/>
      <c r="T887" s="36"/>
      <c r="V887" s="31"/>
    </row>
    <row r="888">
      <c r="A888" s="14" t="s">
        <v>736</v>
      </c>
      <c r="B888" s="351" t="s">
        <v>3392</v>
      </c>
      <c r="C888" s="50" t="s">
        <v>1375</v>
      </c>
      <c r="D888" s="50"/>
      <c r="E888" s="348" t="str">
        <f t="shared" si="886"/>
        <v>junio 2026</v>
      </c>
      <c r="F888" s="349">
        <v>46186.0</v>
      </c>
      <c r="G888" s="24">
        <f t="shared" ref="G888:H888" si="895">F888</f>
        <v>46186</v>
      </c>
      <c r="H888" s="26">
        <f t="shared" si="895"/>
        <v>46186</v>
      </c>
      <c r="I888" s="50" t="s">
        <v>90</v>
      </c>
      <c r="K888" s="435"/>
      <c r="L888" s="29" t="s">
        <v>3085</v>
      </c>
      <c r="M888" s="31"/>
      <c r="N888" s="14" t="s">
        <v>84</v>
      </c>
      <c r="O888" s="31"/>
      <c r="Q888" s="36"/>
      <c r="R888" s="36"/>
      <c r="S888" s="36"/>
      <c r="T888" s="36"/>
      <c r="V888" s="31"/>
    </row>
    <row r="889">
      <c r="A889" s="14" t="s">
        <v>736</v>
      </c>
      <c r="B889" s="351" t="s">
        <v>3393</v>
      </c>
      <c r="C889" s="50" t="s">
        <v>1376</v>
      </c>
      <c r="D889" s="50"/>
      <c r="E889" s="348" t="str">
        <f t="shared" si="886"/>
        <v>junio 2026</v>
      </c>
      <c r="F889" s="349">
        <v>46186.0</v>
      </c>
      <c r="G889" s="24">
        <f t="shared" ref="G889:H889" si="896">F889</f>
        <v>46186</v>
      </c>
      <c r="H889" s="26">
        <f t="shared" si="896"/>
        <v>46186</v>
      </c>
      <c r="I889" s="50" t="s">
        <v>90</v>
      </c>
      <c r="K889" s="436"/>
      <c r="L889" s="29" t="s">
        <v>3085</v>
      </c>
      <c r="M889" s="31"/>
      <c r="N889" s="14" t="s">
        <v>84</v>
      </c>
      <c r="O889" s="31"/>
      <c r="Q889" s="36"/>
      <c r="R889" s="36"/>
      <c r="S889" s="36"/>
      <c r="T889" s="36"/>
      <c r="V889" s="31"/>
    </row>
    <row r="890">
      <c r="A890" s="14" t="s">
        <v>736</v>
      </c>
      <c r="B890" s="351" t="s">
        <v>3394</v>
      </c>
      <c r="C890" s="50" t="s">
        <v>1377</v>
      </c>
      <c r="D890" s="50"/>
      <c r="E890" s="348" t="str">
        <f t="shared" si="886"/>
        <v>junio 2026</v>
      </c>
      <c r="F890" s="349">
        <v>46186.0</v>
      </c>
      <c r="G890" s="24">
        <f t="shared" ref="G890:H890" si="897">F890</f>
        <v>46186</v>
      </c>
      <c r="H890" s="26">
        <f t="shared" si="897"/>
        <v>46186</v>
      </c>
      <c r="I890" s="50" t="s">
        <v>90</v>
      </c>
      <c r="K890" s="435"/>
      <c r="L890" s="29" t="s">
        <v>3085</v>
      </c>
      <c r="M890" s="31"/>
      <c r="N890" s="14" t="s">
        <v>84</v>
      </c>
      <c r="O890" s="31"/>
      <c r="Q890" s="36"/>
      <c r="R890" s="36"/>
      <c r="S890" s="36"/>
      <c r="T890" s="36"/>
      <c r="V890" s="31"/>
    </row>
    <row r="891">
      <c r="A891" s="14" t="s">
        <v>736</v>
      </c>
      <c r="B891" s="351" t="s">
        <v>3395</v>
      </c>
      <c r="C891" s="50" t="s">
        <v>1380</v>
      </c>
      <c r="D891" s="50"/>
      <c r="E891" s="348" t="str">
        <f t="shared" si="886"/>
        <v>junio 2026</v>
      </c>
      <c r="F891" s="349">
        <v>46175.0</v>
      </c>
      <c r="G891" s="24">
        <f t="shared" ref="G891:H891" si="898">F891</f>
        <v>46175</v>
      </c>
      <c r="H891" s="26">
        <f t="shared" si="898"/>
        <v>46175</v>
      </c>
      <c r="I891" s="50" t="s">
        <v>90</v>
      </c>
      <c r="K891" s="436"/>
      <c r="L891" s="29" t="s">
        <v>3085</v>
      </c>
      <c r="M891" s="31"/>
      <c r="N891" s="14" t="s">
        <v>84</v>
      </c>
      <c r="O891" s="31"/>
      <c r="Q891" s="36"/>
      <c r="R891" s="36"/>
      <c r="S891" s="36"/>
      <c r="T891" s="36"/>
      <c r="V891" s="31"/>
    </row>
    <row r="892">
      <c r="A892" s="14" t="s">
        <v>736</v>
      </c>
      <c r="B892" s="351" t="s">
        <v>3396</v>
      </c>
      <c r="C892" s="50" t="s">
        <v>1381</v>
      </c>
      <c r="D892" s="50"/>
      <c r="E892" s="348" t="str">
        <f t="shared" si="886"/>
        <v>junio 2026</v>
      </c>
      <c r="F892" s="349">
        <v>46182.0</v>
      </c>
      <c r="G892" s="24">
        <f t="shared" ref="G892:H892" si="899">F892</f>
        <v>46182</v>
      </c>
      <c r="H892" s="26">
        <f t="shared" si="899"/>
        <v>46182</v>
      </c>
      <c r="I892" s="50" t="s">
        <v>90</v>
      </c>
      <c r="K892" s="435"/>
      <c r="L892" s="29" t="s">
        <v>3085</v>
      </c>
      <c r="M892" s="31"/>
      <c r="N892" s="14" t="s">
        <v>84</v>
      </c>
      <c r="O892" s="31"/>
      <c r="Q892" s="36"/>
      <c r="R892" s="36"/>
      <c r="S892" s="36"/>
      <c r="T892" s="36"/>
      <c r="V892" s="31"/>
    </row>
    <row r="893">
      <c r="A893" s="14" t="s">
        <v>736</v>
      </c>
      <c r="B893" s="351" t="s">
        <v>3397</v>
      </c>
      <c r="C893" s="50" t="s">
        <v>1383</v>
      </c>
      <c r="D893" s="50"/>
      <c r="E893" s="348" t="str">
        <f t="shared" si="886"/>
        <v>junio 2026</v>
      </c>
      <c r="F893" s="349">
        <v>46179.0</v>
      </c>
      <c r="G893" s="24">
        <f t="shared" ref="G893:H893" si="900">F893</f>
        <v>46179</v>
      </c>
      <c r="H893" s="26">
        <f t="shared" si="900"/>
        <v>46179</v>
      </c>
      <c r="I893" s="50" t="s">
        <v>90</v>
      </c>
      <c r="K893" s="436"/>
      <c r="L893" s="29" t="s">
        <v>3085</v>
      </c>
      <c r="M893" s="31"/>
      <c r="N893" s="14" t="s">
        <v>84</v>
      </c>
      <c r="O893" s="31"/>
      <c r="Q893" s="36"/>
      <c r="R893" s="36"/>
      <c r="S893" s="36"/>
      <c r="T893" s="36"/>
      <c r="V893" s="31"/>
    </row>
    <row r="894">
      <c r="A894" s="14" t="s">
        <v>736</v>
      </c>
      <c r="B894" s="351" t="s">
        <v>3398</v>
      </c>
      <c r="C894" s="50" t="s">
        <v>1385</v>
      </c>
      <c r="D894" s="50"/>
      <c r="E894" s="348" t="str">
        <f t="shared" si="886"/>
        <v>junio 2026</v>
      </c>
      <c r="F894" s="349">
        <v>46179.0</v>
      </c>
      <c r="G894" s="24">
        <f t="shared" ref="G894:H894" si="901">F894</f>
        <v>46179</v>
      </c>
      <c r="H894" s="26">
        <f t="shared" si="901"/>
        <v>46179</v>
      </c>
      <c r="I894" s="50" t="s">
        <v>90</v>
      </c>
      <c r="K894" s="435"/>
      <c r="L894" s="29" t="s">
        <v>3085</v>
      </c>
      <c r="M894" s="31"/>
      <c r="N894" s="14" t="s">
        <v>84</v>
      </c>
      <c r="O894" s="31"/>
      <c r="Q894" s="36"/>
      <c r="R894" s="36"/>
      <c r="S894" s="36"/>
      <c r="T894" s="36"/>
      <c r="V894" s="31"/>
    </row>
    <row r="895">
      <c r="A895" s="14" t="s">
        <v>736</v>
      </c>
      <c r="B895" s="351" t="s">
        <v>3399</v>
      </c>
      <c r="C895" s="50" t="s">
        <v>1387</v>
      </c>
      <c r="D895" s="50"/>
      <c r="E895" s="348" t="str">
        <f t="shared" si="886"/>
        <v>junio 2026</v>
      </c>
      <c r="F895" s="349">
        <v>46179.0</v>
      </c>
      <c r="G895" s="24">
        <f t="shared" ref="G895:H895" si="902">F895</f>
        <v>46179</v>
      </c>
      <c r="H895" s="26">
        <f t="shared" si="902"/>
        <v>46179</v>
      </c>
      <c r="I895" s="50" t="s">
        <v>90</v>
      </c>
      <c r="K895" s="436"/>
      <c r="L895" s="29" t="s">
        <v>3085</v>
      </c>
      <c r="M895" s="31"/>
      <c r="N895" s="14" t="s">
        <v>84</v>
      </c>
      <c r="O895" s="31"/>
      <c r="Q895" s="36"/>
      <c r="R895" s="36"/>
      <c r="S895" s="36"/>
      <c r="T895" s="36"/>
      <c r="V895" s="31"/>
    </row>
    <row r="896">
      <c r="A896" s="14" t="s">
        <v>736</v>
      </c>
      <c r="B896" s="351" t="s">
        <v>3400</v>
      </c>
      <c r="C896" s="50" t="s">
        <v>1389</v>
      </c>
      <c r="D896" s="50"/>
      <c r="E896" s="348" t="str">
        <f t="shared" si="886"/>
        <v>julio 2026</v>
      </c>
      <c r="F896" s="349">
        <v>46212.0</v>
      </c>
      <c r="G896" s="24">
        <f t="shared" ref="G896:H896" si="903">F896</f>
        <v>46212</v>
      </c>
      <c r="H896" s="26">
        <f t="shared" si="903"/>
        <v>46212</v>
      </c>
      <c r="I896" s="50" t="s">
        <v>90</v>
      </c>
      <c r="K896" s="435"/>
      <c r="L896" s="29" t="s">
        <v>3085</v>
      </c>
      <c r="M896" s="31"/>
      <c r="N896" s="14" t="s">
        <v>84</v>
      </c>
      <c r="O896" s="31"/>
      <c r="Q896" s="36"/>
      <c r="R896" s="36"/>
      <c r="S896" s="36"/>
      <c r="T896" s="36"/>
      <c r="V896" s="31"/>
    </row>
    <row r="897">
      <c r="A897" s="14" t="s">
        <v>736</v>
      </c>
      <c r="B897" s="351" t="s">
        <v>3401</v>
      </c>
      <c r="C897" s="50" t="s">
        <v>1390</v>
      </c>
      <c r="D897" s="50"/>
      <c r="E897" s="348" t="str">
        <f t="shared" si="886"/>
        <v>julio 2026</v>
      </c>
      <c r="F897" s="349">
        <v>46212.0</v>
      </c>
      <c r="G897" s="24">
        <f t="shared" ref="G897:H897" si="904">F897</f>
        <v>46212</v>
      </c>
      <c r="H897" s="26">
        <f t="shared" si="904"/>
        <v>46212</v>
      </c>
      <c r="I897" s="50" t="s">
        <v>90</v>
      </c>
      <c r="K897" s="436"/>
      <c r="L897" s="29" t="s">
        <v>3085</v>
      </c>
      <c r="M897" s="31"/>
      <c r="N897" s="14" t="s">
        <v>84</v>
      </c>
      <c r="O897" s="31"/>
      <c r="Q897" s="36"/>
      <c r="R897" s="36"/>
      <c r="S897" s="36"/>
      <c r="T897" s="36"/>
      <c r="V897" s="31"/>
    </row>
    <row r="898">
      <c r="A898" s="14" t="s">
        <v>736</v>
      </c>
      <c r="B898" s="351" t="s">
        <v>3402</v>
      </c>
      <c r="C898" s="50" t="s">
        <v>1391</v>
      </c>
      <c r="D898" s="50"/>
      <c r="E898" s="348" t="str">
        <f t="shared" si="886"/>
        <v>julio 2026</v>
      </c>
      <c r="F898" s="349">
        <v>46218.0</v>
      </c>
      <c r="G898" s="24">
        <f t="shared" ref="G898:H898" si="905">F898</f>
        <v>46218</v>
      </c>
      <c r="H898" s="26">
        <f t="shared" si="905"/>
        <v>46218</v>
      </c>
      <c r="I898" s="50" t="s">
        <v>90</v>
      </c>
      <c r="K898" s="435"/>
      <c r="L898" s="29" t="s">
        <v>3085</v>
      </c>
      <c r="M898" s="31"/>
      <c r="N898" s="14" t="s">
        <v>84</v>
      </c>
      <c r="O898" s="31"/>
      <c r="Q898" s="36"/>
      <c r="R898" s="36"/>
      <c r="S898" s="36"/>
      <c r="T898" s="36"/>
      <c r="V898" s="31"/>
    </row>
    <row r="899">
      <c r="A899" s="14" t="s">
        <v>736</v>
      </c>
      <c r="B899" s="351" t="s">
        <v>3403</v>
      </c>
      <c r="C899" s="50" t="s">
        <v>1392</v>
      </c>
      <c r="D899" s="50"/>
      <c r="E899" s="348" t="str">
        <f t="shared" si="886"/>
        <v>junio 2026</v>
      </c>
      <c r="F899" s="349">
        <v>46179.0</v>
      </c>
      <c r="G899" s="24">
        <f t="shared" ref="G899:H899" si="906">F899</f>
        <v>46179</v>
      </c>
      <c r="H899" s="26">
        <f t="shared" si="906"/>
        <v>46179</v>
      </c>
      <c r="I899" s="50" t="s">
        <v>90</v>
      </c>
      <c r="K899" s="436"/>
      <c r="L899" s="29" t="s">
        <v>3085</v>
      </c>
      <c r="M899" s="31"/>
      <c r="N899" s="14" t="s">
        <v>84</v>
      </c>
      <c r="O899" s="31"/>
      <c r="Q899" s="36"/>
      <c r="R899" s="36"/>
      <c r="S899" s="36"/>
      <c r="T899" s="36"/>
      <c r="V899" s="31"/>
    </row>
    <row r="900">
      <c r="A900" s="14" t="s">
        <v>736</v>
      </c>
      <c r="B900" s="351" t="s">
        <v>3404</v>
      </c>
      <c r="C900" s="50" t="s">
        <v>1394</v>
      </c>
      <c r="D900" s="50"/>
      <c r="E900" s="348" t="str">
        <f t="shared" si="886"/>
        <v>junio 2026</v>
      </c>
      <c r="F900" s="349">
        <v>46182.0</v>
      </c>
      <c r="G900" s="24">
        <f t="shared" ref="G900:H900" si="907">F900</f>
        <v>46182</v>
      </c>
      <c r="H900" s="26">
        <f t="shared" si="907"/>
        <v>46182</v>
      </c>
      <c r="I900" s="50" t="s">
        <v>90</v>
      </c>
      <c r="K900" s="435"/>
      <c r="L900" s="29" t="s">
        <v>3085</v>
      </c>
      <c r="M900" s="31"/>
      <c r="N900" s="14" t="s">
        <v>84</v>
      </c>
      <c r="O900" s="31"/>
      <c r="Q900" s="36"/>
      <c r="R900" s="36"/>
      <c r="S900" s="36"/>
      <c r="T900" s="36"/>
      <c r="V900" s="31"/>
    </row>
    <row r="901">
      <c r="A901" s="14" t="s">
        <v>736</v>
      </c>
      <c r="B901" s="351" t="s">
        <v>3404</v>
      </c>
      <c r="C901" s="50" t="s">
        <v>1396</v>
      </c>
      <c r="D901" s="50"/>
      <c r="E901" s="348" t="str">
        <f t="shared" si="886"/>
        <v>junio 2026</v>
      </c>
      <c r="F901" s="349">
        <v>46182.0</v>
      </c>
      <c r="G901" s="24">
        <f t="shared" ref="G901:H901" si="908">F901</f>
        <v>46182</v>
      </c>
      <c r="H901" s="26">
        <f t="shared" si="908"/>
        <v>46182</v>
      </c>
      <c r="I901" s="50" t="s">
        <v>90</v>
      </c>
      <c r="K901" s="436"/>
      <c r="L901" s="29" t="s">
        <v>3085</v>
      </c>
      <c r="M901" s="31"/>
      <c r="N901" s="14" t="s">
        <v>84</v>
      </c>
      <c r="O901" s="31"/>
      <c r="Q901" s="36"/>
      <c r="R901" s="36"/>
      <c r="S901" s="36"/>
      <c r="T901" s="36"/>
      <c r="V901" s="31"/>
    </row>
    <row r="902">
      <c r="A902" s="14" t="s">
        <v>736</v>
      </c>
      <c r="B902" s="351" t="s">
        <v>3405</v>
      </c>
      <c r="C902" s="50" t="s">
        <v>1397</v>
      </c>
      <c r="D902" s="50"/>
      <c r="E902" s="348" t="str">
        <f t="shared" si="886"/>
        <v>junio 2026</v>
      </c>
      <c r="F902" s="349">
        <v>46199.0</v>
      </c>
      <c r="G902" s="24">
        <f t="shared" ref="G902:H902" si="909">F902</f>
        <v>46199</v>
      </c>
      <c r="H902" s="26">
        <f t="shared" si="909"/>
        <v>46199</v>
      </c>
      <c r="I902" s="50" t="s">
        <v>90</v>
      </c>
      <c r="K902" s="435"/>
      <c r="L902" s="29" t="s">
        <v>3085</v>
      </c>
      <c r="M902" s="31"/>
      <c r="N902" s="14" t="s">
        <v>84</v>
      </c>
      <c r="O902" s="31"/>
      <c r="Q902" s="36"/>
      <c r="R902" s="36"/>
      <c r="S902" s="36"/>
      <c r="T902" s="36"/>
      <c r="V902" s="31"/>
    </row>
    <row r="903">
      <c r="A903" s="14" t="s">
        <v>736</v>
      </c>
      <c r="B903" s="351" t="s">
        <v>3406</v>
      </c>
      <c r="C903" s="50" t="s">
        <v>1398</v>
      </c>
      <c r="D903" s="50"/>
      <c r="E903" s="348" t="str">
        <f t="shared" si="886"/>
        <v>diciembre 1899</v>
      </c>
      <c r="F903" s="349"/>
      <c r="G903" s="24" t="str">
        <f t="shared" ref="G903:H903" si="910">F903</f>
        <v/>
      </c>
      <c r="H903" s="26" t="str">
        <f t="shared" si="910"/>
        <v/>
      </c>
      <c r="I903" s="50" t="s">
        <v>90</v>
      </c>
      <c r="K903" s="436"/>
      <c r="L903" s="29" t="s">
        <v>3085</v>
      </c>
      <c r="M903" s="31"/>
      <c r="N903" s="14" t="s">
        <v>84</v>
      </c>
      <c r="O903" s="31"/>
      <c r="Q903" s="36"/>
      <c r="R903" s="36"/>
      <c r="S903" s="36"/>
      <c r="T903" s="36"/>
      <c r="V903" s="31"/>
    </row>
    <row r="904">
      <c r="A904" s="14" t="s">
        <v>736</v>
      </c>
      <c r="B904" s="351" t="s">
        <v>3407</v>
      </c>
      <c r="C904" s="50" t="s">
        <v>1400</v>
      </c>
      <c r="D904" s="50"/>
      <c r="E904" s="348" t="str">
        <f t="shared" si="886"/>
        <v>junio 2026</v>
      </c>
      <c r="F904" s="349">
        <v>46179.0</v>
      </c>
      <c r="G904" s="24">
        <f t="shared" ref="G904:H904" si="911">F904</f>
        <v>46179</v>
      </c>
      <c r="H904" s="26">
        <f t="shared" si="911"/>
        <v>46179</v>
      </c>
      <c r="I904" s="50" t="s">
        <v>90</v>
      </c>
      <c r="K904" s="435"/>
      <c r="L904" s="29" t="s">
        <v>3085</v>
      </c>
      <c r="M904" s="31"/>
      <c r="N904" s="14" t="s">
        <v>84</v>
      </c>
      <c r="O904" s="31"/>
      <c r="Q904" s="36"/>
      <c r="R904" s="36"/>
      <c r="S904" s="36"/>
      <c r="T904" s="36"/>
      <c r="V904" s="31"/>
    </row>
    <row r="905">
      <c r="A905" s="14" t="s">
        <v>736</v>
      </c>
      <c r="B905" s="351" t="s">
        <v>3408</v>
      </c>
      <c r="C905" s="50" t="s">
        <v>1404</v>
      </c>
      <c r="D905" s="50"/>
      <c r="E905" s="348" t="str">
        <f t="shared" si="886"/>
        <v>junio 2026</v>
      </c>
      <c r="F905" s="349">
        <v>46186.0</v>
      </c>
      <c r="G905" s="24">
        <f t="shared" ref="G905:H905" si="912">F905</f>
        <v>46186</v>
      </c>
      <c r="H905" s="26">
        <f t="shared" si="912"/>
        <v>46186</v>
      </c>
      <c r="I905" s="50" t="s">
        <v>90</v>
      </c>
      <c r="K905" s="436"/>
      <c r="L905" s="29" t="s">
        <v>3085</v>
      </c>
      <c r="M905" s="31"/>
      <c r="N905" s="14" t="s">
        <v>84</v>
      </c>
      <c r="O905" s="31"/>
      <c r="Q905" s="36"/>
      <c r="R905" s="36"/>
      <c r="S905" s="36"/>
      <c r="T905" s="36"/>
      <c r="V905" s="31"/>
    </row>
    <row r="906">
      <c r="A906" s="14" t="s">
        <v>736</v>
      </c>
      <c r="B906" s="351" t="s">
        <v>3409</v>
      </c>
      <c r="C906" s="50" t="s">
        <v>1405</v>
      </c>
      <c r="D906" s="50"/>
      <c r="E906" s="348" t="str">
        <f t="shared" si="886"/>
        <v>junio 2026</v>
      </c>
      <c r="F906" s="349">
        <v>46186.0</v>
      </c>
      <c r="G906" s="24">
        <f t="shared" ref="G906:H906" si="913">F906</f>
        <v>46186</v>
      </c>
      <c r="H906" s="26">
        <f t="shared" si="913"/>
        <v>46186</v>
      </c>
      <c r="I906" s="50" t="s">
        <v>90</v>
      </c>
      <c r="K906" s="435"/>
      <c r="L906" s="29" t="s">
        <v>3085</v>
      </c>
      <c r="M906" s="31"/>
      <c r="N906" s="14" t="s">
        <v>84</v>
      </c>
      <c r="O906" s="31"/>
      <c r="Q906" s="36"/>
      <c r="R906" s="36"/>
      <c r="S906" s="36"/>
      <c r="T906" s="36"/>
      <c r="V906" s="31"/>
    </row>
    <row r="907">
      <c r="A907" s="14" t="s">
        <v>736</v>
      </c>
      <c r="B907" s="351" t="s">
        <v>3410</v>
      </c>
      <c r="C907" s="50" t="s">
        <v>1406</v>
      </c>
      <c r="D907" s="50"/>
      <c r="E907" s="348" t="str">
        <f t="shared" si="886"/>
        <v>junio 2026</v>
      </c>
      <c r="F907" s="349">
        <v>46184.0</v>
      </c>
      <c r="G907" s="24">
        <f t="shared" ref="G907:H907" si="914">F907</f>
        <v>46184</v>
      </c>
      <c r="H907" s="26">
        <f t="shared" si="914"/>
        <v>46184</v>
      </c>
      <c r="I907" s="50" t="s">
        <v>90</v>
      </c>
      <c r="K907" s="436"/>
      <c r="L907" s="29" t="s">
        <v>3085</v>
      </c>
      <c r="M907" s="31"/>
      <c r="N907" s="14" t="s">
        <v>84</v>
      </c>
      <c r="O907" s="31"/>
      <c r="Q907" s="36"/>
      <c r="R907" s="36"/>
      <c r="S907" s="36"/>
      <c r="T907" s="36"/>
      <c r="V907" s="31"/>
    </row>
    <row r="908">
      <c r="A908" s="14" t="s">
        <v>736</v>
      </c>
      <c r="B908" s="351" t="s">
        <v>3411</v>
      </c>
      <c r="C908" s="50" t="s">
        <v>1407</v>
      </c>
      <c r="D908" s="50"/>
      <c r="E908" s="348" t="str">
        <f t="shared" si="886"/>
        <v>junio 2026</v>
      </c>
      <c r="F908" s="349">
        <v>46184.0</v>
      </c>
      <c r="G908" s="24">
        <f t="shared" ref="G908:H908" si="915">F908</f>
        <v>46184</v>
      </c>
      <c r="H908" s="26">
        <f t="shared" si="915"/>
        <v>46184</v>
      </c>
      <c r="I908" s="50" t="s">
        <v>90</v>
      </c>
      <c r="K908" s="435"/>
      <c r="L908" s="29" t="s">
        <v>3085</v>
      </c>
      <c r="M908" s="31"/>
      <c r="N908" s="14" t="s">
        <v>84</v>
      </c>
      <c r="O908" s="31"/>
      <c r="Q908" s="36"/>
      <c r="R908" s="36"/>
      <c r="S908" s="36"/>
      <c r="T908" s="36"/>
      <c r="V908" s="31"/>
    </row>
    <row r="909">
      <c r="A909" s="14" t="s">
        <v>736</v>
      </c>
      <c r="B909" s="351" t="s">
        <v>3412</v>
      </c>
      <c r="C909" s="50" t="s">
        <v>1412</v>
      </c>
      <c r="D909" s="50"/>
      <c r="E909" s="348" t="str">
        <f t="shared" si="886"/>
        <v>junio 2026</v>
      </c>
      <c r="F909" s="349">
        <v>46184.0</v>
      </c>
      <c r="G909" s="24">
        <f t="shared" ref="G909:H909" si="916">F909</f>
        <v>46184</v>
      </c>
      <c r="H909" s="26">
        <f t="shared" si="916"/>
        <v>46184</v>
      </c>
      <c r="I909" s="50" t="s">
        <v>90</v>
      </c>
      <c r="K909" s="436"/>
      <c r="L909" s="29" t="s">
        <v>3085</v>
      </c>
      <c r="M909" s="31"/>
      <c r="N909" s="14" t="s">
        <v>84</v>
      </c>
      <c r="O909" s="31"/>
      <c r="Q909" s="36"/>
      <c r="R909" s="36"/>
      <c r="S909" s="36"/>
      <c r="T909" s="36"/>
      <c r="V909" s="31"/>
    </row>
    <row r="910">
      <c r="A910" s="14" t="s">
        <v>736</v>
      </c>
      <c r="B910" s="351" t="s">
        <v>3413</v>
      </c>
      <c r="C910" s="50" t="s">
        <v>1415</v>
      </c>
      <c r="D910" s="50"/>
      <c r="E910" s="348" t="str">
        <f t="shared" si="886"/>
        <v>junio 2026</v>
      </c>
      <c r="F910" s="349">
        <v>46184.0</v>
      </c>
      <c r="G910" s="24">
        <f t="shared" ref="G910:H910" si="917">F910</f>
        <v>46184</v>
      </c>
      <c r="H910" s="26">
        <f t="shared" si="917"/>
        <v>46184</v>
      </c>
      <c r="I910" s="50" t="s">
        <v>90</v>
      </c>
      <c r="K910" s="435"/>
      <c r="L910" s="29" t="s">
        <v>3085</v>
      </c>
      <c r="M910" s="31"/>
      <c r="N910" s="14" t="s">
        <v>84</v>
      </c>
      <c r="O910" s="31"/>
      <c r="Q910" s="36"/>
      <c r="R910" s="36"/>
      <c r="S910" s="36"/>
      <c r="T910" s="36"/>
      <c r="V910" s="31"/>
    </row>
    <row r="911">
      <c r="A911" s="14" t="s">
        <v>736</v>
      </c>
      <c r="B911" s="351" t="s">
        <v>3414</v>
      </c>
      <c r="C911" s="50" t="s">
        <v>1418</v>
      </c>
      <c r="D911" s="50"/>
      <c r="E911" s="348" t="str">
        <f t="shared" si="886"/>
        <v>junio 2026</v>
      </c>
      <c r="F911" s="349">
        <v>46185.0</v>
      </c>
      <c r="G911" s="24">
        <f t="shared" ref="G911:H911" si="918">F911</f>
        <v>46185</v>
      </c>
      <c r="H911" s="26">
        <f t="shared" si="918"/>
        <v>46185</v>
      </c>
      <c r="I911" s="50" t="s">
        <v>90</v>
      </c>
      <c r="K911" s="436"/>
      <c r="L911" s="29" t="s">
        <v>3085</v>
      </c>
      <c r="M911" s="31"/>
      <c r="N911" s="14" t="s">
        <v>84</v>
      </c>
      <c r="O911" s="31"/>
      <c r="Q911" s="36"/>
      <c r="R911" s="36"/>
      <c r="S911" s="36"/>
      <c r="T911" s="36"/>
      <c r="V911" s="31"/>
    </row>
    <row r="912">
      <c r="A912" s="14" t="s">
        <v>736</v>
      </c>
      <c r="B912" s="351" t="s">
        <v>3415</v>
      </c>
      <c r="C912" s="50" t="s">
        <v>1421</v>
      </c>
      <c r="D912" s="50"/>
      <c r="E912" s="348" t="str">
        <f t="shared" si="886"/>
        <v>junio 2026</v>
      </c>
      <c r="F912" s="349">
        <v>46185.0</v>
      </c>
      <c r="G912" s="24">
        <f t="shared" ref="G912:H912" si="919">F912</f>
        <v>46185</v>
      </c>
      <c r="H912" s="26">
        <f t="shared" si="919"/>
        <v>46185</v>
      </c>
      <c r="I912" s="50" t="s">
        <v>90</v>
      </c>
      <c r="K912" s="435"/>
      <c r="L912" s="29" t="s">
        <v>3085</v>
      </c>
      <c r="M912" s="31"/>
      <c r="N912" s="14" t="s">
        <v>84</v>
      </c>
      <c r="O912" s="31"/>
      <c r="Q912" s="36"/>
      <c r="R912" s="36"/>
      <c r="S912" s="36"/>
      <c r="T912" s="36"/>
      <c r="V912" s="31"/>
    </row>
    <row r="913">
      <c r="A913" s="14" t="s">
        <v>736</v>
      </c>
      <c r="B913" s="351" t="s">
        <v>3416</v>
      </c>
      <c r="C913" s="50" t="s">
        <v>1426</v>
      </c>
      <c r="D913" s="50"/>
      <c r="E913" s="348" t="str">
        <f t="shared" si="886"/>
        <v>junio 2026</v>
      </c>
      <c r="F913" s="349">
        <v>46183.0</v>
      </c>
      <c r="G913" s="24">
        <f t="shared" ref="G913:H913" si="920">F913</f>
        <v>46183</v>
      </c>
      <c r="H913" s="26">
        <f t="shared" si="920"/>
        <v>46183</v>
      </c>
      <c r="I913" s="50" t="s">
        <v>90</v>
      </c>
      <c r="K913" s="436"/>
      <c r="L913" s="29" t="s">
        <v>3085</v>
      </c>
      <c r="M913" s="31"/>
      <c r="N913" s="14" t="s">
        <v>84</v>
      </c>
      <c r="O913" s="31"/>
      <c r="Q913" s="36"/>
      <c r="R913" s="36"/>
      <c r="S913" s="36"/>
      <c r="T913" s="36"/>
      <c r="V913" s="31"/>
    </row>
    <row r="914">
      <c r="A914" s="14" t="s">
        <v>736</v>
      </c>
      <c r="B914" s="351" t="s">
        <v>3417</v>
      </c>
      <c r="C914" s="50" t="s">
        <v>1428</v>
      </c>
      <c r="D914" s="50"/>
      <c r="E914" s="348" t="str">
        <f t="shared" si="886"/>
        <v>junio 2026</v>
      </c>
      <c r="F914" s="349">
        <v>46183.0</v>
      </c>
      <c r="G914" s="24">
        <f t="shared" ref="G914:H914" si="921">F914</f>
        <v>46183</v>
      </c>
      <c r="H914" s="26">
        <f t="shared" si="921"/>
        <v>46183</v>
      </c>
      <c r="I914" s="50" t="s">
        <v>90</v>
      </c>
      <c r="K914" s="435"/>
      <c r="L914" s="29" t="s">
        <v>3085</v>
      </c>
      <c r="M914" s="31"/>
      <c r="N914" s="14" t="s">
        <v>84</v>
      </c>
      <c r="O914" s="31"/>
      <c r="Q914" s="36"/>
      <c r="R914" s="36"/>
      <c r="S914" s="36"/>
      <c r="T914" s="36"/>
      <c r="V914" s="31"/>
    </row>
    <row r="915">
      <c r="A915" s="14" t="s">
        <v>736</v>
      </c>
      <c r="B915" s="351" t="s">
        <v>3418</v>
      </c>
      <c r="C915" s="50" t="s">
        <v>1430</v>
      </c>
      <c r="D915" s="50"/>
      <c r="E915" s="348" t="str">
        <f t="shared" si="886"/>
        <v>junio 2026</v>
      </c>
      <c r="F915" s="349">
        <v>46183.0</v>
      </c>
      <c r="G915" s="24">
        <f t="shared" ref="G915:H915" si="922">F915</f>
        <v>46183</v>
      </c>
      <c r="H915" s="26">
        <f t="shared" si="922"/>
        <v>46183</v>
      </c>
      <c r="I915" s="50" t="s">
        <v>90</v>
      </c>
      <c r="K915" s="436"/>
      <c r="L915" s="29" t="s">
        <v>3085</v>
      </c>
      <c r="M915" s="31"/>
      <c r="N915" s="14" t="s">
        <v>84</v>
      </c>
      <c r="O915" s="31"/>
      <c r="Q915" s="36"/>
      <c r="R915" s="36"/>
      <c r="S915" s="36"/>
      <c r="T915" s="36"/>
      <c r="V915" s="31"/>
    </row>
    <row r="916">
      <c r="A916" s="14" t="s">
        <v>736</v>
      </c>
      <c r="B916" s="351" t="s">
        <v>3419</v>
      </c>
      <c r="C916" s="50" t="s">
        <v>1431</v>
      </c>
      <c r="D916" s="50"/>
      <c r="E916" s="348" t="str">
        <f t="shared" si="886"/>
        <v>junio 2026</v>
      </c>
      <c r="F916" s="349">
        <v>46186.0</v>
      </c>
      <c r="G916" s="24">
        <f t="shared" ref="G916:H916" si="923">F916</f>
        <v>46186</v>
      </c>
      <c r="H916" s="26">
        <f t="shared" si="923"/>
        <v>46186</v>
      </c>
      <c r="I916" s="50" t="s">
        <v>90</v>
      </c>
      <c r="K916" s="435"/>
      <c r="L916" s="29" t="s">
        <v>3085</v>
      </c>
      <c r="M916" s="31"/>
      <c r="N916" s="14" t="s">
        <v>84</v>
      </c>
      <c r="O916" s="31"/>
      <c r="Q916" s="36"/>
      <c r="R916" s="36"/>
      <c r="S916" s="36"/>
      <c r="T916" s="36"/>
      <c r="V916" s="31"/>
    </row>
    <row r="917">
      <c r="A917" s="14" t="s">
        <v>736</v>
      </c>
      <c r="B917" s="351" t="s">
        <v>3420</v>
      </c>
      <c r="C917" s="50" t="s">
        <v>1434</v>
      </c>
      <c r="D917" s="50"/>
      <c r="E917" s="348" t="str">
        <f t="shared" si="886"/>
        <v>junio 2026</v>
      </c>
      <c r="F917" s="349">
        <v>46196.0</v>
      </c>
      <c r="G917" s="24">
        <f t="shared" ref="G917:H917" si="924">F917</f>
        <v>46196</v>
      </c>
      <c r="H917" s="26">
        <f t="shared" si="924"/>
        <v>46196</v>
      </c>
      <c r="I917" s="50" t="s">
        <v>90</v>
      </c>
      <c r="K917" s="436"/>
      <c r="L917" s="29" t="s">
        <v>3085</v>
      </c>
      <c r="M917" s="31"/>
      <c r="N917" s="14" t="s">
        <v>84</v>
      </c>
      <c r="O917" s="31"/>
      <c r="Q917" s="36"/>
      <c r="R917" s="36"/>
      <c r="S917" s="36"/>
      <c r="T917" s="36"/>
      <c r="V917" s="31"/>
    </row>
    <row r="918">
      <c r="A918" s="14" t="s">
        <v>736</v>
      </c>
      <c r="B918" s="351" t="s">
        <v>3421</v>
      </c>
      <c r="C918" s="50" t="s">
        <v>1435</v>
      </c>
      <c r="D918" s="50"/>
      <c r="E918" s="348" t="str">
        <f t="shared" si="886"/>
        <v>junio 2026</v>
      </c>
      <c r="F918" s="349">
        <v>46188.0</v>
      </c>
      <c r="G918" s="24">
        <f t="shared" ref="G918:H918" si="925">F918</f>
        <v>46188</v>
      </c>
      <c r="H918" s="26">
        <f t="shared" si="925"/>
        <v>46188</v>
      </c>
      <c r="I918" s="50" t="s">
        <v>90</v>
      </c>
      <c r="K918" s="435"/>
      <c r="L918" s="29" t="s">
        <v>3085</v>
      </c>
      <c r="M918" s="31"/>
      <c r="N918" s="14" t="s">
        <v>84</v>
      </c>
      <c r="O918" s="31"/>
      <c r="Q918" s="36"/>
      <c r="R918" s="36"/>
      <c r="S918" s="36"/>
      <c r="T918" s="36"/>
      <c r="V918" s="31"/>
    </row>
    <row r="919">
      <c r="A919" s="14" t="s">
        <v>736</v>
      </c>
      <c r="B919" s="351" t="s">
        <v>3422</v>
      </c>
      <c r="C919" s="50" t="s">
        <v>1436</v>
      </c>
      <c r="D919" s="50"/>
      <c r="E919" s="348" t="str">
        <f t="shared" si="886"/>
        <v>junio 2026</v>
      </c>
      <c r="F919" s="349">
        <v>46186.0</v>
      </c>
      <c r="G919" s="24">
        <f t="shared" ref="G919:H919" si="926">F919</f>
        <v>46186</v>
      </c>
      <c r="H919" s="26">
        <f t="shared" si="926"/>
        <v>46186</v>
      </c>
      <c r="I919" s="50" t="s">
        <v>90</v>
      </c>
      <c r="K919" s="436"/>
      <c r="L919" s="29" t="s">
        <v>3085</v>
      </c>
      <c r="M919" s="31"/>
      <c r="N919" s="14" t="s">
        <v>84</v>
      </c>
      <c r="O919" s="31"/>
      <c r="Q919" s="36"/>
      <c r="R919" s="36"/>
      <c r="S919" s="36"/>
      <c r="T919" s="36"/>
      <c r="V919" s="31"/>
    </row>
    <row r="920">
      <c r="A920" s="14" t="s">
        <v>736</v>
      </c>
      <c r="B920" s="351" t="s">
        <v>3423</v>
      </c>
      <c r="C920" s="50" t="s">
        <v>1437</v>
      </c>
      <c r="D920" s="50"/>
      <c r="E920" s="348" t="str">
        <f t="shared" si="886"/>
        <v>junio 2026</v>
      </c>
      <c r="F920" s="349">
        <v>46189.0</v>
      </c>
      <c r="G920" s="24">
        <f t="shared" ref="G920:H920" si="927">F920</f>
        <v>46189</v>
      </c>
      <c r="H920" s="26">
        <f t="shared" si="927"/>
        <v>46189</v>
      </c>
      <c r="I920" s="50" t="s">
        <v>90</v>
      </c>
      <c r="K920" s="435"/>
      <c r="L920" s="29" t="s">
        <v>3085</v>
      </c>
      <c r="M920" s="31"/>
      <c r="N920" s="14" t="s">
        <v>84</v>
      </c>
      <c r="O920" s="31"/>
      <c r="Q920" s="36"/>
      <c r="R920" s="36"/>
      <c r="S920" s="36"/>
      <c r="T920" s="36"/>
      <c r="V920" s="31"/>
    </row>
    <row r="921">
      <c r="A921" s="14" t="s">
        <v>736</v>
      </c>
      <c r="B921" s="351" t="s">
        <v>3424</v>
      </c>
      <c r="C921" s="50" t="s">
        <v>1438</v>
      </c>
      <c r="D921" s="50"/>
      <c r="E921" s="348" t="str">
        <f t="shared" si="886"/>
        <v>junio 2026</v>
      </c>
      <c r="F921" s="349">
        <v>46185.0</v>
      </c>
      <c r="G921" s="24">
        <f t="shared" ref="G921:H921" si="928">F921</f>
        <v>46185</v>
      </c>
      <c r="H921" s="26">
        <f t="shared" si="928"/>
        <v>46185</v>
      </c>
      <c r="I921" s="50" t="s">
        <v>90</v>
      </c>
      <c r="K921" s="436"/>
      <c r="L921" s="29" t="s">
        <v>3085</v>
      </c>
      <c r="M921" s="31"/>
      <c r="N921" s="14" t="s">
        <v>84</v>
      </c>
      <c r="O921" s="31"/>
      <c r="Q921" s="36"/>
      <c r="R921" s="36"/>
      <c r="S921" s="36"/>
      <c r="T921" s="36"/>
      <c r="V921" s="31"/>
    </row>
    <row r="922">
      <c r="A922" s="14" t="s">
        <v>736</v>
      </c>
      <c r="B922" s="351" t="s">
        <v>3425</v>
      </c>
      <c r="C922" s="50" t="s">
        <v>1441</v>
      </c>
      <c r="D922" s="50"/>
      <c r="E922" s="348" t="str">
        <f t="shared" si="886"/>
        <v>junio 2026</v>
      </c>
      <c r="F922" s="349">
        <v>46185.0</v>
      </c>
      <c r="G922" s="24">
        <f t="shared" ref="G922:H922" si="929">F922</f>
        <v>46185</v>
      </c>
      <c r="H922" s="26">
        <f t="shared" si="929"/>
        <v>46185</v>
      </c>
      <c r="I922" s="50" t="s">
        <v>90</v>
      </c>
      <c r="K922" s="435"/>
      <c r="L922" s="29" t="s">
        <v>3085</v>
      </c>
      <c r="M922" s="31"/>
      <c r="N922" s="14" t="s">
        <v>84</v>
      </c>
      <c r="O922" s="31"/>
      <c r="Q922" s="36"/>
      <c r="R922" s="36"/>
      <c r="S922" s="36"/>
      <c r="T922" s="36"/>
      <c r="V922" s="31"/>
    </row>
    <row r="923">
      <c r="A923" s="14" t="s">
        <v>736</v>
      </c>
      <c r="B923" s="351" t="s">
        <v>3426</v>
      </c>
      <c r="C923" s="50" t="s">
        <v>1442</v>
      </c>
      <c r="D923" s="50"/>
      <c r="E923" s="348" t="str">
        <f t="shared" si="886"/>
        <v>junio 2026</v>
      </c>
      <c r="F923" s="349">
        <v>46185.0</v>
      </c>
      <c r="G923" s="24">
        <f t="shared" ref="G923:H923" si="930">F923</f>
        <v>46185</v>
      </c>
      <c r="H923" s="26">
        <f t="shared" si="930"/>
        <v>46185</v>
      </c>
      <c r="I923" s="50" t="s">
        <v>90</v>
      </c>
      <c r="K923" s="436"/>
      <c r="L923" s="29" t="s">
        <v>3085</v>
      </c>
      <c r="M923" s="31"/>
      <c r="N923" s="14" t="s">
        <v>84</v>
      </c>
      <c r="O923" s="31"/>
      <c r="Q923" s="36"/>
      <c r="R923" s="36"/>
      <c r="S923" s="36"/>
      <c r="T923" s="36"/>
      <c r="V923" s="31"/>
    </row>
    <row r="924">
      <c r="A924" s="14" t="s">
        <v>736</v>
      </c>
      <c r="B924" s="351" t="s">
        <v>3427</v>
      </c>
      <c r="C924" s="50" t="s">
        <v>1444</v>
      </c>
      <c r="D924" s="50"/>
      <c r="E924" s="348" t="str">
        <f t="shared" si="886"/>
        <v>junio 2026</v>
      </c>
      <c r="F924" s="349">
        <v>46185.0</v>
      </c>
      <c r="G924" s="24">
        <f t="shared" ref="G924:H924" si="931">F924</f>
        <v>46185</v>
      </c>
      <c r="H924" s="26">
        <f t="shared" si="931"/>
        <v>46185</v>
      </c>
      <c r="I924" s="50" t="s">
        <v>90</v>
      </c>
      <c r="K924" s="435"/>
      <c r="L924" s="29" t="s">
        <v>3085</v>
      </c>
      <c r="M924" s="31"/>
      <c r="N924" s="14" t="s">
        <v>84</v>
      </c>
      <c r="O924" s="31"/>
      <c r="Q924" s="36"/>
      <c r="R924" s="36"/>
      <c r="S924" s="36"/>
      <c r="T924" s="36"/>
      <c r="V924" s="31"/>
    </row>
    <row r="925">
      <c r="A925" s="14" t="s">
        <v>736</v>
      </c>
      <c r="B925" s="351" t="s">
        <v>3428</v>
      </c>
      <c r="C925" s="50" t="s">
        <v>1447</v>
      </c>
      <c r="D925" s="50"/>
      <c r="E925" s="348" t="str">
        <f t="shared" si="886"/>
        <v>junio 2026</v>
      </c>
      <c r="F925" s="349">
        <v>46185.0</v>
      </c>
      <c r="G925" s="24">
        <f t="shared" ref="G925:H925" si="932">F925</f>
        <v>46185</v>
      </c>
      <c r="H925" s="26">
        <f t="shared" si="932"/>
        <v>46185</v>
      </c>
      <c r="I925" s="50" t="s">
        <v>90</v>
      </c>
      <c r="K925" s="436"/>
      <c r="L925" s="29" t="s">
        <v>3085</v>
      </c>
      <c r="M925" s="31"/>
      <c r="N925" s="14" t="s">
        <v>84</v>
      </c>
      <c r="O925" s="31"/>
      <c r="Q925" s="36"/>
      <c r="R925" s="36"/>
      <c r="S925" s="36"/>
      <c r="T925" s="36"/>
      <c r="V925" s="31"/>
    </row>
    <row r="926">
      <c r="A926" s="14" t="s">
        <v>736</v>
      </c>
      <c r="B926" s="351" t="s">
        <v>3429</v>
      </c>
      <c r="C926" s="50" t="s">
        <v>1448</v>
      </c>
      <c r="D926" s="50"/>
      <c r="E926" s="348" t="str">
        <f t="shared" si="886"/>
        <v>junio 2026</v>
      </c>
      <c r="F926" s="349">
        <v>46185.0</v>
      </c>
      <c r="G926" s="24">
        <f t="shared" ref="G926:H926" si="933">F926</f>
        <v>46185</v>
      </c>
      <c r="H926" s="26">
        <f t="shared" si="933"/>
        <v>46185</v>
      </c>
      <c r="I926" s="50" t="s">
        <v>90</v>
      </c>
      <c r="K926" s="435"/>
      <c r="L926" s="29" t="s">
        <v>3085</v>
      </c>
      <c r="M926" s="31"/>
      <c r="N926" s="14" t="s">
        <v>84</v>
      </c>
      <c r="O926" s="31"/>
      <c r="Q926" s="36"/>
      <c r="R926" s="36"/>
      <c r="S926" s="36"/>
      <c r="T926" s="36"/>
      <c r="V926" s="31"/>
    </row>
    <row r="927">
      <c r="A927" s="14" t="s">
        <v>736</v>
      </c>
      <c r="B927" s="351" t="s">
        <v>3430</v>
      </c>
      <c r="C927" s="50" t="s">
        <v>1449</v>
      </c>
      <c r="D927" s="50"/>
      <c r="E927" s="348" t="str">
        <f t="shared" si="886"/>
        <v>junio 2026</v>
      </c>
      <c r="F927" s="349">
        <v>46186.0</v>
      </c>
      <c r="G927" s="24">
        <f t="shared" ref="G927:H927" si="934">F927</f>
        <v>46186</v>
      </c>
      <c r="H927" s="26">
        <f t="shared" si="934"/>
        <v>46186</v>
      </c>
      <c r="I927" s="50" t="s">
        <v>90</v>
      </c>
      <c r="K927" s="436"/>
      <c r="L927" s="29" t="s">
        <v>3085</v>
      </c>
      <c r="M927" s="31"/>
      <c r="N927" s="14" t="s">
        <v>84</v>
      </c>
      <c r="O927" s="31"/>
      <c r="Q927" s="36"/>
      <c r="R927" s="36"/>
      <c r="S927" s="36"/>
      <c r="T927" s="36"/>
      <c r="V927" s="31"/>
    </row>
    <row r="928">
      <c r="A928" s="14" t="s">
        <v>736</v>
      </c>
      <c r="B928" s="351" t="s">
        <v>3431</v>
      </c>
      <c r="C928" s="50" t="s">
        <v>1450</v>
      </c>
      <c r="D928" s="50"/>
      <c r="E928" s="348" t="str">
        <f t="shared" si="886"/>
        <v>junio 2026</v>
      </c>
      <c r="F928" s="349">
        <v>46192.0</v>
      </c>
      <c r="G928" s="24">
        <f t="shared" ref="G928:H928" si="935">F928</f>
        <v>46192</v>
      </c>
      <c r="H928" s="26">
        <f t="shared" si="935"/>
        <v>46192</v>
      </c>
      <c r="I928" s="50" t="s">
        <v>90</v>
      </c>
      <c r="K928" s="435"/>
      <c r="L928" s="29" t="s">
        <v>3085</v>
      </c>
      <c r="M928" s="31"/>
      <c r="N928" s="14" t="s">
        <v>84</v>
      </c>
      <c r="O928" s="31"/>
      <c r="Q928" s="36"/>
      <c r="R928" s="36"/>
      <c r="S928" s="36"/>
      <c r="T928" s="36"/>
      <c r="V928" s="31"/>
    </row>
    <row r="929">
      <c r="A929" s="14" t="s">
        <v>736</v>
      </c>
      <c r="B929" s="351" t="s">
        <v>3432</v>
      </c>
      <c r="C929" s="50" t="s">
        <v>1453</v>
      </c>
      <c r="D929" s="50"/>
      <c r="E929" s="348" t="str">
        <f t="shared" si="886"/>
        <v>junio 2026</v>
      </c>
      <c r="F929" s="349">
        <v>46186.0</v>
      </c>
      <c r="G929" s="24">
        <f t="shared" ref="G929:H929" si="936">F929</f>
        <v>46186</v>
      </c>
      <c r="H929" s="26">
        <f t="shared" si="936"/>
        <v>46186</v>
      </c>
      <c r="I929" s="50" t="s">
        <v>90</v>
      </c>
      <c r="K929" s="436"/>
      <c r="L929" s="29" t="s">
        <v>3085</v>
      </c>
      <c r="M929" s="31"/>
      <c r="N929" s="14" t="s">
        <v>84</v>
      </c>
      <c r="O929" s="31"/>
      <c r="Q929" s="36"/>
      <c r="R929" s="36"/>
      <c r="S929" s="36"/>
      <c r="T929" s="36"/>
      <c r="V929" s="31"/>
    </row>
    <row r="930">
      <c r="A930" s="14" t="s">
        <v>736</v>
      </c>
      <c r="B930" s="351" t="s">
        <v>3433</v>
      </c>
      <c r="C930" s="50" t="s">
        <v>1454</v>
      </c>
      <c r="D930" s="50"/>
      <c r="E930" s="348" t="str">
        <f t="shared" si="886"/>
        <v>junio 2026</v>
      </c>
      <c r="F930" s="349">
        <v>46186.0</v>
      </c>
      <c r="G930" s="24">
        <f t="shared" ref="G930:H930" si="937">F930</f>
        <v>46186</v>
      </c>
      <c r="H930" s="26">
        <f t="shared" si="937"/>
        <v>46186</v>
      </c>
      <c r="I930" s="50" t="s">
        <v>90</v>
      </c>
      <c r="K930" s="435"/>
      <c r="L930" s="29" t="s">
        <v>3085</v>
      </c>
      <c r="M930" s="31"/>
      <c r="N930" s="14" t="s">
        <v>84</v>
      </c>
      <c r="O930" s="31"/>
      <c r="Q930" s="36"/>
      <c r="R930" s="36"/>
      <c r="S930" s="36"/>
      <c r="T930" s="36"/>
      <c r="V930" s="31"/>
    </row>
    <row r="931">
      <c r="A931" s="14" t="s">
        <v>736</v>
      </c>
      <c r="B931" s="351" t="s">
        <v>3434</v>
      </c>
      <c r="C931" s="50" t="s">
        <v>1455</v>
      </c>
      <c r="D931" s="50"/>
      <c r="E931" s="348" t="str">
        <f t="shared" si="886"/>
        <v>junio 2026</v>
      </c>
      <c r="F931" s="349">
        <v>46186.0</v>
      </c>
      <c r="G931" s="24">
        <f t="shared" ref="G931:H931" si="938">F931</f>
        <v>46186</v>
      </c>
      <c r="H931" s="26">
        <f t="shared" si="938"/>
        <v>46186</v>
      </c>
      <c r="I931" s="50" t="s">
        <v>90</v>
      </c>
      <c r="K931" s="436"/>
      <c r="L931" s="29" t="s">
        <v>3085</v>
      </c>
      <c r="M931" s="31"/>
      <c r="N931" s="14" t="s">
        <v>84</v>
      </c>
      <c r="O931" s="31"/>
      <c r="Q931" s="36"/>
      <c r="R931" s="36"/>
      <c r="S931" s="36"/>
      <c r="T931" s="36"/>
      <c r="V931" s="31"/>
    </row>
    <row r="932">
      <c r="A932" s="14" t="s">
        <v>736</v>
      </c>
      <c r="B932" s="351" t="s">
        <v>3435</v>
      </c>
      <c r="C932" s="50" t="s">
        <v>1456</v>
      </c>
      <c r="D932" s="50"/>
      <c r="E932" s="348" t="str">
        <f t="shared" si="886"/>
        <v>junio 2026</v>
      </c>
      <c r="F932" s="349">
        <v>46185.0</v>
      </c>
      <c r="G932" s="24">
        <f t="shared" ref="G932:H932" si="939">F932</f>
        <v>46185</v>
      </c>
      <c r="H932" s="26">
        <f t="shared" si="939"/>
        <v>46185</v>
      </c>
      <c r="I932" s="50" t="s">
        <v>90</v>
      </c>
      <c r="K932" s="435"/>
      <c r="L932" s="29" t="s">
        <v>3085</v>
      </c>
      <c r="M932" s="31"/>
      <c r="N932" s="14" t="s">
        <v>84</v>
      </c>
      <c r="O932" s="31"/>
      <c r="Q932" s="36"/>
      <c r="R932" s="36"/>
      <c r="S932" s="36"/>
      <c r="T932" s="36"/>
      <c r="V932" s="31"/>
    </row>
    <row r="933">
      <c r="A933" s="14" t="s">
        <v>736</v>
      </c>
      <c r="B933" s="351" t="s">
        <v>3436</v>
      </c>
      <c r="C933" s="50" t="s">
        <v>1458</v>
      </c>
      <c r="D933" s="50"/>
      <c r="E933" s="348" t="str">
        <f t="shared" si="886"/>
        <v>junio 2026</v>
      </c>
      <c r="F933" s="349">
        <v>46185.0</v>
      </c>
      <c r="G933" s="24">
        <f t="shared" ref="G933:H933" si="940">F933</f>
        <v>46185</v>
      </c>
      <c r="H933" s="26">
        <f t="shared" si="940"/>
        <v>46185</v>
      </c>
      <c r="I933" s="50" t="s">
        <v>90</v>
      </c>
      <c r="K933" s="436"/>
      <c r="L933" s="29" t="s">
        <v>3085</v>
      </c>
      <c r="M933" s="31"/>
      <c r="N933" s="14" t="s">
        <v>84</v>
      </c>
      <c r="O933" s="31"/>
      <c r="Q933" s="36"/>
      <c r="R933" s="36"/>
      <c r="S933" s="36"/>
      <c r="T933" s="36"/>
      <c r="V933" s="31"/>
    </row>
    <row r="934">
      <c r="A934" s="14" t="s">
        <v>736</v>
      </c>
      <c r="B934" s="351" t="s">
        <v>3437</v>
      </c>
      <c r="C934" s="50" t="s">
        <v>1460</v>
      </c>
      <c r="D934" s="50"/>
      <c r="E934" s="348" t="str">
        <f t="shared" si="886"/>
        <v>junio 2026</v>
      </c>
      <c r="F934" s="349">
        <v>46190.0</v>
      </c>
      <c r="G934" s="24">
        <f t="shared" ref="G934:H934" si="941">F934</f>
        <v>46190</v>
      </c>
      <c r="H934" s="26">
        <f t="shared" si="941"/>
        <v>46190</v>
      </c>
      <c r="I934" s="50" t="s">
        <v>90</v>
      </c>
      <c r="K934" s="435"/>
      <c r="L934" s="29" t="s">
        <v>3085</v>
      </c>
      <c r="M934" s="31"/>
      <c r="N934" s="14" t="s">
        <v>84</v>
      </c>
      <c r="O934" s="31"/>
      <c r="Q934" s="36"/>
      <c r="R934" s="36"/>
      <c r="S934" s="36"/>
      <c r="T934" s="36"/>
      <c r="V934" s="31"/>
    </row>
    <row r="935">
      <c r="A935" s="14" t="s">
        <v>736</v>
      </c>
      <c r="B935" s="351" t="s">
        <v>3438</v>
      </c>
      <c r="C935" s="50" t="s">
        <v>1462</v>
      </c>
      <c r="D935" s="50"/>
      <c r="E935" s="348" t="str">
        <f t="shared" si="886"/>
        <v>junio 2026</v>
      </c>
      <c r="F935" s="349">
        <v>46199.0</v>
      </c>
      <c r="G935" s="24">
        <f t="shared" ref="G935:H935" si="942">F935</f>
        <v>46199</v>
      </c>
      <c r="H935" s="26">
        <f t="shared" si="942"/>
        <v>46199</v>
      </c>
      <c r="I935" s="50" t="s">
        <v>90</v>
      </c>
      <c r="K935" s="436"/>
      <c r="L935" s="29" t="s">
        <v>3085</v>
      </c>
      <c r="M935" s="31"/>
      <c r="N935" s="14" t="s">
        <v>84</v>
      </c>
      <c r="O935" s="31"/>
      <c r="Q935" s="36"/>
      <c r="R935" s="36"/>
      <c r="S935" s="36"/>
      <c r="T935" s="36"/>
      <c r="V935" s="31"/>
    </row>
    <row r="936">
      <c r="A936" s="14" t="s">
        <v>736</v>
      </c>
      <c r="B936" s="351" t="s">
        <v>3439</v>
      </c>
      <c r="C936" s="50" t="s">
        <v>1463</v>
      </c>
      <c r="D936" s="50"/>
      <c r="E936" s="348" t="str">
        <f t="shared" si="886"/>
        <v>septiembre 2026</v>
      </c>
      <c r="F936" s="349">
        <v>46280.0</v>
      </c>
      <c r="G936" s="24">
        <f t="shared" ref="G936:H936" si="943">F936</f>
        <v>46280</v>
      </c>
      <c r="H936" s="26">
        <f t="shared" si="943"/>
        <v>46280</v>
      </c>
      <c r="I936" s="50" t="s">
        <v>90</v>
      </c>
      <c r="K936" s="435"/>
      <c r="L936" s="29" t="s">
        <v>3085</v>
      </c>
      <c r="M936" s="31"/>
      <c r="N936" s="14" t="s">
        <v>84</v>
      </c>
      <c r="O936" s="31"/>
      <c r="Q936" s="36"/>
      <c r="R936" s="36"/>
      <c r="S936" s="36"/>
      <c r="T936" s="36"/>
      <c r="V936" s="31"/>
    </row>
    <row r="937">
      <c r="A937" s="14" t="s">
        <v>736</v>
      </c>
      <c r="B937" s="351" t="s">
        <v>3440</v>
      </c>
      <c r="C937" s="50" t="s">
        <v>1466</v>
      </c>
      <c r="D937" s="50"/>
      <c r="E937" s="348" t="str">
        <f t="shared" si="886"/>
        <v>junio 2026</v>
      </c>
      <c r="F937" s="349">
        <v>46193.0</v>
      </c>
      <c r="G937" s="24">
        <f t="shared" ref="G937:H937" si="944">F937</f>
        <v>46193</v>
      </c>
      <c r="H937" s="26">
        <f t="shared" si="944"/>
        <v>46193</v>
      </c>
      <c r="I937" s="50" t="s">
        <v>90</v>
      </c>
      <c r="K937" s="436"/>
      <c r="L937" s="29" t="s">
        <v>3085</v>
      </c>
      <c r="M937" s="31"/>
      <c r="N937" s="14" t="s">
        <v>84</v>
      </c>
      <c r="O937" s="31"/>
      <c r="Q937" s="36"/>
      <c r="R937" s="36"/>
      <c r="S937" s="36"/>
      <c r="T937" s="36"/>
      <c r="V937" s="31"/>
    </row>
    <row r="938">
      <c r="A938" s="14" t="s">
        <v>736</v>
      </c>
      <c r="B938" s="351" t="s">
        <v>3441</v>
      </c>
      <c r="C938" s="50" t="s">
        <v>1468</v>
      </c>
      <c r="D938" s="50"/>
      <c r="E938" s="348" t="str">
        <f t="shared" si="886"/>
        <v>junio 2026</v>
      </c>
      <c r="F938" s="349">
        <v>46190.0</v>
      </c>
      <c r="G938" s="24">
        <f t="shared" ref="G938:H938" si="945">F938</f>
        <v>46190</v>
      </c>
      <c r="H938" s="26">
        <f t="shared" si="945"/>
        <v>46190</v>
      </c>
      <c r="I938" s="50" t="s">
        <v>90</v>
      </c>
      <c r="K938" s="435"/>
      <c r="L938" s="29" t="s">
        <v>3085</v>
      </c>
      <c r="M938" s="31"/>
      <c r="N938" s="14" t="s">
        <v>84</v>
      </c>
      <c r="O938" s="31"/>
      <c r="Q938" s="36"/>
      <c r="R938" s="36"/>
      <c r="S938" s="36"/>
      <c r="T938" s="36"/>
      <c r="V938" s="31"/>
    </row>
    <row r="939">
      <c r="A939" s="14" t="s">
        <v>736</v>
      </c>
      <c r="B939" s="351" t="s">
        <v>3442</v>
      </c>
      <c r="C939" s="50" t="s">
        <v>1469</v>
      </c>
      <c r="D939" s="50"/>
      <c r="E939" s="348" t="str">
        <f t="shared" si="886"/>
        <v>junio 2026</v>
      </c>
      <c r="F939" s="349">
        <v>46190.0</v>
      </c>
      <c r="G939" s="24">
        <f t="shared" ref="G939:H939" si="946">F939</f>
        <v>46190</v>
      </c>
      <c r="H939" s="26">
        <f t="shared" si="946"/>
        <v>46190</v>
      </c>
      <c r="I939" s="50" t="s">
        <v>90</v>
      </c>
      <c r="K939" s="436"/>
      <c r="L939" s="29" t="s">
        <v>3085</v>
      </c>
      <c r="M939" s="31"/>
      <c r="N939" s="14" t="s">
        <v>84</v>
      </c>
      <c r="O939" s="31"/>
      <c r="Q939" s="36"/>
      <c r="R939" s="36"/>
      <c r="S939" s="36"/>
      <c r="T939" s="36"/>
      <c r="V939" s="31"/>
    </row>
    <row r="940">
      <c r="A940" s="14" t="s">
        <v>736</v>
      </c>
      <c r="B940" s="351" t="s">
        <v>3443</v>
      </c>
      <c r="C940" s="50" t="s">
        <v>1470</v>
      </c>
      <c r="D940" s="50"/>
      <c r="E940" s="348" t="str">
        <f t="shared" si="886"/>
        <v>junio 2026</v>
      </c>
      <c r="F940" s="349">
        <v>46190.0</v>
      </c>
      <c r="G940" s="24">
        <f t="shared" ref="G940:H940" si="947">F940</f>
        <v>46190</v>
      </c>
      <c r="H940" s="26">
        <f t="shared" si="947"/>
        <v>46190</v>
      </c>
      <c r="I940" s="50" t="s">
        <v>90</v>
      </c>
      <c r="K940" s="435"/>
      <c r="L940" s="29" t="s">
        <v>3085</v>
      </c>
      <c r="M940" s="31"/>
      <c r="N940" s="14" t="s">
        <v>84</v>
      </c>
      <c r="O940" s="31"/>
      <c r="Q940" s="36"/>
      <c r="R940" s="36"/>
      <c r="S940" s="36"/>
      <c r="T940" s="36"/>
      <c r="V940" s="31"/>
    </row>
    <row r="941">
      <c r="A941" s="14" t="s">
        <v>736</v>
      </c>
      <c r="B941" s="351" t="s">
        <v>3444</v>
      </c>
      <c r="C941" s="50" t="s">
        <v>1472</v>
      </c>
      <c r="D941" s="50"/>
      <c r="E941" s="348" t="str">
        <f t="shared" si="886"/>
        <v>junio 2026</v>
      </c>
      <c r="F941" s="349">
        <v>46190.0</v>
      </c>
      <c r="G941" s="24">
        <f t="shared" ref="G941:H941" si="948">F941</f>
        <v>46190</v>
      </c>
      <c r="H941" s="26">
        <f t="shared" si="948"/>
        <v>46190</v>
      </c>
      <c r="I941" s="50" t="s">
        <v>90</v>
      </c>
      <c r="K941" s="436"/>
      <c r="L941" s="29" t="s">
        <v>3085</v>
      </c>
      <c r="M941" s="31"/>
      <c r="N941" s="14" t="s">
        <v>84</v>
      </c>
      <c r="O941" s="31"/>
      <c r="Q941" s="36"/>
      <c r="R941" s="36"/>
      <c r="S941" s="36"/>
      <c r="T941" s="36"/>
      <c r="V941" s="31"/>
    </row>
    <row r="942">
      <c r="A942" s="14" t="s">
        <v>736</v>
      </c>
      <c r="B942" s="351" t="s">
        <v>3445</v>
      </c>
      <c r="C942" s="50" t="s">
        <v>1475</v>
      </c>
      <c r="D942" s="50"/>
      <c r="E942" s="348" t="str">
        <f t="shared" si="886"/>
        <v>junio 2026</v>
      </c>
      <c r="F942" s="349">
        <v>46190.0</v>
      </c>
      <c r="G942" s="24">
        <f t="shared" ref="G942:H942" si="949">F942</f>
        <v>46190</v>
      </c>
      <c r="H942" s="26">
        <f t="shared" si="949"/>
        <v>46190</v>
      </c>
      <c r="I942" s="50" t="s">
        <v>90</v>
      </c>
      <c r="K942" s="435"/>
      <c r="L942" s="29" t="s">
        <v>3085</v>
      </c>
      <c r="M942" s="31"/>
      <c r="N942" s="14" t="s">
        <v>84</v>
      </c>
      <c r="O942" s="31"/>
      <c r="Q942" s="36"/>
      <c r="R942" s="36"/>
      <c r="S942" s="36"/>
      <c r="T942" s="36"/>
      <c r="V942" s="31"/>
    </row>
    <row r="943">
      <c r="A943" s="14" t="s">
        <v>736</v>
      </c>
      <c r="B943" s="351" t="s">
        <v>3446</v>
      </c>
      <c r="C943" s="50" t="s">
        <v>1476</v>
      </c>
      <c r="D943" s="50"/>
      <c r="E943" s="348" t="str">
        <f t="shared" si="886"/>
        <v>julio 2026</v>
      </c>
      <c r="F943" s="349">
        <v>46211.0</v>
      </c>
      <c r="G943" s="24">
        <f t="shared" ref="G943:H943" si="950">F943</f>
        <v>46211</v>
      </c>
      <c r="H943" s="26">
        <f t="shared" si="950"/>
        <v>46211</v>
      </c>
      <c r="I943" s="50" t="s">
        <v>90</v>
      </c>
      <c r="K943" s="436"/>
      <c r="L943" s="29" t="s">
        <v>3085</v>
      </c>
      <c r="M943" s="31"/>
      <c r="N943" s="14" t="s">
        <v>84</v>
      </c>
      <c r="O943" s="31"/>
      <c r="Q943" s="36"/>
      <c r="R943" s="36"/>
      <c r="S943" s="36"/>
      <c r="T943" s="36"/>
      <c r="V943" s="31"/>
    </row>
    <row r="944">
      <c r="A944" s="14" t="s">
        <v>736</v>
      </c>
      <c r="B944" s="351" t="s">
        <v>3447</v>
      </c>
      <c r="C944" s="50" t="s">
        <v>1478</v>
      </c>
      <c r="D944" s="50"/>
      <c r="E944" s="348" t="str">
        <f t="shared" si="886"/>
        <v>julio 2026</v>
      </c>
      <c r="F944" s="349">
        <v>46211.0</v>
      </c>
      <c r="G944" s="24">
        <f t="shared" ref="G944:H944" si="951">F944</f>
        <v>46211</v>
      </c>
      <c r="H944" s="26">
        <f t="shared" si="951"/>
        <v>46211</v>
      </c>
      <c r="I944" s="50" t="s">
        <v>90</v>
      </c>
      <c r="K944" s="435"/>
      <c r="L944" s="29" t="s">
        <v>3085</v>
      </c>
      <c r="M944" s="31"/>
      <c r="N944" s="14" t="s">
        <v>84</v>
      </c>
      <c r="O944" s="31"/>
      <c r="Q944" s="36"/>
      <c r="R944" s="36"/>
      <c r="S944" s="36"/>
      <c r="T944" s="36"/>
      <c r="V944" s="31"/>
    </row>
    <row r="945">
      <c r="A945" s="14" t="s">
        <v>736</v>
      </c>
      <c r="B945" s="351" t="s">
        <v>3448</v>
      </c>
      <c r="C945" s="50" t="s">
        <v>1481</v>
      </c>
      <c r="D945" s="50"/>
      <c r="E945" s="348" t="str">
        <f t="shared" si="886"/>
        <v>junio 2026</v>
      </c>
      <c r="F945" s="349">
        <v>46191.0</v>
      </c>
      <c r="G945" s="24">
        <f t="shared" ref="G945:H945" si="952">F945</f>
        <v>46191</v>
      </c>
      <c r="H945" s="26">
        <f t="shared" si="952"/>
        <v>46191</v>
      </c>
      <c r="I945" s="50" t="s">
        <v>90</v>
      </c>
      <c r="K945" s="436"/>
      <c r="L945" s="29" t="s">
        <v>3085</v>
      </c>
      <c r="M945" s="31"/>
      <c r="N945" s="14" t="s">
        <v>84</v>
      </c>
      <c r="O945" s="31"/>
      <c r="Q945" s="36"/>
      <c r="R945" s="36"/>
      <c r="S945" s="36"/>
      <c r="T945" s="36"/>
      <c r="V945" s="31"/>
    </row>
    <row r="946">
      <c r="A946" s="14" t="s">
        <v>736</v>
      </c>
      <c r="B946" s="351" t="s">
        <v>3449</v>
      </c>
      <c r="C946" s="50" t="s">
        <v>1482</v>
      </c>
      <c r="D946" s="50"/>
      <c r="E946" s="348" t="str">
        <f t="shared" si="886"/>
        <v>junio 2026</v>
      </c>
      <c r="F946" s="349">
        <v>46193.0</v>
      </c>
      <c r="G946" s="24">
        <f t="shared" ref="G946:H946" si="953">F946</f>
        <v>46193</v>
      </c>
      <c r="H946" s="26">
        <f t="shared" si="953"/>
        <v>46193</v>
      </c>
      <c r="I946" s="50" t="s">
        <v>90</v>
      </c>
      <c r="K946" s="435"/>
      <c r="L946" s="29" t="s">
        <v>3085</v>
      </c>
      <c r="M946" s="31"/>
      <c r="N946" s="14" t="s">
        <v>84</v>
      </c>
      <c r="O946" s="31"/>
      <c r="Q946" s="36"/>
      <c r="R946" s="36"/>
      <c r="S946" s="36"/>
      <c r="T946" s="36"/>
      <c r="V946" s="31"/>
    </row>
    <row r="947">
      <c r="A947" s="14" t="s">
        <v>736</v>
      </c>
      <c r="B947" s="351" t="s">
        <v>3450</v>
      </c>
      <c r="C947" s="50" t="s">
        <v>1483</v>
      </c>
      <c r="D947" s="50"/>
      <c r="E947" s="348" t="str">
        <f t="shared" si="886"/>
        <v>junio 2026</v>
      </c>
      <c r="F947" s="349">
        <v>46191.0</v>
      </c>
      <c r="G947" s="24">
        <f t="shared" ref="G947:H947" si="954">F947</f>
        <v>46191</v>
      </c>
      <c r="H947" s="26">
        <f t="shared" si="954"/>
        <v>46191</v>
      </c>
      <c r="I947" s="50" t="s">
        <v>90</v>
      </c>
      <c r="K947" s="436"/>
      <c r="L947" s="29" t="s">
        <v>3085</v>
      </c>
      <c r="M947" s="31"/>
      <c r="N947" s="14" t="s">
        <v>84</v>
      </c>
      <c r="O947" s="31"/>
      <c r="Q947" s="36"/>
      <c r="R947" s="36"/>
      <c r="S947" s="36"/>
      <c r="T947" s="36"/>
      <c r="V947" s="31"/>
    </row>
    <row r="948">
      <c r="A948" s="14" t="s">
        <v>736</v>
      </c>
      <c r="B948" s="351" t="s">
        <v>3451</v>
      </c>
      <c r="C948" s="50" t="s">
        <v>1484</v>
      </c>
      <c r="D948" s="50"/>
      <c r="E948" s="348" t="str">
        <f t="shared" si="886"/>
        <v>julio 2026</v>
      </c>
      <c r="F948" s="349">
        <v>46219.0</v>
      </c>
      <c r="G948" s="24">
        <f t="shared" ref="G948:H948" si="955">F948</f>
        <v>46219</v>
      </c>
      <c r="H948" s="26">
        <f t="shared" si="955"/>
        <v>46219</v>
      </c>
      <c r="I948" s="50" t="s">
        <v>90</v>
      </c>
      <c r="K948" s="435"/>
      <c r="L948" s="29" t="s">
        <v>3085</v>
      </c>
      <c r="M948" s="31"/>
      <c r="N948" s="14" t="s">
        <v>84</v>
      </c>
      <c r="O948" s="31"/>
      <c r="Q948" s="36"/>
      <c r="R948" s="36"/>
      <c r="S948" s="36"/>
      <c r="T948" s="36"/>
      <c r="V948" s="31"/>
    </row>
    <row r="949">
      <c r="A949" s="14" t="s">
        <v>736</v>
      </c>
      <c r="B949" s="351" t="s">
        <v>3452</v>
      </c>
      <c r="C949" s="50" t="s">
        <v>1487</v>
      </c>
      <c r="D949" s="50"/>
      <c r="E949" s="348" t="str">
        <f t="shared" si="886"/>
        <v>julio 2026</v>
      </c>
      <c r="F949" s="349">
        <v>46206.0</v>
      </c>
      <c r="G949" s="24">
        <f t="shared" ref="G949:H949" si="956">F949</f>
        <v>46206</v>
      </c>
      <c r="H949" s="26">
        <f t="shared" si="956"/>
        <v>46206</v>
      </c>
      <c r="I949" s="50" t="s">
        <v>90</v>
      </c>
      <c r="K949" s="436"/>
      <c r="L949" s="29" t="s">
        <v>3085</v>
      </c>
      <c r="M949" s="31"/>
      <c r="N949" s="14" t="s">
        <v>84</v>
      </c>
      <c r="O949" s="31"/>
      <c r="Q949" s="36"/>
      <c r="R949" s="36"/>
      <c r="S949" s="36"/>
      <c r="T949" s="36"/>
      <c r="V949" s="31"/>
    </row>
    <row r="950">
      <c r="A950" s="14" t="s">
        <v>736</v>
      </c>
      <c r="B950" s="351" t="s">
        <v>3453</v>
      </c>
      <c r="C950" s="50" t="s">
        <v>1488</v>
      </c>
      <c r="D950" s="50"/>
      <c r="E950" s="348" t="str">
        <f t="shared" si="886"/>
        <v>junio 2026</v>
      </c>
      <c r="F950" s="349">
        <v>46189.0</v>
      </c>
      <c r="G950" s="24">
        <f t="shared" ref="G950:H950" si="957">F950</f>
        <v>46189</v>
      </c>
      <c r="H950" s="26">
        <f t="shared" si="957"/>
        <v>46189</v>
      </c>
      <c r="I950" s="50" t="s">
        <v>90</v>
      </c>
      <c r="K950" s="435"/>
      <c r="L950" s="29" t="s">
        <v>3085</v>
      </c>
      <c r="M950" s="31"/>
      <c r="N950" s="14" t="s">
        <v>84</v>
      </c>
      <c r="O950" s="31"/>
      <c r="Q950" s="36"/>
      <c r="R950" s="36"/>
      <c r="S950" s="36"/>
      <c r="T950" s="36"/>
      <c r="V950" s="31"/>
    </row>
    <row r="951">
      <c r="A951" s="14" t="s">
        <v>736</v>
      </c>
      <c r="B951" s="351" t="s">
        <v>3454</v>
      </c>
      <c r="C951" s="50" t="s">
        <v>1489</v>
      </c>
      <c r="D951" s="50"/>
      <c r="E951" s="348" t="str">
        <f t="shared" si="886"/>
        <v>junio 2026</v>
      </c>
      <c r="F951" s="349">
        <v>46189.0</v>
      </c>
      <c r="G951" s="24">
        <f t="shared" ref="G951:H951" si="958">F951</f>
        <v>46189</v>
      </c>
      <c r="H951" s="26">
        <f t="shared" si="958"/>
        <v>46189</v>
      </c>
      <c r="I951" s="50" t="s">
        <v>90</v>
      </c>
      <c r="K951" s="436"/>
      <c r="L951" s="29" t="s">
        <v>3085</v>
      </c>
      <c r="M951" s="31"/>
      <c r="N951" s="14" t="s">
        <v>84</v>
      </c>
      <c r="O951" s="31"/>
      <c r="Q951" s="36"/>
      <c r="R951" s="36"/>
      <c r="S951" s="36"/>
      <c r="T951" s="36"/>
      <c r="V951" s="31"/>
    </row>
    <row r="952">
      <c r="A952" s="14" t="s">
        <v>736</v>
      </c>
      <c r="B952" s="351" t="s">
        <v>3455</v>
      </c>
      <c r="C952" s="50" t="s">
        <v>1490</v>
      </c>
      <c r="D952" s="50"/>
      <c r="E952" s="348" t="str">
        <f t="shared" si="886"/>
        <v>junio 2026</v>
      </c>
      <c r="F952" s="349">
        <v>46190.0</v>
      </c>
      <c r="G952" s="24">
        <f t="shared" ref="G952:H952" si="959">F952</f>
        <v>46190</v>
      </c>
      <c r="H952" s="26">
        <f t="shared" si="959"/>
        <v>46190</v>
      </c>
      <c r="I952" s="50" t="s">
        <v>90</v>
      </c>
      <c r="K952" s="435"/>
      <c r="L952" s="29" t="s">
        <v>3085</v>
      </c>
      <c r="M952" s="31"/>
      <c r="N952" s="14" t="s">
        <v>84</v>
      </c>
      <c r="O952" s="31"/>
      <c r="Q952" s="36"/>
      <c r="R952" s="36"/>
      <c r="S952" s="36"/>
      <c r="T952" s="36"/>
      <c r="V952" s="31"/>
    </row>
    <row r="953">
      <c r="A953" s="14" t="s">
        <v>736</v>
      </c>
      <c r="B953" s="351" t="s">
        <v>3456</v>
      </c>
      <c r="C953" s="50" t="s">
        <v>1491</v>
      </c>
      <c r="D953" s="50"/>
      <c r="E953" s="348" t="str">
        <f t="shared" si="886"/>
        <v>junio 2026</v>
      </c>
      <c r="F953" s="349">
        <v>46189.0</v>
      </c>
      <c r="G953" s="24">
        <f t="shared" ref="G953:H953" si="960">F953</f>
        <v>46189</v>
      </c>
      <c r="H953" s="26">
        <f t="shared" si="960"/>
        <v>46189</v>
      </c>
      <c r="I953" s="50" t="s">
        <v>90</v>
      </c>
      <c r="K953" s="436"/>
      <c r="L953" s="29" t="s">
        <v>3085</v>
      </c>
      <c r="M953" s="31"/>
      <c r="N953" s="14" t="s">
        <v>84</v>
      </c>
      <c r="O953" s="31"/>
      <c r="Q953" s="36"/>
      <c r="R953" s="36"/>
      <c r="S953" s="36"/>
      <c r="T953" s="36"/>
      <c r="V953" s="31"/>
    </row>
    <row r="954">
      <c r="A954" s="14" t="s">
        <v>736</v>
      </c>
      <c r="B954" s="351" t="s">
        <v>3457</v>
      </c>
      <c r="C954" s="50" t="s">
        <v>1492</v>
      </c>
      <c r="D954" s="50"/>
      <c r="E954" s="348" t="str">
        <f t="shared" si="886"/>
        <v>junio 2026</v>
      </c>
      <c r="F954" s="349">
        <v>46192.0</v>
      </c>
      <c r="G954" s="24">
        <f t="shared" ref="G954:H954" si="961">F954</f>
        <v>46192</v>
      </c>
      <c r="H954" s="26">
        <f t="shared" si="961"/>
        <v>46192</v>
      </c>
      <c r="I954" s="50" t="s">
        <v>90</v>
      </c>
      <c r="K954" s="435"/>
      <c r="L954" s="29" t="s">
        <v>3085</v>
      </c>
      <c r="M954" s="31"/>
      <c r="N954" s="14" t="s">
        <v>84</v>
      </c>
      <c r="O954" s="31"/>
      <c r="Q954" s="36"/>
      <c r="R954" s="36"/>
      <c r="S954" s="36"/>
      <c r="T954" s="36"/>
      <c r="V954" s="31"/>
    </row>
    <row r="955">
      <c r="A955" s="14" t="s">
        <v>736</v>
      </c>
      <c r="B955" s="351" t="s">
        <v>3458</v>
      </c>
      <c r="C955" s="50" t="s">
        <v>1493</v>
      </c>
      <c r="D955" s="50"/>
      <c r="E955" s="348" t="str">
        <f t="shared" si="886"/>
        <v>junio 2026</v>
      </c>
      <c r="F955" s="349">
        <v>46193.0</v>
      </c>
      <c r="G955" s="24">
        <f t="shared" ref="G955:H955" si="962">F955</f>
        <v>46193</v>
      </c>
      <c r="H955" s="26">
        <f t="shared" si="962"/>
        <v>46193</v>
      </c>
      <c r="I955" s="50" t="s">
        <v>90</v>
      </c>
      <c r="K955" s="436"/>
      <c r="L955" s="29" t="s">
        <v>3085</v>
      </c>
      <c r="M955" s="31"/>
      <c r="N955" s="14" t="s">
        <v>84</v>
      </c>
      <c r="O955" s="31"/>
      <c r="Q955" s="36"/>
      <c r="R955" s="36"/>
      <c r="S955" s="36"/>
      <c r="T955" s="36"/>
      <c r="V955" s="31"/>
    </row>
    <row r="956">
      <c r="A956" s="14" t="s">
        <v>736</v>
      </c>
      <c r="B956" s="351" t="s">
        <v>3459</v>
      </c>
      <c r="C956" s="50" t="s">
        <v>1494</v>
      </c>
      <c r="D956" s="50"/>
      <c r="E956" s="348" t="str">
        <f t="shared" si="886"/>
        <v>julio 2026</v>
      </c>
      <c r="F956" s="349">
        <v>46212.0</v>
      </c>
      <c r="G956" s="24">
        <f t="shared" ref="G956:H956" si="963">F956</f>
        <v>46212</v>
      </c>
      <c r="H956" s="26">
        <f t="shared" si="963"/>
        <v>46212</v>
      </c>
      <c r="I956" s="50" t="s">
        <v>90</v>
      </c>
      <c r="K956" s="435"/>
      <c r="L956" s="29" t="s">
        <v>3085</v>
      </c>
      <c r="M956" s="31"/>
      <c r="N956" s="14" t="s">
        <v>84</v>
      </c>
      <c r="O956" s="31"/>
      <c r="Q956" s="36"/>
      <c r="R956" s="36"/>
      <c r="S956" s="36"/>
      <c r="T956" s="36"/>
      <c r="V956" s="31"/>
    </row>
    <row r="957">
      <c r="A957" s="14" t="s">
        <v>736</v>
      </c>
      <c r="B957" s="351" t="s">
        <v>3460</v>
      </c>
      <c r="C957" s="50" t="s">
        <v>1495</v>
      </c>
      <c r="D957" s="50"/>
      <c r="E957" s="348" t="str">
        <f t="shared" si="886"/>
        <v>septiembre 2026</v>
      </c>
      <c r="F957" s="349">
        <v>46283.0</v>
      </c>
      <c r="G957" s="24">
        <f t="shared" ref="G957:H957" si="964">F957</f>
        <v>46283</v>
      </c>
      <c r="H957" s="26">
        <f t="shared" si="964"/>
        <v>46283</v>
      </c>
      <c r="I957" s="50" t="s">
        <v>90</v>
      </c>
      <c r="K957" s="436"/>
      <c r="L957" s="29" t="s">
        <v>3085</v>
      </c>
      <c r="M957" s="31"/>
      <c r="N957" s="14" t="s">
        <v>84</v>
      </c>
      <c r="O957" s="31"/>
      <c r="Q957" s="36"/>
      <c r="R957" s="36"/>
      <c r="S957" s="36"/>
      <c r="T957" s="36"/>
      <c r="V957" s="31"/>
    </row>
    <row r="958">
      <c r="A958" s="14" t="s">
        <v>736</v>
      </c>
      <c r="B958" s="351" t="s">
        <v>3462</v>
      </c>
      <c r="C958" s="50" t="s">
        <v>1496</v>
      </c>
      <c r="D958" s="50"/>
      <c r="E958" s="348" t="str">
        <f t="shared" si="886"/>
        <v>junio 2026</v>
      </c>
      <c r="F958" s="349">
        <v>46193.0</v>
      </c>
      <c r="G958" s="24">
        <f t="shared" ref="G958:H958" si="965">F958</f>
        <v>46193</v>
      </c>
      <c r="H958" s="26">
        <f t="shared" si="965"/>
        <v>46193</v>
      </c>
      <c r="I958" s="50" t="s">
        <v>90</v>
      </c>
      <c r="K958" s="435"/>
      <c r="L958" s="29" t="s">
        <v>3085</v>
      </c>
      <c r="M958" s="31"/>
      <c r="N958" s="14" t="s">
        <v>84</v>
      </c>
      <c r="O958" s="31"/>
      <c r="Q958" s="36"/>
      <c r="R958" s="36"/>
      <c r="S958" s="36"/>
      <c r="T958" s="36"/>
      <c r="V958" s="31"/>
    </row>
    <row r="959">
      <c r="A959" s="14" t="s">
        <v>736</v>
      </c>
      <c r="B959" s="351" t="s">
        <v>3463</v>
      </c>
      <c r="C959" s="50" t="s">
        <v>1497</v>
      </c>
      <c r="D959" s="50"/>
      <c r="E959" s="348" t="str">
        <f t="shared" si="886"/>
        <v>julio 2026</v>
      </c>
      <c r="F959" s="349">
        <v>46217.0</v>
      </c>
      <c r="G959" s="24">
        <f t="shared" ref="G959:H959" si="966">F959</f>
        <v>46217</v>
      </c>
      <c r="H959" s="26">
        <f t="shared" si="966"/>
        <v>46217</v>
      </c>
      <c r="I959" s="50" t="s">
        <v>90</v>
      </c>
      <c r="K959" s="436"/>
      <c r="L959" s="29" t="s">
        <v>3085</v>
      </c>
      <c r="M959" s="31"/>
      <c r="N959" s="14" t="s">
        <v>84</v>
      </c>
      <c r="O959" s="31"/>
      <c r="Q959" s="36"/>
      <c r="R959" s="36"/>
      <c r="S959" s="36"/>
      <c r="T959" s="36"/>
      <c r="V959" s="31"/>
    </row>
    <row r="960">
      <c r="A960" s="14" t="s">
        <v>736</v>
      </c>
      <c r="B960" s="351" t="s">
        <v>3464</v>
      </c>
      <c r="C960" s="50" t="s">
        <v>1498</v>
      </c>
      <c r="D960" s="50"/>
      <c r="E960" s="348" t="str">
        <f t="shared" si="886"/>
        <v>julio 2026</v>
      </c>
      <c r="F960" s="349">
        <v>46212.0</v>
      </c>
      <c r="G960" s="24">
        <f t="shared" ref="G960:H960" si="967">F960</f>
        <v>46212</v>
      </c>
      <c r="H960" s="26">
        <f t="shared" si="967"/>
        <v>46212</v>
      </c>
      <c r="I960" s="50" t="s">
        <v>90</v>
      </c>
      <c r="K960" s="435"/>
      <c r="L960" s="29" t="s">
        <v>3085</v>
      </c>
      <c r="M960" s="31"/>
      <c r="N960" s="14" t="s">
        <v>84</v>
      </c>
      <c r="O960" s="31"/>
      <c r="Q960" s="36"/>
      <c r="R960" s="36"/>
      <c r="S960" s="36"/>
      <c r="T960" s="36"/>
      <c r="V960" s="31"/>
    </row>
    <row r="961">
      <c r="A961" s="14" t="s">
        <v>736</v>
      </c>
      <c r="B961" s="351" t="s">
        <v>3465</v>
      </c>
      <c r="C961" s="50" t="s">
        <v>1499</v>
      </c>
      <c r="D961" s="50"/>
      <c r="E961" s="348" t="str">
        <f t="shared" si="886"/>
        <v>junio 2026</v>
      </c>
      <c r="F961" s="349">
        <v>46200.0</v>
      </c>
      <c r="G961" s="24">
        <f t="shared" ref="G961:H961" si="968">F961</f>
        <v>46200</v>
      </c>
      <c r="H961" s="26">
        <f t="shared" si="968"/>
        <v>46200</v>
      </c>
      <c r="I961" s="50" t="s">
        <v>90</v>
      </c>
      <c r="K961" s="436"/>
      <c r="L961" s="29" t="s">
        <v>3085</v>
      </c>
      <c r="M961" s="31"/>
      <c r="N961" s="14" t="s">
        <v>84</v>
      </c>
      <c r="O961" s="31"/>
      <c r="Q961" s="36"/>
      <c r="R961" s="36"/>
      <c r="S961" s="36"/>
      <c r="T961" s="36"/>
      <c r="V961" s="31"/>
    </row>
    <row r="962">
      <c r="A962" s="14" t="s">
        <v>736</v>
      </c>
      <c r="B962" s="351" t="s">
        <v>3466</v>
      </c>
      <c r="C962" s="50" t="s">
        <v>1500</v>
      </c>
      <c r="D962" s="50"/>
      <c r="E962" s="348" t="str">
        <f t="shared" si="886"/>
        <v>junio 2026</v>
      </c>
      <c r="F962" s="349">
        <v>46199.0</v>
      </c>
      <c r="G962" s="24">
        <f t="shared" ref="G962:H962" si="969">F962</f>
        <v>46199</v>
      </c>
      <c r="H962" s="26">
        <f t="shared" si="969"/>
        <v>46199</v>
      </c>
      <c r="I962" s="50" t="s">
        <v>90</v>
      </c>
      <c r="K962" s="435"/>
      <c r="L962" s="29" t="s">
        <v>3085</v>
      </c>
      <c r="M962" s="31"/>
      <c r="N962" s="14" t="s">
        <v>84</v>
      </c>
      <c r="O962" s="31"/>
      <c r="Q962" s="36"/>
      <c r="R962" s="36"/>
      <c r="S962" s="36"/>
      <c r="T962" s="36"/>
      <c r="V962" s="31"/>
    </row>
    <row r="963">
      <c r="A963" s="14" t="s">
        <v>736</v>
      </c>
      <c r="B963" s="351" t="s">
        <v>3467</v>
      </c>
      <c r="C963" s="50" t="s">
        <v>1503</v>
      </c>
      <c r="D963" s="50"/>
      <c r="E963" s="348" t="str">
        <f t="shared" si="886"/>
        <v>junio 2026</v>
      </c>
      <c r="F963" s="349">
        <v>46197.0</v>
      </c>
      <c r="G963" s="24">
        <f t="shared" ref="G963:H963" si="970">F963</f>
        <v>46197</v>
      </c>
      <c r="H963" s="26">
        <f t="shared" si="970"/>
        <v>46197</v>
      </c>
      <c r="I963" s="50" t="s">
        <v>90</v>
      </c>
      <c r="K963" s="436"/>
      <c r="L963" s="29" t="s">
        <v>3085</v>
      </c>
      <c r="M963" s="31"/>
      <c r="N963" s="14" t="s">
        <v>84</v>
      </c>
      <c r="O963" s="31"/>
      <c r="Q963" s="36"/>
      <c r="R963" s="36"/>
      <c r="S963" s="36"/>
      <c r="T963" s="36"/>
      <c r="V963" s="31"/>
    </row>
    <row r="964">
      <c r="A964" s="14" t="s">
        <v>736</v>
      </c>
      <c r="B964" s="351" t="s">
        <v>3468</v>
      </c>
      <c r="C964" s="50" t="s">
        <v>1505</v>
      </c>
      <c r="D964" s="50"/>
      <c r="E964" s="348" t="str">
        <f t="shared" si="886"/>
        <v>junio 2026</v>
      </c>
      <c r="F964" s="349">
        <v>46197.0</v>
      </c>
      <c r="G964" s="24">
        <f t="shared" ref="G964:H964" si="971">F964</f>
        <v>46197</v>
      </c>
      <c r="H964" s="26">
        <f t="shared" si="971"/>
        <v>46197</v>
      </c>
      <c r="I964" s="50" t="s">
        <v>90</v>
      </c>
      <c r="K964" s="435"/>
      <c r="L964" s="29" t="s">
        <v>3085</v>
      </c>
      <c r="M964" s="31"/>
      <c r="N964" s="14" t="s">
        <v>84</v>
      </c>
      <c r="O964" s="31"/>
      <c r="Q964" s="36"/>
      <c r="R964" s="36"/>
      <c r="S964" s="36"/>
      <c r="T964" s="36"/>
      <c r="V964" s="31"/>
    </row>
    <row r="965">
      <c r="A965" s="14" t="s">
        <v>736</v>
      </c>
      <c r="B965" s="351" t="s">
        <v>3469</v>
      </c>
      <c r="C965" s="50" t="s">
        <v>1506</v>
      </c>
      <c r="D965" s="50"/>
      <c r="E965" s="348" t="str">
        <f t="shared" si="886"/>
        <v>junio 2026</v>
      </c>
      <c r="F965" s="349">
        <v>46192.0</v>
      </c>
      <c r="G965" s="24">
        <f t="shared" ref="G965:H965" si="972">F965</f>
        <v>46192</v>
      </c>
      <c r="H965" s="26">
        <f t="shared" si="972"/>
        <v>46192</v>
      </c>
      <c r="I965" s="50" t="s">
        <v>90</v>
      </c>
      <c r="K965" s="436"/>
      <c r="L965" s="29" t="s">
        <v>3085</v>
      </c>
      <c r="M965" s="31"/>
      <c r="N965" s="14" t="s">
        <v>84</v>
      </c>
      <c r="O965" s="31"/>
      <c r="Q965" s="36"/>
      <c r="R965" s="36"/>
      <c r="S965" s="36"/>
      <c r="T965" s="36"/>
      <c r="V965" s="31"/>
    </row>
    <row r="966">
      <c r="A966" s="14" t="s">
        <v>736</v>
      </c>
      <c r="B966" s="351" t="s">
        <v>3470</v>
      </c>
      <c r="C966" s="50" t="s">
        <v>1507</v>
      </c>
      <c r="D966" s="50"/>
      <c r="E966" s="348" t="str">
        <f t="shared" si="886"/>
        <v>junio 2026</v>
      </c>
      <c r="F966" s="349">
        <v>46195.0</v>
      </c>
      <c r="G966" s="24">
        <f t="shared" ref="G966:H966" si="973">F966</f>
        <v>46195</v>
      </c>
      <c r="H966" s="26">
        <f t="shared" si="973"/>
        <v>46195</v>
      </c>
      <c r="I966" s="50" t="s">
        <v>90</v>
      </c>
      <c r="K966" s="435"/>
      <c r="L966" s="29" t="s">
        <v>3085</v>
      </c>
      <c r="M966" s="31"/>
      <c r="N966" s="14" t="s">
        <v>84</v>
      </c>
      <c r="O966" s="31"/>
      <c r="Q966" s="36"/>
      <c r="R966" s="36"/>
      <c r="S966" s="36"/>
      <c r="T966" s="36"/>
      <c r="V966" s="31"/>
    </row>
    <row r="967">
      <c r="A967" s="14" t="s">
        <v>736</v>
      </c>
      <c r="B967" s="351" t="s">
        <v>3471</v>
      </c>
      <c r="C967" s="50" t="s">
        <v>1508</v>
      </c>
      <c r="D967" s="50"/>
      <c r="E967" s="348" t="str">
        <f t="shared" si="886"/>
        <v>junio 2026</v>
      </c>
      <c r="F967" s="349">
        <v>46195.0</v>
      </c>
      <c r="G967" s="24">
        <f t="shared" ref="G967:H967" si="974">F967</f>
        <v>46195</v>
      </c>
      <c r="H967" s="26">
        <f t="shared" si="974"/>
        <v>46195</v>
      </c>
      <c r="I967" s="50" t="s">
        <v>90</v>
      </c>
      <c r="K967" s="436"/>
      <c r="L967" s="29" t="s">
        <v>3085</v>
      </c>
      <c r="M967" s="31"/>
      <c r="N967" s="14" t="s">
        <v>84</v>
      </c>
      <c r="O967" s="31"/>
      <c r="Q967" s="36"/>
      <c r="R967" s="36"/>
      <c r="S967" s="36"/>
      <c r="T967" s="36"/>
      <c r="V967" s="31"/>
    </row>
    <row r="968">
      <c r="A968" s="14" t="s">
        <v>736</v>
      </c>
      <c r="B968" s="351" t="s">
        <v>3472</v>
      </c>
      <c r="C968" s="50" t="s">
        <v>1511</v>
      </c>
      <c r="D968" s="50"/>
      <c r="E968" s="348" t="str">
        <f t="shared" si="886"/>
        <v>julio 2026</v>
      </c>
      <c r="F968" s="349">
        <v>46211.0</v>
      </c>
      <c r="G968" s="24">
        <f t="shared" ref="G968:H968" si="975">F968</f>
        <v>46211</v>
      </c>
      <c r="H968" s="26">
        <f t="shared" si="975"/>
        <v>46211</v>
      </c>
      <c r="I968" s="50" t="s">
        <v>90</v>
      </c>
      <c r="K968" s="435"/>
      <c r="L968" s="29" t="s">
        <v>3085</v>
      </c>
      <c r="M968" s="31"/>
      <c r="N968" s="14" t="s">
        <v>84</v>
      </c>
      <c r="O968" s="31"/>
      <c r="Q968" s="36"/>
      <c r="R968" s="36"/>
      <c r="S968" s="36"/>
      <c r="T968" s="36"/>
      <c r="V968" s="31"/>
    </row>
    <row r="969">
      <c r="A969" s="14" t="s">
        <v>736</v>
      </c>
      <c r="B969" s="351" t="s">
        <v>3473</v>
      </c>
      <c r="C969" s="50" t="s">
        <v>1512</v>
      </c>
      <c r="D969" s="50"/>
      <c r="E969" s="348" t="str">
        <f t="shared" si="886"/>
        <v>junio 2026</v>
      </c>
      <c r="F969" s="349">
        <v>46198.0</v>
      </c>
      <c r="G969" s="24">
        <f t="shared" ref="G969:H969" si="976">F969</f>
        <v>46198</v>
      </c>
      <c r="H969" s="26">
        <f t="shared" si="976"/>
        <v>46198</v>
      </c>
      <c r="I969" s="50" t="s">
        <v>90</v>
      </c>
      <c r="K969" s="436"/>
      <c r="L969" s="29" t="s">
        <v>3085</v>
      </c>
      <c r="M969" s="31"/>
      <c r="N969" s="14" t="s">
        <v>84</v>
      </c>
      <c r="O969" s="31"/>
      <c r="Q969" s="36"/>
      <c r="R969" s="36"/>
      <c r="S969" s="36"/>
      <c r="T969" s="36"/>
      <c r="V969" s="31"/>
    </row>
    <row r="970">
      <c r="A970" s="14" t="s">
        <v>736</v>
      </c>
      <c r="B970" s="351" t="s">
        <v>3474</v>
      </c>
      <c r="C970" s="50" t="s">
        <v>1513</v>
      </c>
      <c r="D970" s="50"/>
      <c r="E970" s="348" t="str">
        <f t="shared" si="886"/>
        <v>junio 2026</v>
      </c>
      <c r="F970" s="349">
        <v>46197.0</v>
      </c>
      <c r="G970" s="24">
        <f t="shared" ref="G970:H970" si="977">F970</f>
        <v>46197</v>
      </c>
      <c r="H970" s="26">
        <f t="shared" si="977"/>
        <v>46197</v>
      </c>
      <c r="I970" s="50" t="s">
        <v>90</v>
      </c>
      <c r="K970" s="435"/>
      <c r="L970" s="29" t="s">
        <v>3085</v>
      </c>
      <c r="M970" s="31"/>
      <c r="N970" s="14" t="s">
        <v>84</v>
      </c>
      <c r="O970" s="31"/>
      <c r="Q970" s="36"/>
      <c r="R970" s="36"/>
      <c r="S970" s="36"/>
      <c r="T970" s="36"/>
      <c r="V970" s="31"/>
    </row>
    <row r="971">
      <c r="A971" s="14" t="s">
        <v>736</v>
      </c>
      <c r="B971" s="351" t="s">
        <v>3475</v>
      </c>
      <c r="C971" s="50" t="s">
        <v>1515</v>
      </c>
      <c r="D971" s="50"/>
      <c r="E971" s="348" t="str">
        <f t="shared" si="886"/>
        <v>junio 2026</v>
      </c>
      <c r="F971" s="349">
        <v>46197.0</v>
      </c>
      <c r="G971" s="24">
        <f t="shared" ref="G971:H971" si="978">F971</f>
        <v>46197</v>
      </c>
      <c r="H971" s="26">
        <f t="shared" si="978"/>
        <v>46197</v>
      </c>
      <c r="I971" s="50" t="s">
        <v>90</v>
      </c>
      <c r="K971" s="436"/>
      <c r="L971" s="29" t="s">
        <v>3085</v>
      </c>
      <c r="M971" s="31"/>
      <c r="N971" s="14" t="s">
        <v>84</v>
      </c>
      <c r="O971" s="31"/>
      <c r="Q971" s="36"/>
      <c r="R971" s="36"/>
      <c r="S971" s="36"/>
      <c r="T971" s="36"/>
      <c r="V971" s="31"/>
    </row>
    <row r="972">
      <c r="A972" s="14" t="s">
        <v>736</v>
      </c>
      <c r="B972" s="351" t="s">
        <v>3476</v>
      </c>
      <c r="C972" s="50" t="s">
        <v>1517</v>
      </c>
      <c r="D972" s="50"/>
      <c r="E972" s="348" t="str">
        <f t="shared" si="886"/>
        <v>junio 2026</v>
      </c>
      <c r="F972" s="349">
        <v>46192.0</v>
      </c>
      <c r="G972" s="24">
        <f t="shared" ref="G972:H972" si="979">F972</f>
        <v>46192</v>
      </c>
      <c r="H972" s="26">
        <f t="shared" si="979"/>
        <v>46192</v>
      </c>
      <c r="I972" s="50" t="s">
        <v>90</v>
      </c>
      <c r="K972" s="435"/>
      <c r="L972" s="29" t="s">
        <v>3085</v>
      </c>
      <c r="M972" s="31"/>
      <c r="N972" s="14" t="s">
        <v>84</v>
      </c>
      <c r="O972" s="31"/>
      <c r="Q972" s="36"/>
      <c r="R972" s="36"/>
      <c r="S972" s="36"/>
      <c r="T972" s="36"/>
      <c r="V972" s="31"/>
    </row>
    <row r="973">
      <c r="A973" s="14" t="s">
        <v>736</v>
      </c>
      <c r="B973" s="351" t="s">
        <v>3477</v>
      </c>
      <c r="C973" s="50" t="s">
        <v>1518</v>
      </c>
      <c r="D973" s="50"/>
      <c r="E973" s="348" t="str">
        <f t="shared" si="886"/>
        <v>junio 2026</v>
      </c>
      <c r="F973" s="349">
        <v>46192.0</v>
      </c>
      <c r="G973" s="24">
        <f t="shared" ref="G973:H973" si="980">F973</f>
        <v>46192</v>
      </c>
      <c r="H973" s="26">
        <f t="shared" si="980"/>
        <v>46192</v>
      </c>
      <c r="I973" s="50" t="s">
        <v>90</v>
      </c>
      <c r="K973" s="436"/>
      <c r="L973" s="29" t="s">
        <v>3085</v>
      </c>
      <c r="M973" s="31"/>
      <c r="N973" s="14" t="s">
        <v>84</v>
      </c>
      <c r="O973" s="31"/>
      <c r="Q973" s="36"/>
      <c r="R973" s="36"/>
      <c r="S973" s="36"/>
      <c r="T973" s="36"/>
      <c r="V973" s="31"/>
    </row>
    <row r="974">
      <c r="A974" s="14" t="s">
        <v>736</v>
      </c>
      <c r="B974" s="351" t="s">
        <v>3478</v>
      </c>
      <c r="C974" s="50" t="s">
        <v>1519</v>
      </c>
      <c r="D974" s="50"/>
      <c r="E974" s="348" t="str">
        <f t="shared" si="886"/>
        <v>junio 2026</v>
      </c>
      <c r="F974" s="349">
        <v>46192.0</v>
      </c>
      <c r="G974" s="24">
        <f t="shared" ref="G974:H974" si="981">F974</f>
        <v>46192</v>
      </c>
      <c r="H974" s="26">
        <f t="shared" si="981"/>
        <v>46192</v>
      </c>
      <c r="I974" s="50" t="s">
        <v>90</v>
      </c>
      <c r="K974" s="435"/>
      <c r="L974" s="29" t="s">
        <v>3085</v>
      </c>
      <c r="M974" s="31"/>
      <c r="N974" s="14" t="s">
        <v>84</v>
      </c>
      <c r="O974" s="31"/>
      <c r="Q974" s="36"/>
      <c r="R974" s="36"/>
      <c r="S974" s="36"/>
      <c r="T974" s="36"/>
      <c r="V974" s="31"/>
    </row>
    <row r="975">
      <c r="A975" s="14" t="s">
        <v>736</v>
      </c>
      <c r="B975" s="351" t="s">
        <v>3479</v>
      </c>
      <c r="C975" s="50" t="s">
        <v>1520</v>
      </c>
      <c r="D975" s="50"/>
      <c r="E975" s="348" t="str">
        <f t="shared" si="886"/>
        <v>junio 2026</v>
      </c>
      <c r="F975" s="349">
        <v>46192.0</v>
      </c>
      <c r="G975" s="24">
        <f t="shared" ref="G975:H975" si="982">F975</f>
        <v>46192</v>
      </c>
      <c r="H975" s="26">
        <f t="shared" si="982"/>
        <v>46192</v>
      </c>
      <c r="I975" s="50" t="s">
        <v>90</v>
      </c>
      <c r="K975" s="436"/>
      <c r="L975" s="29" t="s">
        <v>3085</v>
      </c>
      <c r="M975" s="31"/>
      <c r="N975" s="14" t="s">
        <v>84</v>
      </c>
      <c r="O975" s="31"/>
      <c r="Q975" s="36"/>
      <c r="R975" s="36"/>
      <c r="S975" s="36"/>
      <c r="T975" s="36"/>
      <c r="V975" s="31"/>
    </row>
    <row r="976">
      <c r="A976" s="14" t="s">
        <v>736</v>
      </c>
      <c r="B976" s="351" t="s">
        <v>3480</v>
      </c>
      <c r="C976" s="50" t="s">
        <v>1523</v>
      </c>
      <c r="D976" s="50"/>
      <c r="E976" s="348" t="str">
        <f t="shared" si="886"/>
        <v>julio 2026</v>
      </c>
      <c r="F976" s="349">
        <v>46211.0</v>
      </c>
      <c r="G976" s="24">
        <f t="shared" ref="G976:H976" si="983">F976</f>
        <v>46211</v>
      </c>
      <c r="H976" s="26">
        <f t="shared" si="983"/>
        <v>46211</v>
      </c>
      <c r="I976" s="50" t="s">
        <v>90</v>
      </c>
      <c r="K976" s="435"/>
      <c r="L976" s="29" t="s">
        <v>3085</v>
      </c>
      <c r="M976" s="31"/>
      <c r="N976" s="14" t="s">
        <v>84</v>
      </c>
      <c r="O976" s="31"/>
      <c r="Q976" s="36"/>
      <c r="R976" s="36"/>
      <c r="S976" s="36"/>
      <c r="T976" s="36"/>
      <c r="V976" s="31"/>
    </row>
    <row r="977">
      <c r="A977" s="14" t="s">
        <v>736</v>
      </c>
      <c r="B977" s="351" t="s">
        <v>3481</v>
      </c>
      <c r="C977" s="50" t="s">
        <v>1524</v>
      </c>
      <c r="D977" s="50"/>
      <c r="E977" s="348" t="str">
        <f t="shared" si="886"/>
        <v>junio 2026</v>
      </c>
      <c r="F977" s="349">
        <v>46203.0</v>
      </c>
      <c r="G977" s="24">
        <f t="shared" ref="G977:H977" si="984">F977</f>
        <v>46203</v>
      </c>
      <c r="H977" s="26">
        <f t="shared" si="984"/>
        <v>46203</v>
      </c>
      <c r="I977" s="50" t="s">
        <v>90</v>
      </c>
      <c r="K977" s="436"/>
      <c r="L977" s="29" t="s">
        <v>3085</v>
      </c>
      <c r="M977" s="31"/>
      <c r="N977" s="14" t="s">
        <v>84</v>
      </c>
      <c r="O977" s="31"/>
      <c r="Q977" s="36"/>
      <c r="R977" s="36"/>
      <c r="S977" s="36"/>
      <c r="T977" s="36"/>
      <c r="V977" s="31"/>
    </row>
    <row r="978">
      <c r="A978" s="14" t="s">
        <v>736</v>
      </c>
      <c r="B978" s="351" t="s">
        <v>3482</v>
      </c>
      <c r="C978" s="50" t="s">
        <v>1525</v>
      </c>
      <c r="D978" s="50"/>
      <c r="E978" s="348" t="str">
        <f t="shared" si="886"/>
        <v>junio 2026</v>
      </c>
      <c r="F978" s="349">
        <v>46199.0</v>
      </c>
      <c r="G978" s="24">
        <f t="shared" ref="G978:H978" si="985">F978</f>
        <v>46199</v>
      </c>
      <c r="H978" s="26">
        <f t="shared" si="985"/>
        <v>46199</v>
      </c>
      <c r="I978" s="50" t="s">
        <v>90</v>
      </c>
      <c r="K978" s="435"/>
      <c r="L978" s="29" t="s">
        <v>3085</v>
      </c>
      <c r="M978" s="31"/>
      <c r="N978" s="14" t="s">
        <v>84</v>
      </c>
      <c r="O978" s="31"/>
      <c r="Q978" s="36"/>
      <c r="R978" s="36"/>
      <c r="S978" s="36"/>
      <c r="T978" s="36"/>
      <c r="V978" s="31"/>
    </row>
    <row r="979">
      <c r="A979" s="14" t="s">
        <v>736</v>
      </c>
      <c r="B979" s="351" t="s">
        <v>3483</v>
      </c>
      <c r="C979" s="50" t="s">
        <v>1526</v>
      </c>
      <c r="D979" s="50"/>
      <c r="E979" s="348" t="str">
        <f t="shared" si="886"/>
        <v>julio 2026</v>
      </c>
      <c r="F979" s="349">
        <v>46212.0</v>
      </c>
      <c r="G979" s="24">
        <f t="shared" ref="G979:H979" si="986">F979</f>
        <v>46212</v>
      </c>
      <c r="H979" s="26">
        <f t="shared" si="986"/>
        <v>46212</v>
      </c>
      <c r="I979" s="50" t="s">
        <v>90</v>
      </c>
      <c r="K979" s="436"/>
      <c r="L979" s="29" t="s">
        <v>3085</v>
      </c>
      <c r="M979" s="31"/>
      <c r="N979" s="14" t="s">
        <v>84</v>
      </c>
      <c r="O979" s="31"/>
      <c r="Q979" s="36"/>
      <c r="R979" s="36"/>
      <c r="S979" s="36"/>
      <c r="T979" s="36"/>
      <c r="V979" s="31"/>
    </row>
    <row r="980">
      <c r="A980" s="14" t="s">
        <v>736</v>
      </c>
      <c r="B980" s="351" t="s">
        <v>3484</v>
      </c>
      <c r="C980" s="50" t="s">
        <v>1529</v>
      </c>
      <c r="D980" s="50"/>
      <c r="E980" s="348" t="str">
        <f t="shared" si="886"/>
        <v>julio 2026</v>
      </c>
      <c r="F980" s="349">
        <v>46211.0</v>
      </c>
      <c r="G980" s="24">
        <f t="shared" ref="G980:H980" si="987">F980</f>
        <v>46211</v>
      </c>
      <c r="H980" s="26">
        <f t="shared" si="987"/>
        <v>46211</v>
      </c>
      <c r="I980" s="50" t="s">
        <v>90</v>
      </c>
      <c r="K980" s="435"/>
      <c r="L980" s="29" t="s">
        <v>3085</v>
      </c>
      <c r="M980" s="31"/>
      <c r="N980" s="14" t="s">
        <v>84</v>
      </c>
      <c r="O980" s="31"/>
      <c r="Q980" s="36"/>
      <c r="R980" s="36"/>
      <c r="S980" s="36"/>
      <c r="T980" s="36"/>
      <c r="V980" s="31"/>
    </row>
    <row r="981">
      <c r="A981" s="14" t="s">
        <v>736</v>
      </c>
      <c r="B981" s="351" t="s">
        <v>3485</v>
      </c>
      <c r="C981" s="50" t="s">
        <v>1530</v>
      </c>
      <c r="D981" s="50"/>
      <c r="E981" s="348" t="str">
        <f t="shared" si="886"/>
        <v>julio 2026</v>
      </c>
      <c r="F981" s="349">
        <v>46211.0</v>
      </c>
      <c r="G981" s="24">
        <f t="shared" ref="G981:H981" si="988">F981</f>
        <v>46211</v>
      </c>
      <c r="H981" s="26">
        <f t="shared" si="988"/>
        <v>46211</v>
      </c>
      <c r="I981" s="50" t="s">
        <v>90</v>
      </c>
      <c r="K981" s="436"/>
      <c r="L981" s="29" t="s">
        <v>3085</v>
      </c>
      <c r="M981" s="31"/>
      <c r="N981" s="14" t="s">
        <v>84</v>
      </c>
      <c r="O981" s="31"/>
      <c r="Q981" s="36"/>
      <c r="R981" s="36"/>
      <c r="S981" s="36"/>
      <c r="T981" s="36"/>
      <c r="V981" s="31"/>
    </row>
    <row r="982">
      <c r="A982" s="14" t="s">
        <v>736</v>
      </c>
      <c r="B982" s="351" t="s">
        <v>3486</v>
      </c>
      <c r="C982" s="50" t="s">
        <v>1531</v>
      </c>
      <c r="D982" s="50"/>
      <c r="E982" s="348" t="str">
        <f t="shared" si="886"/>
        <v>julio 2026</v>
      </c>
      <c r="F982" s="349">
        <v>46207.0</v>
      </c>
      <c r="G982" s="24">
        <f t="shared" ref="G982:H982" si="989">F982</f>
        <v>46207</v>
      </c>
      <c r="H982" s="26">
        <f t="shared" si="989"/>
        <v>46207</v>
      </c>
      <c r="I982" s="50" t="s">
        <v>90</v>
      </c>
      <c r="K982" s="435"/>
      <c r="L982" s="29" t="s">
        <v>3085</v>
      </c>
      <c r="M982" s="31"/>
      <c r="N982" s="14" t="s">
        <v>84</v>
      </c>
      <c r="O982" s="31"/>
      <c r="Q982" s="36"/>
      <c r="R982" s="36"/>
      <c r="S982" s="36"/>
      <c r="T982" s="36"/>
      <c r="V982" s="31"/>
    </row>
    <row r="983">
      <c r="A983" s="14" t="s">
        <v>736</v>
      </c>
      <c r="B983" s="351" t="s">
        <v>3487</v>
      </c>
      <c r="C983" s="50" t="s">
        <v>1532</v>
      </c>
      <c r="D983" s="50"/>
      <c r="E983" s="348" t="str">
        <f t="shared" si="886"/>
        <v>julio 2026</v>
      </c>
      <c r="F983" s="349">
        <v>46207.0</v>
      </c>
      <c r="G983" s="24">
        <f t="shared" ref="G983:H983" si="990">F983</f>
        <v>46207</v>
      </c>
      <c r="H983" s="26">
        <f t="shared" si="990"/>
        <v>46207</v>
      </c>
      <c r="I983" s="50" t="s">
        <v>90</v>
      </c>
      <c r="K983" s="436"/>
      <c r="L983" s="29" t="s">
        <v>3085</v>
      </c>
      <c r="M983" s="31"/>
      <c r="N983" s="14" t="s">
        <v>84</v>
      </c>
      <c r="O983" s="31"/>
      <c r="Q983" s="36"/>
      <c r="R983" s="36"/>
      <c r="S983" s="36"/>
      <c r="T983" s="36"/>
      <c r="V983" s="31"/>
    </row>
    <row r="984">
      <c r="A984" s="14" t="s">
        <v>736</v>
      </c>
      <c r="B984" s="351" t="s">
        <v>3488</v>
      </c>
      <c r="C984" s="50" t="s">
        <v>1535</v>
      </c>
      <c r="D984" s="50"/>
      <c r="E984" s="348" t="str">
        <f t="shared" si="886"/>
        <v>julio 2026</v>
      </c>
      <c r="F984" s="349">
        <v>46212.0</v>
      </c>
      <c r="G984" s="24">
        <f t="shared" ref="G984:H984" si="991">F984</f>
        <v>46212</v>
      </c>
      <c r="H984" s="26">
        <f t="shared" si="991"/>
        <v>46212</v>
      </c>
      <c r="I984" s="50" t="s">
        <v>90</v>
      </c>
      <c r="K984" s="435"/>
      <c r="L984" s="29" t="s">
        <v>3085</v>
      </c>
      <c r="M984" s="31"/>
      <c r="N984" s="14" t="s">
        <v>84</v>
      </c>
      <c r="O984" s="31"/>
      <c r="Q984" s="36"/>
      <c r="R984" s="36"/>
      <c r="S984" s="36"/>
      <c r="T984" s="36"/>
      <c r="V984" s="31"/>
    </row>
    <row r="985">
      <c r="A985" s="14" t="s">
        <v>736</v>
      </c>
      <c r="B985" s="351" t="s">
        <v>3489</v>
      </c>
      <c r="C985" s="50" t="s">
        <v>1536</v>
      </c>
      <c r="D985" s="50"/>
      <c r="E985" s="348" t="str">
        <f t="shared" si="886"/>
        <v>julio 2026</v>
      </c>
      <c r="F985" s="349">
        <v>46207.0</v>
      </c>
      <c r="G985" s="24">
        <f t="shared" ref="G985:H985" si="992">F985</f>
        <v>46207</v>
      </c>
      <c r="H985" s="26">
        <f t="shared" si="992"/>
        <v>46207</v>
      </c>
      <c r="I985" s="50" t="s">
        <v>90</v>
      </c>
      <c r="K985" s="436"/>
      <c r="L985" s="29" t="s">
        <v>3085</v>
      </c>
      <c r="M985" s="31"/>
      <c r="N985" s="14" t="s">
        <v>84</v>
      </c>
      <c r="O985" s="31"/>
      <c r="Q985" s="36"/>
      <c r="R985" s="36"/>
      <c r="S985" s="36"/>
      <c r="T985" s="36"/>
      <c r="V985" s="31"/>
    </row>
    <row r="986">
      <c r="A986" s="14" t="s">
        <v>736</v>
      </c>
      <c r="B986" s="351" t="s">
        <v>3490</v>
      </c>
      <c r="C986" s="50" t="s">
        <v>1538</v>
      </c>
      <c r="D986" s="50"/>
      <c r="E986" s="348" t="str">
        <f t="shared" si="886"/>
        <v>junio 2026</v>
      </c>
      <c r="F986" s="349">
        <v>46195.0</v>
      </c>
      <c r="G986" s="24">
        <f t="shared" ref="G986:H986" si="993">F986</f>
        <v>46195</v>
      </c>
      <c r="H986" s="26">
        <f t="shared" si="993"/>
        <v>46195</v>
      </c>
      <c r="I986" s="50" t="s">
        <v>90</v>
      </c>
      <c r="K986" s="435"/>
      <c r="L986" s="29" t="s">
        <v>3085</v>
      </c>
      <c r="M986" s="31"/>
      <c r="N986" s="14" t="s">
        <v>84</v>
      </c>
      <c r="O986" s="31"/>
      <c r="Q986" s="36"/>
      <c r="R986" s="36"/>
      <c r="S986" s="36"/>
      <c r="T986" s="36"/>
      <c r="V986" s="31"/>
    </row>
    <row r="987">
      <c r="A987" s="14" t="s">
        <v>736</v>
      </c>
      <c r="B987" s="351" t="s">
        <v>3491</v>
      </c>
      <c r="C987" s="50" t="s">
        <v>1540</v>
      </c>
      <c r="D987" s="50"/>
      <c r="E987" s="348" t="str">
        <f t="shared" si="886"/>
        <v>julio 2026</v>
      </c>
      <c r="F987" s="349">
        <v>46209.0</v>
      </c>
      <c r="G987" s="24">
        <f t="shared" ref="G987:H987" si="994">F987</f>
        <v>46209</v>
      </c>
      <c r="H987" s="26">
        <f t="shared" si="994"/>
        <v>46209</v>
      </c>
      <c r="I987" s="50" t="s">
        <v>90</v>
      </c>
      <c r="K987" s="436"/>
      <c r="L987" s="29" t="s">
        <v>3085</v>
      </c>
      <c r="M987" s="31"/>
      <c r="N987" s="14" t="s">
        <v>84</v>
      </c>
      <c r="O987" s="31"/>
      <c r="Q987" s="36"/>
      <c r="R987" s="36"/>
      <c r="S987" s="36"/>
      <c r="T987" s="36"/>
      <c r="V987" s="31"/>
    </row>
    <row r="988">
      <c r="A988" s="14" t="s">
        <v>736</v>
      </c>
      <c r="B988" s="351" t="s">
        <v>3492</v>
      </c>
      <c r="C988" s="50" t="s">
        <v>1541</v>
      </c>
      <c r="D988" s="50"/>
      <c r="E988" s="348" t="str">
        <f t="shared" si="886"/>
        <v>julio 2026</v>
      </c>
      <c r="F988" s="349">
        <v>46209.0</v>
      </c>
      <c r="G988" s="24">
        <f t="shared" ref="G988:H988" si="995">F988</f>
        <v>46209</v>
      </c>
      <c r="H988" s="26">
        <f t="shared" si="995"/>
        <v>46209</v>
      </c>
      <c r="I988" s="50" t="s">
        <v>90</v>
      </c>
      <c r="K988" s="435"/>
      <c r="L988" s="29" t="s">
        <v>3085</v>
      </c>
      <c r="M988" s="31"/>
      <c r="N988" s="14" t="s">
        <v>84</v>
      </c>
      <c r="O988" s="31"/>
      <c r="Q988" s="36"/>
      <c r="R988" s="36"/>
      <c r="S988" s="36"/>
      <c r="T988" s="36"/>
      <c r="V988" s="31"/>
    </row>
    <row r="989">
      <c r="A989" s="14" t="s">
        <v>736</v>
      </c>
      <c r="B989" s="351" t="s">
        <v>3493</v>
      </c>
      <c r="C989" s="50" t="s">
        <v>1542</v>
      </c>
      <c r="D989" s="50"/>
      <c r="E989" s="348" t="str">
        <f t="shared" si="886"/>
        <v>junio 2026</v>
      </c>
      <c r="F989" s="349">
        <v>46195.0</v>
      </c>
      <c r="G989" s="24">
        <f t="shared" ref="G989:H989" si="996">F989</f>
        <v>46195</v>
      </c>
      <c r="H989" s="26">
        <f t="shared" si="996"/>
        <v>46195</v>
      </c>
      <c r="I989" s="50" t="s">
        <v>90</v>
      </c>
      <c r="K989" s="436"/>
      <c r="L989" s="29" t="s">
        <v>3085</v>
      </c>
      <c r="M989" s="31"/>
      <c r="N989" s="14" t="s">
        <v>84</v>
      </c>
      <c r="O989" s="31"/>
      <c r="Q989" s="36"/>
      <c r="R989" s="36"/>
      <c r="S989" s="36"/>
      <c r="T989" s="36"/>
      <c r="V989" s="31"/>
    </row>
    <row r="990">
      <c r="A990" s="14" t="s">
        <v>736</v>
      </c>
      <c r="B990" s="351" t="s">
        <v>3494</v>
      </c>
      <c r="C990" s="50" t="s">
        <v>1543</v>
      </c>
      <c r="D990" s="50"/>
      <c r="E990" s="348" t="str">
        <f t="shared" si="886"/>
        <v>junio 2026</v>
      </c>
      <c r="F990" s="349">
        <v>46193.0</v>
      </c>
      <c r="G990" s="24">
        <f t="shared" ref="G990:H990" si="997">F990</f>
        <v>46193</v>
      </c>
      <c r="H990" s="26">
        <f t="shared" si="997"/>
        <v>46193</v>
      </c>
      <c r="I990" s="50" t="s">
        <v>90</v>
      </c>
      <c r="K990" s="435"/>
      <c r="L990" s="29" t="s">
        <v>3085</v>
      </c>
      <c r="M990" s="31"/>
      <c r="N990" s="14" t="s">
        <v>84</v>
      </c>
      <c r="O990" s="31"/>
      <c r="Q990" s="36"/>
      <c r="R990" s="36"/>
      <c r="S990" s="36"/>
      <c r="T990" s="36"/>
      <c r="V990" s="31"/>
    </row>
    <row r="991">
      <c r="A991" s="14" t="s">
        <v>736</v>
      </c>
      <c r="B991" s="351" t="s">
        <v>3495</v>
      </c>
      <c r="C991" s="50" t="s">
        <v>1544</v>
      </c>
      <c r="D991" s="50"/>
      <c r="E991" s="348" t="str">
        <f t="shared" si="886"/>
        <v>junio 2026</v>
      </c>
      <c r="F991" s="349">
        <v>46192.0</v>
      </c>
      <c r="G991" s="24">
        <f t="shared" ref="G991:H991" si="998">F991</f>
        <v>46192</v>
      </c>
      <c r="H991" s="26">
        <f t="shared" si="998"/>
        <v>46192</v>
      </c>
      <c r="I991" s="50" t="s">
        <v>90</v>
      </c>
      <c r="K991" s="436"/>
      <c r="L991" s="29" t="s">
        <v>3085</v>
      </c>
      <c r="M991" s="31"/>
      <c r="N991" s="14" t="s">
        <v>84</v>
      </c>
      <c r="O991" s="31"/>
      <c r="Q991" s="36"/>
      <c r="R991" s="36"/>
      <c r="S991" s="36"/>
      <c r="T991" s="36"/>
      <c r="V991" s="31"/>
    </row>
    <row r="992">
      <c r="A992" s="14" t="s">
        <v>736</v>
      </c>
      <c r="B992" s="351" t="s">
        <v>3496</v>
      </c>
      <c r="C992" s="50" t="s">
        <v>1545</v>
      </c>
      <c r="D992" s="50"/>
      <c r="E992" s="348" t="str">
        <f t="shared" si="886"/>
        <v>junio 2026</v>
      </c>
      <c r="F992" s="349">
        <v>46198.0</v>
      </c>
      <c r="G992" s="24">
        <f t="shared" ref="G992:H992" si="999">F992</f>
        <v>46198</v>
      </c>
      <c r="H992" s="26">
        <f t="shared" si="999"/>
        <v>46198</v>
      </c>
      <c r="I992" s="50" t="s">
        <v>90</v>
      </c>
      <c r="K992" s="435"/>
      <c r="L992" s="29" t="s">
        <v>3085</v>
      </c>
      <c r="M992" s="31"/>
      <c r="N992" s="14" t="s">
        <v>84</v>
      </c>
      <c r="O992" s="31"/>
      <c r="Q992" s="36"/>
      <c r="R992" s="36"/>
      <c r="S992" s="36"/>
      <c r="T992" s="36"/>
      <c r="V992" s="31"/>
    </row>
    <row r="993">
      <c r="A993" s="14" t="s">
        <v>679</v>
      </c>
      <c r="C993" s="379" t="s">
        <v>2527</v>
      </c>
      <c r="D993" s="447"/>
      <c r="E993" s="380" t="str">
        <f t="shared" si="886"/>
        <v>diciembre 1899</v>
      </c>
      <c r="F993" s="381"/>
      <c r="G993" s="24" t="str">
        <f t="shared" ref="G993:H993" si="1000">F993</f>
        <v/>
      </c>
      <c r="H993" s="26" t="str">
        <f t="shared" si="1000"/>
        <v/>
      </c>
      <c r="I993" s="14" t="s">
        <v>1596</v>
      </c>
      <c r="K993" s="436">
        <v>4.0E7</v>
      </c>
      <c r="L993" s="29"/>
      <c r="M993" s="31"/>
      <c r="N993" s="14" t="s">
        <v>84</v>
      </c>
      <c r="O993" s="31"/>
      <c r="Q993" s="36"/>
      <c r="R993" s="36"/>
      <c r="S993" s="36"/>
      <c r="T993" s="36"/>
      <c r="V993" s="31"/>
    </row>
    <row r="994">
      <c r="A994" s="14" t="s">
        <v>736</v>
      </c>
      <c r="B994" s="351" t="s">
        <v>3497</v>
      </c>
      <c r="C994" s="50" t="s">
        <v>1547</v>
      </c>
      <c r="D994" s="50"/>
      <c r="E994" s="348" t="str">
        <f t="shared" si="886"/>
        <v>diciembre 1899</v>
      </c>
      <c r="F994" s="349"/>
      <c r="G994" s="24" t="str">
        <f t="shared" ref="G994:H994" si="1001">F994</f>
        <v/>
      </c>
      <c r="H994" s="26" t="str">
        <f t="shared" si="1001"/>
        <v/>
      </c>
      <c r="I994" s="50" t="s">
        <v>90</v>
      </c>
      <c r="K994" s="435"/>
      <c r="L994" s="29" t="s">
        <v>3085</v>
      </c>
      <c r="M994" s="31"/>
      <c r="N994" s="14" t="s">
        <v>84</v>
      </c>
      <c r="O994" s="31"/>
      <c r="Q994" s="36"/>
      <c r="R994" s="36"/>
      <c r="S994" s="36"/>
      <c r="T994" s="36"/>
      <c r="V994" s="31"/>
    </row>
    <row r="995">
      <c r="A995" s="14" t="s">
        <v>736</v>
      </c>
      <c r="B995" s="351" t="s">
        <v>3498</v>
      </c>
      <c r="C995" s="50" t="s">
        <v>1549</v>
      </c>
      <c r="D995" s="50"/>
      <c r="E995" s="348" t="str">
        <f t="shared" si="886"/>
        <v>julio 2026</v>
      </c>
      <c r="F995" s="349">
        <v>46210.0</v>
      </c>
      <c r="G995" s="24">
        <f t="shared" ref="G995:H995" si="1002">F995</f>
        <v>46210</v>
      </c>
      <c r="H995" s="26">
        <f t="shared" si="1002"/>
        <v>46210</v>
      </c>
      <c r="I995" s="50" t="s">
        <v>90</v>
      </c>
      <c r="K995" s="436"/>
      <c r="L995" s="29" t="s">
        <v>3085</v>
      </c>
      <c r="M995" s="31"/>
      <c r="N995" s="14" t="s">
        <v>84</v>
      </c>
      <c r="O995" s="31"/>
      <c r="Q995" s="36"/>
      <c r="R995" s="36"/>
      <c r="S995" s="36"/>
      <c r="T995" s="36"/>
      <c r="V995" s="31"/>
    </row>
    <row r="996">
      <c r="A996" s="14" t="s">
        <v>736</v>
      </c>
      <c r="B996" s="351" t="s">
        <v>3499</v>
      </c>
      <c r="C996" s="50" t="s">
        <v>1550</v>
      </c>
      <c r="D996" s="50"/>
      <c r="E996" s="348" t="str">
        <f t="shared" si="886"/>
        <v>julio 2026</v>
      </c>
      <c r="F996" s="349">
        <v>46217.0</v>
      </c>
      <c r="G996" s="24">
        <f t="shared" ref="G996:H996" si="1003">F996</f>
        <v>46217</v>
      </c>
      <c r="H996" s="26">
        <f t="shared" si="1003"/>
        <v>46217</v>
      </c>
      <c r="I996" s="50" t="s">
        <v>90</v>
      </c>
      <c r="K996" s="435"/>
      <c r="L996" s="29" t="s">
        <v>3085</v>
      </c>
      <c r="M996" s="31"/>
      <c r="N996" s="14" t="s">
        <v>84</v>
      </c>
      <c r="O996" s="31"/>
      <c r="Q996" s="36"/>
      <c r="R996" s="36"/>
      <c r="S996" s="36"/>
      <c r="T996" s="36"/>
      <c r="V996" s="31"/>
    </row>
    <row r="997">
      <c r="A997" s="14" t="s">
        <v>736</v>
      </c>
      <c r="B997" s="351" t="s">
        <v>3500</v>
      </c>
      <c r="C997" s="50" t="s">
        <v>1551</v>
      </c>
      <c r="D997" s="50"/>
      <c r="E997" s="348" t="str">
        <f t="shared" si="886"/>
        <v>julio 2026</v>
      </c>
      <c r="F997" s="349">
        <v>46231.0</v>
      </c>
      <c r="G997" s="24">
        <f t="shared" ref="G997:H997" si="1004">F997</f>
        <v>46231</v>
      </c>
      <c r="H997" s="26">
        <f t="shared" si="1004"/>
        <v>46231</v>
      </c>
      <c r="I997" s="50" t="s">
        <v>90</v>
      </c>
      <c r="K997" s="436"/>
      <c r="L997" s="29" t="s">
        <v>3085</v>
      </c>
      <c r="M997" s="31"/>
      <c r="N997" s="14" t="s">
        <v>84</v>
      </c>
      <c r="O997" s="31"/>
      <c r="Q997" s="36"/>
      <c r="R997" s="36"/>
      <c r="S997" s="36"/>
      <c r="T997" s="36"/>
      <c r="V997" s="31"/>
    </row>
    <row r="998">
      <c r="A998" s="14" t="s">
        <v>736</v>
      </c>
      <c r="B998" s="351" t="s">
        <v>3501</v>
      </c>
      <c r="C998" s="50" t="s">
        <v>1555</v>
      </c>
      <c r="D998" s="50"/>
      <c r="E998" s="348" t="str">
        <f t="shared" si="886"/>
        <v>julio 2026</v>
      </c>
      <c r="F998" s="349">
        <v>46231.0</v>
      </c>
      <c r="G998" s="24">
        <f t="shared" ref="G998:H998" si="1005">F998</f>
        <v>46231</v>
      </c>
      <c r="H998" s="26">
        <f t="shared" si="1005"/>
        <v>46231</v>
      </c>
      <c r="I998" s="50" t="s">
        <v>90</v>
      </c>
      <c r="K998" s="435"/>
      <c r="L998" s="29" t="s">
        <v>3085</v>
      </c>
      <c r="M998" s="31"/>
      <c r="N998" s="14" t="s">
        <v>84</v>
      </c>
      <c r="O998" s="31"/>
      <c r="Q998" s="36"/>
      <c r="R998" s="36"/>
      <c r="S998" s="36"/>
      <c r="T998" s="36"/>
      <c r="V998" s="31"/>
    </row>
    <row r="999">
      <c r="A999" s="14" t="s">
        <v>736</v>
      </c>
      <c r="B999" s="351" t="s">
        <v>3502</v>
      </c>
      <c r="C999" s="50" t="s">
        <v>1556</v>
      </c>
      <c r="D999" s="50"/>
      <c r="E999" s="348" t="str">
        <f t="shared" si="886"/>
        <v>junio 2026</v>
      </c>
      <c r="F999" s="349">
        <v>46196.0</v>
      </c>
      <c r="G999" s="24">
        <f t="shared" ref="G999:H999" si="1006">F999</f>
        <v>46196</v>
      </c>
      <c r="H999" s="26">
        <f t="shared" si="1006"/>
        <v>46196</v>
      </c>
      <c r="I999" s="50" t="s">
        <v>90</v>
      </c>
      <c r="K999" s="436"/>
      <c r="L999" s="29" t="s">
        <v>3085</v>
      </c>
      <c r="M999" s="31"/>
      <c r="N999" s="14" t="s">
        <v>84</v>
      </c>
      <c r="O999" s="31"/>
      <c r="Q999" s="36"/>
      <c r="R999" s="36"/>
      <c r="S999" s="36"/>
      <c r="T999" s="36"/>
      <c r="V999" s="31"/>
    </row>
    <row r="1000">
      <c r="A1000" s="14" t="s">
        <v>736</v>
      </c>
      <c r="B1000" s="351" t="s">
        <v>3503</v>
      </c>
      <c r="C1000" s="50" t="s">
        <v>1559</v>
      </c>
      <c r="D1000" s="50"/>
      <c r="E1000" s="348" t="str">
        <f t="shared" si="886"/>
        <v>junio 2026</v>
      </c>
      <c r="F1000" s="349">
        <v>46198.0</v>
      </c>
      <c r="G1000" s="24">
        <f t="shared" ref="G1000:H1000" si="1007">F1000</f>
        <v>46198</v>
      </c>
      <c r="H1000" s="26">
        <f t="shared" si="1007"/>
        <v>46198</v>
      </c>
      <c r="I1000" s="50" t="s">
        <v>90</v>
      </c>
      <c r="K1000" s="435"/>
      <c r="L1000" s="29" t="s">
        <v>3085</v>
      </c>
      <c r="M1000" s="31"/>
      <c r="N1000" s="14" t="s">
        <v>84</v>
      </c>
      <c r="O1000" s="31"/>
      <c r="Q1000" s="36"/>
      <c r="R1000" s="36"/>
      <c r="S1000" s="36"/>
      <c r="T1000" s="36"/>
      <c r="V1000" s="31"/>
    </row>
    <row r="1001">
      <c r="A1001" s="14" t="s">
        <v>736</v>
      </c>
      <c r="B1001" s="351" t="s">
        <v>3504</v>
      </c>
      <c r="C1001" s="50" t="s">
        <v>1561</v>
      </c>
      <c r="D1001" s="50"/>
      <c r="E1001" s="348" t="str">
        <f t="shared" si="886"/>
        <v>julio 2026</v>
      </c>
      <c r="F1001" s="349">
        <v>46209.0</v>
      </c>
      <c r="G1001" s="24">
        <f t="shared" ref="G1001:H1001" si="1008">F1001</f>
        <v>46209</v>
      </c>
      <c r="H1001" s="26">
        <f t="shared" si="1008"/>
        <v>46209</v>
      </c>
      <c r="I1001" s="50" t="s">
        <v>90</v>
      </c>
      <c r="K1001" s="436"/>
      <c r="L1001" s="29" t="s">
        <v>3085</v>
      </c>
      <c r="M1001" s="31"/>
      <c r="N1001" s="14" t="s">
        <v>84</v>
      </c>
      <c r="O1001" s="31"/>
      <c r="Q1001" s="36"/>
      <c r="R1001" s="36"/>
      <c r="S1001" s="36"/>
      <c r="T1001" s="36"/>
      <c r="V1001" s="31"/>
    </row>
    <row r="1002">
      <c r="A1002" s="14" t="s">
        <v>736</v>
      </c>
      <c r="B1002" s="351" t="s">
        <v>3505</v>
      </c>
      <c r="C1002" s="50" t="s">
        <v>1562</v>
      </c>
      <c r="D1002" s="50"/>
      <c r="E1002" s="348" t="str">
        <f t="shared" si="886"/>
        <v>julio 2026</v>
      </c>
      <c r="F1002" s="349">
        <v>46211.0</v>
      </c>
      <c r="G1002" s="24">
        <f t="shared" ref="G1002:H1002" si="1009">F1002</f>
        <v>46211</v>
      </c>
      <c r="H1002" s="26">
        <f t="shared" si="1009"/>
        <v>46211</v>
      </c>
      <c r="I1002" s="50" t="s">
        <v>90</v>
      </c>
      <c r="K1002" s="435"/>
      <c r="L1002" s="29" t="s">
        <v>3085</v>
      </c>
      <c r="M1002" s="31"/>
      <c r="N1002" s="14" t="s">
        <v>84</v>
      </c>
      <c r="O1002" s="31"/>
      <c r="Q1002" s="36"/>
      <c r="R1002" s="36"/>
      <c r="S1002" s="36"/>
      <c r="T1002" s="36"/>
      <c r="V1002" s="31"/>
    </row>
    <row r="1003">
      <c r="A1003" s="14" t="s">
        <v>736</v>
      </c>
      <c r="B1003" s="351" t="s">
        <v>3506</v>
      </c>
      <c r="C1003" s="50" t="s">
        <v>1563</v>
      </c>
      <c r="D1003" s="50"/>
      <c r="E1003" s="348" t="str">
        <f t="shared" si="886"/>
        <v>julio 2026</v>
      </c>
      <c r="F1003" s="349">
        <v>46205.0</v>
      </c>
      <c r="G1003" s="24">
        <f t="shared" ref="G1003:H1003" si="1010">F1003</f>
        <v>46205</v>
      </c>
      <c r="H1003" s="26">
        <f t="shared" si="1010"/>
        <v>46205</v>
      </c>
      <c r="I1003" s="50" t="s">
        <v>90</v>
      </c>
      <c r="K1003" s="436"/>
      <c r="L1003" s="29" t="s">
        <v>3085</v>
      </c>
      <c r="M1003" s="31"/>
      <c r="N1003" s="14" t="s">
        <v>84</v>
      </c>
      <c r="O1003" s="31"/>
      <c r="Q1003" s="36"/>
      <c r="R1003" s="36"/>
      <c r="S1003" s="36"/>
      <c r="T1003" s="36"/>
      <c r="V1003" s="31"/>
    </row>
    <row r="1004">
      <c r="A1004" s="14" t="s">
        <v>736</v>
      </c>
      <c r="B1004" s="351" t="s">
        <v>3507</v>
      </c>
      <c r="C1004" s="50" t="s">
        <v>1566</v>
      </c>
      <c r="D1004" s="50"/>
      <c r="E1004" s="348" t="str">
        <f t="shared" si="886"/>
        <v>julio 2026</v>
      </c>
      <c r="F1004" s="349">
        <v>46217.0</v>
      </c>
      <c r="G1004" s="24">
        <f t="shared" ref="G1004:H1004" si="1011">F1004</f>
        <v>46217</v>
      </c>
      <c r="H1004" s="26">
        <f t="shared" si="1011"/>
        <v>46217</v>
      </c>
      <c r="I1004" s="50" t="s">
        <v>90</v>
      </c>
      <c r="K1004" s="435"/>
      <c r="L1004" s="29" t="s">
        <v>3085</v>
      </c>
      <c r="M1004" s="31"/>
      <c r="N1004" s="14" t="s">
        <v>84</v>
      </c>
      <c r="O1004" s="31"/>
      <c r="Q1004" s="36"/>
      <c r="R1004" s="36"/>
      <c r="S1004" s="36"/>
      <c r="T1004" s="36"/>
      <c r="V1004" s="31"/>
    </row>
    <row r="1005">
      <c r="A1005" s="14" t="s">
        <v>736</v>
      </c>
      <c r="B1005" s="351" t="s">
        <v>3508</v>
      </c>
      <c r="C1005" s="50" t="s">
        <v>1567</v>
      </c>
      <c r="D1005" s="50"/>
      <c r="E1005" s="348" t="str">
        <f t="shared" si="886"/>
        <v>julio 2026</v>
      </c>
      <c r="F1005" s="349">
        <v>46209.0</v>
      </c>
      <c r="G1005" s="24">
        <f t="shared" ref="G1005:H1005" si="1012">F1005</f>
        <v>46209</v>
      </c>
      <c r="H1005" s="26">
        <f t="shared" si="1012"/>
        <v>46209</v>
      </c>
      <c r="I1005" s="50" t="s">
        <v>90</v>
      </c>
      <c r="K1005" s="436"/>
      <c r="L1005" s="29" t="s">
        <v>3085</v>
      </c>
      <c r="M1005" s="31"/>
      <c r="N1005" s="14" t="s">
        <v>84</v>
      </c>
      <c r="O1005" s="31"/>
      <c r="Q1005" s="36"/>
      <c r="R1005" s="36"/>
      <c r="S1005" s="36"/>
      <c r="T1005" s="36"/>
      <c r="V1005" s="31"/>
    </row>
    <row r="1006">
      <c r="A1006" s="14" t="s">
        <v>736</v>
      </c>
      <c r="B1006" s="351" t="s">
        <v>3509</v>
      </c>
      <c r="C1006" s="50" t="s">
        <v>1568</v>
      </c>
      <c r="D1006" s="50"/>
      <c r="E1006" s="348" t="str">
        <f t="shared" si="886"/>
        <v>julio 2026</v>
      </c>
      <c r="F1006" s="349">
        <v>46213.0</v>
      </c>
      <c r="G1006" s="24">
        <f t="shared" ref="G1006:H1006" si="1013">F1006</f>
        <v>46213</v>
      </c>
      <c r="H1006" s="26">
        <f t="shared" si="1013"/>
        <v>46213</v>
      </c>
      <c r="I1006" s="50" t="s">
        <v>90</v>
      </c>
      <c r="K1006" s="435"/>
      <c r="L1006" s="29" t="s">
        <v>3085</v>
      </c>
      <c r="M1006" s="31"/>
      <c r="N1006" s="14" t="s">
        <v>84</v>
      </c>
      <c r="O1006" s="31"/>
      <c r="Q1006" s="36"/>
      <c r="R1006" s="36"/>
      <c r="S1006" s="36"/>
      <c r="T1006" s="36"/>
      <c r="V1006" s="31"/>
    </row>
    <row r="1007">
      <c r="A1007" s="14" t="s">
        <v>736</v>
      </c>
      <c r="B1007" s="351" t="s">
        <v>3510</v>
      </c>
      <c r="C1007" s="50" t="s">
        <v>1569</v>
      </c>
      <c r="D1007" s="50"/>
      <c r="E1007" s="348" t="str">
        <f t="shared" si="886"/>
        <v>junio 2026</v>
      </c>
      <c r="F1007" s="349">
        <v>46201.0</v>
      </c>
      <c r="G1007" s="24">
        <f t="shared" ref="G1007:H1007" si="1014">F1007</f>
        <v>46201</v>
      </c>
      <c r="H1007" s="26">
        <f t="shared" si="1014"/>
        <v>46201</v>
      </c>
      <c r="I1007" s="50" t="s">
        <v>90</v>
      </c>
      <c r="K1007" s="436"/>
      <c r="L1007" s="29" t="s">
        <v>3085</v>
      </c>
      <c r="M1007" s="31"/>
      <c r="N1007" s="14" t="s">
        <v>84</v>
      </c>
      <c r="O1007" s="31"/>
      <c r="Q1007" s="36"/>
      <c r="R1007" s="36"/>
      <c r="S1007" s="36"/>
      <c r="T1007" s="36"/>
      <c r="V1007" s="31"/>
    </row>
    <row r="1008">
      <c r="A1008" s="14" t="s">
        <v>736</v>
      </c>
      <c r="B1008" s="351" t="s">
        <v>3511</v>
      </c>
      <c r="C1008" s="50" t="s">
        <v>1572</v>
      </c>
      <c r="D1008" s="50"/>
      <c r="E1008" s="348" t="str">
        <f t="shared" si="886"/>
        <v>junio 2026</v>
      </c>
      <c r="F1008" s="349">
        <v>46197.0</v>
      </c>
      <c r="G1008" s="24">
        <f t="shared" ref="G1008:H1008" si="1015">F1008</f>
        <v>46197</v>
      </c>
      <c r="H1008" s="26">
        <f t="shared" si="1015"/>
        <v>46197</v>
      </c>
      <c r="I1008" s="50" t="s">
        <v>90</v>
      </c>
      <c r="K1008" s="435"/>
      <c r="L1008" s="29" t="s">
        <v>3085</v>
      </c>
      <c r="M1008" s="31"/>
      <c r="N1008" s="14" t="s">
        <v>84</v>
      </c>
      <c r="O1008" s="31"/>
      <c r="Q1008" s="36"/>
      <c r="R1008" s="36"/>
      <c r="S1008" s="36"/>
      <c r="T1008" s="36"/>
      <c r="V1008" s="31"/>
    </row>
    <row r="1009">
      <c r="A1009" s="14" t="s">
        <v>736</v>
      </c>
      <c r="B1009" s="351" t="s">
        <v>3512</v>
      </c>
      <c r="C1009" s="50" t="s">
        <v>1573</v>
      </c>
      <c r="D1009" s="50"/>
      <c r="E1009" s="348" t="str">
        <f t="shared" si="886"/>
        <v>junio 2026</v>
      </c>
      <c r="F1009" s="349">
        <v>46200.0</v>
      </c>
      <c r="G1009" s="24">
        <f t="shared" ref="G1009:H1009" si="1016">F1009</f>
        <v>46200</v>
      </c>
      <c r="H1009" s="26">
        <f t="shared" si="1016"/>
        <v>46200</v>
      </c>
      <c r="I1009" s="50" t="s">
        <v>90</v>
      </c>
      <c r="K1009" s="436"/>
      <c r="L1009" s="29" t="s">
        <v>3085</v>
      </c>
      <c r="M1009" s="31"/>
      <c r="N1009" s="14" t="s">
        <v>84</v>
      </c>
      <c r="O1009" s="31"/>
      <c r="Q1009" s="36"/>
      <c r="R1009" s="36"/>
      <c r="S1009" s="36"/>
      <c r="T1009" s="36"/>
      <c r="V1009" s="31"/>
    </row>
    <row r="1010">
      <c r="A1010" s="14" t="s">
        <v>736</v>
      </c>
      <c r="B1010" s="351" t="s">
        <v>3513</v>
      </c>
      <c r="C1010" s="50" t="s">
        <v>1574</v>
      </c>
      <c r="D1010" s="50"/>
      <c r="E1010" s="348" t="str">
        <f t="shared" si="886"/>
        <v>junio 2026</v>
      </c>
      <c r="F1010" s="349">
        <v>46200.0</v>
      </c>
      <c r="G1010" s="24">
        <f t="shared" ref="G1010:H1010" si="1017">F1010</f>
        <v>46200</v>
      </c>
      <c r="H1010" s="26">
        <f t="shared" si="1017"/>
        <v>46200</v>
      </c>
      <c r="I1010" s="50" t="s">
        <v>90</v>
      </c>
      <c r="K1010" s="435"/>
      <c r="L1010" s="29" t="s">
        <v>3085</v>
      </c>
      <c r="M1010" s="31"/>
      <c r="N1010" s="14" t="s">
        <v>84</v>
      </c>
      <c r="O1010" s="31"/>
      <c r="Q1010" s="36"/>
      <c r="R1010" s="36"/>
      <c r="S1010" s="36"/>
      <c r="T1010" s="36"/>
      <c r="V1010" s="31"/>
    </row>
    <row r="1011">
      <c r="A1011" s="14" t="s">
        <v>736</v>
      </c>
      <c r="B1011" s="351" t="s">
        <v>3514</v>
      </c>
      <c r="C1011" s="50" t="s">
        <v>1575</v>
      </c>
      <c r="D1011" s="50"/>
      <c r="E1011" s="348" t="str">
        <f t="shared" si="886"/>
        <v>junio 2026</v>
      </c>
      <c r="F1011" s="349">
        <v>46200.0</v>
      </c>
      <c r="G1011" s="24">
        <f t="shared" ref="G1011:H1011" si="1018">F1011</f>
        <v>46200</v>
      </c>
      <c r="H1011" s="26">
        <f t="shared" si="1018"/>
        <v>46200</v>
      </c>
      <c r="I1011" s="50" t="s">
        <v>90</v>
      </c>
      <c r="K1011" s="436"/>
      <c r="L1011" s="29" t="s">
        <v>3085</v>
      </c>
      <c r="M1011" s="31"/>
      <c r="N1011" s="14" t="s">
        <v>84</v>
      </c>
      <c r="O1011" s="31"/>
      <c r="Q1011" s="36"/>
      <c r="R1011" s="36"/>
      <c r="S1011" s="36"/>
      <c r="T1011" s="36"/>
      <c r="V1011" s="31"/>
    </row>
    <row r="1012">
      <c r="A1012" s="14" t="s">
        <v>736</v>
      </c>
      <c r="B1012" s="351" t="s">
        <v>3515</v>
      </c>
      <c r="C1012" s="50" t="s">
        <v>1580</v>
      </c>
      <c r="D1012" s="50"/>
      <c r="E1012" s="348" t="str">
        <f t="shared" si="886"/>
        <v>julio 2026</v>
      </c>
      <c r="F1012" s="349">
        <v>46211.0</v>
      </c>
      <c r="G1012" s="24">
        <f t="shared" ref="G1012:H1012" si="1019">F1012</f>
        <v>46211</v>
      </c>
      <c r="H1012" s="26">
        <f t="shared" si="1019"/>
        <v>46211</v>
      </c>
      <c r="I1012" s="50" t="s">
        <v>90</v>
      </c>
      <c r="K1012" s="435"/>
      <c r="L1012" s="29" t="s">
        <v>3085</v>
      </c>
      <c r="M1012" s="31"/>
      <c r="N1012" s="14" t="s">
        <v>84</v>
      </c>
      <c r="O1012" s="31"/>
      <c r="Q1012" s="36"/>
      <c r="R1012" s="36"/>
      <c r="S1012" s="36"/>
      <c r="T1012" s="36"/>
      <c r="V1012" s="31"/>
    </row>
    <row r="1013">
      <c r="A1013" s="14" t="s">
        <v>736</v>
      </c>
      <c r="B1013" s="351" t="s">
        <v>3516</v>
      </c>
      <c r="C1013" s="50" t="s">
        <v>1577</v>
      </c>
      <c r="D1013" s="50"/>
      <c r="E1013" s="348" t="str">
        <f t="shared" si="886"/>
        <v>julio 2026</v>
      </c>
      <c r="F1013" s="349">
        <v>46211.0</v>
      </c>
      <c r="G1013" s="24">
        <f t="shared" ref="G1013:H1013" si="1020">F1013</f>
        <v>46211</v>
      </c>
      <c r="H1013" s="26">
        <f t="shared" si="1020"/>
        <v>46211</v>
      </c>
      <c r="I1013" s="50" t="s">
        <v>90</v>
      </c>
      <c r="K1013" s="436"/>
      <c r="L1013" s="29" t="s">
        <v>3085</v>
      </c>
      <c r="M1013" s="31"/>
      <c r="N1013" s="14" t="s">
        <v>84</v>
      </c>
      <c r="O1013" s="31"/>
      <c r="Q1013" s="36"/>
      <c r="R1013" s="36"/>
      <c r="S1013" s="36"/>
      <c r="T1013" s="36"/>
      <c r="V1013" s="31"/>
    </row>
    <row r="1014">
      <c r="A1014" s="14" t="s">
        <v>736</v>
      </c>
      <c r="B1014" s="351" t="s">
        <v>3517</v>
      </c>
      <c r="C1014" s="50" t="s">
        <v>1581</v>
      </c>
      <c r="D1014" s="50"/>
      <c r="E1014" s="348" t="str">
        <f t="shared" si="886"/>
        <v>julio 2026</v>
      </c>
      <c r="F1014" s="349">
        <v>46211.0</v>
      </c>
      <c r="G1014" s="24">
        <f t="shared" ref="G1014:H1014" si="1021">F1014</f>
        <v>46211</v>
      </c>
      <c r="H1014" s="26">
        <f t="shared" si="1021"/>
        <v>46211</v>
      </c>
      <c r="I1014" s="50" t="s">
        <v>90</v>
      </c>
      <c r="K1014" s="435"/>
      <c r="L1014" s="29" t="s">
        <v>3085</v>
      </c>
      <c r="M1014" s="31"/>
      <c r="N1014" s="14" t="s">
        <v>84</v>
      </c>
      <c r="O1014" s="31"/>
      <c r="Q1014" s="36"/>
      <c r="R1014" s="36"/>
      <c r="S1014" s="36"/>
      <c r="T1014" s="36"/>
      <c r="V1014" s="31"/>
    </row>
    <row r="1015">
      <c r="A1015" s="14" t="s">
        <v>736</v>
      </c>
      <c r="B1015" s="351" t="s">
        <v>3518</v>
      </c>
      <c r="C1015" s="50" t="s">
        <v>1582</v>
      </c>
      <c r="D1015" s="50"/>
      <c r="E1015" s="348" t="str">
        <f t="shared" si="886"/>
        <v>julio 2026</v>
      </c>
      <c r="F1015" s="349">
        <v>46208.0</v>
      </c>
      <c r="G1015" s="24">
        <f t="shared" ref="G1015:H1015" si="1022">F1015</f>
        <v>46208</v>
      </c>
      <c r="H1015" s="26">
        <f t="shared" si="1022"/>
        <v>46208</v>
      </c>
      <c r="I1015" s="50" t="s">
        <v>90</v>
      </c>
      <c r="K1015" s="436"/>
      <c r="L1015" s="29" t="s">
        <v>3085</v>
      </c>
      <c r="M1015" s="31"/>
      <c r="N1015" s="14" t="s">
        <v>84</v>
      </c>
      <c r="O1015" s="31"/>
      <c r="Q1015" s="36"/>
      <c r="R1015" s="36"/>
      <c r="S1015" s="36"/>
      <c r="T1015" s="36"/>
      <c r="V1015" s="31"/>
    </row>
    <row r="1016">
      <c r="A1016" s="14" t="s">
        <v>736</v>
      </c>
      <c r="B1016" s="351" t="s">
        <v>3519</v>
      </c>
      <c r="C1016" s="50" t="s">
        <v>1585</v>
      </c>
      <c r="D1016" s="50"/>
      <c r="E1016" s="348" t="str">
        <f t="shared" si="886"/>
        <v>junio 2026</v>
      </c>
      <c r="F1016" s="349">
        <v>46199.0</v>
      </c>
      <c r="G1016" s="24">
        <f t="shared" ref="G1016:H1016" si="1023">F1016</f>
        <v>46199</v>
      </c>
      <c r="H1016" s="26">
        <f t="shared" si="1023"/>
        <v>46199</v>
      </c>
      <c r="I1016" s="50" t="s">
        <v>90</v>
      </c>
      <c r="K1016" s="435"/>
      <c r="L1016" s="29" t="s">
        <v>3085</v>
      </c>
      <c r="M1016" s="31"/>
      <c r="N1016" s="14" t="s">
        <v>84</v>
      </c>
      <c r="O1016" s="31"/>
      <c r="Q1016" s="36"/>
      <c r="R1016" s="36"/>
      <c r="S1016" s="36"/>
      <c r="T1016" s="36"/>
      <c r="V1016" s="31"/>
    </row>
    <row r="1017">
      <c r="A1017" s="14" t="s">
        <v>736</v>
      </c>
      <c r="B1017" s="351" t="s">
        <v>3520</v>
      </c>
      <c r="C1017" s="50" t="s">
        <v>1586</v>
      </c>
      <c r="D1017" s="50"/>
      <c r="E1017" s="348" t="str">
        <f t="shared" si="886"/>
        <v>junio 2026</v>
      </c>
      <c r="F1017" s="349">
        <v>46199.0</v>
      </c>
      <c r="G1017" s="24">
        <f t="shared" ref="G1017:H1017" si="1024">F1017</f>
        <v>46199</v>
      </c>
      <c r="H1017" s="26">
        <f t="shared" si="1024"/>
        <v>46199</v>
      </c>
      <c r="I1017" s="50" t="s">
        <v>90</v>
      </c>
      <c r="K1017" s="436"/>
      <c r="L1017" s="29" t="s">
        <v>3085</v>
      </c>
      <c r="M1017" s="31"/>
      <c r="N1017" s="14" t="s">
        <v>84</v>
      </c>
      <c r="O1017" s="31"/>
      <c r="Q1017" s="36"/>
      <c r="R1017" s="36"/>
      <c r="S1017" s="36"/>
      <c r="T1017" s="36"/>
      <c r="V1017" s="31"/>
    </row>
    <row r="1018">
      <c r="A1018" s="14" t="s">
        <v>736</v>
      </c>
      <c r="B1018" s="351" t="s">
        <v>3521</v>
      </c>
      <c r="C1018" s="50" t="s">
        <v>1589</v>
      </c>
      <c r="D1018" s="50"/>
      <c r="E1018" s="348" t="str">
        <f t="shared" si="886"/>
        <v>junio 2026</v>
      </c>
      <c r="F1018" s="349">
        <v>46199.0</v>
      </c>
      <c r="G1018" s="24">
        <f t="shared" ref="G1018:H1018" si="1025">F1018</f>
        <v>46199</v>
      </c>
      <c r="H1018" s="26">
        <f t="shared" si="1025"/>
        <v>46199</v>
      </c>
      <c r="I1018" s="50" t="s">
        <v>90</v>
      </c>
      <c r="K1018" s="435"/>
      <c r="L1018" s="29" t="s">
        <v>3085</v>
      </c>
      <c r="M1018" s="31"/>
      <c r="N1018" s="14" t="s">
        <v>84</v>
      </c>
      <c r="O1018" s="31"/>
      <c r="Q1018" s="36"/>
      <c r="R1018" s="36"/>
      <c r="S1018" s="36"/>
      <c r="T1018" s="36"/>
      <c r="V1018" s="31"/>
    </row>
    <row r="1019">
      <c r="A1019" s="14" t="s">
        <v>736</v>
      </c>
      <c r="B1019" s="351" t="s">
        <v>3522</v>
      </c>
      <c r="C1019" s="50" t="s">
        <v>1590</v>
      </c>
      <c r="D1019" s="50"/>
      <c r="E1019" s="348" t="str">
        <f t="shared" si="886"/>
        <v>junio 2026</v>
      </c>
      <c r="F1019" s="349">
        <v>46203.0</v>
      </c>
      <c r="G1019" s="24">
        <f t="shared" ref="G1019:H1019" si="1026">F1019</f>
        <v>46203</v>
      </c>
      <c r="H1019" s="26">
        <f t="shared" si="1026"/>
        <v>46203</v>
      </c>
      <c r="I1019" s="50" t="s">
        <v>90</v>
      </c>
      <c r="K1019" s="436"/>
      <c r="L1019" s="29" t="s">
        <v>3085</v>
      </c>
      <c r="M1019" s="31"/>
      <c r="N1019" s="14" t="s">
        <v>84</v>
      </c>
      <c r="O1019" s="31"/>
      <c r="Q1019" s="36"/>
      <c r="R1019" s="36"/>
      <c r="S1019" s="36"/>
      <c r="T1019" s="36"/>
      <c r="V1019" s="31"/>
    </row>
    <row r="1020">
      <c r="A1020" s="14" t="s">
        <v>736</v>
      </c>
      <c r="B1020" s="351" t="s">
        <v>3523</v>
      </c>
      <c r="C1020" s="50" t="s">
        <v>1591</v>
      </c>
      <c r="D1020" s="50"/>
      <c r="E1020" s="348" t="str">
        <f t="shared" si="886"/>
        <v>junio 2026</v>
      </c>
      <c r="F1020" s="349">
        <v>46203.0</v>
      </c>
      <c r="G1020" s="24">
        <f t="shared" ref="G1020:H1020" si="1027">F1020</f>
        <v>46203</v>
      </c>
      <c r="H1020" s="26">
        <f t="shared" si="1027"/>
        <v>46203</v>
      </c>
      <c r="I1020" s="50" t="s">
        <v>90</v>
      </c>
      <c r="K1020" s="435"/>
      <c r="L1020" s="29" t="s">
        <v>3085</v>
      </c>
      <c r="M1020" s="31"/>
      <c r="N1020" s="14" t="s">
        <v>84</v>
      </c>
      <c r="O1020" s="31"/>
      <c r="Q1020" s="36"/>
      <c r="R1020" s="36"/>
      <c r="S1020" s="36"/>
      <c r="T1020" s="36"/>
      <c r="V1020" s="31"/>
    </row>
    <row r="1021">
      <c r="A1021" s="14" t="s">
        <v>736</v>
      </c>
      <c r="B1021" s="351" t="s">
        <v>3524</v>
      </c>
      <c r="C1021" s="50" t="s">
        <v>1592</v>
      </c>
      <c r="D1021" s="50"/>
      <c r="E1021" s="348" t="str">
        <f t="shared" si="886"/>
        <v>junio 2026</v>
      </c>
      <c r="F1021" s="349">
        <v>46200.0</v>
      </c>
      <c r="G1021" s="24">
        <f t="shared" ref="G1021:H1021" si="1028">F1021</f>
        <v>46200</v>
      </c>
      <c r="H1021" s="26">
        <f t="shared" si="1028"/>
        <v>46200</v>
      </c>
      <c r="I1021" s="50" t="s">
        <v>90</v>
      </c>
      <c r="K1021" s="436"/>
      <c r="L1021" s="29" t="s">
        <v>3085</v>
      </c>
      <c r="M1021" s="31"/>
      <c r="N1021" s="14" t="s">
        <v>84</v>
      </c>
      <c r="O1021" s="31"/>
      <c r="Q1021" s="36"/>
      <c r="R1021" s="36"/>
      <c r="S1021" s="36"/>
      <c r="T1021" s="36"/>
      <c r="V1021" s="31"/>
    </row>
    <row r="1022">
      <c r="A1022" s="14" t="s">
        <v>736</v>
      </c>
      <c r="B1022" s="351" t="s">
        <v>3525</v>
      </c>
      <c r="C1022" s="50" t="s">
        <v>1593</v>
      </c>
      <c r="D1022" s="50"/>
      <c r="E1022" s="348" t="str">
        <f t="shared" si="886"/>
        <v>junio 2026</v>
      </c>
      <c r="F1022" s="349">
        <v>46200.0</v>
      </c>
      <c r="G1022" s="24">
        <f t="shared" ref="G1022:H1022" si="1029">F1022</f>
        <v>46200</v>
      </c>
      <c r="H1022" s="26">
        <f t="shared" si="1029"/>
        <v>46200</v>
      </c>
      <c r="I1022" s="50" t="s">
        <v>90</v>
      </c>
      <c r="K1022" s="435"/>
      <c r="L1022" s="29" t="s">
        <v>3085</v>
      </c>
      <c r="M1022" s="31"/>
      <c r="N1022" s="14" t="s">
        <v>84</v>
      </c>
      <c r="O1022" s="31"/>
      <c r="Q1022" s="36"/>
      <c r="R1022" s="36"/>
      <c r="S1022" s="36"/>
      <c r="T1022" s="36"/>
      <c r="V1022" s="31"/>
    </row>
    <row r="1023">
      <c r="A1023" s="14" t="s">
        <v>736</v>
      </c>
      <c r="B1023" s="351" t="s">
        <v>3526</v>
      </c>
      <c r="C1023" s="50" t="s">
        <v>1594</v>
      </c>
      <c r="D1023" s="50"/>
      <c r="E1023" s="348" t="str">
        <f t="shared" si="886"/>
        <v>junio 2026</v>
      </c>
      <c r="F1023" s="349">
        <v>46200.0</v>
      </c>
      <c r="G1023" s="24">
        <f t="shared" ref="G1023:H1023" si="1030">F1023</f>
        <v>46200</v>
      </c>
      <c r="H1023" s="26">
        <f t="shared" si="1030"/>
        <v>46200</v>
      </c>
      <c r="I1023" s="50" t="s">
        <v>90</v>
      </c>
      <c r="K1023" s="436"/>
      <c r="L1023" s="29" t="s">
        <v>3085</v>
      </c>
      <c r="M1023" s="31"/>
      <c r="N1023" s="14" t="s">
        <v>84</v>
      </c>
      <c r="O1023" s="31"/>
      <c r="Q1023" s="36"/>
      <c r="R1023" s="36"/>
      <c r="S1023" s="36"/>
      <c r="T1023" s="36"/>
      <c r="V1023" s="31"/>
    </row>
    <row r="1024">
      <c r="A1024" s="14" t="s">
        <v>736</v>
      </c>
      <c r="B1024" s="351" t="s">
        <v>3527</v>
      </c>
      <c r="C1024" s="50" t="s">
        <v>1595</v>
      </c>
      <c r="D1024" s="50"/>
      <c r="E1024" s="348" t="str">
        <f t="shared" si="886"/>
        <v>julio 2026</v>
      </c>
      <c r="F1024" s="349">
        <v>46207.0</v>
      </c>
      <c r="G1024" s="24">
        <f t="shared" ref="G1024:H1024" si="1031">F1024</f>
        <v>46207</v>
      </c>
      <c r="H1024" s="26">
        <f t="shared" si="1031"/>
        <v>46207</v>
      </c>
      <c r="I1024" s="50" t="s">
        <v>90</v>
      </c>
      <c r="K1024" s="435"/>
      <c r="L1024" s="29" t="s">
        <v>3085</v>
      </c>
      <c r="M1024" s="31"/>
      <c r="N1024" s="14" t="s">
        <v>84</v>
      </c>
      <c r="O1024" s="31"/>
      <c r="Q1024" s="36"/>
      <c r="R1024" s="36"/>
      <c r="S1024" s="36"/>
      <c r="T1024" s="36"/>
      <c r="V1024" s="31"/>
    </row>
    <row r="1025">
      <c r="A1025" s="14" t="s">
        <v>736</v>
      </c>
      <c r="B1025" s="351" t="s">
        <v>3528</v>
      </c>
      <c r="C1025" s="50" t="s">
        <v>1597</v>
      </c>
      <c r="D1025" s="50"/>
      <c r="E1025" s="348" t="str">
        <f t="shared" si="886"/>
        <v>junio 2026</v>
      </c>
      <c r="F1025" s="349">
        <v>46199.0</v>
      </c>
      <c r="G1025" s="24">
        <f t="shared" ref="G1025:H1025" si="1032">F1025</f>
        <v>46199</v>
      </c>
      <c r="H1025" s="26">
        <f t="shared" si="1032"/>
        <v>46199</v>
      </c>
      <c r="I1025" s="50" t="s">
        <v>90</v>
      </c>
      <c r="K1025" s="436"/>
      <c r="L1025" s="29" t="s">
        <v>3085</v>
      </c>
      <c r="M1025" s="31"/>
      <c r="N1025" s="14" t="s">
        <v>84</v>
      </c>
      <c r="O1025" s="31"/>
      <c r="Q1025" s="36"/>
      <c r="R1025" s="36"/>
      <c r="S1025" s="36"/>
      <c r="T1025" s="36"/>
      <c r="V1025" s="31"/>
    </row>
    <row r="1026">
      <c r="A1026" s="14" t="s">
        <v>736</v>
      </c>
      <c r="B1026" s="351" t="s">
        <v>3529</v>
      </c>
      <c r="C1026" s="50" t="s">
        <v>1598</v>
      </c>
      <c r="D1026" s="50"/>
      <c r="E1026" s="348" t="str">
        <f t="shared" si="886"/>
        <v>junio 2026</v>
      </c>
      <c r="F1026" s="349">
        <v>46199.0</v>
      </c>
      <c r="G1026" s="24">
        <f t="shared" ref="G1026:H1026" si="1033">F1026</f>
        <v>46199</v>
      </c>
      <c r="H1026" s="26">
        <f t="shared" si="1033"/>
        <v>46199</v>
      </c>
      <c r="I1026" s="50" t="s">
        <v>90</v>
      </c>
      <c r="K1026" s="435"/>
      <c r="L1026" s="29" t="s">
        <v>3085</v>
      </c>
      <c r="M1026" s="31"/>
      <c r="N1026" s="14" t="s">
        <v>84</v>
      </c>
      <c r="O1026" s="31"/>
      <c r="Q1026" s="36"/>
      <c r="R1026" s="36"/>
      <c r="S1026" s="36"/>
      <c r="T1026" s="36"/>
      <c r="V1026" s="31"/>
    </row>
    <row r="1027">
      <c r="A1027" s="14" t="s">
        <v>736</v>
      </c>
      <c r="B1027" s="351" t="s">
        <v>3530</v>
      </c>
      <c r="C1027" s="50" t="s">
        <v>1599</v>
      </c>
      <c r="D1027" s="50"/>
      <c r="E1027" s="348" t="str">
        <f t="shared" si="886"/>
        <v>julio 2026</v>
      </c>
      <c r="F1027" s="349">
        <v>46220.0</v>
      </c>
      <c r="G1027" s="24">
        <f t="shared" ref="G1027:H1027" si="1034">F1027</f>
        <v>46220</v>
      </c>
      <c r="H1027" s="26">
        <f t="shared" si="1034"/>
        <v>46220</v>
      </c>
      <c r="I1027" s="50" t="s">
        <v>90</v>
      </c>
      <c r="K1027" s="436"/>
      <c r="L1027" s="29" t="s">
        <v>3085</v>
      </c>
      <c r="M1027" s="31"/>
      <c r="N1027" s="14" t="s">
        <v>84</v>
      </c>
      <c r="O1027" s="31"/>
      <c r="Q1027" s="36"/>
      <c r="R1027" s="36"/>
      <c r="S1027" s="36"/>
      <c r="T1027" s="36"/>
      <c r="V1027" s="31"/>
    </row>
    <row r="1028">
      <c r="A1028" s="14" t="s">
        <v>736</v>
      </c>
      <c r="B1028" s="351" t="s">
        <v>3531</v>
      </c>
      <c r="C1028" s="50" t="s">
        <v>1602</v>
      </c>
      <c r="D1028" s="50"/>
      <c r="E1028" s="348" t="str">
        <f t="shared" si="886"/>
        <v>julio 2026</v>
      </c>
      <c r="F1028" s="349">
        <v>46210.0</v>
      </c>
      <c r="G1028" s="24">
        <f t="shared" ref="G1028:H1028" si="1035">F1028</f>
        <v>46210</v>
      </c>
      <c r="H1028" s="26">
        <f t="shared" si="1035"/>
        <v>46210</v>
      </c>
      <c r="I1028" s="50" t="s">
        <v>90</v>
      </c>
      <c r="K1028" s="435"/>
      <c r="L1028" s="29" t="s">
        <v>3085</v>
      </c>
      <c r="M1028" s="31"/>
      <c r="N1028" s="14" t="s">
        <v>84</v>
      </c>
      <c r="O1028" s="31"/>
      <c r="Q1028" s="36"/>
      <c r="R1028" s="36"/>
      <c r="S1028" s="36"/>
      <c r="T1028" s="36"/>
      <c r="V1028" s="31"/>
    </row>
    <row r="1029">
      <c r="A1029" s="14" t="s">
        <v>736</v>
      </c>
      <c r="B1029" s="351" t="s">
        <v>3532</v>
      </c>
      <c r="C1029" s="50" t="s">
        <v>1603</v>
      </c>
      <c r="D1029" s="50"/>
      <c r="E1029" s="348" t="str">
        <f t="shared" si="886"/>
        <v>julio 2026</v>
      </c>
      <c r="F1029" s="349">
        <v>46224.0</v>
      </c>
      <c r="G1029" s="24">
        <f t="shared" ref="G1029:H1029" si="1036">F1029</f>
        <v>46224</v>
      </c>
      <c r="H1029" s="26">
        <f t="shared" si="1036"/>
        <v>46224</v>
      </c>
      <c r="I1029" s="50" t="s">
        <v>90</v>
      </c>
      <c r="K1029" s="436"/>
      <c r="L1029" s="29" t="s">
        <v>3085</v>
      </c>
      <c r="M1029" s="31"/>
      <c r="N1029" s="14" t="s">
        <v>84</v>
      </c>
      <c r="O1029" s="31"/>
      <c r="Q1029" s="36"/>
      <c r="R1029" s="36"/>
      <c r="S1029" s="36"/>
      <c r="T1029" s="36"/>
      <c r="V1029" s="31"/>
    </row>
    <row r="1030">
      <c r="A1030" s="14" t="s">
        <v>736</v>
      </c>
      <c r="B1030" s="351" t="s">
        <v>3533</v>
      </c>
      <c r="C1030" s="50" t="s">
        <v>1604</v>
      </c>
      <c r="D1030" s="50"/>
      <c r="E1030" s="348" t="str">
        <f t="shared" si="886"/>
        <v>junio 2026</v>
      </c>
      <c r="F1030" s="349">
        <v>46198.0</v>
      </c>
      <c r="G1030" s="24">
        <f t="shared" ref="G1030:H1030" si="1037">F1030</f>
        <v>46198</v>
      </c>
      <c r="H1030" s="26">
        <f t="shared" si="1037"/>
        <v>46198</v>
      </c>
      <c r="I1030" s="50" t="s">
        <v>90</v>
      </c>
      <c r="K1030" s="435"/>
      <c r="L1030" s="29" t="s">
        <v>3085</v>
      </c>
      <c r="M1030" s="31"/>
      <c r="N1030" s="14" t="s">
        <v>84</v>
      </c>
      <c r="O1030" s="31"/>
      <c r="Q1030" s="36"/>
      <c r="R1030" s="36"/>
      <c r="S1030" s="36"/>
      <c r="T1030" s="36"/>
      <c r="V1030" s="31"/>
    </row>
    <row r="1031">
      <c r="A1031" s="14" t="s">
        <v>736</v>
      </c>
      <c r="B1031" s="351" t="s">
        <v>3534</v>
      </c>
      <c r="C1031" s="50" t="s">
        <v>1605</v>
      </c>
      <c r="D1031" s="50"/>
      <c r="E1031" s="348" t="str">
        <f t="shared" si="886"/>
        <v>julio 2026</v>
      </c>
      <c r="F1031" s="349">
        <v>46207.0</v>
      </c>
      <c r="G1031" s="24">
        <f t="shared" ref="G1031:H1031" si="1038">F1031</f>
        <v>46207</v>
      </c>
      <c r="H1031" s="26">
        <f t="shared" si="1038"/>
        <v>46207</v>
      </c>
      <c r="I1031" s="50" t="s">
        <v>90</v>
      </c>
      <c r="K1031" s="436"/>
      <c r="L1031" s="29" t="s">
        <v>3085</v>
      </c>
      <c r="M1031" s="31"/>
      <c r="N1031" s="14" t="s">
        <v>84</v>
      </c>
      <c r="O1031" s="31"/>
      <c r="Q1031" s="36"/>
      <c r="R1031" s="36"/>
      <c r="S1031" s="36"/>
      <c r="T1031" s="36"/>
      <c r="V1031" s="31"/>
    </row>
    <row r="1032">
      <c r="A1032" s="14" t="s">
        <v>736</v>
      </c>
      <c r="B1032" s="351" t="s">
        <v>3535</v>
      </c>
      <c r="C1032" s="50" t="s">
        <v>1606</v>
      </c>
      <c r="D1032" s="50"/>
      <c r="E1032" s="348" t="str">
        <f t="shared" si="886"/>
        <v>julio 2026</v>
      </c>
      <c r="F1032" s="349">
        <v>46212.0</v>
      </c>
      <c r="G1032" s="24">
        <f t="shared" ref="G1032:H1032" si="1039">F1032</f>
        <v>46212</v>
      </c>
      <c r="H1032" s="26">
        <f t="shared" si="1039"/>
        <v>46212</v>
      </c>
      <c r="I1032" s="50" t="s">
        <v>90</v>
      </c>
      <c r="K1032" s="435"/>
      <c r="L1032" s="29" t="s">
        <v>3085</v>
      </c>
      <c r="M1032" s="31"/>
      <c r="N1032" s="14" t="s">
        <v>84</v>
      </c>
      <c r="O1032" s="31"/>
      <c r="Q1032" s="36"/>
      <c r="R1032" s="36"/>
      <c r="S1032" s="36"/>
      <c r="T1032" s="36"/>
      <c r="V1032" s="31"/>
    </row>
    <row r="1033">
      <c r="A1033" s="14" t="s">
        <v>736</v>
      </c>
      <c r="B1033" s="351" t="s">
        <v>3536</v>
      </c>
      <c r="C1033" s="50" t="s">
        <v>1607</v>
      </c>
      <c r="D1033" s="50"/>
      <c r="E1033" s="348" t="str">
        <f t="shared" si="886"/>
        <v>julio 2026</v>
      </c>
      <c r="F1033" s="349">
        <v>46206.0</v>
      </c>
      <c r="G1033" s="24">
        <f t="shared" ref="G1033:H1033" si="1040">F1033</f>
        <v>46206</v>
      </c>
      <c r="H1033" s="26">
        <f t="shared" si="1040"/>
        <v>46206</v>
      </c>
      <c r="I1033" s="50" t="s">
        <v>90</v>
      </c>
      <c r="K1033" s="436"/>
      <c r="L1033" s="29" t="s">
        <v>3085</v>
      </c>
      <c r="M1033" s="31"/>
      <c r="N1033" s="14" t="s">
        <v>84</v>
      </c>
      <c r="O1033" s="31"/>
      <c r="Q1033" s="36"/>
      <c r="R1033" s="36"/>
      <c r="S1033" s="36"/>
      <c r="T1033" s="36"/>
      <c r="V1033" s="31"/>
    </row>
    <row r="1034">
      <c r="A1034" s="14" t="s">
        <v>736</v>
      </c>
      <c r="B1034" s="351" t="s">
        <v>3537</v>
      </c>
      <c r="C1034" s="50" t="s">
        <v>1610</v>
      </c>
      <c r="D1034" s="50"/>
      <c r="E1034" s="348" t="str">
        <f t="shared" si="886"/>
        <v>julio 2026</v>
      </c>
      <c r="F1034" s="349">
        <v>46213.0</v>
      </c>
      <c r="G1034" s="24">
        <f t="shared" ref="G1034:H1034" si="1041">F1034</f>
        <v>46213</v>
      </c>
      <c r="H1034" s="26">
        <f t="shared" si="1041"/>
        <v>46213</v>
      </c>
      <c r="I1034" s="50" t="s">
        <v>90</v>
      </c>
      <c r="K1034" s="435"/>
      <c r="L1034" s="29" t="s">
        <v>3085</v>
      </c>
      <c r="M1034" s="31"/>
      <c r="N1034" s="14" t="s">
        <v>84</v>
      </c>
      <c r="O1034" s="31"/>
      <c r="Q1034" s="36"/>
      <c r="R1034" s="36"/>
      <c r="S1034" s="36"/>
      <c r="T1034" s="36"/>
      <c r="V1034" s="31"/>
    </row>
    <row r="1035">
      <c r="A1035" s="14" t="s">
        <v>736</v>
      </c>
      <c r="B1035" s="351" t="s">
        <v>3538</v>
      </c>
      <c r="C1035" s="50" t="s">
        <v>1611</v>
      </c>
      <c r="D1035" s="50"/>
      <c r="E1035" s="348" t="str">
        <f t="shared" si="886"/>
        <v>junio 2026</v>
      </c>
      <c r="F1035" s="349">
        <v>46199.0</v>
      </c>
      <c r="G1035" s="24">
        <f t="shared" ref="G1035:H1035" si="1042">F1035</f>
        <v>46199</v>
      </c>
      <c r="H1035" s="26">
        <f t="shared" si="1042"/>
        <v>46199</v>
      </c>
      <c r="I1035" s="50" t="s">
        <v>90</v>
      </c>
      <c r="K1035" s="436"/>
      <c r="L1035" s="29" t="s">
        <v>3085</v>
      </c>
      <c r="M1035" s="31"/>
      <c r="N1035" s="14" t="s">
        <v>84</v>
      </c>
      <c r="O1035" s="31"/>
      <c r="Q1035" s="36"/>
      <c r="R1035" s="36"/>
      <c r="S1035" s="36"/>
      <c r="T1035" s="36"/>
      <c r="V1035" s="31"/>
    </row>
    <row r="1036">
      <c r="A1036" s="14" t="s">
        <v>736</v>
      </c>
      <c r="B1036" s="351" t="s">
        <v>3539</v>
      </c>
      <c r="C1036" s="50" t="s">
        <v>1612</v>
      </c>
      <c r="D1036" s="50"/>
      <c r="E1036" s="348" t="str">
        <f t="shared" si="886"/>
        <v>junio 2026</v>
      </c>
      <c r="F1036" s="349">
        <v>46200.0</v>
      </c>
      <c r="G1036" s="24">
        <f t="shared" ref="G1036:H1036" si="1043">F1036</f>
        <v>46200</v>
      </c>
      <c r="H1036" s="26">
        <f t="shared" si="1043"/>
        <v>46200</v>
      </c>
      <c r="I1036" s="50" t="s">
        <v>90</v>
      </c>
      <c r="K1036" s="435"/>
      <c r="L1036" s="29" t="s">
        <v>3085</v>
      </c>
      <c r="M1036" s="31"/>
      <c r="N1036" s="14" t="s">
        <v>84</v>
      </c>
      <c r="O1036" s="31"/>
      <c r="Q1036" s="36"/>
      <c r="R1036" s="36"/>
      <c r="S1036" s="36"/>
      <c r="T1036" s="36"/>
      <c r="V1036" s="31"/>
    </row>
    <row r="1037">
      <c r="A1037" s="14" t="s">
        <v>736</v>
      </c>
      <c r="B1037" s="351" t="s">
        <v>3540</v>
      </c>
      <c r="C1037" s="50" t="s">
        <v>1613</v>
      </c>
      <c r="D1037" s="50"/>
      <c r="E1037" s="348" t="str">
        <f t="shared" si="886"/>
        <v>junio 2026</v>
      </c>
      <c r="F1037" s="349">
        <v>46203.0</v>
      </c>
      <c r="G1037" s="24">
        <f t="shared" ref="G1037:H1037" si="1044">F1037</f>
        <v>46203</v>
      </c>
      <c r="H1037" s="26">
        <f t="shared" si="1044"/>
        <v>46203</v>
      </c>
      <c r="I1037" s="50" t="s">
        <v>90</v>
      </c>
      <c r="K1037" s="436"/>
      <c r="L1037" s="29" t="s">
        <v>3085</v>
      </c>
      <c r="M1037" s="31"/>
      <c r="N1037" s="14" t="s">
        <v>84</v>
      </c>
      <c r="O1037" s="31"/>
      <c r="Q1037" s="36"/>
      <c r="R1037" s="36"/>
      <c r="S1037" s="36"/>
      <c r="T1037" s="36"/>
      <c r="V1037" s="31"/>
    </row>
    <row r="1038">
      <c r="A1038" s="14" t="s">
        <v>736</v>
      </c>
      <c r="B1038" s="351" t="s">
        <v>3541</v>
      </c>
      <c r="C1038" s="50" t="s">
        <v>1614</v>
      </c>
      <c r="D1038" s="50"/>
      <c r="E1038" s="348" t="str">
        <f t="shared" si="886"/>
        <v>julio 2026</v>
      </c>
      <c r="F1038" s="349">
        <v>46212.0</v>
      </c>
      <c r="G1038" s="24">
        <f t="shared" ref="G1038:H1038" si="1045">F1038</f>
        <v>46212</v>
      </c>
      <c r="H1038" s="26">
        <f t="shared" si="1045"/>
        <v>46212</v>
      </c>
      <c r="I1038" s="50" t="s">
        <v>90</v>
      </c>
      <c r="K1038" s="435"/>
      <c r="L1038" s="29" t="s">
        <v>3085</v>
      </c>
      <c r="M1038" s="31"/>
      <c r="N1038" s="14" t="s">
        <v>84</v>
      </c>
      <c r="O1038" s="31"/>
      <c r="Q1038" s="36"/>
      <c r="R1038" s="36"/>
      <c r="S1038" s="36"/>
      <c r="T1038" s="36"/>
      <c r="V1038" s="31"/>
    </row>
    <row r="1039">
      <c r="A1039" s="14" t="s">
        <v>736</v>
      </c>
      <c r="B1039" s="351" t="s">
        <v>3542</v>
      </c>
      <c r="C1039" s="50" t="s">
        <v>1615</v>
      </c>
      <c r="D1039" s="50"/>
      <c r="E1039" s="348" t="str">
        <f t="shared" si="886"/>
        <v>julio 2026</v>
      </c>
      <c r="F1039" s="349">
        <v>46205.0</v>
      </c>
      <c r="G1039" s="24">
        <f t="shared" ref="G1039:H1039" si="1046">F1039</f>
        <v>46205</v>
      </c>
      <c r="H1039" s="26">
        <f t="shared" si="1046"/>
        <v>46205</v>
      </c>
      <c r="I1039" s="50" t="s">
        <v>90</v>
      </c>
      <c r="K1039" s="436"/>
      <c r="L1039" s="29" t="s">
        <v>3085</v>
      </c>
      <c r="M1039" s="31"/>
      <c r="N1039" s="14" t="s">
        <v>84</v>
      </c>
      <c r="O1039" s="31"/>
      <c r="Q1039" s="36"/>
      <c r="R1039" s="36"/>
      <c r="S1039" s="36"/>
      <c r="T1039" s="36"/>
      <c r="V1039" s="31"/>
    </row>
    <row r="1040">
      <c r="A1040" s="14" t="s">
        <v>736</v>
      </c>
      <c r="B1040" s="351" t="s">
        <v>3543</v>
      </c>
      <c r="C1040" s="50" t="s">
        <v>1618</v>
      </c>
      <c r="D1040" s="50"/>
      <c r="E1040" s="348" t="str">
        <f t="shared" si="886"/>
        <v>junio 2026</v>
      </c>
      <c r="F1040" s="349">
        <v>46200.0</v>
      </c>
      <c r="G1040" s="24">
        <f t="shared" ref="G1040:H1040" si="1047">F1040</f>
        <v>46200</v>
      </c>
      <c r="H1040" s="26">
        <f t="shared" si="1047"/>
        <v>46200</v>
      </c>
      <c r="I1040" s="50" t="s">
        <v>90</v>
      </c>
      <c r="K1040" s="435"/>
      <c r="L1040" s="29" t="s">
        <v>3085</v>
      </c>
      <c r="M1040" s="31"/>
      <c r="N1040" s="14" t="s">
        <v>84</v>
      </c>
      <c r="O1040" s="31"/>
      <c r="Q1040" s="36"/>
      <c r="R1040" s="36"/>
      <c r="S1040" s="36"/>
      <c r="T1040" s="36"/>
      <c r="V1040" s="31"/>
    </row>
    <row r="1041">
      <c r="A1041" s="14" t="s">
        <v>736</v>
      </c>
      <c r="B1041" s="351" t="s">
        <v>3544</v>
      </c>
      <c r="C1041" s="50" t="s">
        <v>1619</v>
      </c>
      <c r="D1041" s="50"/>
      <c r="E1041" s="348" t="str">
        <f t="shared" si="886"/>
        <v>julio 2026</v>
      </c>
      <c r="F1041" s="349">
        <v>46211.0</v>
      </c>
      <c r="G1041" s="24">
        <f t="shared" ref="G1041:H1041" si="1048">F1041</f>
        <v>46211</v>
      </c>
      <c r="H1041" s="26">
        <f t="shared" si="1048"/>
        <v>46211</v>
      </c>
      <c r="I1041" s="50" t="s">
        <v>90</v>
      </c>
      <c r="K1041" s="436"/>
      <c r="L1041" s="29" t="s">
        <v>3085</v>
      </c>
      <c r="M1041" s="31"/>
      <c r="N1041" s="14" t="s">
        <v>84</v>
      </c>
      <c r="O1041" s="31"/>
      <c r="Q1041" s="36"/>
      <c r="R1041" s="36"/>
      <c r="S1041" s="36"/>
      <c r="T1041" s="36"/>
      <c r="V1041" s="31"/>
    </row>
    <row r="1042">
      <c r="A1042" s="14" t="s">
        <v>736</v>
      </c>
      <c r="B1042" s="351" t="s">
        <v>3545</v>
      </c>
      <c r="C1042" s="50" t="s">
        <v>1620</v>
      </c>
      <c r="D1042" s="50"/>
      <c r="E1042" s="348" t="str">
        <f t="shared" si="886"/>
        <v>julio 2026</v>
      </c>
      <c r="F1042" s="349">
        <v>46206.0</v>
      </c>
      <c r="G1042" s="24">
        <f t="shared" ref="G1042:H1042" si="1049">F1042</f>
        <v>46206</v>
      </c>
      <c r="H1042" s="26">
        <f t="shared" si="1049"/>
        <v>46206</v>
      </c>
      <c r="I1042" s="50" t="s">
        <v>90</v>
      </c>
      <c r="K1042" s="435"/>
      <c r="L1042" s="29" t="s">
        <v>3085</v>
      </c>
      <c r="M1042" s="31"/>
      <c r="N1042" s="14" t="s">
        <v>84</v>
      </c>
      <c r="O1042" s="31"/>
      <c r="Q1042" s="36"/>
      <c r="R1042" s="36"/>
      <c r="S1042" s="36"/>
      <c r="T1042" s="36"/>
      <c r="V1042" s="31"/>
    </row>
    <row r="1043">
      <c r="A1043" s="14" t="s">
        <v>736</v>
      </c>
      <c r="B1043" s="351" t="s">
        <v>3496</v>
      </c>
      <c r="C1043" s="50" t="s">
        <v>1622</v>
      </c>
      <c r="D1043" s="50"/>
      <c r="E1043" s="348" t="str">
        <f t="shared" si="886"/>
        <v>julio 2026</v>
      </c>
      <c r="F1043" s="349">
        <v>46211.0</v>
      </c>
      <c r="G1043" s="24">
        <f t="shared" ref="G1043:H1043" si="1050">F1043</f>
        <v>46211</v>
      </c>
      <c r="H1043" s="26">
        <f t="shared" si="1050"/>
        <v>46211</v>
      </c>
      <c r="I1043" s="50" t="s">
        <v>90</v>
      </c>
      <c r="K1043" s="436"/>
      <c r="L1043" s="29" t="s">
        <v>3085</v>
      </c>
      <c r="M1043" s="31"/>
      <c r="N1043" s="14" t="s">
        <v>84</v>
      </c>
      <c r="O1043" s="31"/>
      <c r="Q1043" s="36"/>
      <c r="R1043" s="36"/>
      <c r="S1043" s="36"/>
      <c r="T1043" s="36"/>
      <c r="V1043" s="31"/>
    </row>
    <row r="1044">
      <c r="A1044" s="14" t="s">
        <v>736</v>
      </c>
      <c r="B1044" s="351" t="s">
        <v>3546</v>
      </c>
      <c r="C1044" s="50" t="s">
        <v>1625</v>
      </c>
      <c r="D1044" s="50"/>
      <c r="E1044" s="348" t="str">
        <f t="shared" si="886"/>
        <v>julio 2026</v>
      </c>
      <c r="F1044" s="349">
        <v>46220.0</v>
      </c>
      <c r="G1044" s="24">
        <f t="shared" ref="G1044:H1044" si="1051">F1044</f>
        <v>46220</v>
      </c>
      <c r="H1044" s="26">
        <f t="shared" si="1051"/>
        <v>46220</v>
      </c>
      <c r="I1044" s="50" t="s">
        <v>90</v>
      </c>
      <c r="K1044" s="435"/>
      <c r="L1044" s="29" t="s">
        <v>3085</v>
      </c>
      <c r="M1044" s="31"/>
      <c r="N1044" s="14" t="s">
        <v>84</v>
      </c>
      <c r="O1044" s="31"/>
      <c r="Q1044" s="36"/>
      <c r="R1044" s="36"/>
      <c r="S1044" s="36"/>
      <c r="T1044" s="36"/>
      <c r="V1044" s="31"/>
    </row>
    <row r="1045">
      <c r="A1045" s="14" t="s">
        <v>736</v>
      </c>
      <c r="B1045" s="351" t="s">
        <v>3547</v>
      </c>
      <c r="C1045" s="50" t="s">
        <v>1626</v>
      </c>
      <c r="D1045" s="50"/>
      <c r="E1045" s="348" t="str">
        <f t="shared" si="886"/>
        <v>julio 2026</v>
      </c>
      <c r="F1045" s="349">
        <v>46205.0</v>
      </c>
      <c r="G1045" s="24">
        <f t="shared" ref="G1045:H1045" si="1052">F1045</f>
        <v>46205</v>
      </c>
      <c r="H1045" s="26">
        <f t="shared" si="1052"/>
        <v>46205</v>
      </c>
      <c r="I1045" s="50" t="s">
        <v>90</v>
      </c>
      <c r="K1045" s="436"/>
      <c r="L1045" s="29" t="s">
        <v>3085</v>
      </c>
      <c r="M1045" s="31"/>
      <c r="N1045" s="14" t="s">
        <v>84</v>
      </c>
      <c r="O1045" s="31"/>
      <c r="Q1045" s="36"/>
      <c r="R1045" s="36"/>
      <c r="S1045" s="36"/>
      <c r="T1045" s="36"/>
      <c r="V1045" s="31"/>
    </row>
    <row r="1046">
      <c r="A1046" s="14" t="s">
        <v>736</v>
      </c>
      <c r="B1046" s="351" t="s">
        <v>3548</v>
      </c>
      <c r="C1046" s="50" t="s">
        <v>1627</v>
      </c>
      <c r="D1046" s="50"/>
      <c r="E1046" s="348" t="str">
        <f t="shared" si="886"/>
        <v>julio 2026</v>
      </c>
      <c r="F1046" s="349">
        <v>46205.0</v>
      </c>
      <c r="G1046" s="24">
        <f t="shared" ref="G1046:H1046" si="1053">F1046</f>
        <v>46205</v>
      </c>
      <c r="H1046" s="26">
        <f t="shared" si="1053"/>
        <v>46205</v>
      </c>
      <c r="I1046" s="50" t="s">
        <v>90</v>
      </c>
      <c r="K1046" s="435"/>
      <c r="L1046" s="29" t="s">
        <v>3085</v>
      </c>
      <c r="M1046" s="31"/>
      <c r="N1046" s="14" t="s">
        <v>84</v>
      </c>
      <c r="O1046" s="31"/>
      <c r="Q1046" s="36"/>
      <c r="R1046" s="36"/>
      <c r="S1046" s="36"/>
      <c r="T1046" s="36"/>
      <c r="V1046" s="31"/>
    </row>
    <row r="1047">
      <c r="A1047" s="14" t="s">
        <v>736</v>
      </c>
      <c r="B1047" s="351" t="s">
        <v>3549</v>
      </c>
      <c r="C1047" s="50" t="s">
        <v>1629</v>
      </c>
      <c r="D1047" s="50"/>
      <c r="E1047" s="348" t="str">
        <f t="shared" si="886"/>
        <v>junio 2026</v>
      </c>
      <c r="F1047" s="349">
        <v>46203.0</v>
      </c>
      <c r="G1047" s="24">
        <f t="shared" ref="G1047:H1047" si="1054">F1047</f>
        <v>46203</v>
      </c>
      <c r="H1047" s="26">
        <f t="shared" si="1054"/>
        <v>46203</v>
      </c>
      <c r="I1047" s="50" t="s">
        <v>90</v>
      </c>
      <c r="K1047" s="436"/>
      <c r="L1047" s="29" t="s">
        <v>3085</v>
      </c>
      <c r="M1047" s="31"/>
      <c r="N1047" s="14" t="s">
        <v>84</v>
      </c>
      <c r="O1047" s="31"/>
      <c r="Q1047" s="36"/>
      <c r="R1047" s="36"/>
      <c r="S1047" s="36"/>
      <c r="T1047" s="36"/>
      <c r="V1047" s="31"/>
    </row>
    <row r="1048">
      <c r="A1048" s="14" t="s">
        <v>736</v>
      </c>
      <c r="B1048" s="351" t="s">
        <v>3550</v>
      </c>
      <c r="C1048" s="50" t="s">
        <v>1631</v>
      </c>
      <c r="D1048" s="50"/>
      <c r="E1048" s="348" t="str">
        <f t="shared" si="886"/>
        <v>julio 2026</v>
      </c>
      <c r="F1048" s="349">
        <v>46214.0</v>
      </c>
      <c r="G1048" s="24">
        <f t="shared" ref="G1048:H1048" si="1055">F1048</f>
        <v>46214</v>
      </c>
      <c r="H1048" s="26">
        <f t="shared" si="1055"/>
        <v>46214</v>
      </c>
      <c r="I1048" s="50" t="s">
        <v>90</v>
      </c>
      <c r="K1048" s="435"/>
      <c r="L1048" s="29" t="s">
        <v>3085</v>
      </c>
      <c r="M1048" s="31"/>
      <c r="N1048" s="14" t="s">
        <v>84</v>
      </c>
      <c r="O1048" s="31"/>
      <c r="Q1048" s="36"/>
      <c r="R1048" s="36"/>
      <c r="S1048" s="36"/>
      <c r="T1048" s="36"/>
      <c r="V1048" s="31"/>
    </row>
    <row r="1049">
      <c r="A1049" s="14" t="s">
        <v>736</v>
      </c>
      <c r="B1049" s="351" t="s">
        <v>3551</v>
      </c>
      <c r="C1049" s="50" t="s">
        <v>1632</v>
      </c>
      <c r="D1049" s="50"/>
      <c r="E1049" s="348" t="str">
        <f t="shared" si="886"/>
        <v>julio 2026</v>
      </c>
      <c r="F1049" s="349">
        <v>46214.0</v>
      </c>
      <c r="G1049" s="24">
        <f t="shared" ref="G1049:H1049" si="1056">F1049</f>
        <v>46214</v>
      </c>
      <c r="H1049" s="26">
        <f t="shared" si="1056"/>
        <v>46214</v>
      </c>
      <c r="I1049" s="50" t="s">
        <v>90</v>
      </c>
      <c r="K1049" s="436"/>
      <c r="L1049" s="29" t="s">
        <v>3085</v>
      </c>
      <c r="M1049" s="31"/>
      <c r="N1049" s="14" t="s">
        <v>84</v>
      </c>
      <c r="O1049" s="31"/>
      <c r="Q1049" s="36"/>
      <c r="R1049" s="36"/>
      <c r="S1049" s="36"/>
      <c r="T1049" s="36"/>
      <c r="V1049" s="31"/>
    </row>
    <row r="1050">
      <c r="A1050" s="14" t="s">
        <v>736</v>
      </c>
      <c r="B1050" s="351" t="s">
        <v>3552</v>
      </c>
      <c r="C1050" s="50" t="s">
        <v>1633</v>
      </c>
      <c r="D1050" s="50"/>
      <c r="E1050" s="348" t="str">
        <f t="shared" si="886"/>
        <v>julio 2026</v>
      </c>
      <c r="F1050" s="349">
        <v>46214.0</v>
      </c>
      <c r="G1050" s="24">
        <f t="shared" ref="G1050:H1050" si="1057">F1050</f>
        <v>46214</v>
      </c>
      <c r="H1050" s="26">
        <f t="shared" si="1057"/>
        <v>46214</v>
      </c>
      <c r="I1050" s="50" t="s">
        <v>90</v>
      </c>
      <c r="K1050" s="435"/>
      <c r="L1050" s="29" t="s">
        <v>3085</v>
      </c>
      <c r="M1050" s="31"/>
      <c r="N1050" s="14" t="s">
        <v>84</v>
      </c>
      <c r="O1050" s="31"/>
      <c r="Q1050" s="36"/>
      <c r="R1050" s="36"/>
      <c r="S1050" s="36"/>
      <c r="T1050" s="36"/>
      <c r="V1050" s="31"/>
    </row>
    <row r="1051">
      <c r="A1051" s="14" t="s">
        <v>736</v>
      </c>
      <c r="B1051" s="351" t="s">
        <v>3553</v>
      </c>
      <c r="C1051" s="50" t="s">
        <v>1634</v>
      </c>
      <c r="D1051" s="50"/>
      <c r="E1051" s="348" t="str">
        <f t="shared" si="886"/>
        <v>julio 2026</v>
      </c>
      <c r="F1051" s="349">
        <v>46214.0</v>
      </c>
      <c r="G1051" s="24">
        <f t="shared" ref="G1051:H1051" si="1058">F1051</f>
        <v>46214</v>
      </c>
      <c r="H1051" s="26">
        <f t="shared" si="1058"/>
        <v>46214</v>
      </c>
      <c r="I1051" s="50" t="s">
        <v>90</v>
      </c>
      <c r="K1051" s="436"/>
      <c r="L1051" s="29" t="s">
        <v>3085</v>
      </c>
      <c r="M1051" s="31"/>
      <c r="N1051" s="14" t="s">
        <v>84</v>
      </c>
      <c r="O1051" s="31"/>
      <c r="Q1051" s="36"/>
      <c r="R1051" s="36"/>
      <c r="S1051" s="36"/>
      <c r="T1051" s="36"/>
      <c r="V1051" s="31"/>
    </row>
    <row r="1052">
      <c r="A1052" s="14" t="s">
        <v>736</v>
      </c>
      <c r="B1052" s="351" t="s">
        <v>3554</v>
      </c>
      <c r="C1052" s="50" t="s">
        <v>1637</v>
      </c>
      <c r="D1052" s="50"/>
      <c r="E1052" s="348" t="str">
        <f t="shared" si="886"/>
        <v>septiembre 2026</v>
      </c>
      <c r="F1052" s="349">
        <v>46288.0</v>
      </c>
      <c r="G1052" s="24">
        <f t="shared" ref="G1052:H1052" si="1059">F1052</f>
        <v>46288</v>
      </c>
      <c r="H1052" s="26">
        <f t="shared" si="1059"/>
        <v>46288</v>
      </c>
      <c r="I1052" s="50" t="s">
        <v>90</v>
      </c>
      <c r="K1052" s="435"/>
      <c r="L1052" s="29" t="s">
        <v>3085</v>
      </c>
      <c r="M1052" s="31"/>
      <c r="N1052" s="14" t="s">
        <v>84</v>
      </c>
      <c r="O1052" s="31"/>
      <c r="Q1052" s="36"/>
      <c r="R1052" s="36"/>
      <c r="S1052" s="36"/>
      <c r="T1052" s="36"/>
      <c r="V1052" s="31"/>
    </row>
    <row r="1053">
      <c r="A1053" s="14" t="s">
        <v>736</v>
      </c>
      <c r="B1053" s="351" t="s">
        <v>3555</v>
      </c>
      <c r="C1053" s="50" t="s">
        <v>1638</v>
      </c>
      <c r="D1053" s="50"/>
      <c r="E1053" s="348" t="str">
        <f t="shared" si="886"/>
        <v>julio 2026</v>
      </c>
      <c r="F1053" s="349">
        <v>46207.0</v>
      </c>
      <c r="G1053" s="24">
        <f t="shared" ref="G1053:H1053" si="1060">F1053</f>
        <v>46207</v>
      </c>
      <c r="H1053" s="26">
        <f t="shared" si="1060"/>
        <v>46207</v>
      </c>
      <c r="I1053" s="50" t="s">
        <v>90</v>
      </c>
      <c r="K1053" s="436"/>
      <c r="L1053" s="29" t="s">
        <v>3085</v>
      </c>
      <c r="M1053" s="31"/>
      <c r="N1053" s="14" t="s">
        <v>84</v>
      </c>
      <c r="O1053" s="31"/>
      <c r="Q1053" s="36"/>
      <c r="R1053" s="36"/>
      <c r="S1053" s="36"/>
      <c r="T1053" s="36"/>
      <c r="V1053" s="31"/>
    </row>
    <row r="1054">
      <c r="A1054" s="14" t="s">
        <v>736</v>
      </c>
      <c r="B1054" s="351" t="s">
        <v>3556</v>
      </c>
      <c r="C1054" s="50" t="s">
        <v>1641</v>
      </c>
      <c r="D1054" s="50"/>
      <c r="E1054" s="348" t="str">
        <f t="shared" si="886"/>
        <v>julio 2026</v>
      </c>
      <c r="F1054" s="349">
        <v>46232.0</v>
      </c>
      <c r="G1054" s="24">
        <f t="shared" ref="G1054:H1054" si="1061">F1054</f>
        <v>46232</v>
      </c>
      <c r="H1054" s="26">
        <f t="shared" si="1061"/>
        <v>46232</v>
      </c>
      <c r="I1054" s="50" t="s">
        <v>90</v>
      </c>
      <c r="K1054" s="435"/>
      <c r="L1054" s="29" t="s">
        <v>3085</v>
      </c>
      <c r="M1054" s="31"/>
      <c r="N1054" s="14" t="s">
        <v>84</v>
      </c>
      <c r="O1054" s="31"/>
      <c r="Q1054" s="36"/>
      <c r="R1054" s="36"/>
      <c r="S1054" s="36"/>
      <c r="T1054" s="36"/>
      <c r="V1054" s="31"/>
    </row>
    <row r="1055">
      <c r="A1055" s="14" t="s">
        <v>736</v>
      </c>
      <c r="B1055" s="351" t="s">
        <v>3557</v>
      </c>
      <c r="C1055" s="50" t="s">
        <v>1642</v>
      </c>
      <c r="D1055" s="50"/>
      <c r="E1055" s="348" t="str">
        <f t="shared" si="886"/>
        <v>septiembre 2026</v>
      </c>
      <c r="F1055" s="349">
        <v>46282.0</v>
      </c>
      <c r="G1055" s="24">
        <f t="shared" ref="G1055:H1055" si="1062">F1055</f>
        <v>46282</v>
      </c>
      <c r="H1055" s="26">
        <f t="shared" si="1062"/>
        <v>46282</v>
      </c>
      <c r="I1055" s="50" t="s">
        <v>90</v>
      </c>
      <c r="K1055" s="436"/>
      <c r="L1055" s="29" t="s">
        <v>3085</v>
      </c>
      <c r="M1055" s="31"/>
      <c r="N1055" s="14" t="s">
        <v>84</v>
      </c>
      <c r="O1055" s="31"/>
      <c r="Q1055" s="36"/>
      <c r="R1055" s="36"/>
      <c r="S1055" s="36"/>
      <c r="T1055" s="36"/>
      <c r="V1055" s="31"/>
    </row>
    <row r="1056">
      <c r="A1056" s="14" t="s">
        <v>736</v>
      </c>
      <c r="B1056" s="351" t="s">
        <v>3558</v>
      </c>
      <c r="C1056" s="50" t="s">
        <v>1645</v>
      </c>
      <c r="D1056" s="50"/>
      <c r="E1056" s="348" t="str">
        <f t="shared" si="886"/>
        <v>julio 2026</v>
      </c>
      <c r="F1056" s="349">
        <v>46211.0</v>
      </c>
      <c r="G1056" s="24">
        <f t="shared" ref="G1056:H1056" si="1063">F1056</f>
        <v>46211</v>
      </c>
      <c r="H1056" s="26">
        <f t="shared" si="1063"/>
        <v>46211</v>
      </c>
      <c r="I1056" s="50" t="s">
        <v>90</v>
      </c>
      <c r="K1056" s="435"/>
      <c r="L1056" s="29" t="s">
        <v>3085</v>
      </c>
      <c r="M1056" s="31"/>
      <c r="N1056" s="14" t="s">
        <v>84</v>
      </c>
      <c r="O1056" s="31"/>
      <c r="Q1056" s="36"/>
      <c r="R1056" s="36"/>
      <c r="S1056" s="36"/>
      <c r="T1056" s="36"/>
      <c r="V1056" s="31"/>
    </row>
    <row r="1057">
      <c r="A1057" s="14" t="s">
        <v>736</v>
      </c>
      <c r="B1057" s="351" t="s">
        <v>3559</v>
      </c>
      <c r="C1057" s="50" t="s">
        <v>1646</v>
      </c>
      <c r="D1057" s="50"/>
      <c r="E1057" s="348" t="str">
        <f t="shared" si="886"/>
        <v>julio 2026</v>
      </c>
      <c r="F1057" s="349">
        <v>46206.0</v>
      </c>
      <c r="G1057" s="24">
        <f t="shared" ref="G1057:H1057" si="1064">F1057</f>
        <v>46206</v>
      </c>
      <c r="H1057" s="26">
        <f t="shared" si="1064"/>
        <v>46206</v>
      </c>
      <c r="I1057" s="50" t="s">
        <v>90</v>
      </c>
      <c r="K1057" s="436"/>
      <c r="L1057" s="29" t="s">
        <v>3085</v>
      </c>
      <c r="M1057" s="31"/>
      <c r="N1057" s="14" t="s">
        <v>84</v>
      </c>
      <c r="O1057" s="31"/>
      <c r="Q1057" s="36"/>
      <c r="R1057" s="36"/>
      <c r="S1057" s="36"/>
      <c r="T1057" s="36"/>
      <c r="V1057" s="31"/>
    </row>
    <row r="1058">
      <c r="A1058" s="14" t="s">
        <v>736</v>
      </c>
      <c r="B1058" s="351" t="s">
        <v>3560</v>
      </c>
      <c r="C1058" s="50" t="s">
        <v>1647</v>
      </c>
      <c r="D1058" s="50"/>
      <c r="E1058" s="348" t="str">
        <f t="shared" si="886"/>
        <v>julio 2026</v>
      </c>
      <c r="F1058" s="349">
        <v>46204.0</v>
      </c>
      <c r="G1058" s="24">
        <f t="shared" ref="G1058:H1058" si="1065">F1058</f>
        <v>46204</v>
      </c>
      <c r="H1058" s="26">
        <f t="shared" si="1065"/>
        <v>46204</v>
      </c>
      <c r="I1058" s="50" t="s">
        <v>90</v>
      </c>
      <c r="K1058" s="435"/>
      <c r="L1058" s="29" t="s">
        <v>3085</v>
      </c>
      <c r="M1058" s="31"/>
      <c r="N1058" s="14" t="s">
        <v>84</v>
      </c>
      <c r="O1058" s="31"/>
      <c r="Q1058" s="36"/>
      <c r="R1058" s="36"/>
      <c r="S1058" s="36"/>
      <c r="T1058" s="36"/>
      <c r="V1058" s="31"/>
    </row>
    <row r="1059">
      <c r="A1059" s="14" t="s">
        <v>117</v>
      </c>
      <c r="B1059" s="442" t="s">
        <v>3621</v>
      </c>
      <c r="C1059" s="15" t="s">
        <v>3561</v>
      </c>
      <c r="D1059" s="379" t="s">
        <v>40</v>
      </c>
      <c r="E1059" s="380" t="str">
        <f t="shared" si="886"/>
        <v>junio 2026</v>
      </c>
      <c r="F1059" s="381">
        <v>46199.0</v>
      </c>
      <c r="G1059" s="24">
        <f t="shared" ref="G1059:H1059" si="1066">F1059</f>
        <v>46199</v>
      </c>
      <c r="H1059" s="26">
        <f t="shared" si="1066"/>
        <v>46199</v>
      </c>
      <c r="I1059" s="14" t="s">
        <v>90</v>
      </c>
      <c r="K1059" s="436">
        <v>2.0E7</v>
      </c>
      <c r="L1059" s="29"/>
      <c r="M1059" s="31"/>
      <c r="N1059" s="14" t="s">
        <v>84</v>
      </c>
      <c r="O1059" s="31"/>
      <c r="Q1059" s="36"/>
      <c r="R1059" s="36"/>
      <c r="S1059" s="36"/>
      <c r="T1059" s="36"/>
      <c r="V1059" s="31"/>
    </row>
    <row r="1060">
      <c r="A1060" s="14" t="s">
        <v>679</v>
      </c>
      <c r="C1060" s="15" t="s">
        <v>3562</v>
      </c>
      <c r="D1060" s="446"/>
      <c r="E1060" s="383" t="str">
        <f t="shared" si="886"/>
        <v>julio 2026</v>
      </c>
      <c r="F1060" s="386">
        <v>46206.0</v>
      </c>
      <c r="G1060" s="24">
        <f t="shared" ref="G1060:H1060" si="1067">F1060</f>
        <v>46206</v>
      </c>
      <c r="H1060" s="26">
        <f t="shared" si="1067"/>
        <v>46206</v>
      </c>
      <c r="I1060" s="14" t="s">
        <v>259</v>
      </c>
      <c r="K1060" s="27">
        <v>2.0E8</v>
      </c>
      <c r="L1060" s="29" t="s">
        <v>3563</v>
      </c>
      <c r="M1060" s="31"/>
      <c r="N1060" s="14" t="s">
        <v>133</v>
      </c>
      <c r="O1060" s="14" t="s">
        <v>133</v>
      </c>
      <c r="Q1060" s="36"/>
      <c r="R1060" s="36"/>
      <c r="S1060" s="36"/>
      <c r="T1060" s="36"/>
      <c r="V1060" s="31"/>
    </row>
    <row r="1061">
      <c r="A1061" s="14" t="s">
        <v>736</v>
      </c>
      <c r="B1061" s="351" t="s">
        <v>3564</v>
      </c>
      <c r="C1061" s="50" t="s">
        <v>1648</v>
      </c>
      <c r="D1061" s="50"/>
      <c r="E1061" s="348" t="str">
        <f t="shared" si="886"/>
        <v>julio 2026</v>
      </c>
      <c r="F1061" s="349">
        <v>46220.0</v>
      </c>
      <c r="G1061" s="24">
        <f t="shared" ref="G1061:H1061" si="1068">F1061</f>
        <v>46220</v>
      </c>
      <c r="H1061" s="26">
        <f t="shared" si="1068"/>
        <v>46220</v>
      </c>
      <c r="I1061" s="50" t="s">
        <v>90</v>
      </c>
      <c r="K1061" s="435"/>
      <c r="L1061" s="29" t="s">
        <v>3085</v>
      </c>
      <c r="M1061" s="31"/>
      <c r="N1061" s="14" t="s">
        <v>84</v>
      </c>
      <c r="O1061" s="31"/>
      <c r="Q1061" s="36"/>
      <c r="R1061" s="36"/>
      <c r="S1061" s="36"/>
      <c r="T1061" s="36"/>
      <c r="V1061" s="31"/>
    </row>
    <row r="1062">
      <c r="A1062" s="14" t="s">
        <v>736</v>
      </c>
      <c r="B1062" s="351" t="s">
        <v>3565</v>
      </c>
      <c r="C1062" s="50" t="s">
        <v>1651</v>
      </c>
      <c r="D1062" s="50"/>
      <c r="E1062" s="348" t="str">
        <f t="shared" si="886"/>
        <v>julio 2026</v>
      </c>
      <c r="F1062" s="349">
        <v>46204.0</v>
      </c>
      <c r="G1062" s="24">
        <f t="shared" ref="G1062:H1062" si="1069">F1062</f>
        <v>46204</v>
      </c>
      <c r="H1062" s="26">
        <f t="shared" si="1069"/>
        <v>46204</v>
      </c>
      <c r="I1062" s="50" t="s">
        <v>90</v>
      </c>
      <c r="K1062" s="27"/>
      <c r="L1062" s="29" t="s">
        <v>3085</v>
      </c>
      <c r="M1062" s="31"/>
      <c r="N1062" s="14" t="s">
        <v>84</v>
      </c>
      <c r="O1062" s="31"/>
      <c r="Q1062" s="36"/>
      <c r="R1062" s="36"/>
      <c r="S1062" s="36"/>
      <c r="T1062" s="36"/>
      <c r="V1062" s="31"/>
    </row>
    <row r="1063">
      <c r="A1063" s="14" t="s">
        <v>736</v>
      </c>
      <c r="B1063" s="351" t="s">
        <v>3566</v>
      </c>
      <c r="C1063" s="50" t="s">
        <v>1652</v>
      </c>
      <c r="D1063" s="50"/>
      <c r="E1063" s="348" t="str">
        <f t="shared" si="886"/>
        <v>julio 2026</v>
      </c>
      <c r="F1063" s="349">
        <v>46209.0</v>
      </c>
      <c r="G1063" s="24">
        <f t="shared" ref="G1063:H1063" si="1070">F1063</f>
        <v>46209</v>
      </c>
      <c r="H1063" s="26">
        <f t="shared" si="1070"/>
        <v>46209</v>
      </c>
      <c r="I1063" s="50" t="s">
        <v>90</v>
      </c>
      <c r="K1063" s="27"/>
      <c r="L1063" s="29" t="s">
        <v>3085</v>
      </c>
      <c r="M1063" s="31"/>
      <c r="N1063" s="14" t="s">
        <v>84</v>
      </c>
      <c r="O1063" s="31"/>
      <c r="Q1063" s="36"/>
      <c r="R1063" s="36"/>
      <c r="S1063" s="36"/>
      <c r="T1063" s="36"/>
      <c r="V1063" s="31"/>
    </row>
    <row r="1064">
      <c r="A1064" s="14" t="s">
        <v>736</v>
      </c>
      <c r="B1064" s="351" t="s">
        <v>3567</v>
      </c>
      <c r="C1064" s="50" t="s">
        <v>1653</v>
      </c>
      <c r="D1064" s="50"/>
      <c r="E1064" s="348" t="str">
        <f t="shared" si="886"/>
        <v>julio 2026</v>
      </c>
      <c r="F1064" s="349">
        <v>46206.0</v>
      </c>
      <c r="G1064" s="24">
        <f t="shared" ref="G1064:H1064" si="1071">F1064</f>
        <v>46206</v>
      </c>
      <c r="H1064" s="26">
        <f t="shared" si="1071"/>
        <v>46206</v>
      </c>
      <c r="I1064" s="50" t="s">
        <v>90</v>
      </c>
      <c r="K1064" s="27"/>
      <c r="L1064" s="29" t="s">
        <v>3085</v>
      </c>
      <c r="M1064" s="31"/>
      <c r="N1064" s="14" t="s">
        <v>84</v>
      </c>
      <c r="O1064" s="31"/>
      <c r="Q1064" s="36"/>
      <c r="R1064" s="36"/>
      <c r="S1064" s="36"/>
      <c r="T1064" s="36"/>
      <c r="V1064" s="31"/>
    </row>
    <row r="1065">
      <c r="A1065" s="14" t="s">
        <v>736</v>
      </c>
      <c r="B1065" s="351" t="s">
        <v>3568</v>
      </c>
      <c r="C1065" s="50" t="s">
        <v>1654</v>
      </c>
      <c r="D1065" s="50"/>
      <c r="E1065" s="348" t="str">
        <f t="shared" si="886"/>
        <v>julio 2026</v>
      </c>
      <c r="F1065" s="349">
        <v>46206.0</v>
      </c>
      <c r="G1065" s="24">
        <f t="shared" ref="G1065:H1065" si="1072">F1065</f>
        <v>46206</v>
      </c>
      <c r="H1065" s="26">
        <f t="shared" si="1072"/>
        <v>46206</v>
      </c>
      <c r="I1065" s="50" t="s">
        <v>90</v>
      </c>
      <c r="K1065" s="27"/>
      <c r="L1065" s="29" t="s">
        <v>3085</v>
      </c>
      <c r="M1065" s="31"/>
      <c r="N1065" s="14" t="s">
        <v>84</v>
      </c>
      <c r="O1065" s="31"/>
      <c r="Q1065" s="36"/>
      <c r="R1065" s="36"/>
      <c r="S1065" s="36"/>
      <c r="T1065" s="36"/>
      <c r="V1065" s="31"/>
    </row>
    <row r="1066">
      <c r="A1066" s="14" t="s">
        <v>736</v>
      </c>
      <c r="B1066" s="351" t="s">
        <v>3569</v>
      </c>
      <c r="C1066" s="50" t="s">
        <v>1657</v>
      </c>
      <c r="D1066" s="50"/>
      <c r="E1066" s="348" t="str">
        <f t="shared" si="886"/>
        <v>julio 2026</v>
      </c>
      <c r="F1066" s="349">
        <v>46207.0</v>
      </c>
      <c r="G1066" s="24">
        <f t="shared" ref="G1066:H1066" si="1073">F1066</f>
        <v>46207</v>
      </c>
      <c r="H1066" s="26">
        <f t="shared" si="1073"/>
        <v>46207</v>
      </c>
      <c r="I1066" s="50" t="s">
        <v>90</v>
      </c>
      <c r="K1066" s="27"/>
      <c r="L1066" s="29" t="s">
        <v>3085</v>
      </c>
      <c r="M1066" s="31"/>
      <c r="N1066" s="14" t="s">
        <v>84</v>
      </c>
      <c r="O1066" s="31"/>
      <c r="Q1066" s="36"/>
      <c r="R1066" s="36"/>
      <c r="S1066" s="36"/>
      <c r="T1066" s="36"/>
      <c r="V1066" s="31"/>
    </row>
    <row r="1067">
      <c r="A1067" s="14" t="s">
        <v>736</v>
      </c>
      <c r="B1067" s="351" t="s">
        <v>3570</v>
      </c>
      <c r="C1067" s="50" t="s">
        <v>1658</v>
      </c>
      <c r="D1067" s="50"/>
      <c r="E1067" s="348" t="str">
        <f t="shared" si="886"/>
        <v>julio 2026</v>
      </c>
      <c r="F1067" s="349">
        <v>46206.0</v>
      </c>
      <c r="G1067" s="24">
        <f t="shared" ref="G1067:H1067" si="1074">F1067</f>
        <v>46206</v>
      </c>
      <c r="H1067" s="26">
        <f t="shared" si="1074"/>
        <v>46206</v>
      </c>
      <c r="I1067" s="50" t="s">
        <v>90</v>
      </c>
      <c r="K1067" s="27"/>
      <c r="L1067" s="29" t="s">
        <v>3085</v>
      </c>
      <c r="M1067" s="31"/>
      <c r="N1067" s="14" t="s">
        <v>84</v>
      </c>
      <c r="O1067" s="31"/>
      <c r="Q1067" s="36"/>
      <c r="R1067" s="36"/>
      <c r="S1067" s="36"/>
      <c r="T1067" s="36"/>
      <c r="V1067" s="31"/>
    </row>
    <row r="1068">
      <c r="A1068" s="14" t="s">
        <v>736</v>
      </c>
      <c r="B1068" s="351" t="s">
        <v>3571</v>
      </c>
      <c r="C1068" s="50" t="s">
        <v>1659</v>
      </c>
      <c r="D1068" s="50"/>
      <c r="E1068" s="348" t="str">
        <f t="shared" si="886"/>
        <v>julio 2026</v>
      </c>
      <c r="F1068" s="349">
        <v>46214.0</v>
      </c>
      <c r="G1068" s="24">
        <f t="shared" ref="G1068:H1068" si="1075">F1068</f>
        <v>46214</v>
      </c>
      <c r="H1068" s="26">
        <f t="shared" si="1075"/>
        <v>46214</v>
      </c>
      <c r="I1068" s="50" t="s">
        <v>90</v>
      </c>
      <c r="K1068" s="27"/>
      <c r="L1068" s="29" t="s">
        <v>3085</v>
      </c>
      <c r="M1068" s="31"/>
      <c r="N1068" s="14" t="s">
        <v>84</v>
      </c>
      <c r="O1068" s="31"/>
      <c r="Q1068" s="36"/>
      <c r="R1068" s="36"/>
      <c r="S1068" s="36"/>
      <c r="T1068" s="36"/>
      <c r="V1068" s="31"/>
    </row>
    <row r="1069">
      <c r="A1069" s="14" t="s">
        <v>736</v>
      </c>
      <c r="B1069" s="351" t="s">
        <v>3572</v>
      </c>
      <c r="C1069" s="50" t="s">
        <v>1661</v>
      </c>
      <c r="D1069" s="50"/>
      <c r="E1069" s="348" t="str">
        <f t="shared" si="886"/>
        <v>julio 2026</v>
      </c>
      <c r="F1069" s="349">
        <v>46211.0</v>
      </c>
      <c r="G1069" s="24">
        <f t="shared" ref="G1069:H1069" si="1076">F1069</f>
        <v>46211</v>
      </c>
      <c r="H1069" s="26">
        <f t="shared" si="1076"/>
        <v>46211</v>
      </c>
      <c r="I1069" s="50" t="s">
        <v>90</v>
      </c>
      <c r="K1069" s="27"/>
      <c r="L1069" s="29" t="s">
        <v>3085</v>
      </c>
      <c r="M1069" s="31"/>
      <c r="N1069" s="14" t="s">
        <v>84</v>
      </c>
      <c r="O1069" s="31"/>
      <c r="Q1069" s="36"/>
      <c r="R1069" s="36"/>
      <c r="S1069" s="36"/>
      <c r="T1069" s="36"/>
      <c r="V1069" s="31"/>
    </row>
    <row r="1070">
      <c r="A1070" s="14" t="s">
        <v>736</v>
      </c>
      <c r="B1070" s="351" t="s">
        <v>3573</v>
      </c>
      <c r="C1070" s="50" t="s">
        <v>1663</v>
      </c>
      <c r="D1070" s="50"/>
      <c r="E1070" s="348" t="str">
        <f t="shared" si="886"/>
        <v>julio 2026</v>
      </c>
      <c r="F1070" s="349">
        <v>46211.0</v>
      </c>
      <c r="G1070" s="24">
        <f t="shared" ref="G1070:H1070" si="1077">F1070</f>
        <v>46211</v>
      </c>
      <c r="H1070" s="26">
        <f t="shared" si="1077"/>
        <v>46211</v>
      </c>
      <c r="I1070" s="50" t="s">
        <v>90</v>
      </c>
      <c r="K1070" s="27"/>
      <c r="L1070" s="29" t="s">
        <v>3085</v>
      </c>
      <c r="M1070" s="31"/>
      <c r="N1070" s="14" t="s">
        <v>84</v>
      </c>
      <c r="O1070" s="31"/>
      <c r="Q1070" s="36"/>
      <c r="R1070" s="36"/>
      <c r="S1070" s="36"/>
      <c r="T1070" s="36"/>
      <c r="V1070" s="31"/>
    </row>
    <row r="1071">
      <c r="A1071" s="14" t="s">
        <v>736</v>
      </c>
      <c r="B1071" s="351" t="s">
        <v>3574</v>
      </c>
      <c r="C1071" s="50" t="s">
        <v>1665</v>
      </c>
      <c r="D1071" s="50"/>
      <c r="E1071" s="348" t="str">
        <f t="shared" si="886"/>
        <v>agosto 2026</v>
      </c>
      <c r="F1071" s="349">
        <v>46247.0</v>
      </c>
      <c r="G1071" s="24">
        <f t="shared" ref="G1071:H1071" si="1078">F1071</f>
        <v>46247</v>
      </c>
      <c r="H1071" s="26">
        <f t="shared" si="1078"/>
        <v>46247</v>
      </c>
      <c r="I1071" s="50" t="s">
        <v>90</v>
      </c>
      <c r="K1071" s="27"/>
      <c r="L1071" s="29" t="s">
        <v>3085</v>
      </c>
      <c r="M1071" s="31"/>
      <c r="N1071" s="14" t="s">
        <v>84</v>
      </c>
      <c r="O1071" s="31"/>
      <c r="Q1071" s="36"/>
      <c r="R1071" s="36"/>
      <c r="S1071" s="36"/>
      <c r="T1071" s="36"/>
      <c r="V1071" s="31"/>
    </row>
    <row r="1072">
      <c r="A1072" s="14" t="s">
        <v>736</v>
      </c>
      <c r="B1072" s="351" t="s">
        <v>3575</v>
      </c>
      <c r="C1072" s="50" t="s">
        <v>1666</v>
      </c>
      <c r="D1072" s="50"/>
      <c r="E1072" s="348" t="str">
        <f t="shared" si="886"/>
        <v>julio 2026</v>
      </c>
      <c r="F1072" s="349">
        <v>46205.0</v>
      </c>
      <c r="G1072" s="24">
        <f t="shared" ref="G1072:H1072" si="1079">F1072</f>
        <v>46205</v>
      </c>
      <c r="H1072" s="26">
        <f t="shared" si="1079"/>
        <v>46205</v>
      </c>
      <c r="I1072" s="50" t="s">
        <v>90</v>
      </c>
      <c r="K1072" s="27"/>
      <c r="L1072" s="29" t="s">
        <v>3085</v>
      </c>
      <c r="M1072" s="31"/>
      <c r="N1072" s="14" t="s">
        <v>84</v>
      </c>
      <c r="O1072" s="31"/>
      <c r="Q1072" s="36"/>
      <c r="R1072" s="36"/>
      <c r="S1072" s="36"/>
      <c r="T1072" s="36"/>
      <c r="V1072" s="31"/>
    </row>
    <row r="1073">
      <c r="A1073" s="14" t="s">
        <v>736</v>
      </c>
      <c r="B1073" s="351" t="s">
        <v>3576</v>
      </c>
      <c r="C1073" s="50" t="s">
        <v>1668</v>
      </c>
      <c r="D1073" s="50"/>
      <c r="E1073" s="348" t="str">
        <f t="shared" si="886"/>
        <v>julio 2026</v>
      </c>
      <c r="F1073" s="349">
        <v>46209.0</v>
      </c>
      <c r="G1073" s="24">
        <f t="shared" ref="G1073:H1073" si="1080">F1073</f>
        <v>46209</v>
      </c>
      <c r="H1073" s="26">
        <f t="shared" si="1080"/>
        <v>46209</v>
      </c>
      <c r="I1073" s="50" t="s">
        <v>90</v>
      </c>
      <c r="K1073" s="27"/>
      <c r="L1073" s="29" t="s">
        <v>3085</v>
      </c>
      <c r="M1073" s="31"/>
      <c r="N1073" s="14" t="s">
        <v>84</v>
      </c>
      <c r="O1073" s="31"/>
      <c r="Q1073" s="36"/>
      <c r="R1073" s="36"/>
      <c r="S1073" s="36"/>
      <c r="T1073" s="36"/>
      <c r="V1073" s="31"/>
    </row>
    <row r="1074">
      <c r="A1074" s="14" t="s">
        <v>736</v>
      </c>
      <c r="B1074" s="351" t="s">
        <v>3577</v>
      </c>
      <c r="C1074" s="50" t="s">
        <v>1669</v>
      </c>
      <c r="D1074" s="50"/>
      <c r="E1074" s="348" t="str">
        <f t="shared" si="886"/>
        <v>julio 2026</v>
      </c>
      <c r="F1074" s="349">
        <v>46209.0</v>
      </c>
      <c r="G1074" s="24">
        <f t="shared" ref="G1074:H1074" si="1081">F1074</f>
        <v>46209</v>
      </c>
      <c r="H1074" s="26">
        <f t="shared" si="1081"/>
        <v>46209</v>
      </c>
      <c r="I1074" s="50" t="s">
        <v>90</v>
      </c>
      <c r="K1074" s="27"/>
      <c r="L1074" s="29" t="s">
        <v>3085</v>
      </c>
      <c r="M1074" s="31"/>
      <c r="N1074" s="14" t="s">
        <v>84</v>
      </c>
      <c r="O1074" s="31"/>
      <c r="Q1074" s="36"/>
      <c r="R1074" s="36"/>
      <c r="S1074" s="36"/>
      <c r="T1074" s="36"/>
      <c r="V1074" s="31"/>
    </row>
    <row r="1075">
      <c r="A1075" s="14" t="s">
        <v>736</v>
      </c>
      <c r="B1075" s="351" t="s">
        <v>3578</v>
      </c>
      <c r="C1075" s="50" t="s">
        <v>1672</v>
      </c>
      <c r="D1075" s="50"/>
      <c r="E1075" s="348" t="str">
        <f t="shared" si="886"/>
        <v>julio 2026</v>
      </c>
      <c r="F1075" s="349">
        <v>46206.0</v>
      </c>
      <c r="G1075" s="24">
        <f t="shared" ref="G1075:H1075" si="1082">F1075</f>
        <v>46206</v>
      </c>
      <c r="H1075" s="26">
        <f t="shared" si="1082"/>
        <v>46206</v>
      </c>
      <c r="I1075" s="50" t="s">
        <v>90</v>
      </c>
      <c r="K1075" s="27"/>
      <c r="L1075" s="29" t="s">
        <v>3085</v>
      </c>
      <c r="M1075" s="31"/>
      <c r="N1075" s="14" t="s">
        <v>84</v>
      </c>
      <c r="O1075" s="31"/>
      <c r="Q1075" s="36"/>
      <c r="R1075" s="36"/>
      <c r="S1075" s="36"/>
      <c r="T1075" s="36"/>
      <c r="V1075" s="31"/>
    </row>
    <row r="1076">
      <c r="A1076" s="14" t="s">
        <v>736</v>
      </c>
      <c r="B1076" s="351" t="s">
        <v>3579</v>
      </c>
      <c r="C1076" s="50" t="s">
        <v>1673</v>
      </c>
      <c r="D1076" s="50"/>
      <c r="E1076" s="348" t="str">
        <f t="shared" si="886"/>
        <v>julio 2026</v>
      </c>
      <c r="F1076" s="349">
        <v>46232.0</v>
      </c>
      <c r="G1076" s="24">
        <f t="shared" ref="G1076:H1076" si="1083">F1076</f>
        <v>46232</v>
      </c>
      <c r="H1076" s="26">
        <f t="shared" si="1083"/>
        <v>46232</v>
      </c>
      <c r="I1076" s="50" t="s">
        <v>90</v>
      </c>
      <c r="K1076" s="27"/>
      <c r="L1076" s="29" t="s">
        <v>3085</v>
      </c>
      <c r="M1076" s="31"/>
      <c r="N1076" s="14" t="s">
        <v>84</v>
      </c>
      <c r="O1076" s="31"/>
      <c r="Q1076" s="36"/>
      <c r="R1076" s="36"/>
      <c r="S1076" s="36"/>
      <c r="T1076" s="36"/>
      <c r="V1076" s="31"/>
    </row>
    <row r="1077">
      <c r="A1077" s="14" t="s">
        <v>736</v>
      </c>
      <c r="B1077" s="351" t="s">
        <v>3580</v>
      </c>
      <c r="C1077" s="50" t="s">
        <v>1674</v>
      </c>
      <c r="D1077" s="50"/>
      <c r="E1077" s="348" t="str">
        <f t="shared" si="886"/>
        <v>julio 2026</v>
      </c>
      <c r="F1077" s="349">
        <v>46212.0</v>
      </c>
      <c r="G1077" s="24">
        <f t="shared" ref="G1077:H1077" si="1084">F1077</f>
        <v>46212</v>
      </c>
      <c r="H1077" s="26">
        <f t="shared" si="1084"/>
        <v>46212</v>
      </c>
      <c r="I1077" s="50" t="s">
        <v>90</v>
      </c>
      <c r="K1077" s="27"/>
      <c r="L1077" s="29" t="s">
        <v>3085</v>
      </c>
      <c r="M1077" s="31"/>
      <c r="N1077" s="14" t="s">
        <v>84</v>
      </c>
      <c r="O1077" s="31"/>
      <c r="Q1077" s="36"/>
      <c r="R1077" s="36"/>
      <c r="S1077" s="36"/>
      <c r="T1077" s="36"/>
      <c r="V1077" s="31"/>
    </row>
    <row r="1078">
      <c r="A1078" s="14" t="s">
        <v>736</v>
      </c>
      <c r="B1078" s="351" t="s">
        <v>3581</v>
      </c>
      <c r="C1078" s="50" t="s">
        <v>1675</v>
      </c>
      <c r="D1078" s="50"/>
      <c r="E1078" s="348" t="str">
        <f t="shared" si="886"/>
        <v>julio 2026</v>
      </c>
      <c r="F1078" s="349">
        <v>46210.0</v>
      </c>
      <c r="G1078" s="24">
        <f t="shared" ref="G1078:H1078" si="1085">F1078</f>
        <v>46210</v>
      </c>
      <c r="H1078" s="26">
        <f t="shared" si="1085"/>
        <v>46210</v>
      </c>
      <c r="I1078" s="50" t="s">
        <v>90</v>
      </c>
      <c r="K1078" s="27"/>
      <c r="L1078" s="29" t="s">
        <v>3085</v>
      </c>
      <c r="M1078" s="31"/>
      <c r="N1078" s="14" t="s">
        <v>84</v>
      </c>
      <c r="O1078" s="31"/>
      <c r="Q1078" s="36"/>
      <c r="R1078" s="36"/>
      <c r="S1078" s="36"/>
      <c r="T1078" s="36"/>
      <c r="V1078" s="31"/>
    </row>
    <row r="1079">
      <c r="A1079" s="14" t="s">
        <v>736</v>
      </c>
      <c r="B1079" s="351" t="s">
        <v>3582</v>
      </c>
      <c r="C1079" s="50" t="s">
        <v>1678</v>
      </c>
      <c r="D1079" s="50"/>
      <c r="E1079" s="348" t="str">
        <f t="shared" si="886"/>
        <v>julio 2026</v>
      </c>
      <c r="F1079" s="349">
        <v>46209.0</v>
      </c>
      <c r="G1079" s="24">
        <f t="shared" ref="G1079:H1079" si="1086">F1079</f>
        <v>46209</v>
      </c>
      <c r="H1079" s="26">
        <f t="shared" si="1086"/>
        <v>46209</v>
      </c>
      <c r="I1079" s="50" t="s">
        <v>90</v>
      </c>
      <c r="K1079" s="27"/>
      <c r="L1079" s="29" t="s">
        <v>3085</v>
      </c>
      <c r="M1079" s="31"/>
      <c r="N1079" s="14" t="s">
        <v>84</v>
      </c>
      <c r="O1079" s="31"/>
      <c r="Q1079" s="36"/>
      <c r="R1079" s="36"/>
      <c r="S1079" s="36"/>
      <c r="T1079" s="36"/>
      <c r="V1079" s="31"/>
    </row>
    <row r="1080">
      <c r="A1080" s="14" t="s">
        <v>736</v>
      </c>
      <c r="B1080" s="351" t="s">
        <v>3583</v>
      </c>
      <c r="C1080" s="50" t="s">
        <v>1679</v>
      </c>
      <c r="D1080" s="50"/>
      <c r="E1080" s="348" t="str">
        <f t="shared" si="886"/>
        <v>agosto 2026</v>
      </c>
      <c r="F1080" s="349">
        <v>46242.0</v>
      </c>
      <c r="G1080" s="24">
        <f t="shared" ref="G1080:H1080" si="1087">F1080</f>
        <v>46242</v>
      </c>
      <c r="H1080" s="26">
        <f t="shared" si="1087"/>
        <v>46242</v>
      </c>
      <c r="I1080" s="50" t="s">
        <v>90</v>
      </c>
      <c r="K1080" s="27"/>
      <c r="L1080" s="29" t="s">
        <v>3085</v>
      </c>
      <c r="M1080" s="31"/>
      <c r="N1080" s="14" t="s">
        <v>84</v>
      </c>
      <c r="O1080" s="31"/>
      <c r="Q1080" s="36"/>
      <c r="R1080" s="36"/>
      <c r="S1080" s="36"/>
      <c r="T1080" s="36"/>
      <c r="V1080" s="31"/>
    </row>
    <row r="1081">
      <c r="A1081" s="14" t="s">
        <v>736</v>
      </c>
      <c r="B1081" s="351" t="s">
        <v>3584</v>
      </c>
      <c r="C1081" s="50" t="s">
        <v>1682</v>
      </c>
      <c r="D1081" s="50"/>
      <c r="E1081" s="348" t="str">
        <f t="shared" si="886"/>
        <v>julio 2026</v>
      </c>
      <c r="F1081" s="349">
        <v>46207.0</v>
      </c>
      <c r="G1081" s="24">
        <f t="shared" ref="G1081:H1081" si="1088">F1081</f>
        <v>46207</v>
      </c>
      <c r="H1081" s="26">
        <f t="shared" si="1088"/>
        <v>46207</v>
      </c>
      <c r="I1081" s="50" t="s">
        <v>90</v>
      </c>
      <c r="K1081" s="27"/>
      <c r="L1081" s="29" t="s">
        <v>3085</v>
      </c>
      <c r="M1081" s="31"/>
      <c r="N1081" s="14" t="s">
        <v>84</v>
      </c>
      <c r="O1081" s="31"/>
      <c r="Q1081" s="36"/>
      <c r="R1081" s="36"/>
      <c r="S1081" s="36"/>
      <c r="T1081" s="36"/>
      <c r="V1081" s="31"/>
    </row>
    <row r="1082">
      <c r="A1082" s="14" t="s">
        <v>736</v>
      </c>
      <c r="B1082" s="351" t="s">
        <v>3585</v>
      </c>
      <c r="C1082" s="50" t="s">
        <v>1683</v>
      </c>
      <c r="D1082" s="50"/>
      <c r="E1082" s="348" t="str">
        <f t="shared" si="886"/>
        <v>julio 2026</v>
      </c>
      <c r="F1082" s="349">
        <v>46210.0</v>
      </c>
      <c r="G1082" s="24">
        <f t="shared" ref="G1082:H1082" si="1089">F1082</f>
        <v>46210</v>
      </c>
      <c r="H1082" s="26">
        <f t="shared" si="1089"/>
        <v>46210</v>
      </c>
      <c r="I1082" s="50" t="s">
        <v>90</v>
      </c>
      <c r="K1082" s="27"/>
      <c r="L1082" s="29" t="s">
        <v>3085</v>
      </c>
      <c r="M1082" s="31"/>
      <c r="N1082" s="14" t="s">
        <v>84</v>
      </c>
      <c r="O1082" s="31"/>
      <c r="Q1082" s="36"/>
      <c r="R1082" s="36"/>
      <c r="S1082" s="36"/>
      <c r="T1082" s="36"/>
      <c r="V1082" s="31"/>
    </row>
    <row r="1083">
      <c r="A1083" s="14" t="s">
        <v>736</v>
      </c>
      <c r="B1083" s="351" t="s">
        <v>3586</v>
      </c>
      <c r="C1083" s="50" t="s">
        <v>1684</v>
      </c>
      <c r="D1083" s="50"/>
      <c r="E1083" s="348" t="str">
        <f t="shared" si="886"/>
        <v>julio 2026</v>
      </c>
      <c r="F1083" s="349">
        <v>46209.0</v>
      </c>
      <c r="G1083" s="24">
        <f t="shared" ref="G1083:H1083" si="1090">F1083</f>
        <v>46209</v>
      </c>
      <c r="H1083" s="26">
        <f t="shared" si="1090"/>
        <v>46209</v>
      </c>
      <c r="I1083" s="50" t="s">
        <v>90</v>
      </c>
      <c r="K1083" s="27"/>
      <c r="L1083" s="29" t="s">
        <v>3085</v>
      </c>
      <c r="M1083" s="31"/>
      <c r="N1083" s="14" t="s">
        <v>84</v>
      </c>
      <c r="O1083" s="31"/>
      <c r="Q1083" s="36"/>
      <c r="R1083" s="36"/>
      <c r="S1083" s="36"/>
      <c r="T1083" s="36"/>
      <c r="V1083" s="31"/>
    </row>
    <row r="1084">
      <c r="A1084" s="14" t="s">
        <v>736</v>
      </c>
      <c r="B1084" s="351" t="s">
        <v>3587</v>
      </c>
      <c r="C1084" s="50" t="s">
        <v>1685</v>
      </c>
      <c r="D1084" s="50"/>
      <c r="E1084" s="348" t="str">
        <f t="shared" si="886"/>
        <v>julio 2026</v>
      </c>
      <c r="F1084" s="349">
        <v>46207.0</v>
      </c>
      <c r="G1084" s="24">
        <f t="shared" ref="G1084:H1084" si="1091">F1084</f>
        <v>46207</v>
      </c>
      <c r="H1084" s="26">
        <f t="shared" si="1091"/>
        <v>46207</v>
      </c>
      <c r="I1084" s="50" t="s">
        <v>90</v>
      </c>
      <c r="K1084" s="27"/>
      <c r="L1084" s="29" t="s">
        <v>3085</v>
      </c>
      <c r="M1084" s="31"/>
      <c r="N1084" s="14" t="s">
        <v>84</v>
      </c>
      <c r="O1084" s="31"/>
      <c r="Q1084" s="36"/>
      <c r="R1084" s="36"/>
      <c r="S1084" s="36"/>
      <c r="T1084" s="36"/>
      <c r="V1084" s="31"/>
    </row>
    <row r="1085">
      <c r="A1085" s="14" t="s">
        <v>736</v>
      </c>
      <c r="B1085" s="351" t="s">
        <v>3588</v>
      </c>
      <c r="C1085" s="50" t="s">
        <v>1686</v>
      </c>
      <c r="D1085" s="50"/>
      <c r="E1085" s="348" t="str">
        <f t="shared" si="886"/>
        <v>julio 2026</v>
      </c>
      <c r="F1085" s="349">
        <v>46207.0</v>
      </c>
      <c r="G1085" s="24">
        <f t="shared" ref="G1085:H1085" si="1092">F1085</f>
        <v>46207</v>
      </c>
      <c r="H1085" s="26">
        <f t="shared" si="1092"/>
        <v>46207</v>
      </c>
      <c r="I1085" s="50" t="s">
        <v>90</v>
      </c>
      <c r="K1085" s="27"/>
      <c r="L1085" s="29" t="s">
        <v>3085</v>
      </c>
      <c r="M1085" s="31"/>
      <c r="N1085" s="14" t="s">
        <v>84</v>
      </c>
      <c r="O1085" s="31"/>
      <c r="Q1085" s="36"/>
      <c r="R1085" s="36"/>
      <c r="S1085" s="36"/>
      <c r="T1085" s="36"/>
      <c r="V1085" s="31"/>
    </row>
    <row r="1086">
      <c r="A1086" s="14" t="s">
        <v>736</v>
      </c>
      <c r="B1086" s="351" t="s">
        <v>3589</v>
      </c>
      <c r="C1086" s="50" t="s">
        <v>1687</v>
      </c>
      <c r="D1086" s="50"/>
      <c r="E1086" s="348" t="str">
        <f t="shared" si="886"/>
        <v>julio 2026</v>
      </c>
      <c r="F1086" s="349">
        <v>46207.0</v>
      </c>
      <c r="G1086" s="24">
        <f t="shared" ref="G1086:H1086" si="1093">F1086</f>
        <v>46207</v>
      </c>
      <c r="H1086" s="26">
        <f t="shared" si="1093"/>
        <v>46207</v>
      </c>
      <c r="I1086" s="50" t="s">
        <v>90</v>
      </c>
      <c r="K1086" s="27"/>
      <c r="L1086" s="29" t="s">
        <v>3085</v>
      </c>
      <c r="M1086" s="31"/>
      <c r="N1086" s="14" t="s">
        <v>84</v>
      </c>
      <c r="O1086" s="31"/>
      <c r="Q1086" s="36"/>
      <c r="R1086" s="36"/>
      <c r="S1086" s="36"/>
      <c r="T1086" s="36"/>
      <c r="V1086" s="31"/>
    </row>
    <row r="1087">
      <c r="A1087" s="14" t="s">
        <v>736</v>
      </c>
      <c r="B1087" s="351" t="s">
        <v>3590</v>
      </c>
      <c r="C1087" s="50" t="s">
        <v>1690</v>
      </c>
      <c r="D1087" s="50"/>
      <c r="E1087" s="348" t="str">
        <f t="shared" si="886"/>
        <v>julio 2026</v>
      </c>
      <c r="F1087" s="349">
        <v>46207.0</v>
      </c>
      <c r="G1087" s="24">
        <f t="shared" ref="G1087:H1087" si="1094">F1087</f>
        <v>46207</v>
      </c>
      <c r="H1087" s="26">
        <f t="shared" si="1094"/>
        <v>46207</v>
      </c>
      <c r="I1087" s="50" t="s">
        <v>90</v>
      </c>
      <c r="K1087" s="27"/>
      <c r="L1087" s="29" t="s">
        <v>3085</v>
      </c>
      <c r="M1087" s="31"/>
      <c r="N1087" s="14" t="s">
        <v>84</v>
      </c>
      <c r="O1087" s="31"/>
      <c r="Q1087" s="36"/>
      <c r="R1087" s="36"/>
      <c r="S1087" s="36"/>
      <c r="T1087" s="36"/>
      <c r="V1087" s="31"/>
    </row>
    <row r="1088">
      <c r="A1088" s="14" t="s">
        <v>736</v>
      </c>
      <c r="B1088" s="351" t="s">
        <v>3591</v>
      </c>
      <c r="C1088" s="50" t="s">
        <v>1691</v>
      </c>
      <c r="D1088" s="50"/>
      <c r="E1088" s="348" t="str">
        <f t="shared" si="886"/>
        <v>julio 2026</v>
      </c>
      <c r="F1088" s="349">
        <v>46207.0</v>
      </c>
      <c r="G1088" s="24">
        <f t="shared" ref="G1088:H1088" si="1095">F1088</f>
        <v>46207</v>
      </c>
      <c r="H1088" s="26">
        <f t="shared" si="1095"/>
        <v>46207</v>
      </c>
      <c r="I1088" s="50" t="s">
        <v>90</v>
      </c>
      <c r="K1088" s="27"/>
      <c r="L1088" s="29" t="s">
        <v>3085</v>
      </c>
      <c r="M1088" s="31"/>
      <c r="N1088" s="14" t="s">
        <v>84</v>
      </c>
      <c r="O1088" s="31"/>
      <c r="Q1088" s="36"/>
      <c r="R1088" s="36"/>
      <c r="S1088" s="36"/>
      <c r="T1088" s="36"/>
      <c r="V1088" s="31"/>
    </row>
    <row r="1089">
      <c r="A1089" s="14" t="s">
        <v>736</v>
      </c>
      <c r="B1089" s="351" t="s">
        <v>3592</v>
      </c>
      <c r="C1089" s="50" t="s">
        <v>1692</v>
      </c>
      <c r="D1089" s="50"/>
      <c r="E1089" s="348" t="str">
        <f t="shared" si="886"/>
        <v>julio 2026</v>
      </c>
      <c r="F1089" s="349">
        <v>46207.0</v>
      </c>
      <c r="G1089" s="24">
        <f t="shared" ref="G1089:H1089" si="1096">F1089</f>
        <v>46207</v>
      </c>
      <c r="H1089" s="26">
        <f t="shared" si="1096"/>
        <v>46207</v>
      </c>
      <c r="I1089" s="50" t="s">
        <v>90</v>
      </c>
      <c r="K1089" s="27"/>
      <c r="L1089" s="29" t="s">
        <v>3085</v>
      </c>
      <c r="M1089" s="31"/>
      <c r="N1089" s="14" t="s">
        <v>84</v>
      </c>
      <c r="O1089" s="31"/>
      <c r="Q1089" s="36"/>
      <c r="R1089" s="36"/>
      <c r="S1089" s="36"/>
      <c r="T1089" s="36"/>
      <c r="V1089" s="31"/>
    </row>
    <row r="1090">
      <c r="A1090" s="14" t="s">
        <v>736</v>
      </c>
      <c r="B1090" s="351" t="s">
        <v>3593</v>
      </c>
      <c r="C1090" s="50" t="s">
        <v>1693</v>
      </c>
      <c r="D1090" s="50"/>
      <c r="E1090" s="348" t="str">
        <f t="shared" si="886"/>
        <v>julio 2026</v>
      </c>
      <c r="F1090" s="349">
        <v>46220.0</v>
      </c>
      <c r="G1090" s="24">
        <f t="shared" ref="G1090:H1090" si="1097">F1090</f>
        <v>46220</v>
      </c>
      <c r="H1090" s="26">
        <f t="shared" si="1097"/>
        <v>46220</v>
      </c>
      <c r="I1090" s="50" t="s">
        <v>90</v>
      </c>
      <c r="K1090" s="27"/>
      <c r="L1090" s="29" t="s">
        <v>3085</v>
      </c>
      <c r="M1090" s="31"/>
      <c r="N1090" s="14" t="s">
        <v>84</v>
      </c>
      <c r="O1090" s="31"/>
      <c r="Q1090" s="36"/>
      <c r="R1090" s="36"/>
      <c r="S1090" s="36"/>
      <c r="T1090" s="36"/>
      <c r="V1090" s="31"/>
    </row>
    <row r="1091">
      <c r="A1091" s="14" t="s">
        <v>736</v>
      </c>
      <c r="B1091" s="351" t="s">
        <v>3594</v>
      </c>
      <c r="C1091" s="50" t="s">
        <v>1695</v>
      </c>
      <c r="D1091" s="50"/>
      <c r="E1091" s="348" t="str">
        <f t="shared" si="886"/>
        <v>julio 2026</v>
      </c>
      <c r="F1091" s="349">
        <v>46225.0</v>
      </c>
      <c r="G1091" s="24">
        <f t="shared" ref="G1091:H1091" si="1098">F1091</f>
        <v>46225</v>
      </c>
      <c r="H1091" s="26">
        <f t="shared" si="1098"/>
        <v>46225</v>
      </c>
      <c r="I1091" s="50" t="s">
        <v>90</v>
      </c>
      <c r="K1091" s="27"/>
      <c r="L1091" s="29" t="s">
        <v>3085</v>
      </c>
      <c r="M1091" s="31"/>
      <c r="N1091" s="14" t="s">
        <v>84</v>
      </c>
      <c r="O1091" s="31"/>
      <c r="Q1091" s="36"/>
      <c r="R1091" s="36"/>
      <c r="S1091" s="36"/>
      <c r="T1091" s="36"/>
      <c r="V1091" s="31"/>
    </row>
    <row r="1092">
      <c r="A1092" s="14" t="s">
        <v>736</v>
      </c>
      <c r="B1092" s="351" t="s">
        <v>3595</v>
      </c>
      <c r="C1092" s="50" t="s">
        <v>1697</v>
      </c>
      <c r="D1092" s="50"/>
      <c r="E1092" s="348" t="str">
        <f t="shared" si="886"/>
        <v>julio 2026</v>
      </c>
      <c r="F1092" s="349">
        <v>46220.0</v>
      </c>
      <c r="G1092" s="24">
        <f t="shared" ref="G1092:H1092" si="1099">F1092</f>
        <v>46220</v>
      </c>
      <c r="H1092" s="26">
        <f t="shared" si="1099"/>
        <v>46220</v>
      </c>
      <c r="I1092" s="50" t="s">
        <v>90</v>
      </c>
      <c r="K1092" s="27"/>
      <c r="L1092" s="29" t="s">
        <v>3085</v>
      </c>
      <c r="M1092" s="31"/>
      <c r="N1092" s="14" t="s">
        <v>84</v>
      </c>
      <c r="O1092" s="31"/>
      <c r="Q1092" s="36"/>
      <c r="R1092" s="36"/>
      <c r="S1092" s="36"/>
      <c r="T1092" s="36"/>
      <c r="V1092" s="31"/>
    </row>
    <row r="1093">
      <c r="A1093" s="14" t="s">
        <v>736</v>
      </c>
      <c r="B1093" s="351" t="s">
        <v>3596</v>
      </c>
      <c r="C1093" s="50" t="s">
        <v>1698</v>
      </c>
      <c r="D1093" s="50"/>
      <c r="E1093" s="348" t="str">
        <f t="shared" si="886"/>
        <v>julio 2026</v>
      </c>
      <c r="F1093" s="349">
        <v>46220.0</v>
      </c>
      <c r="G1093" s="24">
        <f t="shared" ref="G1093:H1093" si="1100">F1093</f>
        <v>46220</v>
      </c>
      <c r="H1093" s="26">
        <f t="shared" si="1100"/>
        <v>46220</v>
      </c>
      <c r="I1093" s="50" t="s">
        <v>90</v>
      </c>
      <c r="K1093" s="27"/>
      <c r="L1093" s="29" t="s">
        <v>3085</v>
      </c>
      <c r="M1093" s="31"/>
      <c r="N1093" s="14" t="s">
        <v>84</v>
      </c>
      <c r="O1093" s="31"/>
      <c r="Q1093" s="36"/>
      <c r="R1093" s="36"/>
      <c r="S1093" s="36"/>
      <c r="T1093" s="36"/>
      <c r="V1093" s="31"/>
    </row>
    <row r="1094">
      <c r="A1094" s="14" t="s">
        <v>736</v>
      </c>
      <c r="B1094" s="351" t="s">
        <v>3597</v>
      </c>
      <c r="C1094" s="50" t="s">
        <v>1699</v>
      </c>
      <c r="D1094" s="50"/>
      <c r="E1094" s="348" t="str">
        <f t="shared" si="886"/>
        <v>julio 2026</v>
      </c>
      <c r="F1094" s="349">
        <v>46217.0</v>
      </c>
      <c r="G1094" s="24">
        <f t="shared" ref="G1094:H1094" si="1101">F1094</f>
        <v>46217</v>
      </c>
      <c r="H1094" s="26">
        <f t="shared" si="1101"/>
        <v>46217</v>
      </c>
      <c r="I1094" s="50" t="s">
        <v>90</v>
      </c>
      <c r="K1094" s="27"/>
      <c r="L1094" s="29" t="s">
        <v>3085</v>
      </c>
      <c r="M1094" s="31"/>
      <c r="N1094" s="14" t="s">
        <v>84</v>
      </c>
      <c r="O1094" s="31"/>
      <c r="Q1094" s="36"/>
      <c r="R1094" s="36"/>
      <c r="S1094" s="36"/>
      <c r="T1094" s="36"/>
      <c r="V1094" s="31"/>
    </row>
    <row r="1095">
      <c r="A1095" s="14" t="s">
        <v>736</v>
      </c>
      <c r="B1095" s="351" t="s">
        <v>3598</v>
      </c>
      <c r="C1095" s="50" t="s">
        <v>1700</v>
      </c>
      <c r="D1095" s="50"/>
      <c r="E1095" s="348" t="str">
        <f t="shared" si="886"/>
        <v>julio 2026</v>
      </c>
      <c r="F1095" s="349">
        <v>46230.0</v>
      </c>
      <c r="G1095" s="24">
        <f t="shared" ref="G1095:H1095" si="1102">F1095</f>
        <v>46230</v>
      </c>
      <c r="H1095" s="26">
        <f t="shared" si="1102"/>
        <v>46230</v>
      </c>
      <c r="I1095" s="50" t="s">
        <v>90</v>
      </c>
      <c r="K1095" s="27"/>
      <c r="L1095" s="29" t="s">
        <v>3085</v>
      </c>
      <c r="M1095" s="31"/>
      <c r="N1095" s="14" t="s">
        <v>84</v>
      </c>
      <c r="O1095" s="31"/>
      <c r="Q1095" s="36"/>
      <c r="R1095" s="36"/>
      <c r="S1095" s="36"/>
      <c r="T1095" s="36"/>
      <c r="V1095" s="31"/>
    </row>
    <row r="1096">
      <c r="A1096" s="14" t="s">
        <v>736</v>
      </c>
      <c r="B1096" s="351" t="s">
        <v>3599</v>
      </c>
      <c r="C1096" s="50" t="s">
        <v>1703</v>
      </c>
      <c r="D1096" s="50"/>
      <c r="E1096" s="348" t="str">
        <f t="shared" si="886"/>
        <v>agosto 2026</v>
      </c>
      <c r="F1096" s="349">
        <v>46248.0</v>
      </c>
      <c r="G1096" s="24">
        <f t="shared" ref="G1096:H1096" si="1103">F1096</f>
        <v>46248</v>
      </c>
      <c r="H1096" s="26">
        <f t="shared" si="1103"/>
        <v>46248</v>
      </c>
      <c r="I1096" s="50" t="s">
        <v>90</v>
      </c>
      <c r="K1096" s="27"/>
      <c r="L1096" s="29" t="s">
        <v>3085</v>
      </c>
      <c r="M1096" s="31"/>
      <c r="N1096" s="14" t="s">
        <v>84</v>
      </c>
      <c r="O1096" s="31"/>
      <c r="Q1096" s="36"/>
      <c r="R1096" s="36"/>
      <c r="S1096" s="36"/>
      <c r="T1096" s="36"/>
      <c r="V1096" s="31"/>
    </row>
    <row r="1097">
      <c r="A1097" s="14" t="s">
        <v>736</v>
      </c>
      <c r="B1097" s="351" t="s">
        <v>3600</v>
      </c>
      <c r="C1097" s="50" t="s">
        <v>1705</v>
      </c>
      <c r="D1097" s="50"/>
      <c r="E1097" s="348" t="str">
        <f t="shared" si="886"/>
        <v>julio 2026</v>
      </c>
      <c r="F1097" s="349">
        <v>46233.0</v>
      </c>
      <c r="G1097" s="24">
        <f t="shared" ref="G1097:H1097" si="1104">F1097</f>
        <v>46233</v>
      </c>
      <c r="H1097" s="26">
        <f t="shared" si="1104"/>
        <v>46233</v>
      </c>
      <c r="I1097" s="50" t="s">
        <v>90</v>
      </c>
      <c r="K1097" s="27"/>
      <c r="L1097" s="29" t="s">
        <v>3085</v>
      </c>
      <c r="M1097" s="31"/>
      <c r="N1097" s="14" t="s">
        <v>84</v>
      </c>
      <c r="O1097" s="31"/>
      <c r="Q1097" s="36"/>
      <c r="R1097" s="36"/>
      <c r="S1097" s="36"/>
      <c r="T1097" s="36"/>
      <c r="V1097" s="31"/>
    </row>
    <row r="1098">
      <c r="A1098" s="14" t="s">
        <v>736</v>
      </c>
      <c r="B1098" s="351" t="s">
        <v>3601</v>
      </c>
      <c r="C1098" s="50" t="s">
        <v>1706</v>
      </c>
      <c r="D1098" s="50"/>
      <c r="E1098" s="348" t="str">
        <f t="shared" si="886"/>
        <v>julio 2026</v>
      </c>
      <c r="F1098" s="349">
        <v>46222.0</v>
      </c>
      <c r="G1098" s="24">
        <f t="shared" ref="G1098:H1098" si="1105">F1098</f>
        <v>46222</v>
      </c>
      <c r="H1098" s="26">
        <f t="shared" si="1105"/>
        <v>46222</v>
      </c>
      <c r="I1098" s="50" t="s">
        <v>90</v>
      </c>
      <c r="K1098" s="27"/>
      <c r="L1098" s="29" t="s">
        <v>3085</v>
      </c>
      <c r="M1098" s="31"/>
      <c r="N1098" s="14" t="s">
        <v>84</v>
      </c>
      <c r="O1098" s="31"/>
      <c r="Q1098" s="36"/>
      <c r="R1098" s="36"/>
      <c r="S1098" s="36"/>
      <c r="T1098" s="36"/>
      <c r="V1098" s="31"/>
    </row>
    <row r="1099">
      <c r="A1099" s="14" t="s">
        <v>736</v>
      </c>
      <c r="B1099" s="351" t="s">
        <v>3602</v>
      </c>
      <c r="C1099" s="50" t="s">
        <v>1707</v>
      </c>
      <c r="D1099" s="50"/>
      <c r="E1099" s="348" t="str">
        <f t="shared" si="886"/>
        <v>julio 2026</v>
      </c>
      <c r="F1099" s="349">
        <v>46217.0</v>
      </c>
      <c r="G1099" s="24">
        <f t="shared" ref="G1099:H1099" si="1106">F1099</f>
        <v>46217</v>
      </c>
      <c r="H1099" s="26">
        <f t="shared" si="1106"/>
        <v>46217</v>
      </c>
      <c r="I1099" s="50" t="s">
        <v>90</v>
      </c>
      <c r="K1099" s="27"/>
      <c r="L1099" s="29" t="s">
        <v>3085</v>
      </c>
      <c r="M1099" s="31"/>
      <c r="N1099" s="14" t="s">
        <v>84</v>
      </c>
      <c r="O1099" s="31"/>
      <c r="Q1099" s="36"/>
      <c r="R1099" s="36"/>
      <c r="S1099" s="36"/>
      <c r="T1099" s="36"/>
      <c r="V1099" s="31"/>
    </row>
    <row r="1100">
      <c r="A1100" s="14" t="s">
        <v>736</v>
      </c>
      <c r="B1100" s="351" t="s">
        <v>3603</v>
      </c>
      <c r="C1100" s="50" t="s">
        <v>1708</v>
      </c>
      <c r="D1100" s="50"/>
      <c r="E1100" s="348" t="str">
        <f t="shared" si="886"/>
        <v>julio 2026</v>
      </c>
      <c r="F1100" s="349">
        <v>46217.0</v>
      </c>
      <c r="G1100" s="24">
        <f t="shared" ref="G1100:H1100" si="1107">F1100</f>
        <v>46217</v>
      </c>
      <c r="H1100" s="26">
        <f t="shared" si="1107"/>
        <v>46217</v>
      </c>
      <c r="I1100" s="50" t="s">
        <v>90</v>
      </c>
      <c r="K1100" s="27"/>
      <c r="L1100" s="29" t="s">
        <v>3085</v>
      </c>
      <c r="M1100" s="31"/>
      <c r="N1100" s="14" t="s">
        <v>84</v>
      </c>
      <c r="O1100" s="31"/>
      <c r="Q1100" s="36"/>
      <c r="R1100" s="36"/>
      <c r="S1100" s="36"/>
      <c r="T1100" s="36"/>
      <c r="V1100" s="31"/>
    </row>
    <row r="1101">
      <c r="A1101" s="14" t="s">
        <v>736</v>
      </c>
      <c r="B1101" s="351" t="s">
        <v>3604</v>
      </c>
      <c r="C1101" s="50" t="s">
        <v>1710</v>
      </c>
      <c r="D1101" s="50"/>
      <c r="E1101" s="348" t="str">
        <f t="shared" si="886"/>
        <v>julio 2026</v>
      </c>
      <c r="F1101" s="349">
        <v>46217.0</v>
      </c>
      <c r="G1101" s="24">
        <f t="shared" ref="G1101:H1101" si="1108">F1101</f>
        <v>46217</v>
      </c>
      <c r="H1101" s="26">
        <f t="shared" si="1108"/>
        <v>46217</v>
      </c>
      <c r="I1101" s="50" t="s">
        <v>90</v>
      </c>
      <c r="K1101" s="27"/>
      <c r="L1101" s="29" t="s">
        <v>3085</v>
      </c>
      <c r="M1101" s="31"/>
      <c r="N1101" s="14" t="s">
        <v>84</v>
      </c>
      <c r="O1101" s="31"/>
      <c r="Q1101" s="36"/>
      <c r="R1101" s="36"/>
      <c r="S1101" s="36"/>
      <c r="T1101" s="36"/>
      <c r="V1101" s="31"/>
    </row>
    <row r="1102">
      <c r="A1102" s="14" t="s">
        <v>736</v>
      </c>
      <c r="B1102" s="351" t="s">
        <v>3605</v>
      </c>
      <c r="C1102" s="50" t="s">
        <v>1713</v>
      </c>
      <c r="D1102" s="50"/>
      <c r="E1102" s="348" t="str">
        <f t="shared" si="886"/>
        <v>julio 2026</v>
      </c>
      <c r="F1102" s="349">
        <v>46218.0</v>
      </c>
      <c r="G1102" s="24">
        <f t="shared" ref="G1102:H1102" si="1109">F1102</f>
        <v>46218</v>
      </c>
      <c r="H1102" s="26">
        <f t="shared" si="1109"/>
        <v>46218</v>
      </c>
      <c r="I1102" s="50" t="s">
        <v>90</v>
      </c>
      <c r="K1102" s="27"/>
      <c r="L1102" s="29" t="s">
        <v>3085</v>
      </c>
      <c r="M1102" s="31"/>
      <c r="N1102" s="14" t="s">
        <v>84</v>
      </c>
      <c r="O1102" s="31"/>
      <c r="Q1102" s="36"/>
      <c r="R1102" s="36"/>
      <c r="S1102" s="36"/>
      <c r="T1102" s="36"/>
      <c r="V1102" s="31"/>
    </row>
    <row r="1103">
      <c r="A1103" s="14" t="s">
        <v>736</v>
      </c>
      <c r="B1103" s="351" t="s">
        <v>3606</v>
      </c>
      <c r="C1103" s="50" t="s">
        <v>1714</v>
      </c>
      <c r="D1103" s="50"/>
      <c r="E1103" s="348" t="str">
        <f t="shared" si="886"/>
        <v>julio 2026</v>
      </c>
      <c r="F1103" s="349">
        <v>46218.0</v>
      </c>
      <c r="G1103" s="24">
        <f t="shared" ref="G1103:H1103" si="1110">F1103</f>
        <v>46218</v>
      </c>
      <c r="H1103" s="26">
        <f t="shared" si="1110"/>
        <v>46218</v>
      </c>
      <c r="I1103" s="50" t="s">
        <v>90</v>
      </c>
      <c r="K1103" s="27"/>
      <c r="L1103" s="29" t="s">
        <v>3085</v>
      </c>
      <c r="M1103" s="31"/>
      <c r="N1103" s="14" t="s">
        <v>84</v>
      </c>
      <c r="O1103" s="31"/>
      <c r="Q1103" s="36"/>
      <c r="R1103" s="36"/>
      <c r="S1103" s="36"/>
      <c r="T1103" s="36"/>
      <c r="V1103" s="31"/>
    </row>
    <row r="1104">
      <c r="A1104" s="14" t="s">
        <v>736</v>
      </c>
      <c r="B1104" s="351" t="s">
        <v>3605</v>
      </c>
      <c r="C1104" s="50" t="s">
        <v>1715</v>
      </c>
      <c r="D1104" s="50"/>
      <c r="E1104" s="348" t="str">
        <f t="shared" si="886"/>
        <v>julio 2026</v>
      </c>
      <c r="F1104" s="349">
        <v>46218.0</v>
      </c>
      <c r="G1104" s="24">
        <f t="shared" ref="G1104:H1104" si="1111">F1104</f>
        <v>46218</v>
      </c>
      <c r="H1104" s="26">
        <f t="shared" si="1111"/>
        <v>46218</v>
      </c>
      <c r="I1104" s="50" t="s">
        <v>90</v>
      </c>
      <c r="K1104" s="27"/>
      <c r="L1104" s="29" t="s">
        <v>3085</v>
      </c>
      <c r="M1104" s="31"/>
      <c r="N1104" s="14" t="s">
        <v>84</v>
      </c>
      <c r="O1104" s="31"/>
      <c r="Q1104" s="36"/>
      <c r="R1104" s="36"/>
      <c r="S1104" s="36"/>
      <c r="T1104" s="36"/>
      <c r="V1104" s="31"/>
    </row>
    <row r="1105">
      <c r="A1105" s="14" t="s">
        <v>736</v>
      </c>
      <c r="B1105" s="351" t="s">
        <v>3607</v>
      </c>
      <c r="C1105" s="50" t="s">
        <v>1716</v>
      </c>
      <c r="D1105" s="50"/>
      <c r="E1105" s="348" t="str">
        <f t="shared" si="886"/>
        <v>julio 2026</v>
      </c>
      <c r="F1105" s="349">
        <v>46218.0</v>
      </c>
      <c r="G1105" s="24">
        <f t="shared" ref="G1105:H1105" si="1112">F1105</f>
        <v>46218</v>
      </c>
      <c r="H1105" s="26">
        <f t="shared" si="1112"/>
        <v>46218</v>
      </c>
      <c r="I1105" s="50" t="s">
        <v>90</v>
      </c>
      <c r="K1105" s="27"/>
      <c r="L1105" s="29" t="s">
        <v>3085</v>
      </c>
      <c r="M1105" s="31"/>
      <c r="N1105" s="14" t="s">
        <v>84</v>
      </c>
      <c r="O1105" s="31"/>
      <c r="Q1105" s="36"/>
      <c r="R1105" s="36"/>
      <c r="S1105" s="36"/>
      <c r="T1105" s="36"/>
      <c r="V1105" s="31"/>
    </row>
    <row r="1106">
      <c r="A1106" s="14" t="s">
        <v>736</v>
      </c>
      <c r="B1106" s="351" t="s">
        <v>3608</v>
      </c>
      <c r="C1106" s="50" t="s">
        <v>1718</v>
      </c>
      <c r="D1106" s="50"/>
      <c r="E1106" s="348" t="str">
        <f t="shared" si="886"/>
        <v>julio 2026</v>
      </c>
      <c r="F1106" s="349">
        <v>46219.0</v>
      </c>
      <c r="G1106" s="24">
        <f t="shared" ref="G1106:H1106" si="1113">F1106</f>
        <v>46219</v>
      </c>
      <c r="H1106" s="26">
        <f t="shared" si="1113"/>
        <v>46219</v>
      </c>
      <c r="I1106" s="50" t="s">
        <v>90</v>
      </c>
      <c r="K1106" s="27"/>
      <c r="L1106" s="29" t="s">
        <v>3085</v>
      </c>
      <c r="M1106" s="31"/>
      <c r="N1106" s="14" t="s">
        <v>84</v>
      </c>
      <c r="O1106" s="31"/>
      <c r="Q1106" s="36"/>
      <c r="R1106" s="36"/>
      <c r="S1106" s="36"/>
      <c r="T1106" s="36"/>
      <c r="V1106" s="31"/>
    </row>
    <row r="1107">
      <c r="A1107" s="14" t="s">
        <v>736</v>
      </c>
      <c r="B1107" s="351" t="s">
        <v>3609</v>
      </c>
      <c r="C1107" s="50" t="s">
        <v>1720</v>
      </c>
      <c r="D1107" s="50"/>
      <c r="E1107" s="348" t="str">
        <f t="shared" si="886"/>
        <v>julio 2026</v>
      </c>
      <c r="F1107" s="349">
        <v>46219.0</v>
      </c>
      <c r="G1107" s="24">
        <f t="shared" ref="G1107:H1107" si="1114">F1107</f>
        <v>46219</v>
      </c>
      <c r="H1107" s="26">
        <f t="shared" si="1114"/>
        <v>46219</v>
      </c>
      <c r="I1107" s="50" t="s">
        <v>90</v>
      </c>
      <c r="K1107" s="27"/>
      <c r="L1107" s="29" t="s">
        <v>3085</v>
      </c>
      <c r="M1107" s="31"/>
      <c r="N1107" s="14" t="s">
        <v>84</v>
      </c>
      <c r="O1107" s="31"/>
      <c r="Q1107" s="36"/>
      <c r="R1107" s="36"/>
      <c r="S1107" s="36"/>
      <c r="T1107" s="36"/>
      <c r="V1107" s="31"/>
    </row>
    <row r="1108">
      <c r="A1108" s="14" t="s">
        <v>736</v>
      </c>
      <c r="B1108" s="351" t="s">
        <v>3610</v>
      </c>
      <c r="C1108" s="50" t="s">
        <v>1721</v>
      </c>
      <c r="D1108" s="50"/>
      <c r="E1108" s="348" t="str">
        <f t="shared" si="886"/>
        <v>julio 2026</v>
      </c>
      <c r="F1108" s="349">
        <v>46219.0</v>
      </c>
      <c r="G1108" s="24">
        <f t="shared" ref="G1108:H1108" si="1115">F1108</f>
        <v>46219</v>
      </c>
      <c r="H1108" s="26">
        <f t="shared" si="1115"/>
        <v>46219</v>
      </c>
      <c r="I1108" s="50" t="s">
        <v>90</v>
      </c>
      <c r="K1108" s="27"/>
      <c r="L1108" s="29" t="s">
        <v>3085</v>
      </c>
      <c r="M1108" s="31"/>
      <c r="N1108" s="14" t="s">
        <v>84</v>
      </c>
      <c r="O1108" s="31"/>
      <c r="Q1108" s="36"/>
      <c r="R1108" s="36"/>
      <c r="S1108" s="36"/>
      <c r="T1108" s="36"/>
      <c r="V1108" s="31"/>
    </row>
    <row r="1109">
      <c r="A1109" s="14" t="s">
        <v>736</v>
      </c>
      <c r="B1109" s="351" t="s">
        <v>3611</v>
      </c>
      <c r="C1109" s="50" t="s">
        <v>1722</v>
      </c>
      <c r="D1109" s="50"/>
      <c r="E1109" s="348" t="str">
        <f t="shared" si="886"/>
        <v>julio 2026</v>
      </c>
      <c r="F1109" s="349">
        <v>46233.0</v>
      </c>
      <c r="G1109" s="24">
        <f t="shared" ref="G1109:H1109" si="1116">F1109</f>
        <v>46233</v>
      </c>
      <c r="H1109" s="26">
        <f t="shared" si="1116"/>
        <v>46233</v>
      </c>
      <c r="I1109" s="50" t="s">
        <v>90</v>
      </c>
      <c r="K1109" s="27"/>
      <c r="L1109" s="29" t="s">
        <v>3085</v>
      </c>
      <c r="M1109" s="31"/>
      <c r="N1109" s="14" t="s">
        <v>84</v>
      </c>
      <c r="O1109" s="31"/>
      <c r="Q1109" s="36"/>
      <c r="R1109" s="36"/>
      <c r="S1109" s="36"/>
      <c r="T1109" s="36"/>
      <c r="V1109" s="31"/>
    </row>
    <row r="1110">
      <c r="A1110" s="14" t="s">
        <v>736</v>
      </c>
      <c r="B1110" s="351" t="s">
        <v>3612</v>
      </c>
      <c r="C1110" s="50" t="s">
        <v>1723</v>
      </c>
      <c r="D1110" s="50"/>
      <c r="E1110" s="348" t="str">
        <f t="shared" si="886"/>
        <v>julio 2026</v>
      </c>
      <c r="F1110" s="349">
        <v>46234.0</v>
      </c>
      <c r="G1110" s="24">
        <f t="shared" ref="G1110:H1110" si="1117">F1110</f>
        <v>46234</v>
      </c>
      <c r="H1110" s="26">
        <f t="shared" si="1117"/>
        <v>46234</v>
      </c>
      <c r="I1110" s="50" t="s">
        <v>90</v>
      </c>
      <c r="K1110" s="27"/>
      <c r="L1110" s="29" t="s">
        <v>3085</v>
      </c>
      <c r="M1110" s="31"/>
      <c r="N1110" s="14" t="s">
        <v>84</v>
      </c>
      <c r="O1110" s="31"/>
      <c r="Q1110" s="36"/>
      <c r="R1110" s="36"/>
      <c r="S1110" s="36"/>
      <c r="T1110" s="36"/>
      <c r="V1110" s="31"/>
    </row>
    <row r="1111">
      <c r="A1111" s="14" t="s">
        <v>736</v>
      </c>
      <c r="B1111" s="351" t="s">
        <v>3613</v>
      </c>
      <c r="C1111" s="50" t="s">
        <v>1726</v>
      </c>
      <c r="D1111" s="50"/>
      <c r="E1111" s="348" t="str">
        <f t="shared" si="886"/>
        <v>agosto 2026</v>
      </c>
      <c r="F1111" s="349">
        <v>46246.0</v>
      </c>
      <c r="G1111" s="24">
        <f t="shared" ref="G1111:H1111" si="1118">F1111</f>
        <v>46246</v>
      </c>
      <c r="H1111" s="26">
        <f t="shared" si="1118"/>
        <v>46246</v>
      </c>
      <c r="I1111" s="50" t="s">
        <v>90</v>
      </c>
      <c r="K1111" s="27"/>
      <c r="L1111" s="29" t="s">
        <v>3085</v>
      </c>
      <c r="M1111" s="31"/>
      <c r="N1111" s="14" t="s">
        <v>84</v>
      </c>
      <c r="O1111" s="31"/>
      <c r="Q1111" s="36"/>
      <c r="R1111" s="36"/>
      <c r="S1111" s="36"/>
      <c r="T1111" s="36"/>
      <c r="V1111" s="31"/>
    </row>
    <row r="1112">
      <c r="A1112" s="14" t="s">
        <v>117</v>
      </c>
      <c r="B1112" s="50" t="s">
        <v>3664</v>
      </c>
      <c r="C1112" s="302" t="s">
        <v>3614</v>
      </c>
      <c r="D1112" s="50" t="s">
        <v>40</v>
      </c>
      <c r="E1112" s="383" t="str">
        <f t="shared" si="886"/>
        <v>julio 2026</v>
      </c>
      <c r="F1112" s="386">
        <v>46224.0</v>
      </c>
      <c r="G1112" s="24">
        <f t="shared" ref="G1112:H1112" si="1119">F1112</f>
        <v>46224</v>
      </c>
      <c r="H1112" s="26">
        <f t="shared" si="1119"/>
        <v>46224</v>
      </c>
      <c r="I1112" s="50" t="s">
        <v>90</v>
      </c>
      <c r="K1112" s="448"/>
      <c r="L1112" s="29" t="s">
        <v>3157</v>
      </c>
      <c r="M1112" s="31"/>
      <c r="N1112" s="14" t="s">
        <v>84</v>
      </c>
      <c r="O1112" s="31"/>
      <c r="Q1112" s="36"/>
      <c r="R1112" s="36"/>
      <c r="S1112" s="36"/>
      <c r="T1112" s="36"/>
      <c r="V1112" s="31"/>
    </row>
    <row r="1113">
      <c r="A1113" s="14" t="s">
        <v>679</v>
      </c>
      <c r="B1113" s="351"/>
      <c r="C1113" s="302" t="s">
        <v>3615</v>
      </c>
      <c r="D1113" s="50" t="s">
        <v>133</v>
      </c>
      <c r="E1113" s="380" t="str">
        <f t="shared" si="886"/>
        <v>julio 2026</v>
      </c>
      <c r="F1113" s="381">
        <v>46220.0</v>
      </c>
      <c r="G1113" s="449" t="s">
        <v>3196</v>
      </c>
      <c r="H1113" s="449">
        <v>2026.0</v>
      </c>
      <c r="I1113" s="50" t="s">
        <v>1865</v>
      </c>
      <c r="K1113" s="448"/>
      <c r="L1113" s="29"/>
      <c r="M1113" s="31"/>
      <c r="N1113" s="14"/>
      <c r="O1113" s="31"/>
      <c r="Q1113" s="36"/>
      <c r="R1113" s="36"/>
      <c r="S1113" s="36"/>
      <c r="T1113" s="36"/>
      <c r="V1113" s="31"/>
    </row>
    <row r="1114">
      <c r="A1114" s="14" t="s">
        <v>679</v>
      </c>
      <c r="B1114" s="351"/>
      <c r="C1114" s="302" t="s">
        <v>3616</v>
      </c>
      <c r="D1114" s="50" t="s">
        <v>40</v>
      </c>
      <c r="E1114" s="444">
        <v>46235.0</v>
      </c>
      <c r="F1114" s="386">
        <v>46220.0</v>
      </c>
      <c r="G1114" s="24">
        <f t="shared" ref="G1114:H1114" si="1120">F1114</f>
        <v>46220</v>
      </c>
      <c r="H1114" s="26">
        <f t="shared" si="1120"/>
        <v>46220</v>
      </c>
      <c r="I1114" s="50" t="s">
        <v>1865</v>
      </c>
      <c r="K1114" s="448"/>
      <c r="L1114" s="29" t="s">
        <v>3157</v>
      </c>
      <c r="M1114" s="31"/>
      <c r="N1114" s="14" t="s">
        <v>84</v>
      </c>
      <c r="O1114" s="31"/>
      <c r="Q1114" s="36"/>
      <c r="R1114" s="36"/>
      <c r="S1114" s="36"/>
      <c r="T1114" s="36"/>
      <c r="V1114" s="31"/>
    </row>
    <row r="1115">
      <c r="A1115" s="37" t="s">
        <v>66</v>
      </c>
      <c r="B1115" s="351"/>
      <c r="C1115" s="15" t="s">
        <v>3617</v>
      </c>
      <c r="D1115" s="50" t="s">
        <v>40</v>
      </c>
      <c r="E1115" s="441">
        <v>46235.0</v>
      </c>
      <c r="F1115" s="381"/>
      <c r="G1115" s="24" t="str">
        <f t="shared" ref="G1115:H1115" si="1121">F1115</f>
        <v/>
      </c>
      <c r="H1115" s="26" t="str">
        <f t="shared" si="1121"/>
        <v/>
      </c>
      <c r="I1115" s="50" t="s">
        <v>2398</v>
      </c>
      <c r="K1115" s="448"/>
      <c r="L1115" s="29" t="s">
        <v>3157</v>
      </c>
      <c r="M1115" s="31"/>
      <c r="N1115" s="14" t="s">
        <v>133</v>
      </c>
      <c r="O1115" s="31"/>
      <c r="Q1115" s="36"/>
      <c r="R1115" s="36"/>
      <c r="S1115" s="36"/>
      <c r="T1115" s="36"/>
      <c r="V1115" s="31"/>
    </row>
    <row r="1116">
      <c r="A1116" s="37" t="s">
        <v>66</v>
      </c>
      <c r="B1116" s="351"/>
      <c r="C1116" s="302" t="s">
        <v>3618</v>
      </c>
      <c r="D1116" s="50" t="s">
        <v>40</v>
      </c>
      <c r="E1116" s="444">
        <v>46235.0</v>
      </c>
      <c r="F1116" s="451"/>
      <c r="G1116" s="24"/>
      <c r="H1116" s="26"/>
      <c r="I1116" s="50" t="s">
        <v>2398</v>
      </c>
      <c r="K1116" s="448"/>
      <c r="L1116" s="29" t="s">
        <v>3157</v>
      </c>
      <c r="M1116" s="31"/>
      <c r="N1116" s="14" t="s">
        <v>133</v>
      </c>
      <c r="O1116" s="31"/>
      <c r="Q1116" s="36"/>
      <c r="R1116" s="36"/>
      <c r="S1116" s="36"/>
      <c r="T1116" s="36"/>
      <c r="V1116" s="31"/>
    </row>
    <row r="1117">
      <c r="A1117" s="37" t="s">
        <v>66</v>
      </c>
      <c r="B1117" s="351"/>
      <c r="C1117" s="302" t="s">
        <v>3619</v>
      </c>
      <c r="D1117" s="50" t="s">
        <v>40</v>
      </c>
      <c r="E1117" s="441">
        <v>46235.0</v>
      </c>
      <c r="F1117" s="450"/>
      <c r="G1117" s="24"/>
      <c r="H1117" s="26"/>
      <c r="I1117" s="50" t="s">
        <v>2398</v>
      </c>
      <c r="K1117" s="448"/>
      <c r="L1117" s="29" t="s">
        <v>3157</v>
      </c>
      <c r="M1117" s="31"/>
      <c r="N1117" s="14" t="s">
        <v>133</v>
      </c>
      <c r="O1117" s="31"/>
      <c r="Q1117" s="36"/>
      <c r="R1117" s="36"/>
      <c r="S1117" s="36"/>
      <c r="T1117" s="36"/>
      <c r="V1117" s="31"/>
    </row>
    <row r="1118">
      <c r="A1118" s="37" t="s">
        <v>66</v>
      </c>
      <c r="B1118" s="351"/>
      <c r="C1118" s="302" t="s">
        <v>3620</v>
      </c>
      <c r="D1118" s="50" t="s">
        <v>40</v>
      </c>
      <c r="E1118" s="444">
        <v>46235.0</v>
      </c>
      <c r="F1118" s="451"/>
      <c r="G1118" s="24"/>
      <c r="H1118" s="26"/>
      <c r="I1118" s="50" t="s">
        <v>2398</v>
      </c>
      <c r="K1118" s="448"/>
      <c r="L1118" s="29" t="s">
        <v>3157</v>
      </c>
      <c r="M1118" s="31"/>
      <c r="N1118" s="14" t="s">
        <v>133</v>
      </c>
      <c r="O1118" s="31"/>
      <c r="Q1118" s="36"/>
      <c r="R1118" s="36"/>
      <c r="S1118" s="36"/>
      <c r="T1118" s="36"/>
      <c r="V1118" s="31"/>
    </row>
    <row r="1119">
      <c r="A1119" s="14" t="s">
        <v>736</v>
      </c>
      <c r="B1119" s="351" t="s">
        <v>3622</v>
      </c>
      <c r="C1119" s="50" t="s">
        <v>1727</v>
      </c>
      <c r="D1119" s="50"/>
      <c r="E1119" s="348" t="str">
        <f t="shared" ref="E1119:E1122" si="1123">TEXT(F1119, "mmmm yyyy")
</f>
        <v>julio 2026</v>
      </c>
      <c r="F1119" s="349">
        <v>46224.0</v>
      </c>
      <c r="G1119" s="24">
        <f t="shared" ref="G1119:H1119" si="1122">F1119</f>
        <v>46224</v>
      </c>
      <c r="H1119" s="26">
        <f t="shared" si="1122"/>
        <v>46224</v>
      </c>
      <c r="I1119" s="50" t="s">
        <v>90</v>
      </c>
      <c r="K1119" s="27"/>
      <c r="L1119" s="29" t="s">
        <v>3085</v>
      </c>
      <c r="M1119" s="31"/>
      <c r="N1119" s="14" t="s">
        <v>84</v>
      </c>
      <c r="O1119" s="31"/>
      <c r="Q1119" s="36"/>
      <c r="R1119" s="36"/>
      <c r="S1119" s="36"/>
      <c r="T1119" s="36"/>
      <c r="V1119" s="31"/>
    </row>
    <row r="1120">
      <c r="A1120" s="14" t="s">
        <v>736</v>
      </c>
      <c r="B1120" s="351" t="s">
        <v>3623</v>
      </c>
      <c r="C1120" s="50" t="s">
        <v>1728</v>
      </c>
      <c r="D1120" s="50"/>
      <c r="E1120" s="348" t="str">
        <f t="shared" si="1123"/>
        <v>julio 2026</v>
      </c>
      <c r="F1120" s="349">
        <v>46218.0</v>
      </c>
      <c r="G1120" s="24">
        <f t="shared" ref="G1120:H1120" si="1124">F1120</f>
        <v>46218</v>
      </c>
      <c r="H1120" s="26">
        <f t="shared" si="1124"/>
        <v>46218</v>
      </c>
      <c r="I1120" s="50" t="s">
        <v>90</v>
      </c>
      <c r="K1120" s="27"/>
      <c r="L1120" s="29" t="s">
        <v>3085</v>
      </c>
      <c r="M1120" s="31"/>
      <c r="N1120" s="14" t="s">
        <v>84</v>
      </c>
      <c r="O1120" s="31"/>
      <c r="Q1120" s="36"/>
      <c r="R1120" s="36"/>
      <c r="S1120" s="36"/>
      <c r="T1120" s="36"/>
      <c r="V1120" s="31"/>
    </row>
    <row r="1121">
      <c r="A1121" s="14" t="s">
        <v>736</v>
      </c>
      <c r="B1121" s="351" t="s">
        <v>3624</v>
      </c>
      <c r="C1121" s="50" t="s">
        <v>1729</v>
      </c>
      <c r="D1121" s="50"/>
      <c r="E1121" s="348" t="str">
        <f t="shared" si="1123"/>
        <v>julio 2026</v>
      </c>
      <c r="F1121" s="349">
        <v>46218.0</v>
      </c>
      <c r="G1121" s="24">
        <f t="shared" ref="G1121:H1121" si="1125">F1121</f>
        <v>46218</v>
      </c>
      <c r="H1121" s="26">
        <f t="shared" si="1125"/>
        <v>46218</v>
      </c>
      <c r="I1121" s="50" t="s">
        <v>90</v>
      </c>
      <c r="K1121" s="27"/>
      <c r="L1121" s="29" t="s">
        <v>3085</v>
      </c>
      <c r="M1121" s="31"/>
      <c r="N1121" s="14" t="s">
        <v>84</v>
      </c>
      <c r="O1121" s="31"/>
      <c r="Q1121" s="36"/>
      <c r="R1121" s="36"/>
      <c r="S1121" s="36"/>
      <c r="T1121" s="36"/>
      <c r="V1121" s="31"/>
    </row>
    <row r="1122">
      <c r="A1122" s="14" t="s">
        <v>736</v>
      </c>
      <c r="B1122" s="351" t="s">
        <v>3625</v>
      </c>
      <c r="C1122" s="50" t="s">
        <v>1732</v>
      </c>
      <c r="D1122" s="50"/>
      <c r="E1122" s="348" t="str">
        <f t="shared" si="1123"/>
        <v>julio 2026</v>
      </c>
      <c r="F1122" s="349">
        <v>46232.0</v>
      </c>
      <c r="G1122" s="24">
        <f t="shared" ref="G1122:H1122" si="1126">F1122</f>
        <v>46232</v>
      </c>
      <c r="H1122" s="26">
        <f t="shared" si="1126"/>
        <v>46232</v>
      </c>
      <c r="I1122" s="50" t="s">
        <v>90</v>
      </c>
      <c r="K1122" s="27"/>
      <c r="L1122" s="29" t="s">
        <v>3085</v>
      </c>
      <c r="M1122" s="31"/>
      <c r="N1122" s="14" t="s">
        <v>84</v>
      </c>
      <c r="O1122" s="31"/>
      <c r="Q1122" s="36"/>
      <c r="R1122" s="36"/>
      <c r="S1122" s="36"/>
      <c r="T1122" s="36"/>
      <c r="V1122" s="31"/>
    </row>
    <row r="1123">
      <c r="A1123" s="14" t="s">
        <v>736</v>
      </c>
      <c r="B1123" s="351" t="s">
        <v>3626</v>
      </c>
      <c r="C1123" s="50" t="s">
        <v>1733</v>
      </c>
      <c r="D1123" s="50"/>
      <c r="E1123" s="348"/>
      <c r="F1123" s="349"/>
      <c r="G1123" s="24"/>
      <c r="H1123" s="26"/>
      <c r="I1123" s="50" t="s">
        <v>90</v>
      </c>
      <c r="K1123" s="27"/>
      <c r="L1123" s="29" t="s">
        <v>3085</v>
      </c>
      <c r="M1123" s="31"/>
      <c r="N1123" s="14" t="s">
        <v>84</v>
      </c>
      <c r="O1123" s="31"/>
      <c r="Q1123" s="36"/>
      <c r="R1123" s="36"/>
      <c r="S1123" s="36"/>
      <c r="T1123" s="36"/>
      <c r="V1123" s="31"/>
    </row>
    <row r="1124">
      <c r="A1124" s="14" t="s">
        <v>736</v>
      </c>
      <c r="B1124" s="351" t="s">
        <v>3627</v>
      </c>
      <c r="C1124" s="50" t="s">
        <v>1734</v>
      </c>
      <c r="D1124" s="50"/>
      <c r="E1124" s="348" t="str">
        <f t="shared" ref="E1124:E1151" si="1128">TEXT(F1124, "mmmm yyyy")
</f>
        <v>julio 2026</v>
      </c>
      <c r="F1124" s="349">
        <v>46232.0</v>
      </c>
      <c r="G1124" s="24">
        <f t="shared" ref="G1124:H1124" si="1127">F1124</f>
        <v>46232</v>
      </c>
      <c r="H1124" s="26">
        <f t="shared" si="1127"/>
        <v>46232</v>
      </c>
      <c r="I1124" s="50" t="s">
        <v>90</v>
      </c>
      <c r="K1124" s="27"/>
      <c r="L1124" s="29" t="s">
        <v>3085</v>
      </c>
      <c r="M1124" s="31"/>
      <c r="N1124" s="14" t="s">
        <v>84</v>
      </c>
      <c r="O1124" s="31"/>
      <c r="Q1124" s="36"/>
      <c r="R1124" s="36"/>
      <c r="S1124" s="36"/>
      <c r="T1124" s="36"/>
      <c r="V1124" s="31"/>
    </row>
    <row r="1125">
      <c r="A1125" s="14" t="s">
        <v>736</v>
      </c>
      <c r="B1125" s="351" t="s">
        <v>3628</v>
      </c>
      <c r="C1125" s="50" t="s">
        <v>1737</v>
      </c>
      <c r="D1125" s="50"/>
      <c r="E1125" s="348" t="str">
        <f t="shared" si="1128"/>
        <v>julio 2026</v>
      </c>
      <c r="F1125" s="349">
        <v>46220.0</v>
      </c>
      <c r="G1125" s="24">
        <f t="shared" ref="G1125:H1125" si="1129">F1125</f>
        <v>46220</v>
      </c>
      <c r="H1125" s="26">
        <f t="shared" si="1129"/>
        <v>46220</v>
      </c>
      <c r="I1125" s="50" t="s">
        <v>90</v>
      </c>
      <c r="K1125" s="27"/>
      <c r="L1125" s="29" t="s">
        <v>3085</v>
      </c>
      <c r="M1125" s="31"/>
      <c r="N1125" s="14" t="s">
        <v>84</v>
      </c>
      <c r="O1125" s="31"/>
      <c r="Q1125" s="36"/>
      <c r="R1125" s="36"/>
      <c r="S1125" s="36"/>
      <c r="T1125" s="36"/>
      <c r="V1125" s="31"/>
    </row>
    <row r="1126">
      <c r="A1126" s="14" t="s">
        <v>736</v>
      </c>
      <c r="B1126" s="351" t="s">
        <v>3629</v>
      </c>
      <c r="C1126" s="50" t="s">
        <v>1738</v>
      </c>
      <c r="D1126" s="50"/>
      <c r="E1126" s="348" t="str">
        <f t="shared" si="1128"/>
        <v>julio 2026</v>
      </c>
      <c r="F1126" s="349">
        <v>46220.0</v>
      </c>
      <c r="G1126" s="24">
        <f t="shared" ref="G1126:H1126" si="1130">F1126</f>
        <v>46220</v>
      </c>
      <c r="H1126" s="26">
        <f t="shared" si="1130"/>
        <v>46220</v>
      </c>
      <c r="I1126" s="50" t="s">
        <v>90</v>
      </c>
      <c r="K1126" s="27"/>
      <c r="L1126" s="29" t="s">
        <v>3085</v>
      </c>
      <c r="M1126" s="31"/>
      <c r="N1126" s="14" t="s">
        <v>84</v>
      </c>
      <c r="O1126" s="31"/>
      <c r="Q1126" s="36"/>
      <c r="R1126" s="36"/>
      <c r="S1126" s="36"/>
      <c r="T1126" s="36"/>
      <c r="V1126" s="31"/>
    </row>
    <row r="1127">
      <c r="A1127" s="14" t="s">
        <v>736</v>
      </c>
      <c r="B1127" s="351" t="s">
        <v>3630</v>
      </c>
      <c r="C1127" s="50" t="s">
        <v>1740</v>
      </c>
      <c r="D1127" s="50"/>
      <c r="E1127" s="348" t="str">
        <f t="shared" si="1128"/>
        <v>julio 2026</v>
      </c>
      <c r="F1127" s="349">
        <v>46221.0</v>
      </c>
      <c r="G1127" s="24">
        <f t="shared" ref="G1127:H1127" si="1131">F1127</f>
        <v>46221</v>
      </c>
      <c r="H1127" s="26">
        <f t="shared" si="1131"/>
        <v>46221</v>
      </c>
      <c r="I1127" s="50" t="s">
        <v>90</v>
      </c>
      <c r="K1127" s="27"/>
      <c r="L1127" s="29" t="s">
        <v>3085</v>
      </c>
      <c r="M1127" s="31"/>
      <c r="N1127" s="14" t="s">
        <v>84</v>
      </c>
      <c r="O1127" s="31"/>
      <c r="Q1127" s="36"/>
      <c r="R1127" s="36"/>
      <c r="S1127" s="36"/>
      <c r="T1127" s="36"/>
      <c r="V1127" s="31"/>
    </row>
    <row r="1128">
      <c r="A1128" s="14" t="s">
        <v>736</v>
      </c>
      <c r="B1128" s="351" t="s">
        <v>3631</v>
      </c>
      <c r="C1128" s="50" t="s">
        <v>1743</v>
      </c>
      <c r="D1128" s="50"/>
      <c r="E1128" s="348" t="str">
        <f t="shared" si="1128"/>
        <v>julio 2026</v>
      </c>
      <c r="F1128" s="349">
        <v>46232.0</v>
      </c>
      <c r="G1128" s="24">
        <f t="shared" ref="G1128:H1128" si="1132">F1128</f>
        <v>46232</v>
      </c>
      <c r="H1128" s="26">
        <f t="shared" si="1132"/>
        <v>46232</v>
      </c>
      <c r="I1128" s="50" t="s">
        <v>90</v>
      </c>
      <c r="K1128" s="27"/>
      <c r="L1128" s="29" t="s">
        <v>3085</v>
      </c>
      <c r="M1128" s="31"/>
      <c r="N1128" s="14" t="s">
        <v>84</v>
      </c>
      <c r="O1128" s="31"/>
      <c r="Q1128" s="36"/>
      <c r="R1128" s="36"/>
      <c r="S1128" s="36"/>
      <c r="T1128" s="36"/>
      <c r="V1128" s="31"/>
    </row>
    <row r="1129">
      <c r="A1129" s="14" t="s">
        <v>736</v>
      </c>
      <c r="B1129" s="351" t="s">
        <v>3632</v>
      </c>
      <c r="C1129" s="50" t="s">
        <v>1744</v>
      </c>
      <c r="D1129" s="50"/>
      <c r="E1129" s="348" t="str">
        <f t="shared" si="1128"/>
        <v>julio 2026</v>
      </c>
      <c r="F1129" s="349">
        <v>46226.0</v>
      </c>
      <c r="G1129" s="24">
        <f t="shared" ref="G1129:H1129" si="1133">F1129</f>
        <v>46226</v>
      </c>
      <c r="H1129" s="26">
        <f t="shared" si="1133"/>
        <v>46226</v>
      </c>
      <c r="I1129" s="50" t="s">
        <v>90</v>
      </c>
      <c r="K1129" s="27"/>
      <c r="L1129" s="29" t="s">
        <v>3085</v>
      </c>
      <c r="M1129" s="31"/>
      <c r="N1129" s="14" t="s">
        <v>84</v>
      </c>
      <c r="O1129" s="31"/>
      <c r="Q1129" s="36"/>
      <c r="R1129" s="36"/>
      <c r="S1129" s="36"/>
      <c r="T1129" s="36"/>
      <c r="V1129" s="31"/>
    </row>
    <row r="1130">
      <c r="A1130" s="14" t="s">
        <v>736</v>
      </c>
      <c r="B1130" s="351" t="s">
        <v>3633</v>
      </c>
      <c r="C1130" s="50" t="s">
        <v>1745</v>
      </c>
      <c r="D1130" s="50"/>
      <c r="E1130" s="348" t="str">
        <f t="shared" si="1128"/>
        <v>julio 2026</v>
      </c>
      <c r="F1130" s="349">
        <v>46224.0</v>
      </c>
      <c r="G1130" s="24">
        <f t="shared" ref="G1130:H1130" si="1134">F1130</f>
        <v>46224</v>
      </c>
      <c r="H1130" s="26">
        <f t="shared" si="1134"/>
        <v>46224</v>
      </c>
      <c r="I1130" s="50" t="s">
        <v>90</v>
      </c>
      <c r="K1130" s="27"/>
      <c r="L1130" s="29" t="s">
        <v>3085</v>
      </c>
      <c r="M1130" s="31"/>
      <c r="N1130" s="14" t="s">
        <v>84</v>
      </c>
      <c r="O1130" s="31"/>
      <c r="Q1130" s="36"/>
      <c r="R1130" s="36"/>
      <c r="S1130" s="36"/>
      <c r="T1130" s="36"/>
      <c r="V1130" s="31"/>
    </row>
    <row r="1131">
      <c r="A1131" s="14" t="s">
        <v>736</v>
      </c>
      <c r="B1131" s="351" t="s">
        <v>3634</v>
      </c>
      <c r="C1131" s="50" t="s">
        <v>1746</v>
      </c>
      <c r="D1131" s="50"/>
      <c r="E1131" s="348" t="str">
        <f t="shared" si="1128"/>
        <v>julio 2026</v>
      </c>
      <c r="F1131" s="349">
        <v>46220.0</v>
      </c>
      <c r="G1131" s="24">
        <f t="shared" ref="G1131:H1131" si="1135">F1131</f>
        <v>46220</v>
      </c>
      <c r="H1131" s="26">
        <f t="shared" si="1135"/>
        <v>46220</v>
      </c>
      <c r="I1131" s="50" t="s">
        <v>90</v>
      </c>
      <c r="K1131" s="27"/>
      <c r="L1131" s="29" t="s">
        <v>3085</v>
      </c>
      <c r="M1131" s="31"/>
      <c r="N1131" s="14" t="s">
        <v>84</v>
      </c>
      <c r="O1131" s="31"/>
      <c r="Q1131" s="36"/>
      <c r="R1131" s="36"/>
      <c r="S1131" s="36"/>
      <c r="T1131" s="36"/>
      <c r="V1131" s="31"/>
    </row>
    <row r="1132">
      <c r="A1132" s="14" t="s">
        <v>736</v>
      </c>
      <c r="B1132" s="351" t="s">
        <v>3635</v>
      </c>
      <c r="C1132" s="50" t="s">
        <v>1748</v>
      </c>
      <c r="D1132" s="50"/>
      <c r="E1132" s="348" t="str">
        <f t="shared" si="1128"/>
        <v>julio 2026</v>
      </c>
      <c r="F1132" s="349">
        <v>46233.0</v>
      </c>
      <c r="G1132" s="24">
        <f t="shared" ref="G1132:H1132" si="1136">F1132</f>
        <v>46233</v>
      </c>
      <c r="H1132" s="26">
        <f t="shared" si="1136"/>
        <v>46233</v>
      </c>
      <c r="I1132" s="50" t="s">
        <v>90</v>
      </c>
      <c r="K1132" s="27"/>
      <c r="L1132" s="29" t="s">
        <v>3085</v>
      </c>
      <c r="M1132" s="31"/>
      <c r="N1132" s="14" t="s">
        <v>84</v>
      </c>
      <c r="O1132" s="31"/>
      <c r="Q1132" s="36"/>
      <c r="R1132" s="36"/>
      <c r="S1132" s="36"/>
      <c r="T1132" s="36"/>
      <c r="V1132" s="31"/>
    </row>
    <row r="1133">
      <c r="A1133" s="14" t="s">
        <v>736</v>
      </c>
      <c r="B1133" s="351" t="s">
        <v>3636</v>
      </c>
      <c r="C1133" s="50" t="s">
        <v>1750</v>
      </c>
      <c r="D1133" s="50"/>
      <c r="E1133" s="348" t="str">
        <f t="shared" si="1128"/>
        <v>julio 2026</v>
      </c>
      <c r="F1133" s="349">
        <v>46224.0</v>
      </c>
      <c r="G1133" s="24">
        <f t="shared" ref="G1133:H1133" si="1137">F1133</f>
        <v>46224</v>
      </c>
      <c r="H1133" s="26">
        <f t="shared" si="1137"/>
        <v>46224</v>
      </c>
      <c r="I1133" s="50" t="s">
        <v>90</v>
      </c>
      <c r="K1133" s="27"/>
      <c r="L1133" s="29" t="s">
        <v>3085</v>
      </c>
      <c r="M1133" s="31"/>
      <c r="N1133" s="14" t="s">
        <v>84</v>
      </c>
      <c r="O1133" s="31"/>
      <c r="Q1133" s="36"/>
      <c r="R1133" s="36"/>
      <c r="S1133" s="36"/>
      <c r="T1133" s="36"/>
      <c r="V1133" s="31"/>
    </row>
    <row r="1134">
      <c r="A1134" s="14" t="s">
        <v>736</v>
      </c>
      <c r="B1134" s="351" t="s">
        <v>3636</v>
      </c>
      <c r="C1134" s="50" t="s">
        <v>1751</v>
      </c>
      <c r="D1134" s="50"/>
      <c r="E1134" s="348" t="str">
        <f t="shared" si="1128"/>
        <v>julio 2026</v>
      </c>
      <c r="F1134" s="349">
        <v>46224.0</v>
      </c>
      <c r="G1134" s="24">
        <f t="shared" ref="G1134:H1134" si="1138">F1134</f>
        <v>46224</v>
      </c>
      <c r="H1134" s="26">
        <f t="shared" si="1138"/>
        <v>46224</v>
      </c>
      <c r="I1134" s="50" t="s">
        <v>90</v>
      </c>
      <c r="K1134" s="27"/>
      <c r="L1134" s="29" t="s">
        <v>3085</v>
      </c>
      <c r="M1134" s="31"/>
      <c r="N1134" s="14" t="s">
        <v>84</v>
      </c>
      <c r="O1134" s="31"/>
      <c r="Q1134" s="36"/>
      <c r="R1134" s="36"/>
      <c r="S1134" s="36"/>
      <c r="T1134" s="36"/>
      <c r="V1134" s="31"/>
    </row>
    <row r="1135">
      <c r="A1135" s="14" t="s">
        <v>736</v>
      </c>
      <c r="B1135" s="351" t="s">
        <v>3637</v>
      </c>
      <c r="C1135" s="50" t="s">
        <v>1752</v>
      </c>
      <c r="D1135" s="50"/>
      <c r="E1135" s="348" t="str">
        <f t="shared" si="1128"/>
        <v>julio 2026</v>
      </c>
      <c r="F1135" s="349">
        <v>46224.0</v>
      </c>
      <c r="G1135" s="24">
        <f t="shared" ref="G1135:H1135" si="1139">F1135</f>
        <v>46224</v>
      </c>
      <c r="H1135" s="26">
        <f t="shared" si="1139"/>
        <v>46224</v>
      </c>
      <c r="I1135" s="50" t="s">
        <v>90</v>
      </c>
      <c r="K1135" s="27"/>
      <c r="L1135" s="29" t="s">
        <v>3085</v>
      </c>
      <c r="M1135" s="31"/>
      <c r="N1135" s="14" t="s">
        <v>84</v>
      </c>
      <c r="O1135" s="31"/>
      <c r="Q1135" s="36"/>
      <c r="R1135" s="36"/>
      <c r="S1135" s="36"/>
      <c r="T1135" s="36"/>
      <c r="V1135" s="31"/>
    </row>
    <row r="1136">
      <c r="A1136" s="14" t="s">
        <v>736</v>
      </c>
      <c r="B1136" s="351" t="s">
        <v>3638</v>
      </c>
      <c r="C1136" s="50" t="s">
        <v>1753</v>
      </c>
      <c r="D1136" s="50"/>
      <c r="E1136" s="348" t="str">
        <f t="shared" si="1128"/>
        <v>julio 2026</v>
      </c>
      <c r="F1136" s="349">
        <v>46221.0</v>
      </c>
      <c r="G1136" s="24">
        <f t="shared" ref="G1136:H1136" si="1140">F1136</f>
        <v>46221</v>
      </c>
      <c r="H1136" s="26">
        <f t="shared" si="1140"/>
        <v>46221</v>
      </c>
      <c r="I1136" s="50" t="s">
        <v>90</v>
      </c>
      <c r="K1136" s="27"/>
      <c r="L1136" s="29" t="s">
        <v>3085</v>
      </c>
      <c r="M1136" s="31"/>
      <c r="N1136" s="14" t="s">
        <v>84</v>
      </c>
      <c r="O1136" s="31"/>
      <c r="Q1136" s="36"/>
      <c r="R1136" s="36"/>
      <c r="S1136" s="36"/>
      <c r="T1136" s="36"/>
      <c r="V1136" s="31"/>
    </row>
    <row r="1137">
      <c r="A1137" s="14" t="s">
        <v>736</v>
      </c>
      <c r="B1137" s="351" t="s">
        <v>3639</v>
      </c>
      <c r="C1137" s="50" t="s">
        <v>1756</v>
      </c>
      <c r="D1137" s="50"/>
      <c r="E1137" s="348" t="str">
        <f t="shared" si="1128"/>
        <v>julio 2026</v>
      </c>
      <c r="F1137" s="349">
        <v>46225.0</v>
      </c>
      <c r="G1137" s="24">
        <f t="shared" ref="G1137:H1137" si="1141">F1137</f>
        <v>46225</v>
      </c>
      <c r="H1137" s="26">
        <f t="shared" si="1141"/>
        <v>46225</v>
      </c>
      <c r="I1137" s="50" t="s">
        <v>90</v>
      </c>
      <c r="K1137" s="27"/>
      <c r="L1137" s="29" t="s">
        <v>3085</v>
      </c>
      <c r="M1137" s="31"/>
      <c r="N1137" s="14" t="s">
        <v>84</v>
      </c>
      <c r="O1137" s="31"/>
      <c r="Q1137" s="36"/>
      <c r="R1137" s="36"/>
      <c r="S1137" s="36"/>
      <c r="T1137" s="36"/>
      <c r="V1137" s="31"/>
    </row>
    <row r="1138">
      <c r="A1138" s="14" t="s">
        <v>736</v>
      </c>
      <c r="B1138" s="351" t="s">
        <v>3640</v>
      </c>
      <c r="C1138" s="50" t="s">
        <v>1757</v>
      </c>
      <c r="D1138" s="50"/>
      <c r="E1138" s="348" t="str">
        <f t="shared" si="1128"/>
        <v>agosto 2026</v>
      </c>
      <c r="F1138" s="349">
        <v>46246.0</v>
      </c>
      <c r="G1138" s="24">
        <f t="shared" ref="G1138:H1138" si="1142">F1138</f>
        <v>46246</v>
      </c>
      <c r="H1138" s="26">
        <f t="shared" si="1142"/>
        <v>46246</v>
      </c>
      <c r="I1138" s="50" t="s">
        <v>90</v>
      </c>
      <c r="K1138" s="27"/>
      <c r="L1138" s="29" t="s">
        <v>3085</v>
      </c>
      <c r="M1138" s="31"/>
      <c r="N1138" s="14" t="s">
        <v>84</v>
      </c>
      <c r="O1138" s="31"/>
      <c r="Q1138" s="36"/>
      <c r="R1138" s="36"/>
      <c r="S1138" s="36"/>
      <c r="T1138" s="36"/>
      <c r="V1138" s="31"/>
    </row>
    <row r="1139">
      <c r="A1139" s="14" t="s">
        <v>117</v>
      </c>
      <c r="B1139" s="50" t="s">
        <v>3695</v>
      </c>
      <c r="C1139" s="302" t="s">
        <v>3641</v>
      </c>
      <c r="D1139" s="50" t="s">
        <v>40</v>
      </c>
      <c r="E1139" s="348" t="str">
        <f t="shared" si="1128"/>
        <v>julio 2026</v>
      </c>
      <c r="F1139" s="381">
        <v>46224.0</v>
      </c>
      <c r="G1139" s="24">
        <f t="shared" ref="G1139:H1139" si="1143">F1139</f>
        <v>46224</v>
      </c>
      <c r="H1139" s="26">
        <f t="shared" si="1143"/>
        <v>46224</v>
      </c>
      <c r="I1139" s="50" t="s">
        <v>90</v>
      </c>
      <c r="K1139" s="448"/>
      <c r="L1139" s="29" t="s">
        <v>3157</v>
      </c>
      <c r="M1139" s="31"/>
      <c r="N1139" s="14" t="s">
        <v>84</v>
      </c>
      <c r="O1139" s="31"/>
      <c r="Q1139" s="36"/>
      <c r="R1139" s="36"/>
      <c r="S1139" s="36"/>
      <c r="T1139" s="36"/>
      <c r="V1139" s="31"/>
    </row>
    <row r="1140">
      <c r="A1140" s="14" t="s">
        <v>117</v>
      </c>
      <c r="B1140" s="50" t="s">
        <v>3698</v>
      </c>
      <c r="C1140" s="302" t="s">
        <v>3642</v>
      </c>
      <c r="D1140" s="50" t="s">
        <v>40</v>
      </c>
      <c r="E1140" s="348" t="str">
        <f t="shared" si="1128"/>
        <v>julio 2026</v>
      </c>
      <c r="F1140" s="386">
        <v>46224.0</v>
      </c>
      <c r="G1140" s="24">
        <f t="shared" ref="G1140:H1140" si="1144">F1140</f>
        <v>46224</v>
      </c>
      <c r="H1140" s="26">
        <f t="shared" si="1144"/>
        <v>46224</v>
      </c>
      <c r="I1140" s="50" t="s">
        <v>90</v>
      </c>
      <c r="K1140" s="448"/>
      <c r="L1140" s="29" t="s">
        <v>3157</v>
      </c>
      <c r="M1140" s="31"/>
      <c r="N1140" s="14" t="s">
        <v>84</v>
      </c>
      <c r="O1140" s="31"/>
      <c r="Q1140" s="36"/>
      <c r="R1140" s="36"/>
      <c r="S1140" s="36"/>
      <c r="T1140" s="36"/>
      <c r="V1140" s="31"/>
    </row>
    <row r="1141">
      <c r="A1141" s="14" t="s">
        <v>117</v>
      </c>
      <c r="B1141" s="50" t="s">
        <v>3700</v>
      </c>
      <c r="C1141" s="302" t="s">
        <v>3643</v>
      </c>
      <c r="D1141" s="50" t="s">
        <v>40</v>
      </c>
      <c r="E1141" s="348" t="str">
        <f t="shared" si="1128"/>
        <v>julio 2026</v>
      </c>
      <c r="F1141" s="381">
        <v>46224.0</v>
      </c>
      <c r="G1141" s="24">
        <f t="shared" ref="G1141:H1141" si="1145">F1141</f>
        <v>46224</v>
      </c>
      <c r="H1141" s="26">
        <f t="shared" si="1145"/>
        <v>46224</v>
      </c>
      <c r="I1141" s="50" t="s">
        <v>90</v>
      </c>
      <c r="K1141" s="448"/>
      <c r="L1141" s="29" t="s">
        <v>3157</v>
      </c>
      <c r="M1141" s="31"/>
      <c r="N1141" s="14" t="s">
        <v>84</v>
      </c>
      <c r="O1141" s="31"/>
      <c r="Q1141" s="36"/>
      <c r="R1141" s="36"/>
      <c r="S1141" s="36"/>
      <c r="T1141" s="36"/>
      <c r="V1141" s="31"/>
    </row>
    <row r="1142">
      <c r="A1142" s="14" t="s">
        <v>117</v>
      </c>
      <c r="B1142" s="50" t="s">
        <v>3702</v>
      </c>
      <c r="C1142" s="302" t="s">
        <v>3644</v>
      </c>
      <c r="D1142" s="50" t="s">
        <v>40</v>
      </c>
      <c r="E1142" s="348" t="str">
        <f t="shared" si="1128"/>
        <v>julio 2026</v>
      </c>
      <c r="F1142" s="386">
        <v>46224.0</v>
      </c>
      <c r="G1142" s="24">
        <f t="shared" ref="G1142:H1142" si="1146">F1142</f>
        <v>46224</v>
      </c>
      <c r="H1142" s="26">
        <f t="shared" si="1146"/>
        <v>46224</v>
      </c>
      <c r="I1142" s="50" t="s">
        <v>90</v>
      </c>
      <c r="K1142" s="448"/>
      <c r="L1142" s="29" t="s">
        <v>3157</v>
      </c>
      <c r="M1142" s="31"/>
      <c r="N1142" s="14" t="s">
        <v>84</v>
      </c>
      <c r="O1142" s="31"/>
      <c r="Q1142" s="36"/>
      <c r="R1142" s="36"/>
      <c r="S1142" s="36"/>
      <c r="T1142" s="36"/>
      <c r="V1142" s="31"/>
    </row>
    <row r="1143">
      <c r="A1143" s="14" t="s">
        <v>736</v>
      </c>
      <c r="B1143" s="351" t="s">
        <v>3645</v>
      </c>
      <c r="C1143" s="452" t="s">
        <v>1758</v>
      </c>
      <c r="D1143" s="50"/>
      <c r="E1143" s="348" t="str">
        <f t="shared" si="1128"/>
        <v>agosto 2026</v>
      </c>
      <c r="F1143" s="349">
        <v>46253.0</v>
      </c>
      <c r="G1143" s="24">
        <f t="shared" ref="G1143:H1143" si="1147">F1143</f>
        <v>46253</v>
      </c>
      <c r="H1143" s="26">
        <f t="shared" si="1147"/>
        <v>46253</v>
      </c>
      <c r="I1143" s="50" t="s">
        <v>90</v>
      </c>
      <c r="K1143" s="27"/>
      <c r="L1143" s="29" t="s">
        <v>3085</v>
      </c>
      <c r="M1143" s="31"/>
      <c r="N1143" s="14" t="s">
        <v>84</v>
      </c>
      <c r="O1143" s="31"/>
      <c r="Q1143" s="36"/>
      <c r="R1143" s="36"/>
      <c r="S1143" s="36"/>
      <c r="T1143" s="36"/>
      <c r="V1143" s="31"/>
    </row>
    <row r="1144">
      <c r="A1144" s="14" t="s">
        <v>736</v>
      </c>
      <c r="B1144" s="351" t="s">
        <v>3646</v>
      </c>
      <c r="C1144" s="452" t="s">
        <v>1759</v>
      </c>
      <c r="D1144" s="50"/>
      <c r="E1144" s="348" t="str">
        <f t="shared" si="1128"/>
        <v>julio 2026</v>
      </c>
      <c r="F1144" s="349">
        <v>46233.0</v>
      </c>
      <c r="G1144" s="24">
        <f t="shared" ref="G1144:H1144" si="1148">F1144</f>
        <v>46233</v>
      </c>
      <c r="H1144" s="26">
        <f t="shared" si="1148"/>
        <v>46233</v>
      </c>
      <c r="I1144" s="50" t="s">
        <v>90</v>
      </c>
      <c r="K1144" s="27"/>
      <c r="L1144" s="29" t="s">
        <v>3085</v>
      </c>
      <c r="M1144" s="31"/>
      <c r="N1144" s="14" t="s">
        <v>84</v>
      </c>
      <c r="O1144" s="31"/>
      <c r="Q1144" s="36"/>
      <c r="R1144" s="36"/>
      <c r="S1144" s="36"/>
      <c r="T1144" s="36"/>
      <c r="V1144" s="31"/>
    </row>
    <row r="1145">
      <c r="A1145" s="14" t="s">
        <v>736</v>
      </c>
      <c r="B1145" s="351" t="s">
        <v>3647</v>
      </c>
      <c r="C1145" s="452" t="s">
        <v>1761</v>
      </c>
      <c r="D1145" s="50"/>
      <c r="E1145" s="348" t="str">
        <f t="shared" si="1128"/>
        <v>julio 2026</v>
      </c>
      <c r="F1145" s="349">
        <v>46233.0</v>
      </c>
      <c r="G1145" s="24">
        <f t="shared" ref="G1145:H1145" si="1149">F1145</f>
        <v>46233</v>
      </c>
      <c r="H1145" s="26">
        <f t="shared" si="1149"/>
        <v>46233</v>
      </c>
      <c r="I1145" s="50" t="s">
        <v>90</v>
      </c>
      <c r="K1145" s="27"/>
      <c r="L1145" s="29" t="s">
        <v>3085</v>
      </c>
      <c r="M1145" s="31"/>
      <c r="N1145" s="14" t="s">
        <v>84</v>
      </c>
      <c r="O1145" s="31"/>
      <c r="Q1145" s="36"/>
      <c r="R1145" s="36"/>
      <c r="S1145" s="36"/>
      <c r="T1145" s="36"/>
      <c r="V1145" s="31"/>
    </row>
    <row r="1146">
      <c r="A1146" s="14" t="s">
        <v>736</v>
      </c>
      <c r="B1146" s="351" t="s">
        <v>3648</v>
      </c>
      <c r="C1146" s="452" t="s">
        <v>1763</v>
      </c>
      <c r="D1146" s="50"/>
      <c r="E1146" s="348" t="str">
        <f t="shared" si="1128"/>
        <v>agosto 2026</v>
      </c>
      <c r="F1146" s="349">
        <v>46242.0</v>
      </c>
      <c r="G1146" s="24">
        <f t="shared" ref="G1146:H1146" si="1150">F1146</f>
        <v>46242</v>
      </c>
      <c r="H1146" s="26">
        <f t="shared" si="1150"/>
        <v>46242</v>
      </c>
      <c r="I1146" s="50" t="s">
        <v>90</v>
      </c>
      <c r="K1146" s="27"/>
      <c r="L1146" s="29" t="s">
        <v>3085</v>
      </c>
      <c r="M1146" s="31"/>
      <c r="N1146" s="14" t="s">
        <v>84</v>
      </c>
      <c r="O1146" s="31"/>
      <c r="Q1146" s="36"/>
      <c r="R1146" s="36"/>
      <c r="S1146" s="36"/>
      <c r="T1146" s="36"/>
      <c r="V1146" s="31"/>
    </row>
    <row r="1147">
      <c r="A1147" s="14" t="s">
        <v>736</v>
      </c>
      <c r="B1147" s="351" t="s">
        <v>3649</v>
      </c>
      <c r="C1147" s="452" t="s">
        <v>1764</v>
      </c>
      <c r="D1147" s="50"/>
      <c r="E1147" s="348" t="str">
        <f t="shared" si="1128"/>
        <v>julio 2026</v>
      </c>
      <c r="F1147" s="349">
        <v>46233.0</v>
      </c>
      <c r="G1147" s="24">
        <f t="shared" ref="G1147:H1147" si="1151">F1147</f>
        <v>46233</v>
      </c>
      <c r="H1147" s="26">
        <f t="shared" si="1151"/>
        <v>46233</v>
      </c>
      <c r="I1147" s="50" t="s">
        <v>90</v>
      </c>
      <c r="K1147" s="27"/>
      <c r="L1147" s="29" t="s">
        <v>3085</v>
      </c>
      <c r="M1147" s="31"/>
      <c r="N1147" s="14" t="s">
        <v>84</v>
      </c>
      <c r="O1147" s="31"/>
      <c r="Q1147" s="36"/>
      <c r="R1147" s="36"/>
      <c r="S1147" s="36"/>
      <c r="T1147" s="36"/>
      <c r="V1147" s="31"/>
    </row>
    <row r="1148">
      <c r="A1148" s="14" t="s">
        <v>736</v>
      </c>
      <c r="B1148" s="351" t="s">
        <v>3650</v>
      </c>
      <c r="C1148" s="452" t="s">
        <v>1765</v>
      </c>
      <c r="D1148" s="50"/>
      <c r="E1148" s="348" t="str">
        <f t="shared" si="1128"/>
        <v>julio 2026</v>
      </c>
      <c r="F1148" s="349">
        <v>46233.0</v>
      </c>
      <c r="G1148" s="24">
        <f t="shared" ref="G1148:H1148" si="1152">F1148</f>
        <v>46233</v>
      </c>
      <c r="H1148" s="26">
        <f t="shared" si="1152"/>
        <v>46233</v>
      </c>
      <c r="I1148" s="50" t="s">
        <v>90</v>
      </c>
      <c r="K1148" s="27"/>
      <c r="L1148" s="29" t="s">
        <v>3085</v>
      </c>
      <c r="M1148" s="31"/>
      <c r="N1148" s="14" t="s">
        <v>84</v>
      </c>
      <c r="O1148" s="31"/>
      <c r="Q1148" s="36"/>
      <c r="R1148" s="36"/>
      <c r="S1148" s="36"/>
      <c r="T1148" s="36"/>
      <c r="V1148" s="31"/>
    </row>
    <row r="1149">
      <c r="A1149" s="14" t="s">
        <v>736</v>
      </c>
      <c r="B1149" s="351" t="s">
        <v>3651</v>
      </c>
      <c r="C1149" s="452" t="s">
        <v>1768</v>
      </c>
      <c r="D1149" s="50"/>
      <c r="E1149" s="348" t="str">
        <f t="shared" si="1128"/>
        <v>julio 2026</v>
      </c>
      <c r="F1149" s="349">
        <v>46233.0</v>
      </c>
      <c r="G1149" s="24">
        <f t="shared" ref="G1149:H1149" si="1153">F1149</f>
        <v>46233</v>
      </c>
      <c r="H1149" s="26">
        <f t="shared" si="1153"/>
        <v>46233</v>
      </c>
      <c r="I1149" s="50" t="s">
        <v>90</v>
      </c>
      <c r="K1149" s="27"/>
      <c r="L1149" s="29" t="s">
        <v>3085</v>
      </c>
      <c r="M1149" s="31"/>
      <c r="N1149" s="14" t="s">
        <v>84</v>
      </c>
      <c r="O1149" s="31"/>
      <c r="Q1149" s="36"/>
      <c r="R1149" s="36"/>
      <c r="S1149" s="36"/>
      <c r="T1149" s="36"/>
      <c r="V1149" s="31"/>
    </row>
    <row r="1150">
      <c r="A1150" s="14" t="s">
        <v>736</v>
      </c>
      <c r="B1150" s="351" t="s">
        <v>3652</v>
      </c>
      <c r="C1150" s="452" t="s">
        <v>1769</v>
      </c>
      <c r="D1150" s="50"/>
      <c r="E1150" s="348" t="str">
        <f t="shared" si="1128"/>
        <v>julio 2026</v>
      </c>
      <c r="F1150" s="349">
        <v>46233.0</v>
      </c>
      <c r="G1150" s="24">
        <f t="shared" ref="G1150:H1150" si="1154">F1150</f>
        <v>46233</v>
      </c>
      <c r="H1150" s="26">
        <f t="shared" si="1154"/>
        <v>46233</v>
      </c>
      <c r="I1150" s="50" t="s">
        <v>90</v>
      </c>
      <c r="K1150" s="27"/>
      <c r="L1150" s="29" t="s">
        <v>3085</v>
      </c>
      <c r="M1150" s="31"/>
      <c r="N1150" s="14" t="s">
        <v>84</v>
      </c>
      <c r="O1150" s="31"/>
      <c r="Q1150" s="36"/>
      <c r="R1150" s="36"/>
      <c r="S1150" s="36"/>
      <c r="T1150" s="36"/>
      <c r="V1150" s="31"/>
    </row>
    <row r="1151">
      <c r="A1151" s="14" t="s">
        <v>736</v>
      </c>
      <c r="B1151" s="351" t="s">
        <v>3653</v>
      </c>
      <c r="C1151" s="452" t="s">
        <v>1770</v>
      </c>
      <c r="D1151" s="50"/>
      <c r="E1151" s="348" t="str">
        <f t="shared" si="1128"/>
        <v>julio 2026</v>
      </c>
      <c r="F1151" s="349">
        <v>46234.0</v>
      </c>
      <c r="G1151" s="24">
        <f t="shared" ref="G1151:H1151" si="1155">F1151</f>
        <v>46234</v>
      </c>
      <c r="H1151" s="26">
        <f t="shared" si="1155"/>
        <v>46234</v>
      </c>
      <c r="I1151" s="50" t="s">
        <v>90</v>
      </c>
      <c r="K1151" s="27"/>
      <c r="L1151" s="29" t="s">
        <v>3085</v>
      </c>
      <c r="M1151" s="31"/>
      <c r="N1151" s="14" t="s">
        <v>84</v>
      </c>
      <c r="O1151" s="31"/>
      <c r="Q1151" s="36"/>
      <c r="R1151" s="36"/>
      <c r="S1151" s="36"/>
      <c r="T1151" s="36"/>
      <c r="V1151" s="31"/>
    </row>
    <row r="1152">
      <c r="A1152" s="14" t="s">
        <v>736</v>
      </c>
      <c r="B1152" s="351" t="s">
        <v>3654</v>
      </c>
      <c r="C1152" s="452" t="s">
        <v>1772</v>
      </c>
      <c r="D1152" s="50"/>
      <c r="E1152" s="348"/>
      <c r="F1152" s="349"/>
      <c r="G1152" s="24"/>
      <c r="H1152" s="26"/>
      <c r="I1152" s="50" t="s">
        <v>90</v>
      </c>
      <c r="K1152" s="27"/>
      <c r="L1152" s="29" t="s">
        <v>3085</v>
      </c>
      <c r="M1152" s="31"/>
      <c r="N1152" s="14" t="s">
        <v>84</v>
      </c>
      <c r="O1152" s="31"/>
      <c r="Q1152" s="36"/>
      <c r="R1152" s="36"/>
      <c r="S1152" s="36"/>
      <c r="T1152" s="36"/>
      <c r="V1152" s="31"/>
    </row>
    <row r="1153">
      <c r="A1153" s="14" t="s">
        <v>736</v>
      </c>
      <c r="B1153" s="351" t="s">
        <v>3655</v>
      </c>
      <c r="C1153" s="452" t="s">
        <v>1773</v>
      </c>
      <c r="D1153" s="50"/>
      <c r="E1153" s="348" t="str">
        <f t="shared" ref="E1153:E1175" si="1157">TEXT(F1153, "mmmm yyyy")
</f>
        <v>agosto 2026</v>
      </c>
      <c r="F1153" s="349">
        <v>46242.0</v>
      </c>
      <c r="G1153" s="24">
        <f t="shared" ref="G1153:H1153" si="1156">F1153</f>
        <v>46242</v>
      </c>
      <c r="H1153" s="26">
        <f t="shared" si="1156"/>
        <v>46242</v>
      </c>
      <c r="I1153" s="50" t="s">
        <v>90</v>
      </c>
      <c r="K1153" s="27"/>
      <c r="L1153" s="29" t="s">
        <v>3085</v>
      </c>
      <c r="M1153" s="31"/>
      <c r="N1153" s="14" t="s">
        <v>84</v>
      </c>
      <c r="O1153" s="31"/>
      <c r="Q1153" s="36"/>
      <c r="R1153" s="36"/>
      <c r="S1153" s="36"/>
      <c r="T1153" s="36"/>
      <c r="V1153" s="31"/>
    </row>
    <row r="1154">
      <c r="A1154" s="14" t="s">
        <v>736</v>
      </c>
      <c r="B1154" s="351" t="s">
        <v>3656</v>
      </c>
      <c r="C1154" s="452" t="s">
        <v>1774</v>
      </c>
      <c r="D1154" s="50"/>
      <c r="E1154" s="348" t="str">
        <f t="shared" si="1157"/>
        <v>julio 2026</v>
      </c>
      <c r="F1154" s="349">
        <v>46234.0</v>
      </c>
      <c r="G1154" s="24">
        <f t="shared" ref="G1154:H1154" si="1158">F1154</f>
        <v>46234</v>
      </c>
      <c r="H1154" s="26">
        <f t="shared" si="1158"/>
        <v>46234</v>
      </c>
      <c r="I1154" s="50" t="s">
        <v>90</v>
      </c>
      <c r="K1154" s="27"/>
      <c r="L1154" s="29" t="s">
        <v>3085</v>
      </c>
      <c r="M1154" s="31"/>
      <c r="N1154" s="14" t="s">
        <v>84</v>
      </c>
      <c r="O1154" s="31"/>
      <c r="Q1154" s="36"/>
      <c r="R1154" s="36"/>
      <c r="S1154" s="36"/>
      <c r="T1154" s="36"/>
      <c r="V1154" s="31"/>
    </row>
    <row r="1155">
      <c r="A1155" s="14" t="s">
        <v>736</v>
      </c>
      <c r="B1155" s="351" t="s">
        <v>3657</v>
      </c>
      <c r="C1155" s="452" t="s">
        <v>1775</v>
      </c>
      <c r="D1155" s="50"/>
      <c r="E1155" s="348" t="str">
        <f t="shared" si="1157"/>
        <v>julio 2026</v>
      </c>
      <c r="F1155" s="349">
        <v>46234.0</v>
      </c>
      <c r="G1155" s="24">
        <f t="shared" ref="G1155:H1155" si="1159">F1155</f>
        <v>46234</v>
      </c>
      <c r="H1155" s="26">
        <f t="shared" si="1159"/>
        <v>46234</v>
      </c>
      <c r="I1155" s="50" t="s">
        <v>90</v>
      </c>
      <c r="K1155" s="27"/>
      <c r="L1155" s="29" t="s">
        <v>3085</v>
      </c>
      <c r="M1155" s="31"/>
      <c r="N1155" s="14" t="s">
        <v>84</v>
      </c>
      <c r="O1155" s="31"/>
      <c r="Q1155" s="36"/>
      <c r="R1155" s="36"/>
      <c r="S1155" s="36"/>
      <c r="T1155" s="36"/>
      <c r="V1155" s="31"/>
    </row>
    <row r="1156">
      <c r="A1156" s="14" t="s">
        <v>736</v>
      </c>
      <c r="B1156" s="351" t="s">
        <v>3658</v>
      </c>
      <c r="C1156" s="452" t="s">
        <v>1777</v>
      </c>
      <c r="D1156" s="50"/>
      <c r="E1156" s="348" t="str">
        <f t="shared" si="1157"/>
        <v>julio 2026</v>
      </c>
      <c r="F1156" s="349">
        <v>46234.0</v>
      </c>
      <c r="G1156" s="24">
        <f t="shared" ref="G1156:H1156" si="1160">F1156</f>
        <v>46234</v>
      </c>
      <c r="H1156" s="26">
        <f t="shared" si="1160"/>
        <v>46234</v>
      </c>
      <c r="I1156" s="50" t="s">
        <v>90</v>
      </c>
      <c r="K1156" s="27"/>
      <c r="L1156" s="29" t="s">
        <v>3085</v>
      </c>
      <c r="M1156" s="31"/>
      <c r="N1156" s="14" t="s">
        <v>84</v>
      </c>
      <c r="O1156" s="31"/>
      <c r="Q1156" s="36"/>
      <c r="R1156" s="36"/>
      <c r="S1156" s="36"/>
      <c r="T1156" s="36"/>
      <c r="V1156" s="31"/>
    </row>
    <row r="1157">
      <c r="A1157" s="14" t="s">
        <v>736</v>
      </c>
      <c r="B1157" s="351" t="s">
        <v>3659</v>
      </c>
      <c r="C1157" s="452" t="s">
        <v>1779</v>
      </c>
      <c r="D1157" s="50"/>
      <c r="E1157" s="348" t="str">
        <f t="shared" si="1157"/>
        <v>julio 2026</v>
      </c>
      <c r="F1157" s="349">
        <v>46233.0</v>
      </c>
      <c r="G1157" s="24">
        <f t="shared" ref="G1157:H1157" si="1161">F1157</f>
        <v>46233</v>
      </c>
      <c r="H1157" s="26">
        <f t="shared" si="1161"/>
        <v>46233</v>
      </c>
      <c r="I1157" s="50" t="s">
        <v>90</v>
      </c>
      <c r="K1157" s="27"/>
      <c r="L1157" s="29" t="s">
        <v>3085</v>
      </c>
      <c r="M1157" s="31"/>
      <c r="N1157" s="14" t="s">
        <v>84</v>
      </c>
      <c r="O1157" s="31"/>
      <c r="Q1157" s="36"/>
      <c r="R1157" s="36"/>
      <c r="S1157" s="36"/>
      <c r="T1157" s="36"/>
      <c r="V1157" s="31"/>
    </row>
    <row r="1158">
      <c r="A1158" s="14" t="s">
        <v>736</v>
      </c>
      <c r="B1158" s="351" t="s">
        <v>3660</v>
      </c>
      <c r="C1158" s="452" t="s">
        <v>1780</v>
      </c>
      <c r="D1158" s="50"/>
      <c r="E1158" s="348" t="str">
        <f t="shared" si="1157"/>
        <v>julio 2026</v>
      </c>
      <c r="F1158" s="349">
        <v>46232.0</v>
      </c>
      <c r="G1158" s="24">
        <f t="shared" ref="G1158:H1158" si="1162">F1158</f>
        <v>46232</v>
      </c>
      <c r="H1158" s="26">
        <f t="shared" si="1162"/>
        <v>46232</v>
      </c>
      <c r="I1158" s="50" t="s">
        <v>90</v>
      </c>
      <c r="K1158" s="27"/>
      <c r="L1158" s="29" t="s">
        <v>3085</v>
      </c>
      <c r="M1158" s="31"/>
      <c r="N1158" s="14" t="s">
        <v>84</v>
      </c>
      <c r="O1158" s="31"/>
      <c r="Q1158" s="36"/>
      <c r="R1158" s="36"/>
      <c r="S1158" s="36"/>
      <c r="T1158" s="36"/>
      <c r="V1158" s="31"/>
    </row>
    <row r="1159">
      <c r="A1159" s="14" t="s">
        <v>736</v>
      </c>
      <c r="B1159" s="351" t="s">
        <v>3661</v>
      </c>
      <c r="C1159" s="452" t="s">
        <v>1781</v>
      </c>
      <c r="D1159" s="50"/>
      <c r="E1159" s="348" t="str">
        <f t="shared" si="1157"/>
        <v>julio 2026</v>
      </c>
      <c r="F1159" s="349">
        <v>46233.0</v>
      </c>
      <c r="G1159" s="24">
        <f t="shared" ref="G1159:H1159" si="1163">F1159</f>
        <v>46233</v>
      </c>
      <c r="H1159" s="26">
        <f t="shared" si="1163"/>
        <v>46233</v>
      </c>
      <c r="I1159" s="50" t="s">
        <v>90</v>
      </c>
      <c r="K1159" s="27"/>
      <c r="L1159" s="29" t="s">
        <v>3085</v>
      </c>
      <c r="M1159" s="31"/>
      <c r="N1159" s="14" t="s">
        <v>84</v>
      </c>
      <c r="O1159" s="31"/>
      <c r="Q1159" s="36"/>
      <c r="R1159" s="36"/>
      <c r="S1159" s="36"/>
      <c r="T1159" s="36"/>
      <c r="V1159" s="31"/>
    </row>
    <row r="1160">
      <c r="A1160" s="14" t="s">
        <v>736</v>
      </c>
      <c r="B1160" s="351" t="s">
        <v>3662</v>
      </c>
      <c r="C1160" s="452" t="s">
        <v>1783</v>
      </c>
      <c r="D1160" s="50"/>
      <c r="E1160" s="348" t="str">
        <f t="shared" si="1157"/>
        <v>agosto 2026</v>
      </c>
      <c r="F1160" s="349">
        <v>46238.0</v>
      </c>
      <c r="G1160" s="24">
        <f t="shared" ref="G1160:H1160" si="1164">F1160</f>
        <v>46238</v>
      </c>
      <c r="H1160" s="26">
        <f t="shared" si="1164"/>
        <v>46238</v>
      </c>
      <c r="I1160" s="50" t="s">
        <v>90</v>
      </c>
      <c r="K1160" s="27"/>
      <c r="L1160" s="29" t="s">
        <v>3085</v>
      </c>
      <c r="M1160" s="31"/>
      <c r="N1160" s="14" t="s">
        <v>84</v>
      </c>
      <c r="O1160" s="31"/>
      <c r="Q1160" s="36"/>
      <c r="R1160" s="36"/>
      <c r="S1160" s="36"/>
      <c r="T1160" s="36"/>
      <c r="V1160" s="31"/>
    </row>
    <row r="1161">
      <c r="A1161" s="14" t="s">
        <v>736</v>
      </c>
      <c r="B1161" s="351" t="s">
        <v>3663</v>
      </c>
      <c r="C1161" s="453" t="s">
        <v>1784</v>
      </c>
      <c r="D1161" s="50"/>
      <c r="E1161" s="348" t="str">
        <f t="shared" si="1157"/>
        <v>agosto 2026</v>
      </c>
      <c r="F1161" s="349">
        <v>46245.0</v>
      </c>
      <c r="G1161" s="24">
        <f t="shared" ref="G1161:H1161" si="1165">F1161</f>
        <v>46245</v>
      </c>
      <c r="H1161" s="26">
        <f t="shared" si="1165"/>
        <v>46245</v>
      </c>
      <c r="I1161" s="50" t="s">
        <v>90</v>
      </c>
      <c r="K1161" s="27"/>
      <c r="L1161" s="29" t="s">
        <v>3085</v>
      </c>
      <c r="M1161" s="31"/>
      <c r="N1161" s="14" t="s">
        <v>84</v>
      </c>
      <c r="O1161" s="31"/>
      <c r="Q1161" s="36"/>
      <c r="R1161" s="36"/>
      <c r="S1161" s="36"/>
      <c r="T1161" s="36"/>
      <c r="V1161" s="31"/>
    </row>
    <row r="1162">
      <c r="A1162" s="14" t="s">
        <v>736</v>
      </c>
      <c r="B1162" s="351" t="s">
        <v>3665</v>
      </c>
      <c r="C1162" s="453" t="s">
        <v>1785</v>
      </c>
      <c r="D1162" s="50"/>
      <c r="E1162" s="348" t="str">
        <f t="shared" si="1157"/>
        <v>septiembre 2026</v>
      </c>
      <c r="F1162" s="349">
        <v>46266.0</v>
      </c>
      <c r="G1162" s="24">
        <f t="shared" ref="G1162:H1162" si="1166">F1162</f>
        <v>46266</v>
      </c>
      <c r="H1162" s="26">
        <f t="shared" si="1166"/>
        <v>46266</v>
      </c>
      <c r="I1162" s="50" t="s">
        <v>90</v>
      </c>
      <c r="K1162" s="27"/>
      <c r="L1162" s="29" t="s">
        <v>3085</v>
      </c>
      <c r="M1162" s="31"/>
      <c r="N1162" s="14" t="s">
        <v>84</v>
      </c>
      <c r="O1162" s="31"/>
      <c r="Q1162" s="36"/>
      <c r="R1162" s="36"/>
      <c r="S1162" s="36"/>
      <c r="T1162" s="36"/>
      <c r="V1162" s="31"/>
    </row>
    <row r="1163">
      <c r="A1163" s="14" t="s">
        <v>736</v>
      </c>
      <c r="B1163" s="351" t="s">
        <v>3666</v>
      </c>
      <c r="C1163" s="453" t="s">
        <v>1786</v>
      </c>
      <c r="D1163" s="50"/>
      <c r="E1163" s="348" t="str">
        <f t="shared" si="1157"/>
        <v>julio 2026</v>
      </c>
      <c r="F1163" s="349">
        <v>46234.0</v>
      </c>
      <c r="G1163" s="24">
        <f t="shared" ref="G1163:H1163" si="1167">F1163</f>
        <v>46234</v>
      </c>
      <c r="H1163" s="26">
        <f t="shared" si="1167"/>
        <v>46234</v>
      </c>
      <c r="I1163" s="50" t="s">
        <v>90</v>
      </c>
      <c r="K1163" s="27"/>
      <c r="L1163" s="29" t="s">
        <v>3085</v>
      </c>
      <c r="M1163" s="31"/>
      <c r="N1163" s="14" t="s">
        <v>84</v>
      </c>
      <c r="O1163" s="31"/>
      <c r="Q1163" s="36"/>
      <c r="R1163" s="36"/>
      <c r="S1163" s="36"/>
      <c r="T1163" s="36"/>
      <c r="V1163" s="31"/>
    </row>
    <row r="1164">
      <c r="A1164" s="14" t="s">
        <v>736</v>
      </c>
      <c r="B1164" s="351" t="s">
        <v>3667</v>
      </c>
      <c r="C1164" s="453" t="s">
        <v>1790</v>
      </c>
      <c r="D1164" s="50"/>
      <c r="E1164" s="348" t="str">
        <f t="shared" si="1157"/>
        <v>julio 2026</v>
      </c>
      <c r="F1164" s="349">
        <v>46234.0</v>
      </c>
      <c r="G1164" s="24">
        <f t="shared" ref="G1164:H1164" si="1168">F1164</f>
        <v>46234</v>
      </c>
      <c r="H1164" s="26">
        <f t="shared" si="1168"/>
        <v>46234</v>
      </c>
      <c r="I1164" s="50" t="s">
        <v>90</v>
      </c>
      <c r="K1164" s="27"/>
      <c r="L1164" s="29" t="s">
        <v>3085</v>
      </c>
      <c r="M1164" s="31"/>
      <c r="N1164" s="14" t="s">
        <v>84</v>
      </c>
      <c r="O1164" s="31"/>
      <c r="Q1164" s="36"/>
      <c r="R1164" s="36"/>
      <c r="S1164" s="36"/>
      <c r="T1164" s="36"/>
      <c r="V1164" s="31"/>
    </row>
    <row r="1165">
      <c r="A1165" s="14" t="s">
        <v>736</v>
      </c>
      <c r="B1165" s="351" t="s">
        <v>3668</v>
      </c>
      <c r="C1165" s="453" t="s">
        <v>1791</v>
      </c>
      <c r="D1165" s="50"/>
      <c r="E1165" s="348" t="str">
        <f t="shared" si="1157"/>
        <v>agosto 2026</v>
      </c>
      <c r="F1165" s="349">
        <v>46240.0</v>
      </c>
      <c r="G1165" s="24">
        <f t="shared" ref="G1165:H1165" si="1169">F1165</f>
        <v>46240</v>
      </c>
      <c r="H1165" s="26">
        <f t="shared" si="1169"/>
        <v>46240</v>
      </c>
      <c r="I1165" s="50" t="s">
        <v>90</v>
      </c>
      <c r="K1165" s="27"/>
      <c r="L1165" s="29" t="s">
        <v>3085</v>
      </c>
      <c r="M1165" s="31"/>
      <c r="N1165" s="14" t="s">
        <v>84</v>
      </c>
      <c r="O1165" s="31"/>
      <c r="Q1165" s="36"/>
      <c r="R1165" s="36"/>
      <c r="S1165" s="36"/>
      <c r="T1165" s="36"/>
      <c r="V1165" s="31"/>
    </row>
    <row r="1166">
      <c r="A1166" s="14" t="s">
        <v>736</v>
      </c>
      <c r="B1166" s="351" t="s">
        <v>3669</v>
      </c>
      <c r="C1166" s="453" t="s">
        <v>1792</v>
      </c>
      <c r="D1166" s="50"/>
      <c r="E1166" s="348" t="str">
        <f t="shared" si="1157"/>
        <v>agosto 2026</v>
      </c>
      <c r="F1166" s="349">
        <v>46240.0</v>
      </c>
      <c r="G1166" s="24">
        <f t="shared" ref="G1166:H1166" si="1170">F1166</f>
        <v>46240</v>
      </c>
      <c r="H1166" s="26">
        <f t="shared" si="1170"/>
        <v>46240</v>
      </c>
      <c r="I1166" s="50" t="s">
        <v>90</v>
      </c>
      <c r="K1166" s="27"/>
      <c r="L1166" s="29" t="s">
        <v>3085</v>
      </c>
      <c r="M1166" s="31"/>
      <c r="N1166" s="14" t="s">
        <v>84</v>
      </c>
      <c r="O1166" s="31"/>
      <c r="Q1166" s="36"/>
      <c r="R1166" s="36"/>
      <c r="S1166" s="36"/>
      <c r="T1166" s="36"/>
      <c r="V1166" s="31"/>
    </row>
    <row r="1167">
      <c r="A1167" s="14" t="s">
        <v>736</v>
      </c>
      <c r="B1167" s="351" t="s">
        <v>3670</v>
      </c>
      <c r="C1167" s="453" t="s">
        <v>1793</v>
      </c>
      <c r="D1167" s="50"/>
      <c r="E1167" s="348" t="str">
        <f t="shared" si="1157"/>
        <v>agosto 2026</v>
      </c>
      <c r="F1167" s="349">
        <v>46240.0</v>
      </c>
      <c r="G1167" s="24">
        <f t="shared" ref="G1167:H1167" si="1171">F1167</f>
        <v>46240</v>
      </c>
      <c r="H1167" s="26">
        <f t="shared" si="1171"/>
        <v>46240</v>
      </c>
      <c r="I1167" s="50" t="s">
        <v>90</v>
      </c>
      <c r="K1167" s="27"/>
      <c r="L1167" s="29" t="s">
        <v>3085</v>
      </c>
      <c r="M1167" s="31"/>
      <c r="N1167" s="14" t="s">
        <v>84</v>
      </c>
      <c r="O1167" s="31"/>
      <c r="Q1167" s="36"/>
      <c r="R1167" s="36"/>
      <c r="S1167" s="36"/>
      <c r="T1167" s="36"/>
      <c r="V1167" s="31"/>
    </row>
    <row r="1168">
      <c r="A1168" s="14" t="s">
        <v>736</v>
      </c>
      <c r="B1168" s="351" t="s">
        <v>3671</v>
      </c>
      <c r="C1168" s="453" t="s">
        <v>1794</v>
      </c>
      <c r="D1168" s="50"/>
      <c r="E1168" s="348" t="str">
        <f t="shared" si="1157"/>
        <v>agosto 2026</v>
      </c>
      <c r="F1168" s="349">
        <v>46240.0</v>
      </c>
      <c r="G1168" s="24">
        <f t="shared" ref="G1168:H1168" si="1172">F1168</f>
        <v>46240</v>
      </c>
      <c r="H1168" s="26">
        <f t="shared" si="1172"/>
        <v>46240</v>
      </c>
      <c r="I1168" s="50" t="s">
        <v>90</v>
      </c>
      <c r="K1168" s="27"/>
      <c r="L1168" s="29" t="s">
        <v>3085</v>
      </c>
      <c r="M1168" s="31"/>
      <c r="N1168" s="14" t="s">
        <v>84</v>
      </c>
      <c r="O1168" s="31"/>
      <c r="Q1168" s="36"/>
      <c r="R1168" s="36"/>
      <c r="S1168" s="36"/>
      <c r="T1168" s="36"/>
      <c r="V1168" s="31"/>
    </row>
    <row r="1169">
      <c r="A1169" s="14" t="s">
        <v>736</v>
      </c>
      <c r="B1169" s="351" t="s">
        <v>3672</v>
      </c>
      <c r="C1169" s="453" t="s">
        <v>1795</v>
      </c>
      <c r="D1169" s="50"/>
      <c r="E1169" s="348" t="str">
        <f t="shared" si="1157"/>
        <v>agosto 2026</v>
      </c>
      <c r="F1169" s="349">
        <v>46242.0</v>
      </c>
      <c r="G1169" s="24">
        <f t="shared" ref="G1169:H1169" si="1173">F1169</f>
        <v>46242</v>
      </c>
      <c r="H1169" s="26">
        <f t="shared" si="1173"/>
        <v>46242</v>
      </c>
      <c r="I1169" s="50" t="s">
        <v>90</v>
      </c>
      <c r="K1169" s="27"/>
      <c r="L1169" s="29" t="s">
        <v>3085</v>
      </c>
      <c r="M1169" s="31"/>
      <c r="N1169" s="14" t="s">
        <v>84</v>
      </c>
      <c r="O1169" s="31"/>
      <c r="Q1169" s="36"/>
      <c r="R1169" s="36"/>
      <c r="S1169" s="36"/>
      <c r="T1169" s="36"/>
      <c r="V1169" s="31"/>
    </row>
    <row r="1170">
      <c r="A1170" s="14" t="s">
        <v>736</v>
      </c>
      <c r="B1170" s="351" t="s">
        <v>3673</v>
      </c>
      <c r="C1170" s="453" t="s">
        <v>1797</v>
      </c>
      <c r="D1170" s="50"/>
      <c r="E1170" s="348" t="str">
        <f t="shared" si="1157"/>
        <v>agosto 2026</v>
      </c>
      <c r="F1170" s="349">
        <v>46253.0</v>
      </c>
      <c r="G1170" s="24">
        <f t="shared" ref="G1170:H1170" si="1174">F1170</f>
        <v>46253</v>
      </c>
      <c r="H1170" s="26">
        <f t="shared" si="1174"/>
        <v>46253</v>
      </c>
      <c r="I1170" s="50" t="s">
        <v>90</v>
      </c>
      <c r="K1170" s="27"/>
      <c r="L1170" s="29" t="s">
        <v>3085</v>
      </c>
      <c r="M1170" s="31"/>
      <c r="N1170" s="14" t="s">
        <v>84</v>
      </c>
      <c r="O1170" s="31"/>
      <c r="Q1170" s="36"/>
      <c r="R1170" s="36"/>
      <c r="S1170" s="36"/>
      <c r="T1170" s="36"/>
      <c r="V1170" s="31"/>
    </row>
    <row r="1171">
      <c r="A1171" s="14" t="s">
        <v>117</v>
      </c>
      <c r="B1171" s="14" t="s">
        <v>3789</v>
      </c>
      <c r="C1171" s="302" t="s">
        <v>3675</v>
      </c>
      <c r="D1171" s="50" t="s">
        <v>133</v>
      </c>
      <c r="E1171" s="348" t="str">
        <f t="shared" si="1157"/>
        <v>agosto 2026</v>
      </c>
      <c r="F1171" s="381">
        <v>46237.0</v>
      </c>
      <c r="G1171" s="24">
        <f t="shared" ref="G1171:H1171" si="1175">F1171</f>
        <v>46237</v>
      </c>
      <c r="H1171" s="26">
        <f t="shared" si="1175"/>
        <v>46237</v>
      </c>
      <c r="I1171" s="50" t="s">
        <v>2398</v>
      </c>
      <c r="J1171" s="50" t="s">
        <v>3674</v>
      </c>
      <c r="K1171" s="454">
        <v>2.5E8</v>
      </c>
      <c r="L1171" s="29" t="s">
        <v>3676</v>
      </c>
      <c r="M1171" s="31"/>
      <c r="N1171" s="14" t="s">
        <v>84</v>
      </c>
      <c r="O1171" s="14" t="s">
        <v>40</v>
      </c>
      <c r="Q1171" s="36"/>
      <c r="R1171" s="36"/>
      <c r="S1171" s="36"/>
      <c r="T1171" s="36"/>
      <c r="V1171" s="31"/>
    </row>
    <row r="1172">
      <c r="A1172" s="14" t="s">
        <v>117</v>
      </c>
      <c r="B1172" s="14" t="s">
        <v>3794</v>
      </c>
      <c r="C1172" s="302" t="s">
        <v>3677</v>
      </c>
      <c r="D1172" s="50" t="s">
        <v>133</v>
      </c>
      <c r="E1172" s="348" t="str">
        <f t="shared" si="1157"/>
        <v>agosto 2026</v>
      </c>
      <c r="F1172" s="386">
        <v>46237.0</v>
      </c>
      <c r="G1172" s="24">
        <f t="shared" ref="G1172:H1172" si="1176">F1172</f>
        <v>46237</v>
      </c>
      <c r="H1172" s="26">
        <f t="shared" si="1176"/>
        <v>46237</v>
      </c>
      <c r="I1172" s="50" t="s">
        <v>2398</v>
      </c>
      <c r="J1172" s="50" t="s">
        <v>3674</v>
      </c>
      <c r="K1172" s="454">
        <v>2.0E8</v>
      </c>
      <c r="L1172" s="29" t="s">
        <v>3676</v>
      </c>
      <c r="M1172" s="31"/>
      <c r="N1172" s="14" t="s">
        <v>84</v>
      </c>
      <c r="O1172" s="14" t="s">
        <v>40</v>
      </c>
      <c r="Q1172" s="36"/>
      <c r="R1172" s="36"/>
      <c r="S1172" s="36"/>
      <c r="T1172" s="36"/>
      <c r="V1172" s="31"/>
    </row>
    <row r="1173">
      <c r="A1173" s="14" t="s">
        <v>117</v>
      </c>
      <c r="B1173" s="14" t="s">
        <v>3797</v>
      </c>
      <c r="C1173" s="302" t="s">
        <v>3679</v>
      </c>
      <c r="D1173" s="50" t="s">
        <v>133</v>
      </c>
      <c r="E1173" s="348" t="str">
        <f t="shared" si="1157"/>
        <v>agosto 2026</v>
      </c>
      <c r="F1173" s="381">
        <v>46255.0</v>
      </c>
      <c r="G1173" s="22"/>
      <c r="H1173" s="22"/>
      <c r="I1173" s="50" t="s">
        <v>2398</v>
      </c>
      <c r="J1173" s="50" t="s">
        <v>3678</v>
      </c>
      <c r="K1173" s="454">
        <v>5.0E8</v>
      </c>
      <c r="L1173" s="29" t="s">
        <v>3680</v>
      </c>
      <c r="M1173" s="31"/>
      <c r="N1173" s="14"/>
      <c r="O1173" s="31"/>
      <c r="Q1173" s="36"/>
      <c r="R1173" s="36"/>
      <c r="S1173" s="36"/>
      <c r="T1173" s="36"/>
      <c r="V1173" s="31"/>
    </row>
    <row r="1174">
      <c r="A1174" s="37" t="s">
        <v>66</v>
      </c>
      <c r="B1174" s="50" t="s">
        <v>3681</v>
      </c>
      <c r="C1174" s="302" t="s">
        <v>3682</v>
      </c>
      <c r="D1174" s="50" t="s">
        <v>40</v>
      </c>
      <c r="E1174" s="348" t="str">
        <f t="shared" si="1157"/>
        <v>agosto 2026</v>
      </c>
      <c r="F1174" s="386">
        <v>46254.0</v>
      </c>
      <c r="G1174" s="22"/>
      <c r="H1174" s="22"/>
      <c r="I1174" s="50" t="s">
        <v>1865</v>
      </c>
      <c r="K1174" s="454">
        <v>3.0E8</v>
      </c>
      <c r="L1174" s="455" t="s">
        <v>2658</v>
      </c>
      <c r="M1174" s="31"/>
      <c r="N1174" s="14" t="s">
        <v>84</v>
      </c>
      <c r="O1174" s="14" t="s">
        <v>40</v>
      </c>
      <c r="Q1174" s="36"/>
      <c r="R1174" s="36"/>
      <c r="S1174" s="36"/>
      <c r="T1174" s="36"/>
      <c r="V1174" s="31"/>
    </row>
    <row r="1175">
      <c r="A1175" s="37" t="s">
        <v>66</v>
      </c>
      <c r="B1175" s="50" t="s">
        <v>3683</v>
      </c>
      <c r="C1175" s="379" t="s">
        <v>3684</v>
      </c>
      <c r="D1175" s="50" t="s">
        <v>40</v>
      </c>
      <c r="E1175" s="348" t="str">
        <f t="shared" si="1157"/>
        <v>diciembre 1899</v>
      </c>
      <c r="F1175" s="381"/>
      <c r="G1175" s="22"/>
      <c r="H1175" s="22"/>
      <c r="I1175" s="50" t="s">
        <v>1865</v>
      </c>
      <c r="K1175" s="454">
        <v>6.0E8</v>
      </c>
      <c r="L1175" s="29" t="s">
        <v>3685</v>
      </c>
      <c r="M1175" s="31"/>
      <c r="N1175" s="14" t="s">
        <v>84</v>
      </c>
      <c r="O1175" s="14" t="s">
        <v>40</v>
      </c>
      <c r="Q1175" s="36"/>
      <c r="R1175" s="36"/>
      <c r="S1175" s="36"/>
      <c r="T1175" s="36"/>
      <c r="V1175" s="31"/>
    </row>
    <row r="1176">
      <c r="A1176" s="37" t="s">
        <v>66</v>
      </c>
      <c r="B1176" s="50" t="s">
        <v>3686</v>
      </c>
      <c r="C1176" s="457" t="s">
        <v>3687</v>
      </c>
      <c r="D1176" s="50" t="s">
        <v>40</v>
      </c>
      <c r="E1176" s="444">
        <v>46204.0</v>
      </c>
      <c r="F1176" s="386"/>
      <c r="G1176" s="22"/>
      <c r="H1176" s="22"/>
      <c r="I1176" s="50" t="s">
        <v>1865</v>
      </c>
      <c r="K1176" s="454">
        <v>1.0E9</v>
      </c>
      <c r="L1176" s="15" t="s">
        <v>3688</v>
      </c>
      <c r="M1176" s="31"/>
      <c r="N1176" s="14" t="s">
        <v>84</v>
      </c>
      <c r="O1176" s="14" t="s">
        <v>40</v>
      </c>
      <c r="Q1176" s="36"/>
      <c r="R1176" s="36"/>
      <c r="S1176" s="36"/>
      <c r="T1176" s="36"/>
      <c r="V1176" s="31"/>
    </row>
    <row r="1177">
      <c r="A1177" s="37" t="s">
        <v>66</v>
      </c>
      <c r="B1177" s="50" t="s">
        <v>3686</v>
      </c>
      <c r="C1177" s="456" t="s">
        <v>3689</v>
      </c>
      <c r="D1177" s="50" t="s">
        <v>40</v>
      </c>
      <c r="E1177" s="441">
        <v>46204.0</v>
      </c>
      <c r="F1177" s="381"/>
      <c r="G1177" s="22"/>
      <c r="H1177" s="22"/>
      <c r="I1177" s="50" t="s">
        <v>1865</v>
      </c>
      <c r="K1177" s="454">
        <v>1.0E9</v>
      </c>
      <c r="L1177" s="15" t="s">
        <v>3688</v>
      </c>
      <c r="M1177" s="31"/>
      <c r="N1177" s="14" t="s">
        <v>84</v>
      </c>
      <c r="O1177" s="14" t="s">
        <v>40</v>
      </c>
      <c r="Q1177" s="36"/>
      <c r="R1177" s="36"/>
      <c r="S1177" s="36"/>
      <c r="T1177" s="36"/>
      <c r="V1177" s="31"/>
    </row>
    <row r="1178">
      <c r="A1178" s="37" t="s">
        <v>66</v>
      </c>
      <c r="B1178" s="50" t="s">
        <v>3686</v>
      </c>
      <c r="C1178" s="457" t="s">
        <v>3690</v>
      </c>
      <c r="D1178" s="50" t="s">
        <v>40</v>
      </c>
      <c r="E1178" s="444">
        <v>46204.0</v>
      </c>
      <c r="F1178" s="386"/>
      <c r="G1178" s="22"/>
      <c r="H1178" s="22"/>
      <c r="I1178" s="50" t="s">
        <v>1865</v>
      </c>
      <c r="K1178" s="454">
        <v>1.0E9</v>
      </c>
      <c r="L1178" s="15" t="s">
        <v>3688</v>
      </c>
      <c r="M1178" s="31"/>
      <c r="N1178" s="14" t="s">
        <v>84</v>
      </c>
      <c r="O1178" s="14" t="s">
        <v>40</v>
      </c>
      <c r="Q1178" s="36"/>
      <c r="R1178" s="36"/>
      <c r="S1178" s="36"/>
      <c r="T1178" s="36"/>
      <c r="V1178" s="31"/>
    </row>
    <row r="1179">
      <c r="A1179" s="37" t="s">
        <v>66</v>
      </c>
      <c r="B1179" s="50" t="s">
        <v>3686</v>
      </c>
      <c r="C1179" s="456" t="s">
        <v>3691</v>
      </c>
      <c r="D1179" s="50" t="s">
        <v>40</v>
      </c>
      <c r="E1179" s="441">
        <v>46204.0</v>
      </c>
      <c r="F1179" s="381"/>
      <c r="G1179" s="22"/>
      <c r="H1179" s="22"/>
      <c r="I1179" s="50" t="s">
        <v>1865</v>
      </c>
      <c r="K1179" s="454">
        <v>1.0E9</v>
      </c>
      <c r="L1179" s="15" t="s">
        <v>3688</v>
      </c>
      <c r="M1179" s="31"/>
      <c r="N1179" s="14" t="s">
        <v>84</v>
      </c>
      <c r="O1179" s="14" t="s">
        <v>40</v>
      </c>
      <c r="Q1179" s="36"/>
      <c r="R1179" s="36"/>
      <c r="S1179" s="36"/>
      <c r="T1179" s="36"/>
      <c r="V1179" s="31"/>
    </row>
    <row r="1180">
      <c r="A1180" s="37" t="s">
        <v>66</v>
      </c>
      <c r="B1180" s="50" t="s">
        <v>3686</v>
      </c>
      <c r="C1180" s="457" t="s">
        <v>3692</v>
      </c>
      <c r="D1180" s="50" t="s">
        <v>40</v>
      </c>
      <c r="E1180" s="444">
        <v>46204.0</v>
      </c>
      <c r="F1180" s="22"/>
      <c r="G1180" s="22"/>
      <c r="H1180" s="22"/>
      <c r="I1180" s="50" t="s">
        <v>1865</v>
      </c>
      <c r="K1180" s="454">
        <v>1.0E9</v>
      </c>
      <c r="L1180" s="15" t="s">
        <v>3688</v>
      </c>
      <c r="M1180" s="31"/>
      <c r="N1180" s="14" t="s">
        <v>84</v>
      </c>
      <c r="O1180" s="14" t="s">
        <v>40</v>
      </c>
      <c r="Q1180" s="36"/>
      <c r="R1180" s="36"/>
      <c r="S1180" s="36"/>
      <c r="T1180" s="36"/>
      <c r="V1180" s="31"/>
    </row>
    <row r="1181">
      <c r="A1181" s="37" t="s">
        <v>66</v>
      </c>
      <c r="B1181" s="50" t="s">
        <v>3686</v>
      </c>
      <c r="C1181" s="458" t="s">
        <v>3693</v>
      </c>
      <c r="D1181" s="50" t="s">
        <v>40</v>
      </c>
      <c r="E1181" s="441">
        <v>46204.0</v>
      </c>
      <c r="F1181" s="22"/>
      <c r="G1181" s="22"/>
      <c r="H1181" s="22"/>
      <c r="I1181" s="50" t="s">
        <v>1865</v>
      </c>
      <c r="K1181" s="454">
        <v>1.0E9</v>
      </c>
      <c r="L1181" s="15" t="s">
        <v>3688</v>
      </c>
      <c r="M1181" s="31"/>
      <c r="N1181" s="14" t="s">
        <v>84</v>
      </c>
      <c r="O1181" s="14" t="s">
        <v>40</v>
      </c>
      <c r="Q1181" s="36"/>
      <c r="R1181" s="36"/>
      <c r="S1181" s="36"/>
      <c r="T1181" s="36"/>
      <c r="V1181" s="31"/>
    </row>
    <row r="1182">
      <c r="A1182" s="37" t="s">
        <v>66</v>
      </c>
      <c r="B1182" s="50" t="s">
        <v>3686</v>
      </c>
      <c r="C1182" s="457" t="s">
        <v>3694</v>
      </c>
      <c r="D1182" s="50" t="s">
        <v>40</v>
      </c>
      <c r="E1182" s="444">
        <v>46204.0</v>
      </c>
      <c r="F1182" s="22"/>
      <c r="G1182" s="22"/>
      <c r="H1182" s="22"/>
      <c r="I1182" s="50" t="s">
        <v>1865</v>
      </c>
      <c r="K1182" s="454">
        <v>1.0E9</v>
      </c>
      <c r="L1182" s="15" t="s">
        <v>3688</v>
      </c>
      <c r="M1182" s="31"/>
      <c r="N1182" s="14" t="s">
        <v>84</v>
      </c>
      <c r="O1182" s="14" t="s">
        <v>40</v>
      </c>
      <c r="Q1182" s="36"/>
      <c r="R1182" s="36"/>
      <c r="S1182" s="36"/>
      <c r="T1182" s="36"/>
      <c r="V1182" s="31"/>
    </row>
    <row r="1183">
      <c r="A1183" s="37" t="s">
        <v>66</v>
      </c>
      <c r="B1183" s="50" t="s">
        <v>3686</v>
      </c>
      <c r="C1183" s="456" t="s">
        <v>3696</v>
      </c>
      <c r="D1183" s="50" t="s">
        <v>40</v>
      </c>
      <c r="E1183" s="441">
        <v>46204.0</v>
      </c>
      <c r="F1183" s="22"/>
      <c r="G1183" s="22"/>
      <c r="H1183" s="22"/>
      <c r="I1183" s="50" t="s">
        <v>1865</v>
      </c>
      <c r="K1183" s="454">
        <v>1.0E9</v>
      </c>
      <c r="L1183" s="15" t="s">
        <v>3688</v>
      </c>
      <c r="M1183" s="31"/>
      <c r="N1183" s="14" t="s">
        <v>84</v>
      </c>
      <c r="O1183" s="14" t="s">
        <v>40</v>
      </c>
      <c r="Q1183" s="36"/>
      <c r="R1183" s="36"/>
      <c r="S1183" s="36"/>
      <c r="T1183" s="36"/>
      <c r="V1183" s="31"/>
    </row>
    <row r="1184">
      <c r="A1184" s="37" t="s">
        <v>66</v>
      </c>
      <c r="B1184" s="50" t="s">
        <v>3686</v>
      </c>
      <c r="C1184" s="457" t="s">
        <v>3697</v>
      </c>
      <c r="D1184" s="50" t="s">
        <v>40</v>
      </c>
      <c r="E1184" s="444">
        <v>46204.0</v>
      </c>
      <c r="F1184" s="22"/>
      <c r="G1184" s="22"/>
      <c r="H1184" s="22"/>
      <c r="I1184" s="50" t="s">
        <v>1865</v>
      </c>
      <c r="K1184" s="454">
        <v>1.0E9</v>
      </c>
      <c r="L1184" s="15" t="s">
        <v>3688</v>
      </c>
      <c r="M1184" s="31"/>
      <c r="N1184" s="14" t="s">
        <v>84</v>
      </c>
      <c r="O1184" s="14" t="s">
        <v>40</v>
      </c>
      <c r="Q1184" s="36"/>
      <c r="R1184" s="36"/>
      <c r="S1184" s="36"/>
      <c r="T1184" s="36"/>
      <c r="V1184" s="31"/>
    </row>
    <row r="1185">
      <c r="A1185" s="37" t="s">
        <v>66</v>
      </c>
      <c r="B1185" s="50" t="s">
        <v>3686</v>
      </c>
      <c r="C1185" s="456" t="s">
        <v>3699</v>
      </c>
      <c r="D1185" s="50" t="s">
        <v>40</v>
      </c>
      <c r="E1185" s="441">
        <v>46204.0</v>
      </c>
      <c r="F1185" s="22"/>
      <c r="G1185" s="22"/>
      <c r="H1185" s="22"/>
      <c r="I1185" s="50" t="s">
        <v>1865</v>
      </c>
      <c r="K1185" s="454">
        <v>1.0E9</v>
      </c>
      <c r="L1185" s="15" t="s">
        <v>3688</v>
      </c>
      <c r="M1185" s="31"/>
      <c r="N1185" s="14" t="s">
        <v>84</v>
      </c>
      <c r="O1185" s="14" t="s">
        <v>40</v>
      </c>
      <c r="Q1185" s="36"/>
      <c r="R1185" s="36"/>
      <c r="S1185" s="36"/>
      <c r="T1185" s="36"/>
      <c r="V1185" s="31"/>
    </row>
    <row r="1186">
      <c r="A1186" s="37" t="s">
        <v>66</v>
      </c>
      <c r="B1186" s="50" t="s">
        <v>3686</v>
      </c>
      <c r="C1186" s="457" t="s">
        <v>3701</v>
      </c>
      <c r="D1186" s="50" t="s">
        <v>40</v>
      </c>
      <c r="E1186" s="444">
        <v>46204.0</v>
      </c>
      <c r="F1186" s="22"/>
      <c r="G1186" s="22"/>
      <c r="H1186" s="22"/>
      <c r="I1186" s="50" t="s">
        <v>1865</v>
      </c>
      <c r="K1186" s="454">
        <v>1.0E9</v>
      </c>
      <c r="L1186" s="15" t="s">
        <v>3688</v>
      </c>
      <c r="M1186" s="31"/>
      <c r="N1186" s="14" t="s">
        <v>84</v>
      </c>
      <c r="O1186" s="14" t="s">
        <v>40</v>
      </c>
      <c r="Q1186" s="36"/>
      <c r="R1186" s="36"/>
      <c r="S1186" s="36"/>
      <c r="T1186" s="36"/>
      <c r="V1186" s="31"/>
    </row>
    <row r="1187">
      <c r="A1187" s="37" t="s">
        <v>66</v>
      </c>
      <c r="B1187" s="50" t="s">
        <v>3686</v>
      </c>
      <c r="C1187" s="456" t="s">
        <v>3703</v>
      </c>
      <c r="D1187" s="50" t="s">
        <v>40</v>
      </c>
      <c r="E1187" s="441">
        <v>46204.0</v>
      </c>
      <c r="F1187" s="22"/>
      <c r="G1187" s="22"/>
      <c r="H1187" s="22"/>
      <c r="I1187" s="50" t="s">
        <v>1865</v>
      </c>
      <c r="K1187" s="454">
        <v>1.0E9</v>
      </c>
      <c r="L1187" s="15" t="s">
        <v>3688</v>
      </c>
      <c r="M1187" s="31"/>
      <c r="N1187" s="14" t="s">
        <v>84</v>
      </c>
      <c r="O1187" s="14" t="s">
        <v>40</v>
      </c>
      <c r="Q1187" s="36"/>
      <c r="R1187" s="36"/>
      <c r="S1187" s="36"/>
      <c r="T1187" s="36"/>
      <c r="V1187" s="31"/>
    </row>
    <row r="1188">
      <c r="A1188" s="37" t="s">
        <v>66</v>
      </c>
      <c r="B1188" s="50" t="s">
        <v>3686</v>
      </c>
      <c r="C1188" s="457" t="s">
        <v>3704</v>
      </c>
      <c r="D1188" s="50" t="s">
        <v>40</v>
      </c>
      <c r="E1188" s="444">
        <v>46204.0</v>
      </c>
      <c r="F1188" s="22"/>
      <c r="G1188" s="22"/>
      <c r="H1188" s="22"/>
      <c r="I1188" s="50" t="s">
        <v>1865</v>
      </c>
      <c r="K1188" s="454">
        <v>1.0E9</v>
      </c>
      <c r="L1188" s="15" t="s">
        <v>3688</v>
      </c>
      <c r="M1188" s="31"/>
      <c r="N1188" s="14" t="s">
        <v>84</v>
      </c>
      <c r="O1188" s="14" t="s">
        <v>40</v>
      </c>
      <c r="Q1188" s="36"/>
      <c r="R1188" s="36"/>
      <c r="S1188" s="36"/>
      <c r="T1188" s="36"/>
      <c r="V1188" s="31"/>
    </row>
    <row r="1189">
      <c r="A1189" s="37" t="s">
        <v>66</v>
      </c>
      <c r="B1189" s="50" t="s">
        <v>3686</v>
      </c>
      <c r="C1189" s="456" t="s">
        <v>3705</v>
      </c>
      <c r="D1189" s="50" t="s">
        <v>40</v>
      </c>
      <c r="E1189" s="441">
        <v>46204.0</v>
      </c>
      <c r="F1189" s="22"/>
      <c r="G1189" s="22"/>
      <c r="H1189" s="22"/>
      <c r="I1189" s="50" t="s">
        <v>1865</v>
      </c>
      <c r="K1189" s="454">
        <v>1.0E9</v>
      </c>
      <c r="L1189" s="15" t="s">
        <v>3688</v>
      </c>
      <c r="M1189" s="31"/>
      <c r="N1189" s="14" t="s">
        <v>84</v>
      </c>
      <c r="O1189" s="14" t="s">
        <v>40</v>
      </c>
      <c r="Q1189" s="36"/>
      <c r="R1189" s="36"/>
      <c r="S1189" s="36"/>
      <c r="T1189" s="36"/>
      <c r="V1189" s="31"/>
    </row>
    <row r="1190">
      <c r="A1190" s="37" t="s">
        <v>66</v>
      </c>
      <c r="B1190" s="50" t="s">
        <v>3686</v>
      </c>
      <c r="C1190" s="457" t="s">
        <v>3706</v>
      </c>
      <c r="D1190" s="50" t="s">
        <v>40</v>
      </c>
      <c r="E1190" s="444">
        <v>46204.0</v>
      </c>
      <c r="F1190" s="22"/>
      <c r="G1190" s="22"/>
      <c r="H1190" s="22"/>
      <c r="I1190" s="50" t="s">
        <v>1865</v>
      </c>
      <c r="K1190" s="454">
        <v>1.0E9</v>
      </c>
      <c r="L1190" s="15" t="s">
        <v>3688</v>
      </c>
      <c r="M1190" s="31"/>
      <c r="N1190" s="14" t="s">
        <v>84</v>
      </c>
      <c r="O1190" s="14" t="s">
        <v>40</v>
      </c>
      <c r="Q1190" s="36"/>
      <c r="R1190" s="36"/>
      <c r="S1190" s="36"/>
      <c r="T1190" s="36"/>
      <c r="V1190" s="31"/>
    </row>
    <row r="1191">
      <c r="A1191" s="37" t="s">
        <v>66</v>
      </c>
      <c r="B1191" s="50" t="s">
        <v>3686</v>
      </c>
      <c r="C1191" s="456" t="s">
        <v>3707</v>
      </c>
      <c r="D1191" s="50" t="s">
        <v>40</v>
      </c>
      <c r="E1191" s="441">
        <v>46204.0</v>
      </c>
      <c r="F1191" s="22"/>
      <c r="G1191" s="22"/>
      <c r="H1191" s="22"/>
      <c r="I1191" s="50" t="s">
        <v>1865</v>
      </c>
      <c r="K1191" s="454">
        <v>1.0E9</v>
      </c>
      <c r="L1191" s="15" t="s">
        <v>3688</v>
      </c>
      <c r="M1191" s="31"/>
      <c r="N1191" s="14" t="s">
        <v>84</v>
      </c>
      <c r="O1191" s="14" t="s">
        <v>40</v>
      </c>
      <c r="Q1191" s="36"/>
      <c r="R1191" s="36"/>
      <c r="S1191" s="36"/>
      <c r="T1191" s="36"/>
      <c r="V1191" s="31"/>
    </row>
    <row r="1192">
      <c r="A1192" s="37" t="s">
        <v>66</v>
      </c>
      <c r="B1192" s="50" t="s">
        <v>3686</v>
      </c>
      <c r="C1192" s="457" t="s">
        <v>3708</v>
      </c>
      <c r="D1192" s="50" t="s">
        <v>40</v>
      </c>
      <c r="E1192" s="444">
        <v>46204.0</v>
      </c>
      <c r="F1192" s="22"/>
      <c r="G1192" s="22"/>
      <c r="H1192" s="22"/>
      <c r="I1192" s="50" t="s">
        <v>1865</v>
      </c>
      <c r="K1192" s="454">
        <v>1.0E9</v>
      </c>
      <c r="L1192" s="15" t="s">
        <v>3688</v>
      </c>
      <c r="M1192" s="31"/>
      <c r="N1192" s="14" t="s">
        <v>84</v>
      </c>
      <c r="O1192" s="14" t="s">
        <v>40</v>
      </c>
      <c r="Q1192" s="36"/>
      <c r="R1192" s="36"/>
      <c r="S1192" s="36"/>
      <c r="T1192" s="36"/>
      <c r="V1192" s="31"/>
    </row>
    <row r="1193">
      <c r="A1193" s="37" t="s">
        <v>66</v>
      </c>
      <c r="B1193" s="50" t="s">
        <v>3686</v>
      </c>
      <c r="C1193" s="456" t="s">
        <v>3709</v>
      </c>
      <c r="D1193" s="50" t="s">
        <v>40</v>
      </c>
      <c r="E1193" s="441">
        <v>46204.0</v>
      </c>
      <c r="F1193" s="22"/>
      <c r="G1193" s="22"/>
      <c r="H1193" s="22"/>
      <c r="I1193" s="50" t="s">
        <v>1865</v>
      </c>
      <c r="K1193" s="454">
        <v>1.0E9</v>
      </c>
      <c r="L1193" s="15" t="s">
        <v>3688</v>
      </c>
      <c r="M1193" s="31"/>
      <c r="N1193" s="14" t="s">
        <v>84</v>
      </c>
      <c r="O1193" s="14" t="s">
        <v>40</v>
      </c>
      <c r="Q1193" s="36"/>
      <c r="R1193" s="36"/>
      <c r="S1193" s="36"/>
      <c r="T1193" s="36"/>
      <c r="V1193" s="31"/>
    </row>
    <row r="1194">
      <c r="A1194" s="37" t="s">
        <v>66</v>
      </c>
      <c r="B1194" s="50" t="s">
        <v>3686</v>
      </c>
      <c r="C1194" s="457" t="s">
        <v>3710</v>
      </c>
      <c r="D1194" s="50" t="s">
        <v>40</v>
      </c>
      <c r="E1194" s="444">
        <v>46204.0</v>
      </c>
      <c r="F1194" s="22"/>
      <c r="G1194" s="22"/>
      <c r="H1194" s="22"/>
      <c r="I1194" s="50" t="s">
        <v>1865</v>
      </c>
      <c r="K1194" s="454">
        <v>1.0E9</v>
      </c>
      <c r="L1194" s="15" t="s">
        <v>3688</v>
      </c>
      <c r="M1194" s="31"/>
      <c r="N1194" s="14" t="s">
        <v>84</v>
      </c>
      <c r="O1194" s="14" t="s">
        <v>40</v>
      </c>
      <c r="Q1194" s="36"/>
      <c r="R1194" s="36"/>
      <c r="S1194" s="36"/>
      <c r="T1194" s="36"/>
      <c r="V1194" s="31"/>
    </row>
    <row r="1195">
      <c r="A1195" s="37" t="s">
        <v>66</v>
      </c>
      <c r="B1195" s="50" t="s">
        <v>3686</v>
      </c>
      <c r="C1195" s="456" t="s">
        <v>3711</v>
      </c>
      <c r="D1195" s="50" t="s">
        <v>40</v>
      </c>
      <c r="E1195" s="441">
        <v>46204.0</v>
      </c>
      <c r="F1195" s="22"/>
      <c r="G1195" s="22"/>
      <c r="H1195" s="22"/>
      <c r="I1195" s="50" t="s">
        <v>1865</v>
      </c>
      <c r="K1195" s="454">
        <v>1.0E9</v>
      </c>
      <c r="L1195" s="15" t="s">
        <v>3688</v>
      </c>
      <c r="M1195" s="31"/>
      <c r="N1195" s="14" t="s">
        <v>84</v>
      </c>
      <c r="O1195" s="14" t="s">
        <v>40</v>
      </c>
      <c r="Q1195" s="36"/>
      <c r="R1195" s="36"/>
      <c r="S1195" s="36"/>
      <c r="T1195" s="36"/>
      <c r="V1195" s="31"/>
    </row>
    <row r="1196">
      <c r="A1196" s="37" t="s">
        <v>66</v>
      </c>
      <c r="B1196" s="50" t="s">
        <v>3686</v>
      </c>
      <c r="C1196" s="457" t="s">
        <v>3712</v>
      </c>
      <c r="D1196" s="50" t="s">
        <v>40</v>
      </c>
      <c r="E1196" s="444">
        <v>46204.0</v>
      </c>
      <c r="F1196" s="22"/>
      <c r="G1196" s="22"/>
      <c r="H1196" s="22"/>
      <c r="I1196" s="50" t="s">
        <v>1865</v>
      </c>
      <c r="K1196" s="454">
        <v>1.0E9</v>
      </c>
      <c r="L1196" s="15" t="s">
        <v>3688</v>
      </c>
      <c r="M1196" s="31"/>
      <c r="N1196" s="14" t="s">
        <v>84</v>
      </c>
      <c r="O1196" s="14" t="s">
        <v>40</v>
      </c>
      <c r="Q1196" s="36"/>
      <c r="R1196" s="36"/>
      <c r="S1196" s="36"/>
      <c r="T1196" s="36"/>
      <c r="V1196" s="31"/>
    </row>
    <row r="1197">
      <c r="A1197" s="37" t="s">
        <v>66</v>
      </c>
      <c r="B1197" s="50" t="s">
        <v>3713</v>
      </c>
      <c r="C1197" s="15" t="s">
        <v>397</v>
      </c>
      <c r="D1197" s="50" t="s">
        <v>40</v>
      </c>
      <c r="E1197" s="459">
        <v>46235.0</v>
      </c>
      <c r="F1197" s="22"/>
      <c r="G1197" s="22"/>
      <c r="H1197" s="22"/>
      <c r="I1197" s="50" t="s">
        <v>1865</v>
      </c>
      <c r="K1197" s="454">
        <v>1.2E9</v>
      </c>
      <c r="L1197" s="29" t="s">
        <v>3714</v>
      </c>
      <c r="M1197" s="31"/>
      <c r="N1197" s="14" t="s">
        <v>84</v>
      </c>
      <c r="O1197" s="14" t="s">
        <v>133</v>
      </c>
      <c r="Q1197" s="36"/>
      <c r="R1197" s="36"/>
      <c r="S1197" s="36"/>
      <c r="T1197" s="36"/>
      <c r="V1197" s="31"/>
    </row>
    <row r="1198">
      <c r="A1198" s="37" t="s">
        <v>66</v>
      </c>
      <c r="B1198" s="50" t="s">
        <v>3713</v>
      </c>
      <c r="C1198" s="15" t="s">
        <v>401</v>
      </c>
      <c r="D1198" s="50" t="s">
        <v>40</v>
      </c>
      <c r="E1198" s="444">
        <v>46236.0</v>
      </c>
      <c r="F1198" s="22"/>
      <c r="G1198" s="22"/>
      <c r="H1198" s="22"/>
      <c r="I1198" s="50" t="s">
        <v>1865</v>
      </c>
      <c r="K1198" s="454">
        <v>1.2E9</v>
      </c>
      <c r="L1198" s="29" t="s">
        <v>3714</v>
      </c>
      <c r="M1198" s="31"/>
      <c r="N1198" s="14" t="s">
        <v>84</v>
      </c>
      <c r="O1198" s="14" t="s">
        <v>133</v>
      </c>
      <c r="Q1198" s="36"/>
      <c r="R1198" s="36"/>
      <c r="S1198" s="36"/>
      <c r="T1198" s="36"/>
      <c r="V1198" s="31"/>
    </row>
    <row r="1199">
      <c r="A1199" s="14" t="s">
        <v>117</v>
      </c>
      <c r="B1199" s="50" t="s">
        <v>3862</v>
      </c>
      <c r="C1199" s="302" t="s">
        <v>3715</v>
      </c>
      <c r="D1199" s="50" t="s">
        <v>40</v>
      </c>
      <c r="E1199" s="441">
        <v>46261.0</v>
      </c>
      <c r="F1199" s="22"/>
      <c r="G1199" s="22"/>
      <c r="H1199" s="22"/>
      <c r="I1199" s="50" t="s">
        <v>90</v>
      </c>
      <c r="K1199" s="454">
        <v>5.0E8</v>
      </c>
      <c r="L1199" s="29" t="s">
        <v>3714</v>
      </c>
      <c r="M1199" s="31"/>
      <c r="N1199" s="14" t="s">
        <v>84</v>
      </c>
      <c r="O1199" s="14" t="s">
        <v>40</v>
      </c>
      <c r="Q1199" s="36"/>
      <c r="R1199" s="36"/>
      <c r="S1199" s="36"/>
      <c r="T1199" s="36"/>
      <c r="V1199" s="31"/>
    </row>
    <row r="1200">
      <c r="A1200" s="14" t="s">
        <v>117</v>
      </c>
      <c r="B1200" s="50" t="s">
        <v>3867</v>
      </c>
      <c r="C1200" s="302" t="s">
        <v>3716</v>
      </c>
      <c r="D1200" s="50" t="s">
        <v>40</v>
      </c>
      <c r="E1200" s="444">
        <v>46267.0</v>
      </c>
      <c r="F1200" s="22"/>
      <c r="G1200" s="22"/>
      <c r="H1200" s="22"/>
      <c r="I1200" s="50" t="s">
        <v>90</v>
      </c>
      <c r="K1200" s="454">
        <v>5.0E7</v>
      </c>
      <c r="L1200" s="29" t="s">
        <v>3717</v>
      </c>
      <c r="M1200" s="31"/>
      <c r="N1200" s="14" t="s">
        <v>84</v>
      </c>
      <c r="O1200" s="31"/>
      <c r="Q1200" s="36"/>
      <c r="R1200" s="36"/>
      <c r="S1200" s="36"/>
      <c r="T1200" s="36"/>
      <c r="V1200" s="31"/>
    </row>
    <row r="1201">
      <c r="A1201" s="37" t="s">
        <v>66</v>
      </c>
      <c r="B1201" s="50" t="s">
        <v>3718</v>
      </c>
      <c r="C1201" s="15" t="s">
        <v>301</v>
      </c>
      <c r="D1201" s="50" t="s">
        <v>40</v>
      </c>
      <c r="E1201" s="380"/>
      <c r="F1201" s="22"/>
      <c r="G1201" s="22"/>
      <c r="H1201" s="22"/>
      <c r="I1201" s="50"/>
      <c r="K1201" s="448"/>
      <c r="L1201" s="29"/>
      <c r="M1201" s="31"/>
      <c r="N1201" s="14"/>
      <c r="O1201" s="31"/>
      <c r="Q1201" s="36"/>
      <c r="R1201" s="36"/>
      <c r="S1201" s="36"/>
      <c r="T1201" s="36"/>
      <c r="V1201" s="31"/>
    </row>
    <row r="1202">
      <c r="A1202" s="14" t="s">
        <v>117</v>
      </c>
      <c r="B1202" s="14" t="s">
        <v>3872</v>
      </c>
      <c r="C1202" s="302" t="s">
        <v>3720</v>
      </c>
      <c r="D1202" s="50" t="s">
        <v>40</v>
      </c>
      <c r="E1202" s="444">
        <v>46279.0</v>
      </c>
      <c r="F1202" s="22"/>
      <c r="G1202" s="22"/>
      <c r="H1202" s="22"/>
      <c r="I1202" s="50" t="s">
        <v>2398</v>
      </c>
      <c r="J1202" s="50" t="s">
        <v>3719</v>
      </c>
      <c r="K1202" s="454">
        <v>5.0E8</v>
      </c>
      <c r="L1202" s="29" t="s">
        <v>2621</v>
      </c>
      <c r="M1202" s="31"/>
      <c r="N1202" s="14" t="s">
        <v>84</v>
      </c>
      <c r="O1202" s="14" t="s">
        <v>133</v>
      </c>
      <c r="Q1202" s="36"/>
      <c r="R1202" s="36"/>
      <c r="S1202" s="36"/>
      <c r="T1202" s="36"/>
      <c r="V1202" s="31"/>
    </row>
    <row r="1203">
      <c r="A1203" s="14" t="s">
        <v>736</v>
      </c>
      <c r="B1203" s="351" t="s">
        <v>3721</v>
      </c>
      <c r="C1203" s="460" t="s">
        <v>3722</v>
      </c>
      <c r="D1203" s="50"/>
      <c r="E1203" s="348" t="str">
        <f t="shared" ref="E1203:E1291" si="1178">TEXT(F1203, "mmmm yyyy")
</f>
        <v>agosto 2026</v>
      </c>
      <c r="F1203" s="349">
        <v>46238.0</v>
      </c>
      <c r="G1203" s="24">
        <f t="shared" ref="G1203:H1203" si="1177">F1203</f>
        <v>46238</v>
      </c>
      <c r="H1203" s="26">
        <f t="shared" si="1177"/>
        <v>46238</v>
      </c>
      <c r="I1203" s="50" t="s">
        <v>90</v>
      </c>
      <c r="K1203" s="27"/>
      <c r="L1203" s="29" t="s">
        <v>3085</v>
      </c>
      <c r="M1203" s="31"/>
      <c r="N1203" s="14" t="s">
        <v>84</v>
      </c>
      <c r="O1203" s="31"/>
      <c r="Q1203" s="36"/>
      <c r="R1203" s="36"/>
      <c r="S1203" s="36"/>
      <c r="T1203" s="36"/>
      <c r="V1203" s="31"/>
    </row>
    <row r="1204">
      <c r="A1204" s="14" t="s">
        <v>736</v>
      </c>
      <c r="B1204" s="351" t="s">
        <v>3723</v>
      </c>
      <c r="C1204" s="460" t="s">
        <v>3724</v>
      </c>
      <c r="D1204" s="50"/>
      <c r="E1204" s="348" t="str">
        <f t="shared" si="1178"/>
        <v>agosto 2026</v>
      </c>
      <c r="F1204" s="349">
        <v>46262.0</v>
      </c>
      <c r="G1204" s="24">
        <f t="shared" ref="G1204:H1204" si="1179">F1204</f>
        <v>46262</v>
      </c>
      <c r="H1204" s="26">
        <f t="shared" si="1179"/>
        <v>46262</v>
      </c>
      <c r="I1204" s="50" t="s">
        <v>90</v>
      </c>
      <c r="K1204" s="27"/>
      <c r="L1204" s="29" t="s">
        <v>3085</v>
      </c>
      <c r="M1204" s="31"/>
      <c r="N1204" s="14" t="s">
        <v>84</v>
      </c>
      <c r="O1204" s="31"/>
      <c r="Q1204" s="36"/>
      <c r="R1204" s="36"/>
      <c r="S1204" s="36"/>
      <c r="T1204" s="36"/>
      <c r="V1204" s="31"/>
    </row>
    <row r="1205">
      <c r="A1205" s="14" t="s">
        <v>736</v>
      </c>
      <c r="B1205" s="351" t="s">
        <v>3725</v>
      </c>
      <c r="C1205" s="460" t="s">
        <v>3726</v>
      </c>
      <c r="D1205" s="50"/>
      <c r="E1205" s="348" t="str">
        <f t="shared" si="1178"/>
        <v>agosto 2026</v>
      </c>
      <c r="F1205" s="349">
        <v>46261.0</v>
      </c>
      <c r="G1205" s="24">
        <f t="shared" ref="G1205:H1205" si="1180">F1205</f>
        <v>46261</v>
      </c>
      <c r="H1205" s="26">
        <f t="shared" si="1180"/>
        <v>46261</v>
      </c>
      <c r="I1205" s="50" t="s">
        <v>90</v>
      </c>
      <c r="K1205" s="27"/>
      <c r="L1205" s="29" t="s">
        <v>3085</v>
      </c>
      <c r="M1205" s="31"/>
      <c r="N1205" s="14" t="s">
        <v>84</v>
      </c>
      <c r="O1205" s="31"/>
      <c r="Q1205" s="36"/>
      <c r="R1205" s="36"/>
      <c r="S1205" s="36"/>
      <c r="T1205" s="36"/>
      <c r="V1205" s="31"/>
    </row>
    <row r="1206">
      <c r="A1206" s="14" t="s">
        <v>736</v>
      </c>
      <c r="B1206" s="351" t="s">
        <v>3727</v>
      </c>
      <c r="C1206" s="460" t="s">
        <v>3728</v>
      </c>
      <c r="D1206" s="50"/>
      <c r="E1206" s="348" t="str">
        <f t="shared" si="1178"/>
        <v>agosto 2026</v>
      </c>
      <c r="F1206" s="349">
        <v>46240.0</v>
      </c>
      <c r="G1206" s="24">
        <f t="shared" ref="G1206:H1206" si="1181">F1206</f>
        <v>46240</v>
      </c>
      <c r="H1206" s="26">
        <f t="shared" si="1181"/>
        <v>46240</v>
      </c>
      <c r="I1206" s="50" t="s">
        <v>90</v>
      </c>
      <c r="K1206" s="27"/>
      <c r="L1206" s="29" t="s">
        <v>3085</v>
      </c>
      <c r="M1206" s="31"/>
      <c r="N1206" s="14" t="s">
        <v>84</v>
      </c>
      <c r="O1206" s="31"/>
      <c r="Q1206" s="36"/>
      <c r="R1206" s="36"/>
      <c r="S1206" s="36"/>
      <c r="T1206" s="36"/>
      <c r="V1206" s="31"/>
    </row>
    <row r="1207">
      <c r="A1207" s="14" t="s">
        <v>736</v>
      </c>
      <c r="B1207" s="351" t="s">
        <v>3729</v>
      </c>
      <c r="C1207" s="460" t="s">
        <v>3730</v>
      </c>
      <c r="D1207" s="50"/>
      <c r="E1207" s="348" t="str">
        <f t="shared" si="1178"/>
        <v>septiembre 2026</v>
      </c>
      <c r="F1207" s="349">
        <v>46267.0</v>
      </c>
      <c r="G1207" s="24">
        <f t="shared" ref="G1207:H1207" si="1182">F1207</f>
        <v>46267</v>
      </c>
      <c r="H1207" s="26">
        <f t="shared" si="1182"/>
        <v>46267</v>
      </c>
      <c r="I1207" s="50" t="s">
        <v>90</v>
      </c>
      <c r="K1207" s="27"/>
      <c r="L1207" s="29" t="s">
        <v>3085</v>
      </c>
      <c r="M1207" s="31"/>
      <c r="N1207" s="14" t="s">
        <v>84</v>
      </c>
      <c r="O1207" s="31"/>
      <c r="Q1207" s="36"/>
      <c r="R1207" s="36"/>
      <c r="S1207" s="36"/>
      <c r="T1207" s="36"/>
      <c r="V1207" s="31"/>
    </row>
    <row r="1208">
      <c r="A1208" s="14" t="s">
        <v>736</v>
      </c>
      <c r="B1208" s="351" t="s">
        <v>3731</v>
      </c>
      <c r="C1208" s="460" t="s">
        <v>3732</v>
      </c>
      <c r="D1208" s="50"/>
      <c r="E1208" s="348" t="str">
        <f t="shared" si="1178"/>
        <v>agosto 2026</v>
      </c>
      <c r="F1208" s="349">
        <v>46261.0</v>
      </c>
      <c r="G1208" s="24">
        <f t="shared" ref="G1208:H1208" si="1183">F1208</f>
        <v>46261</v>
      </c>
      <c r="H1208" s="26">
        <f t="shared" si="1183"/>
        <v>46261</v>
      </c>
      <c r="I1208" s="50" t="s">
        <v>90</v>
      </c>
      <c r="K1208" s="27"/>
      <c r="L1208" s="29" t="s">
        <v>3085</v>
      </c>
      <c r="M1208" s="31"/>
      <c r="N1208" s="14" t="s">
        <v>84</v>
      </c>
      <c r="O1208" s="31"/>
      <c r="Q1208" s="36"/>
      <c r="R1208" s="36"/>
      <c r="S1208" s="36"/>
      <c r="T1208" s="36"/>
      <c r="V1208" s="31"/>
    </row>
    <row r="1209">
      <c r="A1209" s="14" t="s">
        <v>736</v>
      </c>
      <c r="B1209" s="351" t="s">
        <v>3733</v>
      </c>
      <c r="C1209" s="460" t="s">
        <v>3734</v>
      </c>
      <c r="D1209" s="50"/>
      <c r="E1209" s="348" t="str">
        <f t="shared" si="1178"/>
        <v>septiembre 2026</v>
      </c>
      <c r="F1209" s="349">
        <v>46279.0</v>
      </c>
      <c r="G1209" s="24">
        <f t="shared" ref="G1209:H1209" si="1184">F1209</f>
        <v>46279</v>
      </c>
      <c r="H1209" s="26">
        <f t="shared" si="1184"/>
        <v>46279</v>
      </c>
      <c r="I1209" s="50" t="s">
        <v>90</v>
      </c>
      <c r="K1209" s="27"/>
      <c r="L1209" s="29" t="s">
        <v>3085</v>
      </c>
      <c r="M1209" s="31"/>
      <c r="N1209" s="14" t="s">
        <v>84</v>
      </c>
      <c r="O1209" s="31"/>
      <c r="Q1209" s="36"/>
      <c r="R1209" s="36"/>
      <c r="S1209" s="36"/>
      <c r="T1209" s="36"/>
      <c r="V1209" s="31"/>
    </row>
    <row r="1210">
      <c r="A1210" s="14" t="s">
        <v>736</v>
      </c>
      <c r="B1210" s="351" t="s">
        <v>3735</v>
      </c>
      <c r="C1210" s="460" t="s">
        <v>3736</v>
      </c>
      <c r="D1210" s="50"/>
      <c r="E1210" s="348" t="str">
        <f t="shared" si="1178"/>
        <v>agosto 2026</v>
      </c>
      <c r="F1210" s="349">
        <v>46247.0</v>
      </c>
      <c r="G1210" s="24">
        <f t="shared" ref="G1210:H1210" si="1185">F1210</f>
        <v>46247</v>
      </c>
      <c r="H1210" s="26">
        <f t="shared" si="1185"/>
        <v>46247</v>
      </c>
      <c r="I1210" s="50" t="s">
        <v>90</v>
      </c>
      <c r="K1210" s="27"/>
      <c r="L1210" s="29" t="s">
        <v>3085</v>
      </c>
      <c r="M1210" s="31"/>
      <c r="N1210" s="14" t="s">
        <v>84</v>
      </c>
      <c r="O1210" s="31"/>
      <c r="Q1210" s="36"/>
      <c r="R1210" s="36"/>
      <c r="S1210" s="36"/>
      <c r="T1210" s="36"/>
      <c r="V1210" s="31"/>
    </row>
    <row r="1211">
      <c r="A1211" s="14" t="s">
        <v>736</v>
      </c>
      <c r="B1211" s="351" t="s">
        <v>3737</v>
      </c>
      <c r="C1211" s="460" t="s">
        <v>3738</v>
      </c>
      <c r="D1211" s="50"/>
      <c r="E1211" s="348" t="str">
        <f t="shared" si="1178"/>
        <v>agosto 2026</v>
      </c>
      <c r="F1211" s="349">
        <v>46253.0</v>
      </c>
      <c r="G1211" s="24">
        <f t="shared" ref="G1211:H1211" si="1186">F1211</f>
        <v>46253</v>
      </c>
      <c r="H1211" s="26">
        <f t="shared" si="1186"/>
        <v>46253</v>
      </c>
      <c r="I1211" s="50" t="s">
        <v>90</v>
      </c>
      <c r="K1211" s="27"/>
      <c r="L1211" s="29" t="s">
        <v>3085</v>
      </c>
      <c r="M1211" s="31"/>
      <c r="N1211" s="14" t="s">
        <v>84</v>
      </c>
      <c r="O1211" s="31"/>
      <c r="Q1211" s="36"/>
      <c r="R1211" s="36"/>
      <c r="S1211" s="36"/>
      <c r="T1211" s="36"/>
      <c r="V1211" s="31"/>
    </row>
    <row r="1212">
      <c r="A1212" s="14" t="s">
        <v>736</v>
      </c>
      <c r="B1212" s="351" t="s">
        <v>3739</v>
      </c>
      <c r="C1212" s="460" t="s">
        <v>3740</v>
      </c>
      <c r="D1212" s="50"/>
      <c r="E1212" s="348" t="str">
        <f t="shared" si="1178"/>
        <v>agosto 2026</v>
      </c>
      <c r="F1212" s="349">
        <v>46253.0</v>
      </c>
      <c r="G1212" s="24">
        <f t="shared" ref="G1212:H1212" si="1187">F1212</f>
        <v>46253</v>
      </c>
      <c r="H1212" s="26">
        <f t="shared" si="1187"/>
        <v>46253</v>
      </c>
      <c r="I1212" s="50" t="s">
        <v>90</v>
      </c>
      <c r="K1212" s="27"/>
      <c r="L1212" s="29" t="s">
        <v>3085</v>
      </c>
      <c r="M1212" s="31"/>
      <c r="N1212" s="14" t="s">
        <v>84</v>
      </c>
      <c r="O1212" s="31"/>
      <c r="Q1212" s="36"/>
      <c r="R1212" s="36"/>
      <c r="S1212" s="36"/>
      <c r="T1212" s="36"/>
      <c r="V1212" s="31"/>
    </row>
    <row r="1213">
      <c r="A1213" s="14" t="s">
        <v>736</v>
      </c>
      <c r="B1213" s="351" t="s">
        <v>3741</v>
      </c>
      <c r="C1213" s="460" t="s">
        <v>3742</v>
      </c>
      <c r="D1213" s="50"/>
      <c r="E1213" s="348" t="str">
        <f t="shared" si="1178"/>
        <v>agosto 2026</v>
      </c>
      <c r="F1213" s="349">
        <v>46256.0</v>
      </c>
      <c r="G1213" s="24">
        <f t="shared" ref="G1213:H1213" si="1188">F1213</f>
        <v>46256</v>
      </c>
      <c r="H1213" s="26">
        <f t="shared" si="1188"/>
        <v>46256</v>
      </c>
      <c r="I1213" s="50" t="s">
        <v>90</v>
      </c>
      <c r="K1213" s="27"/>
      <c r="L1213" s="29" t="s">
        <v>3085</v>
      </c>
      <c r="M1213" s="31"/>
      <c r="N1213" s="14" t="s">
        <v>84</v>
      </c>
      <c r="O1213" s="31"/>
      <c r="Q1213" s="36"/>
      <c r="R1213" s="36"/>
      <c r="S1213" s="36"/>
      <c r="T1213" s="36"/>
      <c r="V1213" s="31"/>
    </row>
    <row r="1214">
      <c r="A1214" s="14" t="s">
        <v>736</v>
      </c>
      <c r="B1214" s="351" t="s">
        <v>3743</v>
      </c>
      <c r="C1214" s="460" t="s">
        <v>3744</v>
      </c>
      <c r="D1214" s="50"/>
      <c r="E1214" s="348" t="str">
        <f t="shared" si="1178"/>
        <v>agosto 2026</v>
      </c>
      <c r="F1214" s="349">
        <v>46256.0</v>
      </c>
      <c r="G1214" s="24">
        <f t="shared" ref="G1214:H1214" si="1189">F1214</f>
        <v>46256</v>
      </c>
      <c r="H1214" s="26">
        <f t="shared" si="1189"/>
        <v>46256</v>
      </c>
      <c r="I1214" s="50" t="s">
        <v>90</v>
      </c>
      <c r="K1214" s="27"/>
      <c r="L1214" s="29" t="s">
        <v>3085</v>
      </c>
      <c r="M1214" s="31"/>
      <c r="N1214" s="14" t="s">
        <v>84</v>
      </c>
      <c r="O1214" s="31"/>
      <c r="Q1214" s="36"/>
      <c r="R1214" s="36"/>
      <c r="S1214" s="36"/>
      <c r="T1214" s="36"/>
      <c r="V1214" s="31"/>
    </row>
    <row r="1215">
      <c r="A1215" s="14" t="s">
        <v>736</v>
      </c>
      <c r="B1215" s="351" t="s">
        <v>3745</v>
      </c>
      <c r="C1215" s="460" t="s">
        <v>3746</v>
      </c>
      <c r="D1215" s="50"/>
      <c r="E1215" s="348" t="str">
        <f t="shared" si="1178"/>
        <v>agosto 2026</v>
      </c>
      <c r="F1215" s="349">
        <v>46256.0</v>
      </c>
      <c r="G1215" s="24">
        <f t="shared" ref="G1215:H1215" si="1190">F1215</f>
        <v>46256</v>
      </c>
      <c r="H1215" s="26">
        <f t="shared" si="1190"/>
        <v>46256</v>
      </c>
      <c r="I1215" s="50" t="s">
        <v>90</v>
      </c>
      <c r="K1215" s="27"/>
      <c r="L1215" s="29" t="s">
        <v>3085</v>
      </c>
      <c r="M1215" s="31"/>
      <c r="N1215" s="14" t="s">
        <v>84</v>
      </c>
      <c r="O1215" s="31"/>
      <c r="Q1215" s="36"/>
      <c r="R1215" s="36"/>
      <c r="S1215" s="36"/>
      <c r="T1215" s="36"/>
      <c r="V1215" s="31"/>
    </row>
    <row r="1216">
      <c r="A1216" s="14" t="s">
        <v>736</v>
      </c>
      <c r="B1216" s="351" t="s">
        <v>3747</v>
      </c>
      <c r="C1216" s="460" t="s">
        <v>3748</v>
      </c>
      <c r="D1216" s="50"/>
      <c r="E1216" s="348" t="str">
        <f t="shared" si="1178"/>
        <v>agosto 2026</v>
      </c>
      <c r="F1216" s="349">
        <v>46256.0</v>
      </c>
      <c r="G1216" s="24">
        <f t="shared" ref="G1216:H1216" si="1191">F1216</f>
        <v>46256</v>
      </c>
      <c r="H1216" s="26">
        <f t="shared" si="1191"/>
        <v>46256</v>
      </c>
      <c r="I1216" s="50" t="s">
        <v>90</v>
      </c>
      <c r="K1216" s="27"/>
      <c r="L1216" s="29" t="s">
        <v>3085</v>
      </c>
      <c r="M1216" s="31"/>
      <c r="N1216" s="14" t="s">
        <v>84</v>
      </c>
      <c r="O1216" s="31"/>
      <c r="Q1216" s="36"/>
      <c r="R1216" s="36"/>
      <c r="S1216" s="36"/>
      <c r="T1216" s="36"/>
      <c r="V1216" s="31"/>
    </row>
    <row r="1217">
      <c r="A1217" s="14" t="s">
        <v>736</v>
      </c>
      <c r="B1217" s="351" t="s">
        <v>3749</v>
      </c>
      <c r="C1217" s="460" t="s">
        <v>3750</v>
      </c>
      <c r="D1217" s="50"/>
      <c r="E1217" s="348" t="str">
        <f t="shared" si="1178"/>
        <v>agosto 2026</v>
      </c>
      <c r="F1217" s="349">
        <v>46256.0</v>
      </c>
      <c r="G1217" s="24">
        <f t="shared" ref="G1217:H1217" si="1192">F1217</f>
        <v>46256</v>
      </c>
      <c r="H1217" s="26">
        <f t="shared" si="1192"/>
        <v>46256</v>
      </c>
      <c r="I1217" s="50" t="s">
        <v>90</v>
      </c>
      <c r="K1217" s="27"/>
      <c r="L1217" s="29" t="s">
        <v>3085</v>
      </c>
      <c r="M1217" s="31"/>
      <c r="N1217" s="14" t="s">
        <v>84</v>
      </c>
      <c r="O1217" s="31"/>
      <c r="Q1217" s="36"/>
      <c r="R1217" s="36"/>
      <c r="S1217" s="36"/>
      <c r="T1217" s="36"/>
      <c r="V1217" s="31"/>
    </row>
    <row r="1218">
      <c r="A1218" s="14" t="s">
        <v>736</v>
      </c>
      <c r="B1218" s="351" t="s">
        <v>3751</v>
      </c>
      <c r="C1218" s="460" t="s">
        <v>3752</v>
      </c>
      <c r="D1218" s="50"/>
      <c r="E1218" s="348" t="str">
        <f t="shared" si="1178"/>
        <v>agosto 2026</v>
      </c>
      <c r="F1218" s="349">
        <v>46256.0</v>
      </c>
      <c r="G1218" s="24">
        <f t="shared" ref="G1218:H1218" si="1193">F1218</f>
        <v>46256</v>
      </c>
      <c r="H1218" s="26">
        <f t="shared" si="1193"/>
        <v>46256</v>
      </c>
      <c r="I1218" s="50" t="s">
        <v>90</v>
      </c>
      <c r="K1218" s="27"/>
      <c r="L1218" s="29" t="s">
        <v>3085</v>
      </c>
      <c r="M1218" s="31"/>
      <c r="N1218" s="14" t="s">
        <v>84</v>
      </c>
      <c r="O1218" s="31"/>
      <c r="Q1218" s="36"/>
      <c r="R1218" s="36"/>
      <c r="S1218" s="36"/>
      <c r="T1218" s="36"/>
      <c r="V1218" s="31"/>
    </row>
    <row r="1219">
      <c r="A1219" s="14" t="s">
        <v>736</v>
      </c>
      <c r="B1219" s="351" t="s">
        <v>3753</v>
      </c>
      <c r="C1219" s="460" t="s">
        <v>3754</v>
      </c>
      <c r="D1219" s="50"/>
      <c r="E1219" s="348" t="str">
        <f t="shared" si="1178"/>
        <v>agosto 2026</v>
      </c>
      <c r="F1219" s="349">
        <v>46256.0</v>
      </c>
      <c r="G1219" s="24">
        <f t="shared" ref="G1219:H1219" si="1194">F1219</f>
        <v>46256</v>
      </c>
      <c r="H1219" s="26">
        <f t="shared" si="1194"/>
        <v>46256</v>
      </c>
      <c r="I1219" s="50" t="s">
        <v>90</v>
      </c>
      <c r="K1219" s="27"/>
      <c r="L1219" s="29" t="s">
        <v>3085</v>
      </c>
      <c r="M1219" s="31"/>
      <c r="N1219" s="14" t="s">
        <v>84</v>
      </c>
      <c r="O1219" s="31"/>
      <c r="Q1219" s="36"/>
      <c r="R1219" s="36"/>
      <c r="S1219" s="36"/>
      <c r="T1219" s="36"/>
      <c r="V1219" s="31"/>
    </row>
    <row r="1220">
      <c r="A1220" s="14" t="s">
        <v>736</v>
      </c>
      <c r="B1220" s="351" t="s">
        <v>3755</v>
      </c>
      <c r="C1220" s="460" t="s">
        <v>3756</v>
      </c>
      <c r="D1220" s="50"/>
      <c r="E1220" s="348" t="str">
        <f t="shared" si="1178"/>
        <v>agosto 2026</v>
      </c>
      <c r="F1220" s="349">
        <v>46256.0</v>
      </c>
      <c r="G1220" s="24">
        <f t="shared" ref="G1220:H1220" si="1195">F1220</f>
        <v>46256</v>
      </c>
      <c r="H1220" s="26">
        <f t="shared" si="1195"/>
        <v>46256</v>
      </c>
      <c r="I1220" s="50" t="s">
        <v>90</v>
      </c>
      <c r="K1220" s="27"/>
      <c r="L1220" s="29" t="s">
        <v>3085</v>
      </c>
      <c r="M1220" s="31"/>
      <c r="N1220" s="14" t="s">
        <v>84</v>
      </c>
      <c r="O1220" s="31"/>
      <c r="Q1220" s="36"/>
      <c r="R1220" s="36"/>
      <c r="S1220" s="36"/>
      <c r="T1220" s="36"/>
      <c r="V1220" s="31"/>
    </row>
    <row r="1221">
      <c r="A1221" s="14" t="s">
        <v>736</v>
      </c>
      <c r="B1221" s="351" t="s">
        <v>3757</v>
      </c>
      <c r="C1221" s="460" t="s">
        <v>3758</v>
      </c>
      <c r="D1221" s="50"/>
      <c r="E1221" s="348" t="str">
        <f t="shared" si="1178"/>
        <v>agosto 2026</v>
      </c>
      <c r="F1221" s="349">
        <v>46256.0</v>
      </c>
      <c r="G1221" s="24">
        <f t="shared" ref="G1221:H1221" si="1196">F1221</f>
        <v>46256</v>
      </c>
      <c r="H1221" s="26">
        <f t="shared" si="1196"/>
        <v>46256</v>
      </c>
      <c r="I1221" s="50" t="s">
        <v>90</v>
      </c>
      <c r="K1221" s="27"/>
      <c r="L1221" s="29" t="s">
        <v>3085</v>
      </c>
      <c r="M1221" s="31"/>
      <c r="N1221" s="14" t="s">
        <v>84</v>
      </c>
      <c r="O1221" s="31"/>
      <c r="Q1221" s="36"/>
      <c r="R1221" s="36"/>
      <c r="S1221" s="36"/>
      <c r="T1221" s="36"/>
      <c r="V1221" s="31"/>
    </row>
    <row r="1222">
      <c r="A1222" s="14" t="s">
        <v>736</v>
      </c>
      <c r="B1222" s="351" t="s">
        <v>3759</v>
      </c>
      <c r="C1222" s="460" t="s">
        <v>3760</v>
      </c>
      <c r="D1222" s="50"/>
      <c r="E1222" s="348" t="str">
        <f t="shared" si="1178"/>
        <v>agosto 2026</v>
      </c>
      <c r="F1222" s="349">
        <v>46256.0</v>
      </c>
      <c r="G1222" s="24">
        <f t="shared" ref="G1222:H1222" si="1197">F1222</f>
        <v>46256</v>
      </c>
      <c r="H1222" s="26">
        <f t="shared" si="1197"/>
        <v>46256</v>
      </c>
      <c r="I1222" s="50" t="s">
        <v>90</v>
      </c>
      <c r="K1222" s="27"/>
      <c r="L1222" s="29" t="s">
        <v>3085</v>
      </c>
      <c r="M1222" s="31"/>
      <c r="N1222" s="14" t="s">
        <v>84</v>
      </c>
      <c r="O1222" s="31"/>
      <c r="Q1222" s="36"/>
      <c r="R1222" s="36"/>
      <c r="S1222" s="36"/>
      <c r="T1222" s="36"/>
      <c r="V1222" s="31"/>
    </row>
    <row r="1223">
      <c r="A1223" s="14" t="s">
        <v>736</v>
      </c>
      <c r="B1223" s="351" t="s">
        <v>3761</v>
      </c>
      <c r="C1223" s="460" t="s">
        <v>3762</v>
      </c>
      <c r="D1223" s="50"/>
      <c r="E1223" s="348" t="str">
        <f t="shared" si="1178"/>
        <v>agosto 2026</v>
      </c>
      <c r="F1223" s="349">
        <v>46256.0</v>
      </c>
      <c r="G1223" s="24">
        <f t="shared" ref="G1223:H1223" si="1198">F1223</f>
        <v>46256</v>
      </c>
      <c r="H1223" s="26">
        <f t="shared" si="1198"/>
        <v>46256</v>
      </c>
      <c r="I1223" s="50" t="s">
        <v>90</v>
      </c>
      <c r="K1223" s="27"/>
      <c r="L1223" s="29" t="s">
        <v>3085</v>
      </c>
      <c r="M1223" s="31"/>
      <c r="N1223" s="14" t="s">
        <v>84</v>
      </c>
      <c r="O1223" s="31"/>
      <c r="Q1223" s="36"/>
      <c r="R1223" s="36"/>
      <c r="S1223" s="36"/>
      <c r="T1223" s="36"/>
      <c r="V1223" s="31"/>
    </row>
    <row r="1224">
      <c r="A1224" s="14" t="s">
        <v>736</v>
      </c>
      <c r="B1224" s="351" t="s">
        <v>3763</v>
      </c>
      <c r="C1224" s="460" t="s">
        <v>3764</v>
      </c>
      <c r="D1224" s="50"/>
      <c r="E1224" s="348" t="str">
        <f t="shared" si="1178"/>
        <v>agosto 2026</v>
      </c>
      <c r="F1224" s="349">
        <v>46256.0</v>
      </c>
      <c r="G1224" s="24">
        <f t="shared" ref="G1224:H1224" si="1199">F1224</f>
        <v>46256</v>
      </c>
      <c r="H1224" s="26">
        <f t="shared" si="1199"/>
        <v>46256</v>
      </c>
      <c r="I1224" s="50" t="s">
        <v>90</v>
      </c>
      <c r="K1224" s="27"/>
      <c r="L1224" s="29" t="s">
        <v>3085</v>
      </c>
      <c r="M1224" s="31"/>
      <c r="N1224" s="14" t="s">
        <v>84</v>
      </c>
      <c r="O1224" s="31"/>
      <c r="Q1224" s="36"/>
      <c r="R1224" s="36"/>
      <c r="S1224" s="36"/>
      <c r="T1224" s="36"/>
      <c r="V1224" s="31"/>
    </row>
    <row r="1225">
      <c r="A1225" s="14" t="s">
        <v>736</v>
      </c>
      <c r="B1225" s="351" t="s">
        <v>3765</v>
      </c>
      <c r="C1225" s="460" t="s">
        <v>3766</v>
      </c>
      <c r="D1225" s="50"/>
      <c r="E1225" s="348" t="str">
        <f t="shared" si="1178"/>
        <v>agosto 2026</v>
      </c>
      <c r="F1225" s="349">
        <v>46256.0</v>
      </c>
      <c r="G1225" s="24">
        <f t="shared" ref="G1225:H1225" si="1200">F1225</f>
        <v>46256</v>
      </c>
      <c r="H1225" s="26">
        <f t="shared" si="1200"/>
        <v>46256</v>
      </c>
      <c r="I1225" s="50" t="s">
        <v>90</v>
      </c>
      <c r="K1225" s="27"/>
      <c r="L1225" s="29" t="s">
        <v>3085</v>
      </c>
      <c r="M1225" s="31"/>
      <c r="N1225" s="14" t="s">
        <v>84</v>
      </c>
      <c r="O1225" s="31"/>
      <c r="Q1225" s="36"/>
      <c r="R1225" s="36"/>
      <c r="S1225" s="36"/>
      <c r="T1225" s="36"/>
      <c r="V1225" s="31"/>
    </row>
    <row r="1226">
      <c r="A1226" s="14" t="s">
        <v>736</v>
      </c>
      <c r="B1226" s="351" t="s">
        <v>3767</v>
      </c>
      <c r="C1226" s="460" t="s">
        <v>3768</v>
      </c>
      <c r="D1226" s="50"/>
      <c r="E1226" s="348" t="str">
        <f t="shared" si="1178"/>
        <v>agosto 2026</v>
      </c>
      <c r="F1226" s="349">
        <v>46256.0</v>
      </c>
      <c r="G1226" s="24">
        <f t="shared" ref="G1226:H1226" si="1201">F1226</f>
        <v>46256</v>
      </c>
      <c r="H1226" s="26">
        <f t="shared" si="1201"/>
        <v>46256</v>
      </c>
      <c r="I1226" s="50" t="s">
        <v>90</v>
      </c>
      <c r="K1226" s="27"/>
      <c r="L1226" s="29" t="s">
        <v>3085</v>
      </c>
      <c r="M1226" s="31"/>
      <c r="N1226" s="14" t="s">
        <v>84</v>
      </c>
      <c r="O1226" s="31"/>
      <c r="Q1226" s="36"/>
      <c r="R1226" s="36"/>
      <c r="S1226" s="36"/>
      <c r="T1226" s="36"/>
      <c r="V1226" s="31"/>
    </row>
    <row r="1227">
      <c r="A1227" s="14" t="s">
        <v>736</v>
      </c>
      <c r="B1227" s="351" t="s">
        <v>3769</v>
      </c>
      <c r="C1227" s="460" t="s">
        <v>3770</v>
      </c>
      <c r="D1227" s="50"/>
      <c r="E1227" s="348" t="str">
        <f t="shared" si="1178"/>
        <v>agosto 2026</v>
      </c>
      <c r="F1227" s="349">
        <v>46256.0</v>
      </c>
      <c r="G1227" s="24">
        <f t="shared" ref="G1227:H1227" si="1202">F1227</f>
        <v>46256</v>
      </c>
      <c r="H1227" s="26">
        <f t="shared" si="1202"/>
        <v>46256</v>
      </c>
      <c r="I1227" s="50" t="s">
        <v>90</v>
      </c>
      <c r="K1227" s="27"/>
      <c r="L1227" s="29" t="s">
        <v>3085</v>
      </c>
      <c r="M1227" s="31"/>
      <c r="N1227" s="14" t="s">
        <v>84</v>
      </c>
      <c r="O1227" s="31"/>
      <c r="Q1227" s="36"/>
      <c r="R1227" s="36"/>
      <c r="S1227" s="36"/>
      <c r="T1227" s="36"/>
      <c r="V1227" s="31"/>
    </row>
    <row r="1228">
      <c r="A1228" s="14" t="s">
        <v>736</v>
      </c>
      <c r="B1228" s="351" t="s">
        <v>3771</v>
      </c>
      <c r="C1228" s="460" t="s">
        <v>3772</v>
      </c>
      <c r="D1228" s="50"/>
      <c r="E1228" s="348" t="str">
        <f t="shared" si="1178"/>
        <v>agosto 2026</v>
      </c>
      <c r="F1228" s="349">
        <v>46256.0</v>
      </c>
      <c r="G1228" s="24">
        <f t="shared" ref="G1228:H1228" si="1203">F1228</f>
        <v>46256</v>
      </c>
      <c r="H1228" s="26">
        <f t="shared" si="1203"/>
        <v>46256</v>
      </c>
      <c r="I1228" s="50" t="s">
        <v>90</v>
      </c>
      <c r="K1228" s="27"/>
      <c r="L1228" s="29" t="s">
        <v>3085</v>
      </c>
      <c r="M1228" s="31"/>
      <c r="N1228" s="14" t="s">
        <v>84</v>
      </c>
      <c r="O1228" s="31"/>
      <c r="Q1228" s="36"/>
      <c r="R1228" s="36"/>
      <c r="S1228" s="36"/>
      <c r="T1228" s="36"/>
      <c r="V1228" s="31"/>
    </row>
    <row r="1229">
      <c r="A1229" s="14" t="s">
        <v>736</v>
      </c>
      <c r="B1229" s="351" t="s">
        <v>3773</v>
      </c>
      <c r="C1229" s="460" t="s">
        <v>3774</v>
      </c>
      <c r="D1229" s="50"/>
      <c r="E1229" s="348" t="str">
        <f t="shared" si="1178"/>
        <v>agosto 2026</v>
      </c>
      <c r="F1229" s="349">
        <v>46256.0</v>
      </c>
      <c r="G1229" s="24">
        <f t="shared" ref="G1229:H1229" si="1204">F1229</f>
        <v>46256</v>
      </c>
      <c r="H1229" s="26">
        <f t="shared" si="1204"/>
        <v>46256</v>
      </c>
      <c r="I1229" s="50" t="s">
        <v>90</v>
      </c>
      <c r="K1229" s="27"/>
      <c r="L1229" s="29" t="s">
        <v>3085</v>
      </c>
      <c r="M1229" s="31"/>
      <c r="N1229" s="14" t="s">
        <v>84</v>
      </c>
      <c r="O1229" s="31"/>
      <c r="Q1229" s="36"/>
      <c r="R1229" s="36"/>
      <c r="S1229" s="36"/>
      <c r="T1229" s="36"/>
      <c r="V1229" s="31"/>
    </row>
    <row r="1230">
      <c r="A1230" s="14" t="s">
        <v>736</v>
      </c>
      <c r="B1230" s="351" t="s">
        <v>3775</v>
      </c>
      <c r="C1230" s="460" t="s">
        <v>3776</v>
      </c>
      <c r="D1230" s="50"/>
      <c r="E1230" s="348" t="str">
        <f t="shared" si="1178"/>
        <v>agosto 2026</v>
      </c>
      <c r="F1230" s="349">
        <v>46256.0</v>
      </c>
      <c r="G1230" s="24">
        <f t="shared" ref="G1230:H1230" si="1205">F1230</f>
        <v>46256</v>
      </c>
      <c r="H1230" s="26">
        <f t="shared" si="1205"/>
        <v>46256</v>
      </c>
      <c r="I1230" s="50" t="s">
        <v>90</v>
      </c>
      <c r="K1230" s="27"/>
      <c r="L1230" s="29" t="s">
        <v>3085</v>
      </c>
      <c r="M1230" s="31"/>
      <c r="N1230" s="14" t="s">
        <v>84</v>
      </c>
      <c r="O1230" s="31"/>
      <c r="Q1230" s="36"/>
      <c r="R1230" s="36"/>
      <c r="S1230" s="36"/>
      <c r="T1230" s="36"/>
      <c r="V1230" s="31"/>
    </row>
    <row r="1231">
      <c r="A1231" s="14" t="s">
        <v>736</v>
      </c>
      <c r="B1231" s="351" t="s">
        <v>3777</v>
      </c>
      <c r="C1231" s="460" t="s">
        <v>3778</v>
      </c>
      <c r="D1231" s="50"/>
      <c r="E1231" s="348" t="str">
        <f t="shared" si="1178"/>
        <v>agosto 2026</v>
      </c>
      <c r="F1231" s="349">
        <v>46256.0</v>
      </c>
      <c r="G1231" s="24">
        <f t="shared" ref="G1231:H1231" si="1206">F1231</f>
        <v>46256</v>
      </c>
      <c r="H1231" s="26">
        <f t="shared" si="1206"/>
        <v>46256</v>
      </c>
      <c r="I1231" s="50" t="s">
        <v>90</v>
      </c>
      <c r="K1231" s="27"/>
      <c r="L1231" s="29" t="s">
        <v>3085</v>
      </c>
      <c r="M1231" s="31"/>
      <c r="N1231" s="14" t="s">
        <v>84</v>
      </c>
      <c r="O1231" s="31"/>
      <c r="Q1231" s="36"/>
      <c r="R1231" s="36"/>
      <c r="S1231" s="36"/>
      <c r="T1231" s="36"/>
      <c r="V1231" s="31"/>
    </row>
    <row r="1232">
      <c r="A1232" s="14" t="s">
        <v>736</v>
      </c>
      <c r="B1232" s="351" t="s">
        <v>3779</v>
      </c>
      <c r="C1232" s="460" t="s">
        <v>3780</v>
      </c>
      <c r="D1232" s="50"/>
      <c r="E1232" s="348" t="str">
        <f t="shared" si="1178"/>
        <v>agosto 2026</v>
      </c>
      <c r="F1232" s="349">
        <v>46256.0</v>
      </c>
      <c r="G1232" s="24">
        <f t="shared" ref="G1232:H1232" si="1207">F1232</f>
        <v>46256</v>
      </c>
      <c r="H1232" s="26">
        <f t="shared" si="1207"/>
        <v>46256</v>
      </c>
      <c r="I1232" s="50" t="s">
        <v>90</v>
      </c>
      <c r="K1232" s="27"/>
      <c r="L1232" s="29" t="s">
        <v>3085</v>
      </c>
      <c r="M1232" s="31"/>
      <c r="N1232" s="14" t="s">
        <v>84</v>
      </c>
      <c r="O1232" s="31"/>
      <c r="Q1232" s="36"/>
      <c r="R1232" s="36"/>
      <c r="S1232" s="36"/>
      <c r="T1232" s="36"/>
      <c r="V1232" s="31"/>
    </row>
    <row r="1233">
      <c r="A1233" s="14" t="s">
        <v>736</v>
      </c>
      <c r="B1233" s="351" t="s">
        <v>3781</v>
      </c>
      <c r="C1233" s="460" t="s">
        <v>3782</v>
      </c>
      <c r="D1233" s="50"/>
      <c r="E1233" s="348" t="str">
        <f t="shared" si="1178"/>
        <v>agosto 2026</v>
      </c>
      <c r="F1233" s="349">
        <v>46256.0</v>
      </c>
      <c r="G1233" s="24">
        <f t="shared" ref="G1233:H1233" si="1208">F1233</f>
        <v>46256</v>
      </c>
      <c r="H1233" s="26">
        <f t="shared" si="1208"/>
        <v>46256</v>
      </c>
      <c r="I1233" s="50" t="s">
        <v>90</v>
      </c>
      <c r="K1233" s="27"/>
      <c r="L1233" s="29" t="s">
        <v>3085</v>
      </c>
      <c r="M1233" s="31"/>
      <c r="N1233" s="14" t="s">
        <v>84</v>
      </c>
      <c r="O1233" s="31"/>
      <c r="Q1233" s="36"/>
      <c r="R1233" s="36"/>
      <c r="S1233" s="36"/>
      <c r="T1233" s="36"/>
      <c r="V1233" s="31"/>
    </row>
    <row r="1234">
      <c r="A1234" s="14" t="s">
        <v>736</v>
      </c>
      <c r="B1234" s="351" t="s">
        <v>3783</v>
      </c>
      <c r="C1234" s="460" t="s">
        <v>3784</v>
      </c>
      <c r="D1234" s="50"/>
      <c r="E1234" s="348" t="str">
        <f t="shared" si="1178"/>
        <v>agosto 2026</v>
      </c>
      <c r="F1234" s="349">
        <v>46256.0</v>
      </c>
      <c r="G1234" s="24">
        <f t="shared" ref="G1234:H1234" si="1209">F1234</f>
        <v>46256</v>
      </c>
      <c r="H1234" s="26">
        <f t="shared" si="1209"/>
        <v>46256</v>
      </c>
      <c r="I1234" s="50" t="s">
        <v>90</v>
      </c>
      <c r="K1234" s="27"/>
      <c r="L1234" s="29" t="s">
        <v>3085</v>
      </c>
      <c r="M1234" s="31"/>
      <c r="N1234" s="14" t="s">
        <v>84</v>
      </c>
      <c r="O1234" s="31"/>
      <c r="Q1234" s="36"/>
      <c r="R1234" s="36"/>
      <c r="S1234" s="36"/>
      <c r="T1234" s="36"/>
      <c r="V1234" s="31"/>
    </row>
    <row r="1235">
      <c r="A1235" s="14" t="s">
        <v>736</v>
      </c>
      <c r="B1235" s="351" t="s">
        <v>3785</v>
      </c>
      <c r="C1235" s="460" t="s">
        <v>3786</v>
      </c>
      <c r="D1235" s="50"/>
      <c r="E1235" s="348" t="str">
        <f t="shared" si="1178"/>
        <v>agosto 2026</v>
      </c>
      <c r="F1235" s="349">
        <v>46256.0</v>
      </c>
      <c r="G1235" s="24">
        <f t="shared" ref="G1235:H1235" si="1210">F1235</f>
        <v>46256</v>
      </c>
      <c r="H1235" s="26">
        <f t="shared" si="1210"/>
        <v>46256</v>
      </c>
      <c r="I1235" s="50" t="s">
        <v>90</v>
      </c>
      <c r="K1235" s="27"/>
      <c r="L1235" s="29" t="s">
        <v>3085</v>
      </c>
      <c r="M1235" s="31"/>
      <c r="N1235" s="14" t="s">
        <v>84</v>
      </c>
      <c r="O1235" s="31"/>
      <c r="Q1235" s="36"/>
      <c r="R1235" s="36"/>
      <c r="S1235" s="36"/>
      <c r="T1235" s="36"/>
      <c r="V1235" s="31"/>
    </row>
    <row r="1236">
      <c r="A1236" s="14" t="s">
        <v>736</v>
      </c>
      <c r="B1236" s="351" t="s">
        <v>3787</v>
      </c>
      <c r="C1236" s="460" t="s">
        <v>3788</v>
      </c>
      <c r="D1236" s="50"/>
      <c r="E1236" s="348" t="str">
        <f t="shared" si="1178"/>
        <v>agosto 2026</v>
      </c>
      <c r="F1236" s="349">
        <v>46256.0</v>
      </c>
      <c r="G1236" s="24">
        <f t="shared" ref="G1236:H1236" si="1211">F1236</f>
        <v>46256</v>
      </c>
      <c r="H1236" s="26">
        <f t="shared" si="1211"/>
        <v>46256</v>
      </c>
      <c r="I1236" s="50" t="s">
        <v>90</v>
      </c>
      <c r="K1236" s="27"/>
      <c r="L1236" s="29" t="s">
        <v>3085</v>
      </c>
      <c r="M1236" s="31"/>
      <c r="N1236" s="14" t="s">
        <v>84</v>
      </c>
      <c r="O1236" s="31"/>
      <c r="Q1236" s="36"/>
      <c r="R1236" s="36"/>
      <c r="S1236" s="36"/>
      <c r="T1236" s="36"/>
      <c r="V1236" s="31"/>
    </row>
    <row r="1237">
      <c r="A1237" s="14" t="s">
        <v>736</v>
      </c>
      <c r="B1237" s="351" t="s">
        <v>3790</v>
      </c>
      <c r="C1237" s="460" t="s">
        <v>3791</v>
      </c>
      <c r="D1237" s="50"/>
      <c r="E1237" s="348" t="str">
        <f t="shared" si="1178"/>
        <v>agosto 2026</v>
      </c>
      <c r="F1237" s="349">
        <v>46256.0</v>
      </c>
      <c r="G1237" s="24">
        <f t="shared" ref="G1237:H1237" si="1212">F1237</f>
        <v>46256</v>
      </c>
      <c r="H1237" s="26">
        <f t="shared" si="1212"/>
        <v>46256</v>
      </c>
      <c r="I1237" s="50" t="s">
        <v>90</v>
      </c>
      <c r="K1237" s="27"/>
      <c r="L1237" s="29" t="s">
        <v>3085</v>
      </c>
      <c r="M1237" s="31"/>
      <c r="N1237" s="14" t="s">
        <v>84</v>
      </c>
      <c r="O1237" s="31"/>
      <c r="Q1237" s="36"/>
      <c r="R1237" s="36"/>
      <c r="S1237" s="36"/>
      <c r="T1237" s="36"/>
      <c r="V1237" s="31"/>
    </row>
    <row r="1238">
      <c r="A1238" s="14" t="s">
        <v>736</v>
      </c>
      <c r="B1238" s="351" t="s">
        <v>3792</v>
      </c>
      <c r="C1238" s="460" t="s">
        <v>3793</v>
      </c>
      <c r="D1238" s="50"/>
      <c r="E1238" s="348" t="str">
        <f t="shared" si="1178"/>
        <v>agosto 2026</v>
      </c>
      <c r="F1238" s="349">
        <v>46256.0</v>
      </c>
      <c r="G1238" s="24">
        <f t="shared" ref="G1238:H1238" si="1213">F1238</f>
        <v>46256</v>
      </c>
      <c r="H1238" s="26">
        <f t="shared" si="1213"/>
        <v>46256</v>
      </c>
      <c r="I1238" s="50" t="s">
        <v>90</v>
      </c>
      <c r="K1238" s="27"/>
      <c r="L1238" s="29" t="s">
        <v>3085</v>
      </c>
      <c r="M1238" s="31"/>
      <c r="N1238" s="14" t="s">
        <v>84</v>
      </c>
      <c r="O1238" s="31"/>
      <c r="Q1238" s="36"/>
      <c r="R1238" s="36"/>
      <c r="S1238" s="36"/>
      <c r="T1238" s="36"/>
      <c r="V1238" s="31"/>
    </row>
    <row r="1239">
      <c r="A1239" s="14" t="s">
        <v>736</v>
      </c>
      <c r="B1239" s="351" t="s">
        <v>3795</v>
      </c>
      <c r="C1239" s="460" t="s">
        <v>3796</v>
      </c>
      <c r="D1239" s="50"/>
      <c r="E1239" s="348" t="str">
        <f t="shared" si="1178"/>
        <v>agosto 2026</v>
      </c>
      <c r="F1239" s="349">
        <v>46256.0</v>
      </c>
      <c r="G1239" s="24">
        <f t="shared" ref="G1239:H1239" si="1214">F1239</f>
        <v>46256</v>
      </c>
      <c r="H1239" s="26">
        <f t="shared" si="1214"/>
        <v>46256</v>
      </c>
      <c r="I1239" s="50" t="s">
        <v>90</v>
      </c>
      <c r="K1239" s="27"/>
      <c r="L1239" s="29" t="s">
        <v>3085</v>
      </c>
      <c r="M1239" s="31"/>
      <c r="N1239" s="14" t="s">
        <v>84</v>
      </c>
      <c r="O1239" s="31"/>
      <c r="Q1239" s="36"/>
      <c r="R1239" s="36"/>
      <c r="S1239" s="36"/>
      <c r="T1239" s="36"/>
      <c r="V1239" s="31"/>
    </row>
    <row r="1240">
      <c r="A1240" s="14" t="s">
        <v>736</v>
      </c>
      <c r="B1240" s="351" t="s">
        <v>3798</v>
      </c>
      <c r="C1240" s="460" t="s">
        <v>3799</v>
      </c>
      <c r="D1240" s="50"/>
      <c r="E1240" s="348" t="str">
        <f t="shared" si="1178"/>
        <v>agosto 2026</v>
      </c>
      <c r="F1240" s="349">
        <v>46256.0</v>
      </c>
      <c r="G1240" s="24">
        <f t="shared" ref="G1240:H1240" si="1215">F1240</f>
        <v>46256</v>
      </c>
      <c r="H1240" s="26">
        <f t="shared" si="1215"/>
        <v>46256</v>
      </c>
      <c r="I1240" s="50" t="s">
        <v>90</v>
      </c>
      <c r="K1240" s="27"/>
      <c r="L1240" s="29" t="s">
        <v>3085</v>
      </c>
      <c r="M1240" s="31"/>
      <c r="N1240" s="14" t="s">
        <v>84</v>
      </c>
      <c r="O1240" s="31"/>
      <c r="Q1240" s="36"/>
      <c r="R1240" s="36"/>
      <c r="S1240" s="36"/>
      <c r="T1240" s="36"/>
      <c r="V1240" s="31"/>
    </row>
    <row r="1241">
      <c r="A1241" s="14" t="s">
        <v>736</v>
      </c>
      <c r="B1241" s="351" t="s">
        <v>3800</v>
      </c>
      <c r="C1241" s="460" t="s">
        <v>3801</v>
      </c>
      <c r="D1241" s="50"/>
      <c r="E1241" s="348" t="str">
        <f t="shared" si="1178"/>
        <v>agosto 2026</v>
      </c>
      <c r="F1241" s="349">
        <v>46256.0</v>
      </c>
      <c r="G1241" s="24">
        <f t="shared" ref="G1241:H1241" si="1216">F1241</f>
        <v>46256</v>
      </c>
      <c r="H1241" s="26">
        <f t="shared" si="1216"/>
        <v>46256</v>
      </c>
      <c r="I1241" s="50" t="s">
        <v>90</v>
      </c>
      <c r="K1241" s="27"/>
      <c r="L1241" s="29" t="s">
        <v>3085</v>
      </c>
      <c r="M1241" s="31"/>
      <c r="N1241" s="14" t="s">
        <v>84</v>
      </c>
      <c r="O1241" s="31"/>
      <c r="Q1241" s="36"/>
      <c r="R1241" s="36"/>
      <c r="S1241" s="36"/>
      <c r="T1241" s="36"/>
      <c r="V1241" s="31"/>
    </row>
    <row r="1242">
      <c r="A1242" s="14" t="s">
        <v>736</v>
      </c>
      <c r="B1242" s="351" t="s">
        <v>3802</v>
      </c>
      <c r="C1242" s="460" t="s">
        <v>3803</v>
      </c>
      <c r="D1242" s="50"/>
      <c r="E1242" s="348" t="str">
        <f t="shared" si="1178"/>
        <v>agosto 2026</v>
      </c>
      <c r="F1242" s="349">
        <v>46256.0</v>
      </c>
      <c r="G1242" s="24">
        <f t="shared" ref="G1242:H1242" si="1217">F1242</f>
        <v>46256</v>
      </c>
      <c r="H1242" s="26">
        <f t="shared" si="1217"/>
        <v>46256</v>
      </c>
      <c r="I1242" s="50" t="s">
        <v>90</v>
      </c>
      <c r="K1242" s="27"/>
      <c r="L1242" s="29" t="s">
        <v>3085</v>
      </c>
      <c r="M1242" s="31"/>
      <c r="N1242" s="14" t="s">
        <v>84</v>
      </c>
      <c r="O1242" s="31"/>
      <c r="Q1242" s="36"/>
      <c r="R1242" s="36"/>
      <c r="S1242" s="36"/>
      <c r="T1242" s="36"/>
      <c r="V1242" s="31"/>
    </row>
    <row r="1243">
      <c r="A1243" s="14" t="s">
        <v>736</v>
      </c>
      <c r="B1243" s="351" t="s">
        <v>3804</v>
      </c>
      <c r="C1243" s="460" t="s">
        <v>3805</v>
      </c>
      <c r="D1243" s="50"/>
      <c r="E1243" s="348" t="str">
        <f t="shared" si="1178"/>
        <v>agosto 2026</v>
      </c>
      <c r="F1243" s="349">
        <v>46256.0</v>
      </c>
      <c r="G1243" s="24">
        <f t="shared" ref="G1243:H1243" si="1218">F1243</f>
        <v>46256</v>
      </c>
      <c r="H1243" s="26">
        <f t="shared" si="1218"/>
        <v>46256</v>
      </c>
      <c r="I1243" s="50" t="s">
        <v>90</v>
      </c>
      <c r="K1243" s="27"/>
      <c r="L1243" s="29" t="s">
        <v>3085</v>
      </c>
      <c r="M1243" s="31"/>
      <c r="N1243" s="14" t="s">
        <v>84</v>
      </c>
      <c r="O1243" s="31"/>
      <c r="Q1243" s="36"/>
      <c r="R1243" s="36"/>
      <c r="S1243" s="36"/>
      <c r="T1243" s="36"/>
      <c r="V1243" s="31"/>
    </row>
    <row r="1244">
      <c r="A1244" s="14" t="s">
        <v>736</v>
      </c>
      <c r="B1244" s="351" t="s">
        <v>3806</v>
      </c>
      <c r="C1244" s="460" t="s">
        <v>3807</v>
      </c>
      <c r="D1244" s="50"/>
      <c r="E1244" s="348" t="str">
        <f t="shared" si="1178"/>
        <v>agosto 2026</v>
      </c>
      <c r="F1244" s="349">
        <v>46256.0</v>
      </c>
      <c r="G1244" s="24">
        <f t="shared" ref="G1244:H1244" si="1219">F1244</f>
        <v>46256</v>
      </c>
      <c r="H1244" s="26">
        <f t="shared" si="1219"/>
        <v>46256</v>
      </c>
      <c r="I1244" s="50" t="s">
        <v>90</v>
      </c>
      <c r="K1244" s="27"/>
      <c r="L1244" s="29" t="s">
        <v>3085</v>
      </c>
      <c r="M1244" s="31"/>
      <c r="N1244" s="14" t="s">
        <v>84</v>
      </c>
      <c r="O1244" s="31"/>
      <c r="Q1244" s="36"/>
      <c r="R1244" s="36"/>
      <c r="S1244" s="36"/>
      <c r="T1244" s="36"/>
      <c r="V1244" s="31"/>
    </row>
    <row r="1245">
      <c r="A1245" s="14" t="s">
        <v>736</v>
      </c>
      <c r="B1245" s="351" t="s">
        <v>3808</v>
      </c>
      <c r="C1245" s="460" t="s">
        <v>3809</v>
      </c>
      <c r="D1245" s="50"/>
      <c r="E1245" s="348" t="str">
        <f t="shared" si="1178"/>
        <v>agosto 2026</v>
      </c>
      <c r="F1245" s="349">
        <v>46256.0</v>
      </c>
      <c r="G1245" s="24">
        <f t="shared" ref="G1245:H1245" si="1220">F1245</f>
        <v>46256</v>
      </c>
      <c r="H1245" s="26">
        <f t="shared" si="1220"/>
        <v>46256</v>
      </c>
      <c r="I1245" s="50" t="s">
        <v>90</v>
      </c>
      <c r="K1245" s="27"/>
      <c r="L1245" s="29" t="s">
        <v>3085</v>
      </c>
      <c r="M1245" s="31"/>
      <c r="N1245" s="14" t="s">
        <v>84</v>
      </c>
      <c r="O1245" s="31"/>
      <c r="Q1245" s="36"/>
      <c r="R1245" s="36"/>
      <c r="S1245" s="36"/>
      <c r="T1245" s="36"/>
      <c r="V1245" s="31"/>
    </row>
    <row r="1246">
      <c r="A1246" s="14" t="s">
        <v>736</v>
      </c>
      <c r="B1246" s="351" t="s">
        <v>3810</v>
      </c>
      <c r="C1246" s="460" t="s">
        <v>3811</v>
      </c>
      <c r="D1246" s="50"/>
      <c r="E1246" s="348" t="str">
        <f t="shared" si="1178"/>
        <v>agosto 2026</v>
      </c>
      <c r="F1246" s="349">
        <v>46256.0</v>
      </c>
      <c r="G1246" s="24">
        <f t="shared" ref="G1246:H1246" si="1221">F1246</f>
        <v>46256</v>
      </c>
      <c r="H1246" s="26">
        <f t="shared" si="1221"/>
        <v>46256</v>
      </c>
      <c r="I1246" s="50" t="s">
        <v>90</v>
      </c>
      <c r="K1246" s="27"/>
      <c r="L1246" s="29" t="s">
        <v>3085</v>
      </c>
      <c r="M1246" s="31"/>
      <c r="N1246" s="14" t="s">
        <v>84</v>
      </c>
      <c r="O1246" s="31"/>
      <c r="Q1246" s="36"/>
      <c r="R1246" s="36"/>
      <c r="S1246" s="36"/>
      <c r="T1246" s="36"/>
      <c r="V1246" s="31"/>
    </row>
    <row r="1247">
      <c r="A1247" s="14" t="s">
        <v>736</v>
      </c>
      <c r="B1247" s="351" t="s">
        <v>3812</v>
      </c>
      <c r="C1247" s="460" t="s">
        <v>3813</v>
      </c>
      <c r="D1247" s="50"/>
      <c r="E1247" s="348" t="str">
        <f t="shared" si="1178"/>
        <v>agosto 2026</v>
      </c>
      <c r="F1247" s="349">
        <v>46256.0</v>
      </c>
      <c r="G1247" s="24">
        <f t="shared" ref="G1247:H1247" si="1222">F1247</f>
        <v>46256</v>
      </c>
      <c r="H1247" s="26">
        <f t="shared" si="1222"/>
        <v>46256</v>
      </c>
      <c r="I1247" s="50" t="s">
        <v>90</v>
      </c>
      <c r="K1247" s="27"/>
      <c r="L1247" s="29" t="s">
        <v>3085</v>
      </c>
      <c r="M1247" s="31"/>
      <c r="N1247" s="14" t="s">
        <v>84</v>
      </c>
      <c r="O1247" s="31"/>
      <c r="Q1247" s="36"/>
      <c r="R1247" s="36"/>
      <c r="S1247" s="36"/>
      <c r="T1247" s="36"/>
      <c r="V1247" s="31"/>
    </row>
    <row r="1248">
      <c r="A1248" s="14" t="s">
        <v>736</v>
      </c>
      <c r="B1248" s="351" t="s">
        <v>3814</v>
      </c>
      <c r="C1248" s="460" t="s">
        <v>3815</v>
      </c>
      <c r="D1248" s="50"/>
      <c r="E1248" s="348" t="str">
        <f t="shared" si="1178"/>
        <v>agosto 2026</v>
      </c>
      <c r="F1248" s="349">
        <v>46256.0</v>
      </c>
      <c r="G1248" s="24">
        <f t="shared" ref="G1248:H1248" si="1223">F1248</f>
        <v>46256</v>
      </c>
      <c r="H1248" s="26">
        <f t="shared" si="1223"/>
        <v>46256</v>
      </c>
      <c r="I1248" s="50" t="s">
        <v>90</v>
      </c>
      <c r="K1248" s="27"/>
      <c r="L1248" s="29" t="s">
        <v>3085</v>
      </c>
      <c r="M1248" s="31"/>
      <c r="N1248" s="14" t="s">
        <v>84</v>
      </c>
      <c r="O1248" s="31"/>
      <c r="Q1248" s="36"/>
      <c r="R1248" s="36"/>
      <c r="S1248" s="36"/>
      <c r="T1248" s="36"/>
      <c r="V1248" s="31"/>
    </row>
    <row r="1249">
      <c r="A1249" s="14" t="s">
        <v>736</v>
      </c>
      <c r="B1249" s="351" t="s">
        <v>3816</v>
      </c>
      <c r="C1249" s="460" t="s">
        <v>3817</v>
      </c>
      <c r="D1249" s="50"/>
      <c r="E1249" s="348" t="str">
        <f t="shared" si="1178"/>
        <v>septiembre 2026</v>
      </c>
      <c r="F1249" s="349">
        <v>46279.0</v>
      </c>
      <c r="G1249" s="24">
        <f t="shared" ref="G1249:H1249" si="1224">F1249</f>
        <v>46279</v>
      </c>
      <c r="H1249" s="26">
        <f t="shared" si="1224"/>
        <v>46279</v>
      </c>
      <c r="I1249" s="50" t="s">
        <v>90</v>
      </c>
      <c r="K1249" s="27"/>
      <c r="L1249" s="29" t="s">
        <v>3085</v>
      </c>
      <c r="M1249" s="31"/>
      <c r="N1249" s="14" t="s">
        <v>84</v>
      </c>
      <c r="O1249" s="31"/>
      <c r="Q1249" s="36"/>
      <c r="R1249" s="36"/>
      <c r="S1249" s="36"/>
      <c r="T1249" s="36"/>
      <c r="V1249" s="31"/>
    </row>
    <row r="1250">
      <c r="A1250" s="14" t="s">
        <v>736</v>
      </c>
      <c r="B1250" s="351" t="s">
        <v>3818</v>
      </c>
      <c r="C1250" s="460" t="s">
        <v>3819</v>
      </c>
      <c r="D1250" s="50"/>
      <c r="E1250" s="348" t="str">
        <f t="shared" si="1178"/>
        <v>agosto 2026</v>
      </c>
      <c r="F1250" s="349">
        <v>46263.0</v>
      </c>
      <c r="G1250" s="24">
        <f t="shared" ref="G1250:H1250" si="1225">F1250</f>
        <v>46263</v>
      </c>
      <c r="H1250" s="26">
        <f t="shared" si="1225"/>
        <v>46263</v>
      </c>
      <c r="I1250" s="50" t="s">
        <v>90</v>
      </c>
      <c r="K1250" s="27"/>
      <c r="L1250" s="29" t="s">
        <v>3085</v>
      </c>
      <c r="M1250" s="31"/>
      <c r="N1250" s="14" t="s">
        <v>84</v>
      </c>
      <c r="O1250" s="31"/>
      <c r="Q1250" s="36"/>
      <c r="R1250" s="36"/>
      <c r="S1250" s="36"/>
      <c r="T1250" s="36"/>
      <c r="V1250" s="31"/>
    </row>
    <row r="1251">
      <c r="A1251" s="14" t="s">
        <v>736</v>
      </c>
      <c r="B1251" s="351" t="s">
        <v>3820</v>
      </c>
      <c r="C1251" s="460" t="s">
        <v>3821</v>
      </c>
      <c r="D1251" s="50"/>
      <c r="E1251" s="348" t="str">
        <f t="shared" si="1178"/>
        <v>septiembre 2026</v>
      </c>
      <c r="F1251" s="349">
        <v>46277.0</v>
      </c>
      <c r="G1251" s="24">
        <f t="shared" ref="G1251:H1251" si="1226">F1251</f>
        <v>46277</v>
      </c>
      <c r="H1251" s="26">
        <f t="shared" si="1226"/>
        <v>46277</v>
      </c>
      <c r="I1251" s="50" t="s">
        <v>90</v>
      </c>
      <c r="K1251" s="27"/>
      <c r="L1251" s="29" t="s">
        <v>3085</v>
      </c>
      <c r="M1251" s="31"/>
      <c r="N1251" s="14" t="s">
        <v>84</v>
      </c>
      <c r="O1251" s="31"/>
      <c r="Q1251" s="36"/>
      <c r="R1251" s="36"/>
      <c r="S1251" s="36"/>
      <c r="T1251" s="36"/>
      <c r="V1251" s="31"/>
    </row>
    <row r="1252">
      <c r="A1252" s="14" t="s">
        <v>736</v>
      </c>
      <c r="B1252" s="351" t="s">
        <v>3822</v>
      </c>
      <c r="C1252" s="460" t="s">
        <v>3823</v>
      </c>
      <c r="D1252" s="50"/>
      <c r="E1252" s="348" t="str">
        <f t="shared" si="1178"/>
        <v>agosto 2026</v>
      </c>
      <c r="F1252" s="349">
        <v>46265.0</v>
      </c>
      <c r="G1252" s="24">
        <f t="shared" ref="G1252:H1252" si="1227">F1252</f>
        <v>46265</v>
      </c>
      <c r="H1252" s="26">
        <f t="shared" si="1227"/>
        <v>46265</v>
      </c>
      <c r="I1252" s="50" t="s">
        <v>90</v>
      </c>
      <c r="K1252" s="27"/>
      <c r="L1252" s="29" t="s">
        <v>3085</v>
      </c>
      <c r="M1252" s="31"/>
      <c r="N1252" s="14" t="s">
        <v>84</v>
      </c>
      <c r="O1252" s="31"/>
      <c r="Q1252" s="36"/>
      <c r="R1252" s="36"/>
      <c r="S1252" s="36"/>
      <c r="T1252" s="36"/>
      <c r="V1252" s="31"/>
    </row>
    <row r="1253">
      <c r="A1253" s="14" t="s">
        <v>736</v>
      </c>
      <c r="B1253" s="351" t="s">
        <v>3824</v>
      </c>
      <c r="C1253" s="460" t="s">
        <v>3825</v>
      </c>
      <c r="D1253" s="50"/>
      <c r="E1253" s="348" t="str">
        <f t="shared" si="1178"/>
        <v>agosto 2026</v>
      </c>
      <c r="F1253" s="349">
        <v>46265.0</v>
      </c>
      <c r="G1253" s="24">
        <f t="shared" ref="G1253:H1253" si="1228">F1253</f>
        <v>46265</v>
      </c>
      <c r="H1253" s="26">
        <f t="shared" si="1228"/>
        <v>46265</v>
      </c>
      <c r="I1253" s="50" t="s">
        <v>90</v>
      </c>
      <c r="K1253" s="27"/>
      <c r="L1253" s="29" t="s">
        <v>3085</v>
      </c>
      <c r="M1253" s="31"/>
      <c r="N1253" s="14" t="s">
        <v>84</v>
      </c>
      <c r="O1253" s="31"/>
      <c r="Q1253" s="36"/>
      <c r="R1253" s="36"/>
      <c r="S1253" s="36"/>
      <c r="T1253" s="36"/>
      <c r="V1253" s="31"/>
    </row>
    <row r="1254">
      <c r="A1254" s="14" t="s">
        <v>736</v>
      </c>
      <c r="B1254" s="351" t="s">
        <v>3826</v>
      </c>
      <c r="C1254" s="460" t="s">
        <v>3827</v>
      </c>
      <c r="D1254" s="50"/>
      <c r="E1254" s="348" t="str">
        <f t="shared" si="1178"/>
        <v>agosto 2026</v>
      </c>
      <c r="F1254" s="349">
        <v>46265.0</v>
      </c>
      <c r="G1254" s="24">
        <f t="shared" ref="G1254:H1254" si="1229">F1254</f>
        <v>46265</v>
      </c>
      <c r="H1254" s="26">
        <f t="shared" si="1229"/>
        <v>46265</v>
      </c>
      <c r="I1254" s="50" t="s">
        <v>90</v>
      </c>
      <c r="K1254" s="27"/>
      <c r="L1254" s="29" t="s">
        <v>3085</v>
      </c>
      <c r="M1254" s="31"/>
      <c r="N1254" s="14" t="s">
        <v>84</v>
      </c>
      <c r="O1254" s="31"/>
      <c r="Q1254" s="36"/>
      <c r="R1254" s="36"/>
      <c r="S1254" s="36"/>
      <c r="T1254" s="36"/>
      <c r="V1254" s="31"/>
    </row>
    <row r="1255">
      <c r="A1255" s="14" t="s">
        <v>736</v>
      </c>
      <c r="B1255" s="351" t="s">
        <v>3828</v>
      </c>
      <c r="C1255" s="460" t="s">
        <v>3829</v>
      </c>
      <c r="D1255" s="50"/>
      <c r="E1255" s="348" t="str">
        <f t="shared" si="1178"/>
        <v>septiembre 2026</v>
      </c>
      <c r="F1255" s="349">
        <v>46272.0</v>
      </c>
      <c r="G1255" s="24">
        <f t="shared" ref="G1255:H1255" si="1230">F1255</f>
        <v>46272</v>
      </c>
      <c r="H1255" s="26">
        <f t="shared" si="1230"/>
        <v>46272</v>
      </c>
      <c r="I1255" s="50" t="s">
        <v>90</v>
      </c>
      <c r="K1255" s="27"/>
      <c r="L1255" s="29" t="s">
        <v>3085</v>
      </c>
      <c r="M1255" s="31"/>
      <c r="N1255" s="14" t="s">
        <v>84</v>
      </c>
      <c r="O1255" s="31"/>
      <c r="Q1255" s="36"/>
      <c r="R1255" s="36"/>
      <c r="S1255" s="36"/>
      <c r="T1255" s="36"/>
      <c r="V1255" s="31"/>
    </row>
    <row r="1256">
      <c r="A1256" s="14" t="s">
        <v>736</v>
      </c>
      <c r="B1256" s="351" t="s">
        <v>3830</v>
      </c>
      <c r="C1256" s="460" t="s">
        <v>3831</v>
      </c>
      <c r="D1256" s="50"/>
      <c r="E1256" s="348" t="str">
        <f t="shared" si="1178"/>
        <v>septiembre 2026</v>
      </c>
      <c r="F1256" s="349">
        <v>46280.0</v>
      </c>
      <c r="G1256" s="24">
        <f t="shared" ref="G1256:H1256" si="1231">F1256</f>
        <v>46280</v>
      </c>
      <c r="H1256" s="26">
        <f t="shared" si="1231"/>
        <v>46280</v>
      </c>
      <c r="I1256" s="50" t="s">
        <v>90</v>
      </c>
      <c r="K1256" s="27"/>
      <c r="L1256" s="29" t="s">
        <v>3085</v>
      </c>
      <c r="M1256" s="31"/>
      <c r="N1256" s="14" t="s">
        <v>84</v>
      </c>
      <c r="O1256" s="31"/>
      <c r="Q1256" s="36"/>
      <c r="R1256" s="36"/>
      <c r="S1256" s="36"/>
      <c r="T1256" s="36"/>
      <c r="V1256" s="31"/>
    </row>
    <row r="1257">
      <c r="A1257" s="14" t="s">
        <v>736</v>
      </c>
      <c r="B1257" s="351" t="s">
        <v>3832</v>
      </c>
      <c r="C1257" s="460" t="s">
        <v>3833</v>
      </c>
      <c r="D1257" s="50"/>
      <c r="E1257" s="348" t="str">
        <f t="shared" si="1178"/>
        <v>diciembre 1899</v>
      </c>
      <c r="F1257" s="349"/>
      <c r="G1257" s="24" t="str">
        <f t="shared" ref="G1257:H1257" si="1232">F1257</f>
        <v/>
      </c>
      <c r="H1257" s="26" t="str">
        <f t="shared" si="1232"/>
        <v/>
      </c>
      <c r="I1257" s="50" t="s">
        <v>90</v>
      </c>
      <c r="K1257" s="27"/>
      <c r="L1257" s="29" t="s">
        <v>3085</v>
      </c>
      <c r="M1257" s="31"/>
      <c r="N1257" s="14" t="s">
        <v>84</v>
      </c>
      <c r="O1257" s="31"/>
      <c r="Q1257" s="36"/>
      <c r="R1257" s="36"/>
      <c r="S1257" s="36"/>
      <c r="T1257" s="36"/>
      <c r="V1257" s="31"/>
    </row>
    <row r="1258">
      <c r="A1258" s="14" t="s">
        <v>736</v>
      </c>
      <c r="B1258" s="351" t="s">
        <v>3834</v>
      </c>
      <c r="C1258" s="460" t="s">
        <v>3835</v>
      </c>
      <c r="D1258" s="50"/>
      <c r="E1258" s="348" t="str">
        <f t="shared" si="1178"/>
        <v>septiembre 2026</v>
      </c>
      <c r="F1258" s="349">
        <v>46280.0</v>
      </c>
      <c r="G1258" s="24">
        <f t="shared" ref="G1258:H1258" si="1233">F1258</f>
        <v>46280</v>
      </c>
      <c r="H1258" s="26">
        <f t="shared" si="1233"/>
        <v>46280</v>
      </c>
      <c r="I1258" s="50" t="s">
        <v>90</v>
      </c>
      <c r="K1258" s="27"/>
      <c r="L1258" s="29" t="s">
        <v>3085</v>
      </c>
      <c r="M1258" s="31"/>
      <c r="N1258" s="14" t="s">
        <v>84</v>
      </c>
      <c r="O1258" s="31"/>
      <c r="Q1258" s="36"/>
      <c r="R1258" s="36"/>
      <c r="S1258" s="36"/>
      <c r="T1258" s="36"/>
      <c r="V1258" s="31"/>
    </row>
    <row r="1259">
      <c r="A1259" s="14" t="s">
        <v>736</v>
      </c>
      <c r="B1259" s="351" t="s">
        <v>3836</v>
      </c>
      <c r="C1259" s="460" t="s">
        <v>3837</v>
      </c>
      <c r="D1259" s="50"/>
      <c r="E1259" s="348" t="str">
        <f t="shared" si="1178"/>
        <v>septiembre 2026</v>
      </c>
      <c r="F1259" s="349">
        <v>46283.0</v>
      </c>
      <c r="G1259" s="24">
        <f t="shared" ref="G1259:H1259" si="1234">F1259</f>
        <v>46283</v>
      </c>
      <c r="H1259" s="26">
        <f t="shared" si="1234"/>
        <v>46283</v>
      </c>
      <c r="I1259" s="50" t="s">
        <v>90</v>
      </c>
      <c r="K1259" s="27"/>
      <c r="L1259" s="29" t="s">
        <v>3085</v>
      </c>
      <c r="M1259" s="31"/>
      <c r="N1259" s="14" t="s">
        <v>84</v>
      </c>
      <c r="O1259" s="31"/>
      <c r="Q1259" s="36"/>
      <c r="R1259" s="36"/>
      <c r="S1259" s="36"/>
      <c r="T1259" s="36"/>
      <c r="V1259" s="31"/>
    </row>
    <row r="1260">
      <c r="A1260" s="14" t="s">
        <v>736</v>
      </c>
      <c r="B1260" s="351" t="s">
        <v>3838</v>
      </c>
      <c r="C1260" s="460" t="s">
        <v>3839</v>
      </c>
      <c r="D1260" s="50"/>
      <c r="E1260" s="348" t="str">
        <f t="shared" si="1178"/>
        <v>diciembre 1899</v>
      </c>
      <c r="F1260" s="349"/>
      <c r="G1260" s="24" t="str">
        <f t="shared" ref="G1260:H1260" si="1235">F1260</f>
        <v/>
      </c>
      <c r="H1260" s="26" t="str">
        <f t="shared" si="1235"/>
        <v/>
      </c>
      <c r="I1260" s="50" t="s">
        <v>90</v>
      </c>
      <c r="K1260" s="27"/>
      <c r="L1260" s="29" t="s">
        <v>3085</v>
      </c>
      <c r="M1260" s="31"/>
      <c r="N1260" s="14" t="s">
        <v>84</v>
      </c>
      <c r="O1260" s="31"/>
      <c r="Q1260" s="36"/>
      <c r="R1260" s="36"/>
      <c r="S1260" s="36"/>
      <c r="T1260" s="36"/>
      <c r="V1260" s="31"/>
    </row>
    <row r="1261">
      <c r="A1261" s="14" t="s">
        <v>736</v>
      </c>
      <c r="B1261" s="351" t="s">
        <v>3840</v>
      </c>
      <c r="C1261" s="460" t="s">
        <v>3841</v>
      </c>
      <c r="D1261" s="50"/>
      <c r="E1261" s="348" t="str">
        <f t="shared" si="1178"/>
        <v>septiembre 2026</v>
      </c>
      <c r="F1261" s="349">
        <v>46280.0</v>
      </c>
      <c r="G1261" s="24">
        <f t="shared" ref="G1261:H1261" si="1236">F1261</f>
        <v>46280</v>
      </c>
      <c r="H1261" s="26">
        <f t="shared" si="1236"/>
        <v>46280</v>
      </c>
      <c r="I1261" s="50" t="s">
        <v>90</v>
      </c>
      <c r="K1261" s="27"/>
      <c r="L1261" s="29" t="s">
        <v>3085</v>
      </c>
      <c r="M1261" s="31"/>
      <c r="N1261" s="14" t="s">
        <v>84</v>
      </c>
      <c r="O1261" s="31"/>
      <c r="Q1261" s="36"/>
      <c r="R1261" s="36"/>
      <c r="S1261" s="36"/>
      <c r="T1261" s="36"/>
      <c r="V1261" s="31"/>
    </row>
    <row r="1262">
      <c r="A1262" s="14" t="s">
        <v>736</v>
      </c>
      <c r="B1262" s="351" t="s">
        <v>3842</v>
      </c>
      <c r="C1262" s="460" t="s">
        <v>3843</v>
      </c>
      <c r="D1262" s="50"/>
      <c r="E1262" s="348" t="str">
        <f t="shared" si="1178"/>
        <v>septiembre 2026</v>
      </c>
      <c r="F1262" s="349">
        <v>46286.0</v>
      </c>
      <c r="G1262" s="24">
        <f t="shared" ref="G1262:H1262" si="1237">F1262</f>
        <v>46286</v>
      </c>
      <c r="H1262" s="26">
        <f t="shared" si="1237"/>
        <v>46286</v>
      </c>
      <c r="I1262" s="50" t="s">
        <v>90</v>
      </c>
      <c r="K1262" s="27"/>
      <c r="L1262" s="29" t="s">
        <v>3085</v>
      </c>
      <c r="M1262" s="31"/>
      <c r="N1262" s="14" t="s">
        <v>84</v>
      </c>
      <c r="O1262" s="31"/>
      <c r="Q1262" s="36"/>
      <c r="R1262" s="36"/>
      <c r="S1262" s="36"/>
      <c r="T1262" s="36"/>
      <c r="V1262" s="31"/>
    </row>
    <row r="1263">
      <c r="A1263" s="14" t="s">
        <v>736</v>
      </c>
      <c r="B1263" s="351" t="s">
        <v>3844</v>
      </c>
      <c r="C1263" s="460" t="s">
        <v>3845</v>
      </c>
      <c r="D1263" s="50"/>
      <c r="E1263" s="348" t="str">
        <f t="shared" si="1178"/>
        <v>septiembre 2026</v>
      </c>
      <c r="F1263" s="349">
        <v>46288.0</v>
      </c>
      <c r="G1263" s="24">
        <f t="shared" ref="G1263:H1263" si="1238">F1263</f>
        <v>46288</v>
      </c>
      <c r="H1263" s="26">
        <f t="shared" si="1238"/>
        <v>46288</v>
      </c>
      <c r="I1263" s="50" t="s">
        <v>90</v>
      </c>
      <c r="K1263" s="27"/>
      <c r="L1263" s="29" t="s">
        <v>3085</v>
      </c>
      <c r="M1263" s="31"/>
      <c r="N1263" s="14" t="s">
        <v>84</v>
      </c>
      <c r="O1263" s="31"/>
      <c r="Q1263" s="36"/>
      <c r="R1263" s="36"/>
      <c r="S1263" s="36"/>
      <c r="T1263" s="36"/>
      <c r="V1263" s="31"/>
    </row>
    <row r="1264">
      <c r="A1264" s="14" t="s">
        <v>736</v>
      </c>
      <c r="B1264" s="351" t="s">
        <v>3846</v>
      </c>
      <c r="C1264" s="460" t="s">
        <v>3847</v>
      </c>
      <c r="D1264" s="50"/>
      <c r="E1264" s="348" t="str">
        <f t="shared" si="1178"/>
        <v>diciembre 1899</v>
      </c>
      <c r="F1264" s="349"/>
      <c r="G1264" s="24" t="str">
        <f t="shared" ref="G1264:H1264" si="1239">F1264</f>
        <v/>
      </c>
      <c r="H1264" s="26" t="str">
        <f t="shared" si="1239"/>
        <v/>
      </c>
      <c r="I1264" s="50" t="s">
        <v>90</v>
      </c>
      <c r="K1264" s="27"/>
      <c r="L1264" s="29" t="s">
        <v>3085</v>
      </c>
      <c r="M1264" s="31"/>
      <c r="N1264" s="14" t="s">
        <v>84</v>
      </c>
      <c r="O1264" s="31"/>
      <c r="Q1264" s="36"/>
      <c r="R1264" s="36"/>
      <c r="S1264" s="36"/>
      <c r="T1264" s="36"/>
      <c r="V1264" s="31"/>
    </row>
    <row r="1265">
      <c r="A1265" s="14" t="s">
        <v>736</v>
      </c>
      <c r="B1265" s="351" t="s">
        <v>3848</v>
      </c>
      <c r="C1265" s="460" t="s">
        <v>3849</v>
      </c>
      <c r="D1265" s="50"/>
      <c r="E1265" s="348" t="str">
        <f t="shared" si="1178"/>
        <v>diciembre 1899</v>
      </c>
      <c r="F1265" s="349"/>
      <c r="G1265" s="24" t="str">
        <f t="shared" ref="G1265:H1265" si="1240">F1265</f>
        <v/>
      </c>
      <c r="H1265" s="26" t="str">
        <f t="shared" si="1240"/>
        <v/>
      </c>
      <c r="I1265" s="50" t="s">
        <v>90</v>
      </c>
      <c r="K1265" s="27"/>
      <c r="L1265" s="29" t="s">
        <v>3085</v>
      </c>
      <c r="M1265" s="31"/>
      <c r="N1265" s="14" t="s">
        <v>84</v>
      </c>
      <c r="O1265" s="31"/>
      <c r="Q1265" s="36"/>
      <c r="R1265" s="36"/>
      <c r="S1265" s="36"/>
      <c r="T1265" s="36"/>
      <c r="V1265" s="31"/>
    </row>
    <row r="1266">
      <c r="A1266" s="14" t="s">
        <v>736</v>
      </c>
      <c r="B1266" s="351" t="s">
        <v>3850</v>
      </c>
      <c r="C1266" s="460" t="s">
        <v>3851</v>
      </c>
      <c r="D1266" s="50"/>
      <c r="E1266" s="348" t="str">
        <f t="shared" si="1178"/>
        <v>diciembre 1899</v>
      </c>
      <c r="F1266" s="349"/>
      <c r="G1266" s="24" t="str">
        <f t="shared" ref="G1266:H1266" si="1241">F1266</f>
        <v/>
      </c>
      <c r="H1266" s="26" t="str">
        <f t="shared" si="1241"/>
        <v/>
      </c>
      <c r="I1266" s="50" t="s">
        <v>90</v>
      </c>
      <c r="K1266" s="27"/>
      <c r="L1266" s="29" t="s">
        <v>3085</v>
      </c>
      <c r="M1266" s="31"/>
      <c r="N1266" s="14" t="s">
        <v>84</v>
      </c>
      <c r="O1266" s="31"/>
      <c r="Q1266" s="36"/>
      <c r="R1266" s="36"/>
      <c r="S1266" s="36"/>
      <c r="T1266" s="36"/>
      <c r="V1266" s="31"/>
    </row>
    <row r="1267">
      <c r="A1267" s="14" t="s">
        <v>736</v>
      </c>
      <c r="B1267" s="351" t="s">
        <v>3852</v>
      </c>
      <c r="C1267" s="460" t="s">
        <v>3853</v>
      </c>
      <c r="D1267" s="50"/>
      <c r="E1267" s="348" t="str">
        <f t="shared" si="1178"/>
        <v>diciembre 1899</v>
      </c>
      <c r="F1267" s="349"/>
      <c r="G1267" s="24" t="str">
        <f t="shared" ref="G1267:H1267" si="1242">F1267</f>
        <v/>
      </c>
      <c r="H1267" s="26" t="str">
        <f t="shared" si="1242"/>
        <v/>
      </c>
      <c r="I1267" s="50" t="s">
        <v>90</v>
      </c>
      <c r="K1267" s="27"/>
      <c r="L1267" s="29" t="s">
        <v>3085</v>
      </c>
      <c r="M1267" s="31"/>
      <c r="N1267" s="14" t="s">
        <v>84</v>
      </c>
      <c r="O1267" s="31"/>
      <c r="Q1267" s="36"/>
      <c r="R1267" s="36"/>
      <c r="S1267" s="36"/>
      <c r="T1267" s="36"/>
      <c r="V1267" s="31"/>
    </row>
    <row r="1268">
      <c r="A1268" s="14" t="s">
        <v>736</v>
      </c>
      <c r="B1268" s="351" t="s">
        <v>3854</v>
      </c>
      <c r="C1268" s="460" t="s">
        <v>3855</v>
      </c>
      <c r="D1268" s="50"/>
      <c r="E1268" s="348" t="str">
        <f t="shared" si="1178"/>
        <v>diciembre 1899</v>
      </c>
      <c r="F1268" s="349"/>
      <c r="G1268" s="24" t="str">
        <f t="shared" ref="G1268:H1268" si="1243">F1268</f>
        <v/>
      </c>
      <c r="H1268" s="26" t="str">
        <f t="shared" si="1243"/>
        <v/>
      </c>
      <c r="I1268" s="50" t="s">
        <v>90</v>
      </c>
      <c r="K1268" s="27"/>
      <c r="L1268" s="29" t="s">
        <v>3085</v>
      </c>
      <c r="M1268" s="31"/>
      <c r="N1268" s="14" t="s">
        <v>84</v>
      </c>
      <c r="O1268" s="31"/>
      <c r="Q1268" s="36"/>
      <c r="R1268" s="36"/>
      <c r="S1268" s="36"/>
      <c r="T1268" s="36"/>
      <c r="V1268" s="31"/>
    </row>
    <row r="1269">
      <c r="A1269" s="14" t="s">
        <v>736</v>
      </c>
      <c r="B1269" s="351" t="s">
        <v>3856</v>
      </c>
      <c r="C1269" s="460" t="s">
        <v>3857</v>
      </c>
      <c r="D1269" s="50"/>
      <c r="E1269" s="348" t="str">
        <f t="shared" si="1178"/>
        <v>diciembre 1899</v>
      </c>
      <c r="F1269" s="349"/>
      <c r="G1269" s="24" t="str">
        <f t="shared" ref="G1269:H1269" si="1244">F1269</f>
        <v/>
      </c>
      <c r="H1269" s="26" t="str">
        <f t="shared" si="1244"/>
        <v/>
      </c>
      <c r="I1269" s="50" t="s">
        <v>90</v>
      </c>
      <c r="K1269" s="27"/>
      <c r="L1269" s="29" t="s">
        <v>3085</v>
      </c>
      <c r="M1269" s="31"/>
      <c r="N1269" s="14" t="s">
        <v>84</v>
      </c>
      <c r="O1269" s="31"/>
      <c r="Q1269" s="36"/>
      <c r="R1269" s="36"/>
      <c r="S1269" s="36"/>
      <c r="T1269" s="36"/>
      <c r="V1269" s="31"/>
    </row>
    <row r="1270">
      <c r="A1270" s="14" t="s">
        <v>736</v>
      </c>
      <c r="B1270" s="351" t="s">
        <v>3858</v>
      </c>
      <c r="C1270" s="460" t="s">
        <v>3859</v>
      </c>
      <c r="D1270" s="50"/>
      <c r="E1270" s="348" t="str">
        <f t="shared" si="1178"/>
        <v>diciembre 1899</v>
      </c>
      <c r="F1270" s="349"/>
      <c r="G1270" s="24" t="str">
        <f t="shared" ref="G1270:H1270" si="1245">F1270</f>
        <v/>
      </c>
      <c r="H1270" s="26" t="str">
        <f t="shared" si="1245"/>
        <v/>
      </c>
      <c r="I1270" s="50" t="s">
        <v>90</v>
      </c>
      <c r="K1270" s="27"/>
      <c r="L1270" s="29" t="s">
        <v>3085</v>
      </c>
      <c r="M1270" s="31"/>
      <c r="N1270" s="14" t="s">
        <v>84</v>
      </c>
      <c r="O1270" s="31"/>
      <c r="Q1270" s="36"/>
      <c r="R1270" s="36"/>
      <c r="S1270" s="36"/>
      <c r="T1270" s="36"/>
      <c r="V1270" s="31"/>
    </row>
    <row r="1271">
      <c r="A1271" s="14" t="s">
        <v>736</v>
      </c>
      <c r="B1271" s="351" t="s">
        <v>3860</v>
      </c>
      <c r="C1271" s="460" t="s">
        <v>3861</v>
      </c>
      <c r="D1271" s="50"/>
      <c r="E1271" s="348" t="str">
        <f t="shared" si="1178"/>
        <v>diciembre 1899</v>
      </c>
      <c r="F1271" s="349"/>
      <c r="G1271" s="24" t="str">
        <f t="shared" ref="G1271:H1271" si="1246">F1271</f>
        <v/>
      </c>
      <c r="H1271" s="26" t="str">
        <f t="shared" si="1246"/>
        <v/>
      </c>
      <c r="I1271" s="50" t="s">
        <v>90</v>
      </c>
      <c r="K1271" s="27"/>
      <c r="L1271" s="29" t="s">
        <v>3085</v>
      </c>
      <c r="M1271" s="31"/>
      <c r="N1271" s="14" t="s">
        <v>84</v>
      </c>
      <c r="O1271" s="31"/>
      <c r="Q1271" s="36"/>
      <c r="R1271" s="36"/>
      <c r="S1271" s="36"/>
      <c r="T1271" s="36"/>
      <c r="V1271" s="31"/>
    </row>
    <row r="1272">
      <c r="A1272" s="14" t="s">
        <v>736</v>
      </c>
      <c r="B1272" s="351" t="s">
        <v>3863</v>
      </c>
      <c r="C1272" s="460" t="s">
        <v>3864</v>
      </c>
      <c r="D1272" s="50"/>
      <c r="E1272" s="348" t="str">
        <f t="shared" si="1178"/>
        <v>diciembre 1899</v>
      </c>
      <c r="F1272" s="349"/>
      <c r="G1272" s="24" t="str">
        <f t="shared" ref="G1272:H1272" si="1247">F1272</f>
        <v/>
      </c>
      <c r="H1272" s="26" t="str">
        <f t="shared" si="1247"/>
        <v/>
      </c>
      <c r="I1272" s="50" t="s">
        <v>90</v>
      </c>
      <c r="K1272" s="27"/>
      <c r="L1272" s="29" t="s">
        <v>3085</v>
      </c>
      <c r="M1272" s="31"/>
      <c r="N1272" s="14" t="s">
        <v>84</v>
      </c>
      <c r="O1272" s="31"/>
      <c r="Q1272" s="36"/>
      <c r="R1272" s="36"/>
      <c r="S1272" s="36"/>
      <c r="T1272" s="36"/>
      <c r="V1272" s="31"/>
    </row>
    <row r="1273">
      <c r="A1273" s="14" t="s">
        <v>736</v>
      </c>
      <c r="B1273" s="351" t="s">
        <v>3865</v>
      </c>
      <c r="C1273" s="460" t="s">
        <v>3866</v>
      </c>
      <c r="D1273" s="50"/>
      <c r="E1273" s="348" t="str">
        <f t="shared" si="1178"/>
        <v>diciembre 1899</v>
      </c>
      <c r="F1273" s="349"/>
      <c r="G1273" s="24" t="str">
        <f t="shared" ref="G1273:H1273" si="1248">F1273</f>
        <v/>
      </c>
      <c r="H1273" s="26" t="str">
        <f t="shared" si="1248"/>
        <v/>
      </c>
      <c r="I1273" s="50" t="s">
        <v>90</v>
      </c>
      <c r="K1273" s="27"/>
      <c r="L1273" s="29" t="s">
        <v>3085</v>
      </c>
      <c r="M1273" s="31"/>
      <c r="N1273" s="14" t="s">
        <v>84</v>
      </c>
      <c r="O1273" s="31"/>
      <c r="Q1273" s="36"/>
      <c r="R1273" s="36"/>
      <c r="S1273" s="36"/>
      <c r="T1273" s="36"/>
      <c r="V1273" s="31"/>
    </row>
    <row r="1274">
      <c r="A1274" s="14" t="s">
        <v>736</v>
      </c>
      <c r="B1274" s="351" t="s">
        <v>3868</v>
      </c>
      <c r="C1274" s="460" t="s">
        <v>3869</v>
      </c>
      <c r="D1274" s="50"/>
      <c r="E1274" s="348" t="str">
        <f t="shared" si="1178"/>
        <v>diciembre 1899</v>
      </c>
      <c r="F1274" s="349"/>
      <c r="G1274" s="24" t="str">
        <f t="shared" ref="G1274:H1274" si="1249">F1274</f>
        <v/>
      </c>
      <c r="H1274" s="26" t="str">
        <f t="shared" si="1249"/>
        <v/>
      </c>
      <c r="I1274" s="50" t="s">
        <v>90</v>
      </c>
      <c r="K1274" s="27"/>
      <c r="L1274" s="29" t="s">
        <v>3085</v>
      </c>
      <c r="M1274" s="31"/>
      <c r="N1274" s="14" t="s">
        <v>84</v>
      </c>
      <c r="O1274" s="31"/>
      <c r="Q1274" s="36"/>
      <c r="R1274" s="36"/>
      <c r="S1274" s="36"/>
      <c r="T1274" s="36"/>
      <c r="V1274" s="31"/>
    </row>
    <row r="1275">
      <c r="A1275" s="14" t="s">
        <v>736</v>
      </c>
      <c r="B1275" s="351" t="s">
        <v>3870</v>
      </c>
      <c r="C1275" s="460" t="s">
        <v>3871</v>
      </c>
      <c r="D1275" s="50"/>
      <c r="E1275" s="348" t="str">
        <f t="shared" si="1178"/>
        <v>septiembre 2026</v>
      </c>
      <c r="F1275" s="349">
        <v>46288.0</v>
      </c>
      <c r="G1275" s="24">
        <f t="shared" ref="G1275:H1275" si="1250">F1275</f>
        <v>46288</v>
      </c>
      <c r="H1275" s="26">
        <f t="shared" si="1250"/>
        <v>46288</v>
      </c>
      <c r="I1275" s="50" t="s">
        <v>90</v>
      </c>
      <c r="K1275" s="27"/>
      <c r="L1275" s="29" t="s">
        <v>3085</v>
      </c>
      <c r="M1275" s="31"/>
      <c r="N1275" s="14" t="s">
        <v>84</v>
      </c>
      <c r="O1275" s="31"/>
      <c r="Q1275" s="36"/>
      <c r="R1275" s="36"/>
      <c r="S1275" s="36"/>
      <c r="T1275" s="36"/>
      <c r="V1275" s="31"/>
    </row>
    <row r="1276">
      <c r="A1276" s="14" t="s">
        <v>736</v>
      </c>
      <c r="B1276" s="351" t="s">
        <v>3873</v>
      </c>
      <c r="C1276" s="460" t="s">
        <v>3874</v>
      </c>
      <c r="D1276" s="50"/>
      <c r="E1276" s="348" t="str">
        <f t="shared" si="1178"/>
        <v>septiembre 2026</v>
      </c>
      <c r="F1276" s="349">
        <v>46284.0</v>
      </c>
      <c r="G1276" s="24">
        <f t="shared" ref="G1276:H1276" si="1251">F1276</f>
        <v>46284</v>
      </c>
      <c r="H1276" s="26">
        <f t="shared" si="1251"/>
        <v>46284</v>
      </c>
      <c r="I1276" s="50" t="s">
        <v>90</v>
      </c>
      <c r="K1276" s="27"/>
      <c r="L1276" s="29" t="s">
        <v>3085</v>
      </c>
      <c r="M1276" s="31"/>
      <c r="N1276" s="14" t="s">
        <v>84</v>
      </c>
      <c r="O1276" s="31"/>
      <c r="Q1276" s="36"/>
      <c r="R1276" s="36"/>
      <c r="S1276" s="36"/>
      <c r="T1276" s="36"/>
      <c r="V1276" s="31"/>
    </row>
    <row r="1277">
      <c r="A1277" s="14" t="s">
        <v>736</v>
      </c>
      <c r="B1277" s="351" t="s">
        <v>3875</v>
      </c>
      <c r="C1277" s="460" t="s">
        <v>3876</v>
      </c>
      <c r="D1277" s="50"/>
      <c r="E1277" s="348" t="str">
        <f t="shared" si="1178"/>
        <v>septiembre 2026</v>
      </c>
      <c r="F1277" s="349">
        <v>46284.0</v>
      </c>
      <c r="G1277" s="24">
        <f t="shared" ref="G1277:H1277" si="1252">F1277</f>
        <v>46284</v>
      </c>
      <c r="H1277" s="26">
        <f t="shared" si="1252"/>
        <v>46284</v>
      </c>
      <c r="I1277" s="50" t="s">
        <v>90</v>
      </c>
      <c r="K1277" s="27"/>
      <c r="L1277" s="29" t="s">
        <v>3085</v>
      </c>
      <c r="M1277" s="31"/>
      <c r="N1277" s="14" t="s">
        <v>84</v>
      </c>
      <c r="O1277" s="31"/>
      <c r="Q1277" s="36"/>
      <c r="R1277" s="36"/>
      <c r="S1277" s="36"/>
      <c r="T1277" s="36"/>
      <c r="V1277" s="31"/>
    </row>
    <row r="1278">
      <c r="A1278" s="14" t="s">
        <v>736</v>
      </c>
      <c r="B1278" s="351" t="s">
        <v>3877</v>
      </c>
      <c r="C1278" s="460" t="s">
        <v>3878</v>
      </c>
      <c r="D1278" s="50"/>
      <c r="E1278" s="348" t="str">
        <f t="shared" si="1178"/>
        <v>septiembre 2026</v>
      </c>
      <c r="F1278" s="349">
        <v>46284.0</v>
      </c>
      <c r="G1278" s="24">
        <f t="shared" ref="G1278:H1278" si="1253">F1278</f>
        <v>46284</v>
      </c>
      <c r="H1278" s="26">
        <f t="shared" si="1253"/>
        <v>46284</v>
      </c>
      <c r="I1278" s="50" t="s">
        <v>90</v>
      </c>
      <c r="K1278" s="27"/>
      <c r="L1278" s="29" t="s">
        <v>3085</v>
      </c>
      <c r="M1278" s="31"/>
      <c r="N1278" s="14" t="s">
        <v>84</v>
      </c>
      <c r="O1278" s="31"/>
      <c r="Q1278" s="36"/>
      <c r="R1278" s="36"/>
      <c r="S1278" s="36"/>
      <c r="T1278" s="36"/>
      <c r="V1278" s="31"/>
    </row>
    <row r="1279">
      <c r="A1279" s="14" t="s">
        <v>736</v>
      </c>
      <c r="B1279" s="351" t="s">
        <v>3879</v>
      </c>
      <c r="C1279" s="460" t="s">
        <v>3880</v>
      </c>
      <c r="D1279" s="50"/>
      <c r="E1279" s="348" t="str">
        <f t="shared" si="1178"/>
        <v>septiembre 2026</v>
      </c>
      <c r="F1279" s="349">
        <v>46284.0</v>
      </c>
      <c r="G1279" s="24">
        <f t="shared" ref="G1279:H1279" si="1254">F1279</f>
        <v>46284</v>
      </c>
      <c r="H1279" s="26">
        <f t="shared" si="1254"/>
        <v>46284</v>
      </c>
      <c r="I1279" s="50" t="s">
        <v>90</v>
      </c>
      <c r="K1279" s="27"/>
      <c r="L1279" s="29" t="s">
        <v>3085</v>
      </c>
      <c r="M1279" s="31"/>
      <c r="N1279" s="14" t="s">
        <v>84</v>
      </c>
      <c r="O1279" s="31"/>
      <c r="Q1279" s="36"/>
      <c r="R1279" s="36"/>
      <c r="S1279" s="36"/>
      <c r="T1279" s="36"/>
      <c r="V1279" s="31"/>
    </row>
    <row r="1280">
      <c r="A1280" s="14" t="s">
        <v>736</v>
      </c>
      <c r="B1280" s="351" t="s">
        <v>3881</v>
      </c>
      <c r="C1280" s="460" t="s">
        <v>3882</v>
      </c>
      <c r="D1280" s="50"/>
      <c r="E1280" s="348" t="str">
        <f t="shared" si="1178"/>
        <v>septiembre 2026</v>
      </c>
      <c r="F1280" s="349">
        <v>46288.0</v>
      </c>
      <c r="G1280" s="24">
        <f t="shared" ref="G1280:H1280" si="1255">F1280</f>
        <v>46288</v>
      </c>
      <c r="H1280" s="26">
        <f t="shared" si="1255"/>
        <v>46288</v>
      </c>
      <c r="I1280" s="50" t="s">
        <v>90</v>
      </c>
      <c r="K1280" s="27"/>
      <c r="L1280" s="29" t="s">
        <v>3085</v>
      </c>
      <c r="M1280" s="31"/>
      <c r="N1280" s="14" t="s">
        <v>84</v>
      </c>
      <c r="O1280" s="31"/>
      <c r="Q1280" s="36"/>
      <c r="R1280" s="36"/>
      <c r="S1280" s="36"/>
      <c r="T1280" s="36"/>
      <c r="V1280" s="31"/>
    </row>
    <row r="1281">
      <c r="A1281" s="14" t="s">
        <v>736</v>
      </c>
      <c r="B1281" s="351" t="s">
        <v>3883</v>
      </c>
      <c r="C1281" s="460" t="s">
        <v>3884</v>
      </c>
      <c r="D1281" s="50"/>
      <c r="E1281" s="348" t="str">
        <f t="shared" si="1178"/>
        <v>diciembre 1899</v>
      </c>
      <c r="F1281" s="349"/>
      <c r="G1281" s="24" t="str">
        <f t="shared" ref="G1281:H1281" si="1256">F1281</f>
        <v/>
      </c>
      <c r="H1281" s="26" t="str">
        <f t="shared" si="1256"/>
        <v/>
      </c>
      <c r="I1281" s="50" t="s">
        <v>90</v>
      </c>
      <c r="K1281" s="27"/>
      <c r="L1281" s="29" t="s">
        <v>3085</v>
      </c>
      <c r="M1281" s="31"/>
      <c r="N1281" s="14" t="s">
        <v>84</v>
      </c>
      <c r="O1281" s="31"/>
      <c r="Q1281" s="36"/>
      <c r="R1281" s="36"/>
      <c r="S1281" s="36"/>
      <c r="T1281" s="36"/>
      <c r="V1281" s="31"/>
    </row>
    <row r="1282">
      <c r="A1282" s="14" t="s">
        <v>736</v>
      </c>
      <c r="B1282" s="351" t="s">
        <v>3885</v>
      </c>
      <c r="C1282" s="460" t="s">
        <v>3886</v>
      </c>
      <c r="D1282" s="50"/>
      <c r="E1282" s="348" t="str">
        <f t="shared" si="1178"/>
        <v>diciembre 1899</v>
      </c>
      <c r="F1282" s="349"/>
      <c r="G1282" s="24" t="str">
        <f t="shared" ref="G1282:H1282" si="1257">F1282</f>
        <v/>
      </c>
      <c r="H1282" s="26" t="str">
        <f t="shared" si="1257"/>
        <v/>
      </c>
      <c r="I1282" s="50" t="s">
        <v>90</v>
      </c>
      <c r="K1282" s="27"/>
      <c r="L1282" s="29" t="s">
        <v>3085</v>
      </c>
      <c r="M1282" s="31"/>
      <c r="N1282" s="14" t="s">
        <v>84</v>
      </c>
      <c r="O1282" s="31"/>
      <c r="Q1282" s="36"/>
      <c r="R1282" s="36"/>
      <c r="S1282" s="36"/>
      <c r="T1282" s="36"/>
      <c r="V1282" s="31"/>
    </row>
    <row r="1283">
      <c r="A1283" s="14" t="s">
        <v>736</v>
      </c>
      <c r="B1283" s="351" t="s">
        <v>3887</v>
      </c>
      <c r="C1283" s="460" t="s">
        <v>3888</v>
      </c>
      <c r="D1283" s="50"/>
      <c r="E1283" s="348" t="str">
        <f t="shared" si="1178"/>
        <v>septiembre 2026</v>
      </c>
      <c r="F1283" s="349">
        <v>46289.0</v>
      </c>
      <c r="G1283" s="24">
        <f t="shared" ref="G1283:H1283" si="1258">F1283</f>
        <v>46289</v>
      </c>
      <c r="H1283" s="26">
        <f t="shared" si="1258"/>
        <v>46289</v>
      </c>
      <c r="I1283" s="50" t="s">
        <v>90</v>
      </c>
      <c r="K1283" s="27"/>
      <c r="L1283" s="29" t="s">
        <v>3085</v>
      </c>
      <c r="M1283" s="31"/>
      <c r="N1283" s="14" t="s">
        <v>84</v>
      </c>
      <c r="O1283" s="31"/>
      <c r="Q1283" s="36"/>
      <c r="R1283" s="36"/>
      <c r="S1283" s="36"/>
      <c r="T1283" s="36"/>
      <c r="V1283" s="31"/>
    </row>
    <row r="1284">
      <c r="A1284" s="14" t="s">
        <v>736</v>
      </c>
      <c r="B1284" s="351" t="s">
        <v>3889</v>
      </c>
      <c r="C1284" s="460" t="s">
        <v>3890</v>
      </c>
      <c r="D1284" s="50"/>
      <c r="E1284" s="348" t="str">
        <f t="shared" si="1178"/>
        <v>septiembre 2026</v>
      </c>
      <c r="F1284" s="349">
        <v>46289.0</v>
      </c>
      <c r="G1284" s="24">
        <f t="shared" ref="G1284:H1284" si="1259">F1284</f>
        <v>46289</v>
      </c>
      <c r="H1284" s="26">
        <f t="shared" si="1259"/>
        <v>46289</v>
      </c>
      <c r="I1284" s="50" t="s">
        <v>90</v>
      </c>
      <c r="K1284" s="27"/>
      <c r="L1284" s="29" t="s">
        <v>3085</v>
      </c>
      <c r="M1284" s="31"/>
      <c r="N1284" s="14" t="s">
        <v>84</v>
      </c>
      <c r="O1284" s="31"/>
      <c r="Q1284" s="36"/>
      <c r="R1284" s="36"/>
      <c r="S1284" s="36"/>
      <c r="T1284" s="36"/>
      <c r="V1284" s="31"/>
    </row>
    <row r="1285">
      <c r="A1285" s="14" t="s">
        <v>736</v>
      </c>
      <c r="B1285" s="351" t="s">
        <v>3891</v>
      </c>
      <c r="C1285" s="460" t="s">
        <v>3892</v>
      </c>
      <c r="D1285" s="50"/>
      <c r="E1285" s="348" t="str">
        <f t="shared" si="1178"/>
        <v>septiembre 2026</v>
      </c>
      <c r="F1285" s="349">
        <v>46289.0</v>
      </c>
      <c r="G1285" s="24">
        <f t="shared" ref="G1285:H1285" si="1260">F1285</f>
        <v>46289</v>
      </c>
      <c r="H1285" s="26">
        <f t="shared" si="1260"/>
        <v>46289</v>
      </c>
      <c r="I1285" s="50" t="s">
        <v>90</v>
      </c>
      <c r="K1285" s="27"/>
      <c r="L1285" s="29" t="s">
        <v>3085</v>
      </c>
      <c r="M1285" s="31"/>
      <c r="N1285" s="14" t="s">
        <v>84</v>
      </c>
      <c r="O1285" s="31"/>
      <c r="Q1285" s="36"/>
      <c r="R1285" s="36"/>
      <c r="S1285" s="36"/>
      <c r="T1285" s="36"/>
      <c r="V1285" s="31"/>
    </row>
    <row r="1286">
      <c r="A1286" s="14" t="s">
        <v>736</v>
      </c>
      <c r="B1286" s="351" t="s">
        <v>3893</v>
      </c>
      <c r="C1286" s="460" t="s">
        <v>3894</v>
      </c>
      <c r="D1286" s="50"/>
      <c r="E1286" s="348" t="str">
        <f t="shared" si="1178"/>
        <v>septiembre 2026</v>
      </c>
      <c r="F1286" s="349">
        <v>46289.0</v>
      </c>
      <c r="G1286" s="24">
        <f t="shared" ref="G1286:H1286" si="1261">F1286</f>
        <v>46289</v>
      </c>
      <c r="H1286" s="26">
        <f t="shared" si="1261"/>
        <v>46289</v>
      </c>
      <c r="I1286" s="50" t="s">
        <v>90</v>
      </c>
      <c r="K1286" s="27"/>
      <c r="L1286" s="29" t="s">
        <v>3085</v>
      </c>
      <c r="M1286" s="31"/>
      <c r="N1286" s="14" t="s">
        <v>84</v>
      </c>
      <c r="O1286" s="31"/>
      <c r="Q1286" s="36"/>
      <c r="R1286" s="36"/>
      <c r="S1286" s="36"/>
      <c r="T1286" s="36"/>
      <c r="V1286" s="31"/>
    </row>
    <row r="1287">
      <c r="A1287" s="14" t="s">
        <v>736</v>
      </c>
      <c r="B1287" s="351" t="s">
        <v>3895</v>
      </c>
      <c r="C1287" s="460" t="s">
        <v>3896</v>
      </c>
      <c r="D1287" s="50"/>
      <c r="E1287" s="348" t="str">
        <f t="shared" si="1178"/>
        <v>septiembre 2026</v>
      </c>
      <c r="F1287" s="349">
        <v>46289.0</v>
      </c>
      <c r="G1287" s="24">
        <f t="shared" ref="G1287:H1287" si="1262">F1287</f>
        <v>46289</v>
      </c>
      <c r="H1287" s="26">
        <f t="shared" si="1262"/>
        <v>46289</v>
      </c>
      <c r="I1287" s="50" t="s">
        <v>90</v>
      </c>
      <c r="K1287" s="27"/>
      <c r="L1287" s="29" t="s">
        <v>3085</v>
      </c>
      <c r="M1287" s="31"/>
      <c r="N1287" s="14" t="s">
        <v>84</v>
      </c>
      <c r="O1287" s="31"/>
      <c r="Q1287" s="36"/>
      <c r="R1287" s="36"/>
      <c r="S1287" s="36"/>
      <c r="T1287" s="36"/>
      <c r="V1287" s="31"/>
    </row>
    <row r="1288">
      <c r="A1288" s="14" t="s">
        <v>736</v>
      </c>
      <c r="B1288" s="351" t="s">
        <v>3897</v>
      </c>
      <c r="C1288" s="460" t="s">
        <v>3898</v>
      </c>
      <c r="D1288" s="50"/>
      <c r="E1288" s="348" t="str">
        <f t="shared" si="1178"/>
        <v>diciembre 1899</v>
      </c>
      <c r="F1288" s="349"/>
      <c r="G1288" s="24" t="str">
        <f t="shared" ref="G1288:H1288" si="1263">F1288</f>
        <v/>
      </c>
      <c r="H1288" s="26" t="str">
        <f t="shared" si="1263"/>
        <v/>
      </c>
      <c r="I1288" s="50" t="s">
        <v>90</v>
      </c>
      <c r="K1288" s="27"/>
      <c r="L1288" s="29" t="s">
        <v>3085</v>
      </c>
      <c r="M1288" s="31"/>
      <c r="N1288" s="14" t="s">
        <v>84</v>
      </c>
      <c r="O1288" s="31"/>
      <c r="Q1288" s="36"/>
      <c r="R1288" s="36"/>
      <c r="S1288" s="36"/>
      <c r="T1288" s="36"/>
      <c r="V1288" s="31"/>
    </row>
    <row r="1289">
      <c r="A1289" s="14" t="s">
        <v>736</v>
      </c>
      <c r="B1289" s="351" t="s">
        <v>3899</v>
      </c>
      <c r="C1289" s="460" t="s">
        <v>3900</v>
      </c>
      <c r="D1289" s="50"/>
      <c r="E1289" s="348" t="str">
        <f t="shared" si="1178"/>
        <v>septiembre 2026</v>
      </c>
      <c r="F1289" s="349">
        <v>46289.0</v>
      </c>
      <c r="G1289" s="24">
        <f t="shared" ref="G1289:H1289" si="1264">F1289</f>
        <v>46289</v>
      </c>
      <c r="H1289" s="26">
        <f t="shared" si="1264"/>
        <v>46289</v>
      </c>
      <c r="I1289" s="50" t="s">
        <v>90</v>
      </c>
      <c r="K1289" s="27"/>
      <c r="L1289" s="29" t="s">
        <v>3085</v>
      </c>
      <c r="M1289" s="31"/>
      <c r="N1289" s="14" t="s">
        <v>84</v>
      </c>
      <c r="O1289" s="31"/>
      <c r="Q1289" s="36"/>
      <c r="R1289" s="36"/>
      <c r="S1289" s="36"/>
      <c r="T1289" s="36"/>
      <c r="V1289" s="31"/>
    </row>
    <row r="1290">
      <c r="A1290" s="14" t="s">
        <v>736</v>
      </c>
      <c r="B1290" s="351" t="s">
        <v>3901</v>
      </c>
      <c r="C1290" s="460" t="s">
        <v>3902</v>
      </c>
      <c r="D1290" s="50"/>
      <c r="E1290" s="348" t="str">
        <f t="shared" si="1178"/>
        <v>septiembre 2026</v>
      </c>
      <c r="F1290" s="349">
        <v>46289.0</v>
      </c>
      <c r="G1290" s="24">
        <f t="shared" ref="G1290:H1290" si="1265">F1290</f>
        <v>46289</v>
      </c>
      <c r="H1290" s="26">
        <f t="shared" si="1265"/>
        <v>46289</v>
      </c>
      <c r="I1290" s="50" t="s">
        <v>90</v>
      </c>
      <c r="K1290" s="27"/>
      <c r="L1290" s="29" t="s">
        <v>3085</v>
      </c>
      <c r="M1290" s="31"/>
      <c r="N1290" s="14" t="s">
        <v>84</v>
      </c>
      <c r="O1290" s="31"/>
      <c r="Q1290" s="36"/>
      <c r="R1290" s="36"/>
      <c r="S1290" s="36"/>
      <c r="T1290" s="36"/>
      <c r="V1290" s="31"/>
    </row>
    <row r="1291">
      <c r="A1291" s="14" t="s">
        <v>736</v>
      </c>
      <c r="B1291" s="351" t="s">
        <v>3903</v>
      </c>
      <c r="C1291" s="460" t="s">
        <v>3904</v>
      </c>
      <c r="D1291" s="50"/>
      <c r="E1291" s="348" t="str">
        <f t="shared" si="1178"/>
        <v>septiembre 2026</v>
      </c>
      <c r="F1291" s="349">
        <v>46288.0</v>
      </c>
      <c r="G1291" s="24">
        <f t="shared" ref="G1291:H1291" si="1266">F1291</f>
        <v>46288</v>
      </c>
      <c r="H1291" s="26">
        <f t="shared" si="1266"/>
        <v>46288</v>
      </c>
      <c r="I1291" s="50" t="s">
        <v>90</v>
      </c>
      <c r="K1291" s="27"/>
      <c r="L1291" s="29" t="s">
        <v>3085</v>
      </c>
      <c r="M1291" s="31"/>
      <c r="N1291" s="14" t="s">
        <v>84</v>
      </c>
      <c r="O1291" s="31"/>
      <c r="Q1291" s="36"/>
      <c r="R1291" s="36"/>
      <c r="S1291" s="36"/>
      <c r="T1291" s="36"/>
      <c r="V1291" s="31"/>
    </row>
    <row r="1292">
      <c r="A1292" s="14"/>
      <c r="B1292" s="460"/>
      <c r="C1292" s="302"/>
      <c r="D1292" s="50"/>
      <c r="E1292" s="348"/>
      <c r="F1292" s="22"/>
      <c r="G1292" s="22"/>
      <c r="H1292" s="26" t="str">
        <f t="shared" ref="H1292:H1373" si="1267">G1292</f>
        <v/>
      </c>
      <c r="I1292" s="50"/>
      <c r="J1292" s="351"/>
      <c r="K1292" s="448"/>
      <c r="L1292" s="29"/>
      <c r="M1292" s="31"/>
      <c r="N1292" s="14"/>
      <c r="O1292" s="31"/>
      <c r="Q1292" s="36"/>
      <c r="R1292" s="36"/>
      <c r="S1292" s="36"/>
      <c r="T1292" s="36"/>
      <c r="V1292" s="31"/>
    </row>
    <row r="1293">
      <c r="A1293" s="14"/>
      <c r="B1293" s="460"/>
      <c r="C1293" s="302"/>
      <c r="D1293" s="50"/>
      <c r="E1293" s="348"/>
      <c r="F1293" s="22"/>
      <c r="G1293" s="22"/>
      <c r="H1293" s="26" t="str">
        <f t="shared" si="1267"/>
        <v/>
      </c>
      <c r="I1293" s="50"/>
      <c r="J1293" s="351"/>
      <c r="K1293" s="448"/>
      <c r="L1293" s="29"/>
      <c r="M1293" s="31"/>
      <c r="N1293" s="14"/>
      <c r="O1293" s="31"/>
      <c r="Q1293" s="36"/>
      <c r="R1293" s="36"/>
      <c r="S1293" s="36"/>
      <c r="T1293" s="36"/>
      <c r="V1293" s="31"/>
    </row>
    <row r="1294">
      <c r="A1294" s="14"/>
      <c r="B1294" s="460"/>
      <c r="C1294" s="302"/>
      <c r="D1294" s="50"/>
      <c r="E1294" s="348"/>
      <c r="F1294" s="22"/>
      <c r="G1294" s="22"/>
      <c r="H1294" s="26" t="str">
        <f t="shared" si="1267"/>
        <v/>
      </c>
      <c r="I1294" s="50"/>
      <c r="J1294" s="351"/>
      <c r="K1294" s="448"/>
      <c r="L1294" s="29"/>
      <c r="M1294" s="31"/>
      <c r="N1294" s="14"/>
      <c r="O1294" s="31"/>
      <c r="Q1294" s="36"/>
      <c r="R1294" s="36"/>
      <c r="S1294" s="36"/>
      <c r="T1294" s="36"/>
      <c r="V1294" s="31"/>
    </row>
    <row r="1295">
      <c r="A1295" s="14"/>
      <c r="B1295" s="460"/>
      <c r="C1295" s="302"/>
      <c r="D1295" s="50"/>
      <c r="E1295" s="348"/>
      <c r="F1295" s="22"/>
      <c r="G1295" s="22"/>
      <c r="H1295" s="26" t="str">
        <f t="shared" si="1267"/>
        <v/>
      </c>
      <c r="I1295" s="50"/>
      <c r="J1295" s="351"/>
      <c r="K1295" s="448"/>
      <c r="L1295" s="29"/>
      <c r="M1295" s="31"/>
      <c r="N1295" s="14"/>
      <c r="O1295" s="31"/>
      <c r="Q1295" s="36"/>
      <c r="R1295" s="36"/>
      <c r="S1295" s="36"/>
      <c r="T1295" s="36"/>
      <c r="V1295" s="31"/>
    </row>
    <row r="1296">
      <c r="A1296" s="14"/>
      <c r="B1296" s="460"/>
      <c r="C1296" s="302"/>
      <c r="D1296" s="50"/>
      <c r="E1296" s="348"/>
      <c r="F1296" s="22"/>
      <c r="G1296" s="22"/>
      <c r="H1296" s="26" t="str">
        <f t="shared" si="1267"/>
        <v/>
      </c>
      <c r="I1296" s="50"/>
      <c r="J1296" s="351"/>
      <c r="K1296" s="448"/>
      <c r="L1296" s="29"/>
      <c r="M1296" s="31"/>
      <c r="N1296" s="14"/>
      <c r="O1296" s="31"/>
      <c r="Q1296" s="36"/>
      <c r="R1296" s="36"/>
      <c r="S1296" s="36"/>
      <c r="T1296" s="36"/>
      <c r="V1296" s="31"/>
    </row>
    <row r="1297">
      <c r="A1297" s="14"/>
      <c r="B1297" s="460"/>
      <c r="C1297" s="302"/>
      <c r="D1297" s="50"/>
      <c r="E1297" s="348"/>
      <c r="F1297" s="22"/>
      <c r="G1297" s="22"/>
      <c r="H1297" s="26" t="str">
        <f t="shared" si="1267"/>
        <v/>
      </c>
      <c r="I1297" s="50"/>
      <c r="J1297" s="351"/>
      <c r="K1297" s="448"/>
      <c r="L1297" s="29"/>
      <c r="M1297" s="31"/>
      <c r="N1297" s="14"/>
      <c r="O1297" s="31"/>
      <c r="Q1297" s="36"/>
      <c r="R1297" s="36"/>
      <c r="S1297" s="36"/>
      <c r="T1297" s="36"/>
      <c r="V1297" s="31"/>
    </row>
    <row r="1298">
      <c r="A1298" s="14"/>
      <c r="B1298" s="460"/>
      <c r="C1298" s="302"/>
      <c r="D1298" s="50"/>
      <c r="E1298" s="348"/>
      <c r="F1298" s="22"/>
      <c r="G1298" s="22"/>
      <c r="H1298" s="26" t="str">
        <f t="shared" si="1267"/>
        <v/>
      </c>
      <c r="I1298" s="50"/>
      <c r="J1298" s="351"/>
      <c r="K1298" s="448"/>
      <c r="L1298" s="29"/>
      <c r="M1298" s="31"/>
      <c r="N1298" s="14"/>
      <c r="O1298" s="31"/>
      <c r="Q1298" s="36"/>
      <c r="R1298" s="36"/>
      <c r="S1298" s="36"/>
      <c r="T1298" s="36"/>
      <c r="V1298" s="31"/>
    </row>
    <row r="1299">
      <c r="A1299" s="14"/>
      <c r="B1299" s="460"/>
      <c r="C1299" s="302"/>
      <c r="D1299" s="50"/>
      <c r="E1299" s="348"/>
      <c r="F1299" s="22"/>
      <c r="G1299" s="22"/>
      <c r="H1299" s="26" t="str">
        <f t="shared" si="1267"/>
        <v/>
      </c>
      <c r="I1299" s="50"/>
      <c r="J1299" s="351"/>
      <c r="K1299" s="448"/>
      <c r="L1299" s="29"/>
      <c r="M1299" s="31"/>
      <c r="N1299" s="14"/>
      <c r="O1299" s="31"/>
      <c r="Q1299" s="36"/>
      <c r="R1299" s="36"/>
      <c r="S1299" s="36"/>
      <c r="T1299" s="36"/>
      <c r="V1299" s="31"/>
    </row>
    <row r="1300">
      <c r="A1300" s="14"/>
      <c r="B1300" s="460"/>
      <c r="C1300" s="302"/>
      <c r="D1300" s="50"/>
      <c r="E1300" s="348"/>
      <c r="F1300" s="22"/>
      <c r="G1300" s="22"/>
      <c r="H1300" s="26" t="str">
        <f t="shared" si="1267"/>
        <v/>
      </c>
      <c r="I1300" s="50"/>
      <c r="J1300" s="351"/>
      <c r="K1300" s="448"/>
      <c r="L1300" s="29"/>
      <c r="M1300" s="31"/>
      <c r="N1300" s="14"/>
      <c r="O1300" s="31"/>
      <c r="Q1300" s="36"/>
      <c r="R1300" s="36"/>
      <c r="S1300" s="36"/>
      <c r="T1300" s="36"/>
      <c r="V1300" s="31"/>
    </row>
    <row r="1301">
      <c r="A1301" s="14"/>
      <c r="B1301" s="460"/>
      <c r="C1301" s="302"/>
      <c r="D1301" s="50"/>
      <c r="E1301" s="348"/>
      <c r="F1301" s="22"/>
      <c r="G1301" s="22"/>
      <c r="H1301" s="26" t="str">
        <f t="shared" si="1267"/>
        <v/>
      </c>
      <c r="I1301" s="50"/>
      <c r="J1301" s="351"/>
      <c r="K1301" s="448"/>
      <c r="L1301" s="29"/>
      <c r="M1301" s="31"/>
      <c r="N1301" s="14"/>
      <c r="O1301" s="31"/>
      <c r="Q1301" s="36"/>
      <c r="R1301" s="36"/>
      <c r="S1301" s="36"/>
      <c r="T1301" s="36"/>
      <c r="V1301" s="31"/>
    </row>
    <row r="1302">
      <c r="A1302" s="14"/>
      <c r="B1302" s="460"/>
      <c r="C1302" s="302"/>
      <c r="D1302" s="50"/>
      <c r="E1302" s="348"/>
      <c r="F1302" s="22"/>
      <c r="G1302" s="22"/>
      <c r="H1302" s="26" t="str">
        <f t="shared" si="1267"/>
        <v/>
      </c>
      <c r="I1302" s="50"/>
      <c r="J1302" s="351"/>
      <c r="K1302" s="448"/>
      <c r="L1302" s="29"/>
      <c r="M1302" s="31"/>
      <c r="N1302" s="14"/>
      <c r="O1302" s="31"/>
      <c r="Q1302" s="36"/>
      <c r="R1302" s="36"/>
      <c r="S1302" s="36"/>
      <c r="T1302" s="36"/>
      <c r="V1302" s="31"/>
    </row>
    <row r="1303">
      <c r="A1303" s="14"/>
      <c r="B1303" s="460"/>
      <c r="C1303" s="302"/>
      <c r="D1303" s="50"/>
      <c r="E1303" s="348"/>
      <c r="F1303" s="22"/>
      <c r="G1303" s="22"/>
      <c r="H1303" s="26" t="str">
        <f t="shared" si="1267"/>
        <v/>
      </c>
      <c r="I1303" s="50"/>
      <c r="J1303" s="351"/>
      <c r="K1303" s="448"/>
      <c r="L1303" s="29"/>
      <c r="M1303" s="31"/>
      <c r="N1303" s="14"/>
      <c r="O1303" s="31"/>
      <c r="Q1303" s="36"/>
      <c r="R1303" s="36"/>
      <c r="S1303" s="36"/>
      <c r="T1303" s="36"/>
      <c r="V1303" s="31"/>
    </row>
    <row r="1304">
      <c r="A1304" s="14"/>
      <c r="B1304" s="460"/>
      <c r="C1304" s="302"/>
      <c r="D1304" s="50"/>
      <c r="E1304" s="348"/>
      <c r="F1304" s="22"/>
      <c r="G1304" s="22"/>
      <c r="H1304" s="26" t="str">
        <f t="shared" si="1267"/>
        <v/>
      </c>
      <c r="I1304" s="50"/>
      <c r="J1304" s="351"/>
      <c r="K1304" s="448"/>
      <c r="L1304" s="29"/>
      <c r="M1304" s="31"/>
      <c r="N1304" s="14"/>
      <c r="O1304" s="31"/>
      <c r="Q1304" s="36"/>
      <c r="R1304" s="36"/>
      <c r="S1304" s="36"/>
      <c r="T1304" s="36"/>
      <c r="V1304" s="31"/>
    </row>
    <row r="1305">
      <c r="A1305" s="14"/>
      <c r="B1305" s="460"/>
      <c r="C1305" s="302"/>
      <c r="D1305" s="50"/>
      <c r="E1305" s="348"/>
      <c r="F1305" s="22"/>
      <c r="G1305" s="22"/>
      <c r="H1305" s="26" t="str">
        <f t="shared" si="1267"/>
        <v/>
      </c>
      <c r="I1305" s="50"/>
      <c r="J1305" s="351"/>
      <c r="K1305" s="448"/>
      <c r="L1305" s="29"/>
      <c r="M1305" s="31"/>
      <c r="N1305" s="14"/>
      <c r="O1305" s="31"/>
      <c r="Q1305" s="36"/>
      <c r="R1305" s="36"/>
      <c r="S1305" s="36"/>
      <c r="T1305" s="36"/>
      <c r="V1305" s="31"/>
    </row>
    <row r="1306">
      <c r="A1306" s="14"/>
      <c r="B1306" s="460"/>
      <c r="C1306" s="302"/>
      <c r="D1306" s="50"/>
      <c r="E1306" s="348"/>
      <c r="F1306" s="22"/>
      <c r="G1306" s="22"/>
      <c r="H1306" s="26" t="str">
        <f t="shared" si="1267"/>
        <v/>
      </c>
      <c r="I1306" s="50"/>
      <c r="J1306" s="351"/>
      <c r="K1306" s="448"/>
      <c r="L1306" s="29"/>
      <c r="M1306" s="31"/>
      <c r="N1306" s="14"/>
      <c r="O1306" s="31"/>
      <c r="Q1306" s="36"/>
      <c r="R1306" s="36"/>
      <c r="S1306" s="36"/>
      <c r="T1306" s="36"/>
      <c r="V1306" s="31"/>
    </row>
    <row r="1307">
      <c r="A1307" s="14"/>
      <c r="B1307" s="460"/>
      <c r="C1307" s="302"/>
      <c r="D1307" s="50"/>
      <c r="E1307" s="348"/>
      <c r="F1307" s="22"/>
      <c r="G1307" s="22"/>
      <c r="H1307" s="26" t="str">
        <f t="shared" si="1267"/>
        <v/>
      </c>
      <c r="I1307" s="50"/>
      <c r="J1307" s="351"/>
      <c r="K1307" s="448"/>
      <c r="L1307" s="29"/>
      <c r="M1307" s="31"/>
      <c r="N1307" s="14"/>
      <c r="O1307" s="31"/>
      <c r="Q1307" s="36"/>
      <c r="R1307" s="36"/>
      <c r="S1307" s="36"/>
      <c r="T1307" s="36"/>
      <c r="V1307" s="31"/>
    </row>
    <row r="1308">
      <c r="A1308" s="14"/>
      <c r="B1308" s="460"/>
      <c r="C1308" s="302"/>
      <c r="D1308" s="50"/>
      <c r="E1308" s="348"/>
      <c r="F1308" s="22"/>
      <c r="G1308" s="22"/>
      <c r="H1308" s="26" t="str">
        <f t="shared" si="1267"/>
        <v/>
      </c>
      <c r="I1308" s="50"/>
      <c r="J1308" s="351"/>
      <c r="K1308" s="448"/>
      <c r="L1308" s="29"/>
      <c r="M1308" s="31"/>
      <c r="N1308" s="14"/>
      <c r="O1308" s="31"/>
      <c r="Q1308" s="36"/>
      <c r="R1308" s="36"/>
      <c r="S1308" s="36"/>
      <c r="T1308" s="36"/>
      <c r="V1308" s="31"/>
    </row>
    <row r="1309">
      <c r="A1309" s="14"/>
      <c r="B1309" s="460"/>
      <c r="C1309" s="302"/>
      <c r="D1309" s="50"/>
      <c r="E1309" s="348"/>
      <c r="F1309" s="22"/>
      <c r="G1309" s="22"/>
      <c r="H1309" s="26" t="str">
        <f t="shared" si="1267"/>
        <v/>
      </c>
      <c r="I1309" s="50"/>
      <c r="J1309" s="351"/>
      <c r="K1309" s="448"/>
      <c r="L1309" s="29"/>
      <c r="M1309" s="31"/>
      <c r="N1309" s="14"/>
      <c r="O1309" s="31"/>
      <c r="Q1309" s="36"/>
      <c r="R1309" s="36"/>
      <c r="S1309" s="36"/>
      <c r="T1309" s="36"/>
      <c r="V1309" s="31"/>
    </row>
    <row r="1310">
      <c r="A1310" s="14"/>
      <c r="B1310" s="460"/>
      <c r="C1310" s="302"/>
      <c r="D1310" s="50"/>
      <c r="E1310" s="348"/>
      <c r="F1310" s="22"/>
      <c r="G1310" s="22"/>
      <c r="H1310" s="26" t="str">
        <f t="shared" si="1267"/>
        <v/>
      </c>
      <c r="I1310" s="50"/>
      <c r="J1310" s="351"/>
      <c r="K1310" s="448"/>
      <c r="L1310" s="29"/>
      <c r="M1310" s="31"/>
      <c r="N1310" s="14"/>
      <c r="O1310" s="31"/>
      <c r="Q1310" s="36"/>
      <c r="R1310" s="36"/>
      <c r="S1310" s="36"/>
      <c r="T1310" s="36"/>
      <c r="V1310" s="31"/>
    </row>
    <row r="1311">
      <c r="A1311" s="14"/>
      <c r="B1311" s="460"/>
      <c r="C1311" s="302"/>
      <c r="D1311" s="50"/>
      <c r="E1311" s="348"/>
      <c r="F1311" s="22"/>
      <c r="G1311" s="22"/>
      <c r="H1311" s="26" t="str">
        <f t="shared" si="1267"/>
        <v/>
      </c>
      <c r="I1311" s="50"/>
      <c r="J1311" s="351"/>
      <c r="K1311" s="448"/>
      <c r="L1311" s="29"/>
      <c r="M1311" s="31"/>
      <c r="N1311" s="14"/>
      <c r="O1311" s="31"/>
      <c r="Q1311" s="36"/>
      <c r="R1311" s="36"/>
      <c r="S1311" s="36"/>
      <c r="T1311" s="36"/>
      <c r="V1311" s="31"/>
    </row>
    <row r="1312">
      <c r="A1312" s="14"/>
      <c r="B1312" s="460"/>
      <c r="C1312" s="302"/>
      <c r="D1312" s="50"/>
      <c r="E1312" s="348"/>
      <c r="F1312" s="22"/>
      <c r="G1312" s="22"/>
      <c r="H1312" s="26" t="str">
        <f t="shared" si="1267"/>
        <v/>
      </c>
      <c r="I1312" s="50"/>
      <c r="J1312" s="351"/>
      <c r="K1312" s="448"/>
      <c r="L1312" s="29"/>
      <c r="M1312" s="31"/>
      <c r="N1312" s="14"/>
      <c r="O1312" s="31"/>
      <c r="Q1312" s="36"/>
      <c r="R1312" s="36"/>
      <c r="S1312" s="36"/>
      <c r="T1312" s="36"/>
      <c r="V1312" s="31"/>
    </row>
    <row r="1313">
      <c r="A1313" s="14"/>
      <c r="B1313" s="460"/>
      <c r="C1313" s="302"/>
      <c r="D1313" s="50"/>
      <c r="E1313" s="348"/>
      <c r="F1313" s="22"/>
      <c r="G1313" s="22"/>
      <c r="H1313" s="26" t="str">
        <f t="shared" si="1267"/>
        <v/>
      </c>
      <c r="I1313" s="50"/>
      <c r="J1313" s="351"/>
      <c r="K1313" s="448"/>
      <c r="L1313" s="29"/>
      <c r="M1313" s="31"/>
      <c r="N1313" s="14"/>
      <c r="O1313" s="31"/>
      <c r="Q1313" s="36"/>
      <c r="R1313" s="36"/>
      <c r="S1313" s="36"/>
      <c r="T1313" s="36"/>
      <c r="V1313" s="31"/>
    </row>
    <row r="1314">
      <c r="A1314" s="14"/>
      <c r="B1314" s="460"/>
      <c r="C1314" s="302"/>
      <c r="D1314" s="50"/>
      <c r="E1314" s="348"/>
      <c r="F1314" s="22"/>
      <c r="G1314" s="22"/>
      <c r="H1314" s="26" t="str">
        <f t="shared" si="1267"/>
        <v/>
      </c>
      <c r="I1314" s="50"/>
      <c r="J1314" s="351"/>
      <c r="K1314" s="448"/>
      <c r="L1314" s="29"/>
      <c r="M1314" s="31"/>
      <c r="N1314" s="14"/>
      <c r="O1314" s="31"/>
      <c r="Q1314" s="36"/>
      <c r="R1314" s="36"/>
      <c r="S1314" s="36"/>
      <c r="T1314" s="36"/>
      <c r="V1314" s="31"/>
    </row>
    <row r="1315">
      <c r="A1315" s="14"/>
      <c r="B1315" s="460"/>
      <c r="C1315" s="302"/>
      <c r="D1315" s="50"/>
      <c r="E1315" s="348"/>
      <c r="F1315" s="22"/>
      <c r="G1315" s="22"/>
      <c r="H1315" s="26" t="str">
        <f t="shared" si="1267"/>
        <v/>
      </c>
      <c r="I1315" s="50"/>
      <c r="J1315" s="351"/>
      <c r="K1315" s="448"/>
      <c r="L1315" s="29"/>
      <c r="M1315" s="31"/>
      <c r="N1315" s="14"/>
      <c r="O1315" s="31"/>
      <c r="Q1315" s="36"/>
      <c r="R1315" s="36"/>
      <c r="S1315" s="36"/>
      <c r="T1315" s="36"/>
      <c r="V1315" s="31"/>
    </row>
    <row r="1316">
      <c r="A1316" s="14"/>
      <c r="B1316" s="460"/>
      <c r="C1316" s="302"/>
      <c r="D1316" s="50"/>
      <c r="E1316" s="348"/>
      <c r="F1316" s="22"/>
      <c r="G1316" s="22"/>
      <c r="H1316" s="26" t="str">
        <f t="shared" si="1267"/>
        <v/>
      </c>
      <c r="I1316" s="50"/>
      <c r="J1316" s="351"/>
      <c r="K1316" s="448"/>
      <c r="L1316" s="29"/>
      <c r="M1316" s="31"/>
      <c r="N1316" s="14"/>
      <c r="O1316" s="31"/>
      <c r="Q1316" s="36"/>
      <c r="R1316" s="36"/>
      <c r="S1316" s="36"/>
      <c r="T1316" s="36"/>
      <c r="V1316" s="31"/>
    </row>
    <row r="1317">
      <c r="A1317" s="14"/>
      <c r="B1317" s="460"/>
      <c r="C1317" s="302"/>
      <c r="D1317" s="50"/>
      <c r="E1317" s="348"/>
      <c r="F1317" s="22"/>
      <c r="G1317" s="22"/>
      <c r="H1317" s="26" t="str">
        <f t="shared" si="1267"/>
        <v/>
      </c>
      <c r="I1317" s="50"/>
      <c r="J1317" s="351"/>
      <c r="K1317" s="448"/>
      <c r="L1317" s="29"/>
      <c r="M1317" s="31"/>
      <c r="N1317" s="14"/>
      <c r="O1317" s="31"/>
      <c r="Q1317" s="36"/>
      <c r="R1317" s="36"/>
      <c r="S1317" s="36"/>
      <c r="T1317" s="36"/>
      <c r="V1317" s="31"/>
    </row>
    <row r="1318">
      <c r="A1318" s="14"/>
      <c r="B1318" s="460"/>
      <c r="C1318" s="302"/>
      <c r="D1318" s="50"/>
      <c r="E1318" s="348"/>
      <c r="F1318" s="22"/>
      <c r="G1318" s="22"/>
      <c r="H1318" s="26" t="str">
        <f t="shared" si="1267"/>
        <v/>
      </c>
      <c r="I1318" s="50"/>
      <c r="J1318" s="351"/>
      <c r="K1318" s="448"/>
      <c r="L1318" s="29"/>
      <c r="M1318" s="31"/>
      <c r="N1318" s="14"/>
      <c r="O1318" s="31"/>
      <c r="Q1318" s="36"/>
      <c r="R1318" s="36"/>
      <c r="S1318" s="36"/>
      <c r="T1318" s="36"/>
      <c r="V1318" s="31"/>
    </row>
    <row r="1319">
      <c r="A1319" s="14"/>
      <c r="B1319" s="460"/>
      <c r="C1319" s="302"/>
      <c r="D1319" s="50"/>
      <c r="E1319" s="348"/>
      <c r="F1319" s="22"/>
      <c r="G1319" s="22"/>
      <c r="H1319" s="26" t="str">
        <f t="shared" si="1267"/>
        <v/>
      </c>
      <c r="I1319" s="50"/>
      <c r="J1319" s="351"/>
      <c r="K1319" s="448"/>
      <c r="L1319" s="29"/>
      <c r="M1319" s="31"/>
      <c r="N1319" s="14"/>
      <c r="O1319" s="31"/>
      <c r="Q1319" s="36"/>
      <c r="R1319" s="36"/>
      <c r="S1319" s="36"/>
      <c r="T1319" s="36"/>
      <c r="V1319" s="31"/>
    </row>
    <row r="1320">
      <c r="A1320" s="14"/>
      <c r="B1320" s="460"/>
      <c r="C1320" s="302"/>
      <c r="D1320" s="50"/>
      <c r="E1320" s="348"/>
      <c r="F1320" s="22"/>
      <c r="G1320" s="22"/>
      <c r="H1320" s="26" t="str">
        <f t="shared" si="1267"/>
        <v/>
      </c>
      <c r="I1320" s="50"/>
      <c r="J1320" s="351"/>
      <c r="K1320" s="448"/>
      <c r="L1320" s="29"/>
      <c r="M1320" s="31"/>
      <c r="N1320" s="14"/>
      <c r="O1320" s="31"/>
      <c r="Q1320" s="36"/>
      <c r="R1320" s="36"/>
      <c r="S1320" s="36"/>
      <c r="T1320" s="36"/>
      <c r="V1320" s="31"/>
    </row>
    <row r="1321">
      <c r="A1321" s="14"/>
      <c r="B1321" s="460"/>
      <c r="C1321" s="302"/>
      <c r="D1321" s="50"/>
      <c r="E1321" s="348"/>
      <c r="F1321" s="22"/>
      <c r="G1321" s="22"/>
      <c r="H1321" s="26" t="str">
        <f t="shared" si="1267"/>
        <v/>
      </c>
      <c r="I1321" s="50"/>
      <c r="J1321" s="351"/>
      <c r="K1321" s="448"/>
      <c r="L1321" s="29"/>
      <c r="M1321" s="31"/>
      <c r="N1321" s="14"/>
      <c r="O1321" s="31"/>
      <c r="Q1321" s="36"/>
      <c r="R1321" s="36"/>
      <c r="S1321" s="36"/>
      <c r="T1321" s="36"/>
      <c r="V1321" s="31"/>
    </row>
    <row r="1322">
      <c r="A1322" s="14"/>
      <c r="B1322" s="460"/>
      <c r="C1322" s="302"/>
      <c r="D1322" s="50"/>
      <c r="E1322" s="348"/>
      <c r="F1322" s="22"/>
      <c r="G1322" s="22"/>
      <c r="H1322" s="26" t="str">
        <f t="shared" si="1267"/>
        <v/>
      </c>
      <c r="I1322" s="50"/>
      <c r="J1322" s="351"/>
      <c r="K1322" s="448"/>
      <c r="L1322" s="29"/>
      <c r="M1322" s="31"/>
      <c r="N1322" s="14"/>
      <c r="O1322" s="31"/>
      <c r="Q1322" s="36"/>
      <c r="R1322" s="36"/>
      <c r="S1322" s="36"/>
      <c r="T1322" s="36"/>
      <c r="V1322" s="31"/>
    </row>
    <row r="1323">
      <c r="A1323" s="14"/>
      <c r="B1323" s="460"/>
      <c r="C1323" s="302"/>
      <c r="D1323" s="50"/>
      <c r="E1323" s="348"/>
      <c r="F1323" s="22"/>
      <c r="G1323" s="22"/>
      <c r="H1323" s="26" t="str">
        <f t="shared" si="1267"/>
        <v/>
      </c>
      <c r="I1323" s="50"/>
      <c r="J1323" s="351"/>
      <c r="K1323" s="448"/>
      <c r="L1323" s="29"/>
      <c r="M1323" s="31"/>
      <c r="N1323" s="14"/>
      <c r="O1323" s="31"/>
      <c r="Q1323" s="36"/>
      <c r="R1323" s="36"/>
      <c r="S1323" s="36"/>
      <c r="T1323" s="36"/>
      <c r="V1323" s="31"/>
    </row>
    <row r="1324">
      <c r="A1324" s="14"/>
      <c r="B1324" s="460"/>
      <c r="C1324" s="302"/>
      <c r="D1324" s="50"/>
      <c r="E1324" s="348"/>
      <c r="F1324" s="22"/>
      <c r="G1324" s="22"/>
      <c r="H1324" s="26" t="str">
        <f t="shared" si="1267"/>
        <v/>
      </c>
      <c r="I1324" s="50"/>
      <c r="J1324" s="351"/>
      <c r="K1324" s="448"/>
      <c r="L1324" s="29"/>
      <c r="M1324" s="31"/>
      <c r="N1324" s="14"/>
      <c r="O1324" s="31"/>
      <c r="Q1324" s="36"/>
      <c r="R1324" s="36"/>
      <c r="S1324" s="36"/>
      <c r="T1324" s="36"/>
      <c r="V1324" s="31"/>
    </row>
    <row r="1325">
      <c r="A1325" s="14"/>
      <c r="B1325" s="460"/>
      <c r="C1325" s="302"/>
      <c r="D1325" s="50"/>
      <c r="E1325" s="348"/>
      <c r="F1325" s="22"/>
      <c r="G1325" s="22"/>
      <c r="H1325" s="26" t="str">
        <f t="shared" si="1267"/>
        <v/>
      </c>
      <c r="I1325" s="50"/>
      <c r="J1325" s="351"/>
      <c r="K1325" s="448"/>
      <c r="L1325" s="29"/>
      <c r="M1325" s="31"/>
      <c r="N1325" s="14"/>
      <c r="O1325" s="31"/>
      <c r="Q1325" s="36"/>
      <c r="R1325" s="36"/>
      <c r="S1325" s="36"/>
      <c r="T1325" s="36"/>
      <c r="V1325" s="31"/>
    </row>
    <row r="1326">
      <c r="A1326" s="14"/>
      <c r="B1326" s="460"/>
      <c r="C1326" s="302"/>
      <c r="D1326" s="50"/>
      <c r="E1326" s="348"/>
      <c r="F1326" s="22"/>
      <c r="G1326" s="22"/>
      <c r="H1326" s="26" t="str">
        <f t="shared" si="1267"/>
        <v/>
      </c>
      <c r="I1326" s="50"/>
      <c r="J1326" s="351"/>
      <c r="K1326" s="448"/>
      <c r="L1326" s="29"/>
      <c r="M1326" s="31"/>
      <c r="N1326" s="14"/>
      <c r="O1326" s="31"/>
      <c r="Q1326" s="36"/>
      <c r="R1326" s="36"/>
      <c r="S1326" s="36"/>
      <c r="T1326" s="36"/>
      <c r="V1326" s="31"/>
    </row>
    <row r="1327">
      <c r="A1327" s="14"/>
      <c r="B1327" s="460"/>
      <c r="C1327" s="302"/>
      <c r="D1327" s="50"/>
      <c r="E1327" s="348"/>
      <c r="F1327" s="22"/>
      <c r="G1327" s="22"/>
      <c r="H1327" s="26" t="str">
        <f t="shared" si="1267"/>
        <v/>
      </c>
      <c r="I1327" s="50"/>
      <c r="J1327" s="351"/>
      <c r="K1327" s="448"/>
      <c r="L1327" s="29"/>
      <c r="M1327" s="31"/>
      <c r="N1327" s="14"/>
      <c r="O1327" s="31"/>
      <c r="Q1327" s="36"/>
      <c r="R1327" s="36"/>
      <c r="S1327" s="36"/>
      <c r="T1327" s="36"/>
      <c r="V1327" s="31"/>
    </row>
    <row r="1328">
      <c r="A1328" s="14"/>
      <c r="B1328" s="460"/>
      <c r="C1328" s="302"/>
      <c r="D1328" s="50"/>
      <c r="E1328" s="348"/>
      <c r="F1328" s="22"/>
      <c r="G1328" s="22"/>
      <c r="H1328" s="26" t="str">
        <f t="shared" si="1267"/>
        <v/>
      </c>
      <c r="I1328" s="50"/>
      <c r="J1328" s="351"/>
      <c r="K1328" s="448"/>
      <c r="L1328" s="29"/>
      <c r="M1328" s="31"/>
      <c r="N1328" s="14"/>
      <c r="O1328" s="31"/>
      <c r="Q1328" s="36"/>
      <c r="R1328" s="36"/>
      <c r="S1328" s="36"/>
      <c r="T1328" s="36"/>
      <c r="V1328" s="31"/>
    </row>
    <row r="1329">
      <c r="A1329" s="14"/>
      <c r="B1329" s="460"/>
      <c r="C1329" s="302"/>
      <c r="D1329" s="50"/>
      <c r="E1329" s="348"/>
      <c r="F1329" s="22"/>
      <c r="G1329" s="22"/>
      <c r="H1329" s="26" t="str">
        <f t="shared" si="1267"/>
        <v/>
      </c>
      <c r="I1329" s="50"/>
      <c r="J1329" s="351"/>
      <c r="K1329" s="448"/>
      <c r="L1329" s="29"/>
      <c r="M1329" s="31"/>
      <c r="N1329" s="14"/>
      <c r="O1329" s="31"/>
      <c r="Q1329" s="36"/>
      <c r="R1329" s="36"/>
      <c r="S1329" s="36"/>
      <c r="T1329" s="36"/>
      <c r="V1329" s="31"/>
    </row>
    <row r="1330">
      <c r="A1330" s="14"/>
      <c r="B1330" s="460"/>
      <c r="C1330" s="302"/>
      <c r="D1330" s="50"/>
      <c r="E1330" s="348"/>
      <c r="F1330" s="22"/>
      <c r="G1330" s="22"/>
      <c r="H1330" s="26" t="str">
        <f t="shared" si="1267"/>
        <v/>
      </c>
      <c r="I1330" s="50"/>
      <c r="J1330" s="351"/>
      <c r="K1330" s="448"/>
      <c r="L1330" s="29"/>
      <c r="M1330" s="31"/>
      <c r="N1330" s="14"/>
      <c r="O1330" s="31"/>
      <c r="Q1330" s="36"/>
      <c r="R1330" s="36"/>
      <c r="S1330" s="36"/>
      <c r="T1330" s="36"/>
      <c r="V1330" s="31"/>
    </row>
    <row r="1331">
      <c r="A1331" s="14"/>
      <c r="B1331" s="460"/>
      <c r="C1331" s="302"/>
      <c r="D1331" s="50"/>
      <c r="E1331" s="348"/>
      <c r="F1331" s="22"/>
      <c r="G1331" s="22"/>
      <c r="H1331" s="26" t="str">
        <f t="shared" si="1267"/>
        <v/>
      </c>
      <c r="I1331" s="50"/>
      <c r="J1331" s="351"/>
      <c r="K1331" s="448"/>
      <c r="L1331" s="29"/>
      <c r="M1331" s="31"/>
      <c r="N1331" s="14"/>
      <c r="O1331" s="31"/>
      <c r="Q1331" s="36"/>
      <c r="R1331" s="36"/>
      <c r="S1331" s="36"/>
      <c r="T1331" s="36"/>
      <c r="V1331" s="31"/>
    </row>
    <row r="1332">
      <c r="A1332" s="14"/>
      <c r="B1332" s="460"/>
      <c r="C1332" s="302"/>
      <c r="D1332" s="50"/>
      <c r="E1332" s="348"/>
      <c r="F1332" s="22"/>
      <c r="G1332" s="22"/>
      <c r="H1332" s="26" t="str">
        <f t="shared" si="1267"/>
        <v/>
      </c>
      <c r="I1332" s="50"/>
      <c r="J1332" s="351"/>
      <c r="K1332" s="448"/>
      <c r="L1332" s="29"/>
      <c r="M1332" s="31"/>
      <c r="N1332" s="14"/>
      <c r="O1332" s="31"/>
      <c r="Q1332" s="36"/>
      <c r="R1332" s="36"/>
      <c r="S1332" s="36"/>
      <c r="T1332" s="36"/>
      <c r="V1332" s="31"/>
    </row>
    <row r="1333">
      <c r="A1333" s="14"/>
      <c r="B1333" s="460"/>
      <c r="C1333" s="302"/>
      <c r="D1333" s="50"/>
      <c r="E1333" s="348"/>
      <c r="F1333" s="22"/>
      <c r="G1333" s="22"/>
      <c r="H1333" s="26" t="str">
        <f t="shared" si="1267"/>
        <v/>
      </c>
      <c r="I1333" s="50"/>
      <c r="J1333" s="351"/>
      <c r="K1333" s="448"/>
      <c r="L1333" s="29"/>
      <c r="M1333" s="31"/>
      <c r="N1333" s="14"/>
      <c r="O1333" s="31"/>
      <c r="Q1333" s="36"/>
      <c r="R1333" s="36"/>
      <c r="S1333" s="36"/>
      <c r="T1333" s="36"/>
      <c r="V1333" s="31"/>
    </row>
    <row r="1334">
      <c r="A1334" s="14"/>
      <c r="B1334" s="460"/>
      <c r="C1334" s="302"/>
      <c r="D1334" s="50"/>
      <c r="E1334" s="348"/>
      <c r="F1334" s="22"/>
      <c r="G1334" s="22"/>
      <c r="H1334" s="26" t="str">
        <f t="shared" si="1267"/>
        <v/>
      </c>
      <c r="I1334" s="50"/>
      <c r="J1334" s="351"/>
      <c r="K1334" s="448"/>
      <c r="L1334" s="29"/>
      <c r="M1334" s="31"/>
      <c r="N1334" s="14"/>
      <c r="O1334" s="31"/>
      <c r="Q1334" s="36"/>
      <c r="R1334" s="36"/>
      <c r="S1334" s="36"/>
      <c r="T1334" s="36"/>
      <c r="V1334" s="31"/>
    </row>
    <row r="1335">
      <c r="A1335" s="14"/>
      <c r="B1335" s="460"/>
      <c r="C1335" s="302"/>
      <c r="D1335" s="50"/>
      <c r="E1335" s="348"/>
      <c r="F1335" s="22"/>
      <c r="G1335" s="22"/>
      <c r="H1335" s="26" t="str">
        <f t="shared" si="1267"/>
        <v/>
      </c>
      <c r="I1335" s="50"/>
      <c r="J1335" s="351"/>
      <c r="K1335" s="448"/>
      <c r="L1335" s="29"/>
      <c r="M1335" s="31"/>
      <c r="N1335" s="14"/>
      <c r="O1335" s="31"/>
      <c r="Q1335" s="36"/>
      <c r="R1335" s="36"/>
      <c r="S1335" s="36"/>
      <c r="T1335" s="36"/>
      <c r="V1335" s="31"/>
    </row>
    <row r="1336">
      <c r="A1336" s="14"/>
      <c r="B1336" s="460"/>
      <c r="C1336" s="302"/>
      <c r="D1336" s="50"/>
      <c r="E1336" s="348"/>
      <c r="F1336" s="22"/>
      <c r="G1336" s="22"/>
      <c r="H1336" s="26" t="str">
        <f t="shared" si="1267"/>
        <v/>
      </c>
      <c r="I1336" s="50"/>
      <c r="J1336" s="351"/>
      <c r="K1336" s="448"/>
      <c r="L1336" s="29"/>
      <c r="M1336" s="31"/>
      <c r="N1336" s="14"/>
      <c r="O1336" s="31"/>
      <c r="Q1336" s="36"/>
      <c r="R1336" s="36"/>
      <c r="S1336" s="36"/>
      <c r="T1336" s="36"/>
      <c r="V1336" s="31"/>
    </row>
    <row r="1337">
      <c r="A1337" s="14"/>
      <c r="B1337" s="460"/>
      <c r="C1337" s="302"/>
      <c r="D1337" s="50"/>
      <c r="E1337" s="348"/>
      <c r="F1337" s="22"/>
      <c r="G1337" s="22"/>
      <c r="H1337" s="26" t="str">
        <f t="shared" si="1267"/>
        <v/>
      </c>
      <c r="I1337" s="50"/>
      <c r="J1337" s="351"/>
      <c r="K1337" s="448"/>
      <c r="L1337" s="29"/>
      <c r="M1337" s="31"/>
      <c r="N1337" s="14"/>
      <c r="O1337" s="31"/>
      <c r="Q1337" s="36"/>
      <c r="R1337" s="36"/>
      <c r="S1337" s="36"/>
      <c r="T1337" s="36"/>
      <c r="V1337" s="31"/>
    </row>
    <row r="1338">
      <c r="A1338" s="14"/>
      <c r="B1338" s="460"/>
      <c r="C1338" s="302"/>
      <c r="D1338" s="50"/>
      <c r="E1338" s="348"/>
      <c r="F1338" s="22"/>
      <c r="G1338" s="22"/>
      <c r="H1338" s="26" t="str">
        <f t="shared" si="1267"/>
        <v/>
      </c>
      <c r="I1338" s="50"/>
      <c r="J1338" s="351"/>
      <c r="K1338" s="448"/>
      <c r="L1338" s="29"/>
      <c r="M1338" s="31"/>
      <c r="N1338" s="14"/>
      <c r="O1338" s="31"/>
      <c r="Q1338" s="36"/>
      <c r="R1338" s="36"/>
      <c r="S1338" s="36"/>
      <c r="T1338" s="36"/>
      <c r="V1338" s="31"/>
    </row>
    <row r="1339">
      <c r="A1339" s="14"/>
      <c r="B1339" s="460"/>
      <c r="C1339" s="302"/>
      <c r="D1339" s="50"/>
      <c r="E1339" s="348"/>
      <c r="F1339" s="22"/>
      <c r="G1339" s="22"/>
      <c r="H1339" s="26" t="str">
        <f t="shared" si="1267"/>
        <v/>
      </c>
      <c r="I1339" s="50"/>
      <c r="J1339" s="351"/>
      <c r="K1339" s="448"/>
      <c r="L1339" s="29"/>
      <c r="M1339" s="31"/>
      <c r="N1339" s="14"/>
      <c r="O1339" s="31"/>
      <c r="Q1339" s="36"/>
      <c r="R1339" s="36"/>
      <c r="S1339" s="36"/>
      <c r="T1339" s="36"/>
      <c r="V1339" s="31"/>
    </row>
    <row r="1340">
      <c r="A1340" s="14"/>
      <c r="B1340" s="460"/>
      <c r="C1340" s="302"/>
      <c r="D1340" s="50"/>
      <c r="E1340" s="348"/>
      <c r="F1340" s="22"/>
      <c r="G1340" s="22"/>
      <c r="H1340" s="26" t="str">
        <f t="shared" si="1267"/>
        <v/>
      </c>
      <c r="I1340" s="50"/>
      <c r="J1340" s="351"/>
      <c r="K1340" s="448"/>
      <c r="L1340" s="29"/>
      <c r="M1340" s="31"/>
      <c r="N1340" s="14"/>
      <c r="O1340" s="31"/>
      <c r="Q1340" s="36"/>
      <c r="R1340" s="36"/>
      <c r="S1340" s="36"/>
      <c r="T1340" s="36"/>
      <c r="V1340" s="31"/>
    </row>
    <row r="1341">
      <c r="A1341" s="14"/>
      <c r="B1341" s="460"/>
      <c r="C1341" s="302"/>
      <c r="D1341" s="50"/>
      <c r="E1341" s="348"/>
      <c r="F1341" s="22"/>
      <c r="G1341" s="22"/>
      <c r="H1341" s="26" t="str">
        <f t="shared" si="1267"/>
        <v/>
      </c>
      <c r="I1341" s="50"/>
      <c r="J1341" s="351"/>
      <c r="K1341" s="448"/>
      <c r="L1341" s="29"/>
      <c r="M1341" s="31"/>
      <c r="N1341" s="14"/>
      <c r="O1341" s="31"/>
      <c r="Q1341" s="36"/>
      <c r="R1341" s="36"/>
      <c r="S1341" s="36"/>
      <c r="T1341" s="36"/>
      <c r="V1341" s="31"/>
    </row>
    <row r="1342">
      <c r="A1342" s="14"/>
      <c r="B1342" s="460"/>
      <c r="C1342" s="302"/>
      <c r="D1342" s="50"/>
      <c r="E1342" s="348"/>
      <c r="F1342" s="22"/>
      <c r="G1342" s="22"/>
      <c r="H1342" s="26" t="str">
        <f t="shared" si="1267"/>
        <v/>
      </c>
      <c r="I1342" s="50"/>
      <c r="J1342" s="351"/>
      <c r="K1342" s="448"/>
      <c r="L1342" s="29"/>
      <c r="M1342" s="31"/>
      <c r="N1342" s="14"/>
      <c r="O1342" s="31"/>
      <c r="Q1342" s="36"/>
      <c r="R1342" s="36"/>
      <c r="S1342" s="36"/>
      <c r="T1342" s="36"/>
      <c r="V1342" s="31"/>
    </row>
    <row r="1343">
      <c r="A1343" s="14"/>
      <c r="B1343" s="460"/>
      <c r="C1343" s="302"/>
      <c r="D1343" s="50"/>
      <c r="E1343" s="348"/>
      <c r="F1343" s="22"/>
      <c r="G1343" s="22"/>
      <c r="H1343" s="26" t="str">
        <f t="shared" si="1267"/>
        <v/>
      </c>
      <c r="I1343" s="50"/>
      <c r="J1343" s="351"/>
      <c r="K1343" s="448"/>
      <c r="L1343" s="29"/>
      <c r="M1343" s="31"/>
      <c r="N1343" s="14"/>
      <c r="O1343" s="31"/>
      <c r="Q1343" s="36"/>
      <c r="R1343" s="36"/>
      <c r="S1343" s="36"/>
      <c r="T1343" s="36"/>
      <c r="V1343" s="31"/>
    </row>
    <row r="1344">
      <c r="A1344" s="14"/>
      <c r="B1344" s="460"/>
      <c r="C1344" s="302"/>
      <c r="D1344" s="50"/>
      <c r="E1344" s="348"/>
      <c r="F1344" s="22"/>
      <c r="G1344" s="22"/>
      <c r="H1344" s="26" t="str">
        <f t="shared" si="1267"/>
        <v/>
      </c>
      <c r="I1344" s="50"/>
      <c r="J1344" s="351"/>
      <c r="K1344" s="448"/>
      <c r="L1344" s="29"/>
      <c r="M1344" s="31"/>
      <c r="N1344" s="14"/>
      <c r="O1344" s="31"/>
      <c r="Q1344" s="36"/>
      <c r="R1344" s="36"/>
      <c r="S1344" s="36"/>
      <c r="T1344" s="36"/>
      <c r="V1344" s="31"/>
    </row>
    <row r="1345">
      <c r="A1345" s="14"/>
      <c r="B1345" s="460"/>
      <c r="C1345" s="302"/>
      <c r="D1345" s="50"/>
      <c r="E1345" s="348"/>
      <c r="F1345" s="22"/>
      <c r="G1345" s="22"/>
      <c r="H1345" s="26" t="str">
        <f t="shared" si="1267"/>
        <v/>
      </c>
      <c r="I1345" s="50"/>
      <c r="J1345" s="351"/>
      <c r="K1345" s="448"/>
      <c r="L1345" s="29"/>
      <c r="M1345" s="31"/>
      <c r="N1345" s="14"/>
      <c r="O1345" s="31"/>
      <c r="Q1345" s="36"/>
      <c r="R1345" s="36"/>
      <c r="S1345" s="36"/>
      <c r="T1345" s="36"/>
      <c r="V1345" s="31"/>
    </row>
    <row r="1346">
      <c r="A1346" s="14"/>
      <c r="B1346" s="460"/>
      <c r="C1346" s="302"/>
      <c r="D1346" s="50"/>
      <c r="E1346" s="348"/>
      <c r="F1346" s="22"/>
      <c r="G1346" s="22"/>
      <c r="H1346" s="26" t="str">
        <f t="shared" si="1267"/>
        <v/>
      </c>
      <c r="I1346" s="50"/>
      <c r="J1346" s="351"/>
      <c r="K1346" s="448"/>
      <c r="L1346" s="29"/>
      <c r="M1346" s="31"/>
      <c r="N1346" s="14"/>
      <c r="O1346" s="31"/>
      <c r="Q1346" s="36"/>
      <c r="R1346" s="36"/>
      <c r="S1346" s="36"/>
      <c r="T1346" s="36"/>
      <c r="V1346" s="31"/>
    </row>
    <row r="1347">
      <c r="A1347" s="14"/>
      <c r="B1347" s="460"/>
      <c r="C1347" s="302"/>
      <c r="D1347" s="50"/>
      <c r="E1347" s="348"/>
      <c r="F1347" s="22"/>
      <c r="G1347" s="22"/>
      <c r="H1347" s="26" t="str">
        <f t="shared" si="1267"/>
        <v/>
      </c>
      <c r="I1347" s="50"/>
      <c r="J1347" s="351"/>
      <c r="K1347" s="448"/>
      <c r="L1347" s="29"/>
      <c r="M1347" s="31"/>
      <c r="N1347" s="14"/>
      <c r="O1347" s="31"/>
      <c r="Q1347" s="36"/>
      <c r="R1347" s="36"/>
      <c r="S1347" s="36"/>
      <c r="T1347" s="36"/>
      <c r="V1347" s="31"/>
    </row>
    <row r="1348">
      <c r="A1348" s="14"/>
      <c r="B1348" s="460"/>
      <c r="C1348" s="302"/>
      <c r="D1348" s="50"/>
      <c r="E1348" s="348"/>
      <c r="F1348" s="22"/>
      <c r="G1348" s="22"/>
      <c r="H1348" s="26" t="str">
        <f t="shared" si="1267"/>
        <v/>
      </c>
      <c r="I1348" s="50"/>
      <c r="J1348" s="351"/>
      <c r="K1348" s="448"/>
      <c r="L1348" s="29"/>
      <c r="M1348" s="31"/>
      <c r="N1348" s="14"/>
      <c r="O1348" s="31"/>
      <c r="Q1348" s="36"/>
      <c r="R1348" s="36"/>
      <c r="S1348" s="36"/>
      <c r="T1348" s="36"/>
      <c r="V1348" s="31"/>
    </row>
    <row r="1349">
      <c r="A1349" s="14"/>
      <c r="B1349" s="460"/>
      <c r="C1349" s="302"/>
      <c r="D1349" s="50"/>
      <c r="E1349" s="348"/>
      <c r="F1349" s="22"/>
      <c r="G1349" s="22"/>
      <c r="H1349" s="26" t="str">
        <f t="shared" si="1267"/>
        <v/>
      </c>
      <c r="I1349" s="50"/>
      <c r="J1349" s="351"/>
      <c r="K1349" s="448"/>
      <c r="L1349" s="29"/>
      <c r="M1349" s="31"/>
      <c r="N1349" s="14"/>
      <c r="O1349" s="31"/>
      <c r="Q1349" s="36"/>
      <c r="R1349" s="36"/>
      <c r="S1349" s="36"/>
      <c r="T1349" s="36"/>
      <c r="V1349" s="31"/>
    </row>
    <row r="1350">
      <c r="A1350" s="14"/>
      <c r="B1350" s="460"/>
      <c r="C1350" s="302"/>
      <c r="D1350" s="50"/>
      <c r="E1350" s="348"/>
      <c r="F1350" s="22"/>
      <c r="G1350" s="22"/>
      <c r="H1350" s="26" t="str">
        <f t="shared" si="1267"/>
        <v/>
      </c>
      <c r="I1350" s="50"/>
      <c r="J1350" s="351"/>
      <c r="K1350" s="448"/>
      <c r="L1350" s="29"/>
      <c r="M1350" s="31"/>
      <c r="N1350" s="14"/>
      <c r="O1350" s="31"/>
      <c r="Q1350" s="36"/>
      <c r="R1350" s="36"/>
      <c r="S1350" s="36"/>
      <c r="T1350" s="36"/>
      <c r="V1350" s="31"/>
    </row>
    <row r="1351">
      <c r="A1351" s="14"/>
      <c r="B1351" s="460"/>
      <c r="C1351" s="302"/>
      <c r="D1351" s="50"/>
      <c r="E1351" s="348"/>
      <c r="F1351" s="22"/>
      <c r="G1351" s="22"/>
      <c r="H1351" s="26" t="str">
        <f t="shared" si="1267"/>
        <v/>
      </c>
      <c r="I1351" s="50"/>
      <c r="J1351" s="351"/>
      <c r="K1351" s="448"/>
      <c r="L1351" s="29"/>
      <c r="M1351" s="31"/>
      <c r="N1351" s="14"/>
      <c r="O1351" s="31"/>
      <c r="Q1351" s="36"/>
      <c r="R1351" s="36"/>
      <c r="S1351" s="36"/>
      <c r="T1351" s="36"/>
      <c r="V1351" s="31"/>
    </row>
    <row r="1352">
      <c r="A1352" s="14"/>
      <c r="B1352" s="460"/>
      <c r="C1352" s="302"/>
      <c r="D1352" s="50"/>
      <c r="E1352" s="348"/>
      <c r="F1352" s="22"/>
      <c r="G1352" s="22"/>
      <c r="H1352" s="26" t="str">
        <f t="shared" si="1267"/>
        <v/>
      </c>
      <c r="I1352" s="50"/>
      <c r="J1352" s="351"/>
      <c r="K1352" s="448"/>
      <c r="L1352" s="29"/>
      <c r="M1352" s="31"/>
      <c r="N1352" s="14"/>
      <c r="O1352" s="31"/>
      <c r="Q1352" s="36"/>
      <c r="R1352" s="36"/>
      <c r="S1352" s="36"/>
      <c r="T1352" s="36"/>
      <c r="V1352" s="31"/>
    </row>
    <row r="1353">
      <c r="A1353" s="14"/>
      <c r="B1353" s="460"/>
      <c r="C1353" s="302"/>
      <c r="D1353" s="50"/>
      <c r="E1353" s="348"/>
      <c r="F1353" s="22"/>
      <c r="G1353" s="22"/>
      <c r="H1353" s="26" t="str">
        <f t="shared" si="1267"/>
        <v/>
      </c>
      <c r="I1353" s="50"/>
      <c r="J1353" s="351"/>
      <c r="K1353" s="448"/>
      <c r="L1353" s="29"/>
      <c r="M1353" s="31"/>
      <c r="N1353" s="14"/>
      <c r="O1353" s="31"/>
      <c r="Q1353" s="36"/>
      <c r="R1353" s="36"/>
      <c r="S1353" s="36"/>
      <c r="T1353" s="36"/>
      <c r="V1353" s="31"/>
    </row>
    <row r="1354">
      <c r="A1354" s="14"/>
      <c r="B1354" s="460"/>
      <c r="C1354" s="302"/>
      <c r="D1354" s="50"/>
      <c r="E1354" s="348"/>
      <c r="F1354" s="22"/>
      <c r="G1354" s="22"/>
      <c r="H1354" s="26" t="str">
        <f t="shared" si="1267"/>
        <v/>
      </c>
      <c r="I1354" s="50"/>
      <c r="J1354" s="351"/>
      <c r="K1354" s="448"/>
      <c r="L1354" s="29"/>
      <c r="M1354" s="31"/>
      <c r="N1354" s="14"/>
      <c r="O1354" s="31"/>
      <c r="Q1354" s="36"/>
      <c r="R1354" s="36"/>
      <c r="S1354" s="36"/>
      <c r="T1354" s="36"/>
      <c r="V1354" s="31"/>
    </row>
    <row r="1355">
      <c r="A1355" s="14"/>
      <c r="B1355" s="460"/>
      <c r="C1355" s="302"/>
      <c r="D1355" s="50"/>
      <c r="E1355" s="348"/>
      <c r="F1355" s="22"/>
      <c r="G1355" s="22"/>
      <c r="H1355" s="26" t="str">
        <f t="shared" si="1267"/>
        <v/>
      </c>
      <c r="I1355" s="50"/>
      <c r="J1355" s="351"/>
      <c r="K1355" s="448"/>
      <c r="L1355" s="29"/>
      <c r="M1355" s="31"/>
      <c r="N1355" s="14"/>
      <c r="O1355" s="31"/>
      <c r="Q1355" s="36"/>
      <c r="R1355" s="36"/>
      <c r="S1355" s="36"/>
      <c r="T1355" s="36"/>
      <c r="V1355" s="31"/>
    </row>
    <row r="1356">
      <c r="A1356" s="14"/>
      <c r="B1356" s="460"/>
      <c r="C1356" s="302"/>
      <c r="D1356" s="50"/>
      <c r="E1356" s="348"/>
      <c r="F1356" s="22"/>
      <c r="G1356" s="22"/>
      <c r="H1356" s="26" t="str">
        <f t="shared" si="1267"/>
        <v/>
      </c>
      <c r="I1356" s="50"/>
      <c r="J1356" s="351"/>
      <c r="K1356" s="448"/>
      <c r="L1356" s="29"/>
      <c r="M1356" s="31"/>
      <c r="N1356" s="14"/>
      <c r="O1356" s="31"/>
      <c r="Q1356" s="36"/>
      <c r="R1356" s="36"/>
      <c r="S1356" s="36"/>
      <c r="T1356" s="36"/>
      <c r="V1356" s="31"/>
    </row>
    <row r="1357">
      <c r="A1357" s="14"/>
      <c r="B1357" s="460"/>
      <c r="C1357" s="302"/>
      <c r="D1357" s="50"/>
      <c r="E1357" s="348"/>
      <c r="F1357" s="22"/>
      <c r="G1357" s="22"/>
      <c r="H1357" s="26" t="str">
        <f t="shared" si="1267"/>
        <v/>
      </c>
      <c r="I1357" s="50"/>
      <c r="J1357" s="351"/>
      <c r="K1357" s="448"/>
      <c r="L1357" s="29"/>
      <c r="M1357" s="31"/>
      <c r="N1357" s="14"/>
      <c r="O1357" s="31"/>
      <c r="Q1357" s="36"/>
      <c r="R1357" s="36"/>
      <c r="S1357" s="36"/>
      <c r="T1357" s="36"/>
      <c r="V1357" s="31"/>
    </row>
    <row r="1358">
      <c r="A1358" s="14"/>
      <c r="B1358" s="460"/>
      <c r="C1358" s="302"/>
      <c r="D1358" s="50"/>
      <c r="E1358" s="348"/>
      <c r="F1358" s="22"/>
      <c r="G1358" s="22"/>
      <c r="H1358" s="26" t="str">
        <f t="shared" si="1267"/>
        <v/>
      </c>
      <c r="I1358" s="50"/>
      <c r="J1358" s="351"/>
      <c r="K1358" s="448"/>
      <c r="L1358" s="29"/>
      <c r="M1358" s="31"/>
      <c r="N1358" s="14"/>
      <c r="O1358" s="31"/>
      <c r="Q1358" s="36"/>
      <c r="R1358" s="36"/>
      <c r="S1358" s="36"/>
      <c r="T1358" s="36"/>
      <c r="V1358" s="31"/>
    </row>
    <row r="1359">
      <c r="A1359" s="14"/>
      <c r="B1359" s="460"/>
      <c r="C1359" s="302"/>
      <c r="D1359" s="50"/>
      <c r="E1359" s="348"/>
      <c r="F1359" s="22"/>
      <c r="G1359" s="22"/>
      <c r="H1359" s="26" t="str">
        <f t="shared" si="1267"/>
        <v/>
      </c>
      <c r="I1359" s="50"/>
      <c r="J1359" s="351"/>
      <c r="K1359" s="448"/>
      <c r="L1359" s="29"/>
      <c r="M1359" s="31"/>
      <c r="N1359" s="14"/>
      <c r="O1359" s="31"/>
      <c r="Q1359" s="36"/>
      <c r="R1359" s="36"/>
      <c r="S1359" s="36"/>
      <c r="T1359" s="36"/>
      <c r="V1359" s="31"/>
    </row>
    <row r="1360">
      <c r="A1360" s="14"/>
      <c r="B1360" s="460"/>
      <c r="C1360" s="302"/>
      <c r="D1360" s="50"/>
      <c r="E1360" s="348"/>
      <c r="F1360" s="22"/>
      <c r="G1360" s="22"/>
      <c r="H1360" s="26" t="str">
        <f t="shared" si="1267"/>
        <v/>
      </c>
      <c r="I1360" s="50"/>
      <c r="J1360" s="351"/>
      <c r="K1360" s="448"/>
      <c r="L1360" s="29"/>
      <c r="M1360" s="31"/>
      <c r="N1360" s="14"/>
      <c r="O1360" s="31"/>
      <c r="Q1360" s="36"/>
      <c r="R1360" s="36"/>
      <c r="S1360" s="36"/>
      <c r="T1360" s="36"/>
      <c r="V1360" s="31"/>
    </row>
    <row r="1361">
      <c r="A1361" s="14"/>
      <c r="B1361" s="460"/>
      <c r="C1361" s="302"/>
      <c r="D1361" s="50"/>
      <c r="E1361" s="348"/>
      <c r="F1361" s="22"/>
      <c r="G1361" s="22"/>
      <c r="H1361" s="26" t="str">
        <f t="shared" si="1267"/>
        <v/>
      </c>
      <c r="I1361" s="50"/>
      <c r="J1361" s="351"/>
      <c r="K1361" s="448"/>
      <c r="L1361" s="29"/>
      <c r="M1361" s="31"/>
      <c r="N1361" s="14"/>
      <c r="O1361" s="31"/>
      <c r="Q1361" s="36"/>
      <c r="R1361" s="36"/>
      <c r="S1361" s="36"/>
      <c r="T1361" s="36"/>
      <c r="V1361" s="31"/>
    </row>
    <row r="1362">
      <c r="A1362" s="14"/>
      <c r="B1362" s="460"/>
      <c r="C1362" s="302"/>
      <c r="D1362" s="50"/>
      <c r="E1362" s="348"/>
      <c r="F1362" s="22"/>
      <c r="G1362" s="22"/>
      <c r="H1362" s="26" t="str">
        <f t="shared" si="1267"/>
        <v/>
      </c>
      <c r="I1362" s="50"/>
      <c r="J1362" s="351"/>
      <c r="K1362" s="448"/>
      <c r="L1362" s="29"/>
      <c r="M1362" s="31"/>
      <c r="N1362" s="14"/>
      <c r="O1362" s="31"/>
      <c r="Q1362" s="36"/>
      <c r="R1362" s="36"/>
      <c r="S1362" s="36"/>
      <c r="T1362" s="36"/>
      <c r="V1362" s="31"/>
    </row>
    <row r="1363">
      <c r="A1363" s="14"/>
      <c r="B1363" s="460"/>
      <c r="C1363" s="302"/>
      <c r="D1363" s="50"/>
      <c r="E1363" s="348"/>
      <c r="F1363" s="22"/>
      <c r="G1363" s="22"/>
      <c r="H1363" s="26" t="str">
        <f t="shared" si="1267"/>
        <v/>
      </c>
      <c r="I1363" s="50"/>
      <c r="J1363" s="351"/>
      <c r="K1363" s="448"/>
      <c r="L1363" s="29"/>
      <c r="M1363" s="31"/>
      <c r="N1363" s="14"/>
      <c r="O1363" s="31"/>
      <c r="Q1363" s="36"/>
      <c r="R1363" s="36"/>
      <c r="S1363" s="36"/>
      <c r="T1363" s="36"/>
      <c r="V1363" s="31"/>
    </row>
    <row r="1364">
      <c r="A1364" s="14"/>
      <c r="B1364" s="460"/>
      <c r="C1364" s="302"/>
      <c r="D1364" s="50"/>
      <c r="E1364" s="348"/>
      <c r="F1364" s="22"/>
      <c r="G1364" s="22"/>
      <c r="H1364" s="26" t="str">
        <f t="shared" si="1267"/>
        <v/>
      </c>
      <c r="I1364" s="50"/>
      <c r="J1364" s="351"/>
      <c r="K1364" s="448"/>
      <c r="L1364" s="29"/>
      <c r="M1364" s="31"/>
      <c r="N1364" s="14"/>
      <c r="O1364" s="31"/>
      <c r="Q1364" s="36"/>
      <c r="R1364" s="36"/>
      <c r="S1364" s="36"/>
      <c r="T1364" s="36"/>
      <c r="V1364" s="31"/>
    </row>
    <row r="1365">
      <c r="A1365" s="14"/>
      <c r="B1365" s="460"/>
      <c r="C1365" s="302"/>
      <c r="D1365" s="50"/>
      <c r="E1365" s="348"/>
      <c r="F1365" s="22"/>
      <c r="G1365" s="22"/>
      <c r="H1365" s="26" t="str">
        <f t="shared" si="1267"/>
        <v/>
      </c>
      <c r="I1365" s="50"/>
      <c r="J1365" s="351"/>
      <c r="K1365" s="448"/>
      <c r="L1365" s="29"/>
      <c r="M1365" s="31"/>
      <c r="N1365" s="14"/>
      <c r="O1365" s="31"/>
      <c r="Q1365" s="36"/>
      <c r="R1365" s="36"/>
      <c r="S1365" s="36"/>
      <c r="T1365" s="36"/>
      <c r="V1365" s="31"/>
    </row>
    <row r="1366">
      <c r="A1366" s="14"/>
      <c r="B1366" s="460"/>
      <c r="C1366" s="302"/>
      <c r="D1366" s="50"/>
      <c r="E1366" s="348"/>
      <c r="F1366" s="22"/>
      <c r="G1366" s="22"/>
      <c r="H1366" s="26" t="str">
        <f t="shared" si="1267"/>
        <v/>
      </c>
      <c r="I1366" s="50"/>
      <c r="J1366" s="351"/>
      <c r="K1366" s="448"/>
      <c r="L1366" s="29"/>
      <c r="M1366" s="31"/>
      <c r="N1366" s="14"/>
      <c r="O1366" s="31"/>
      <c r="Q1366" s="36"/>
      <c r="R1366" s="36"/>
      <c r="S1366" s="36"/>
      <c r="T1366" s="36"/>
      <c r="V1366" s="31"/>
    </row>
    <row r="1367">
      <c r="A1367" s="14"/>
      <c r="B1367" s="460"/>
      <c r="C1367" s="302"/>
      <c r="D1367" s="50"/>
      <c r="E1367" s="348"/>
      <c r="F1367" s="22"/>
      <c r="G1367" s="22"/>
      <c r="H1367" s="26" t="str">
        <f t="shared" si="1267"/>
        <v/>
      </c>
      <c r="I1367" s="50"/>
      <c r="J1367" s="351"/>
      <c r="K1367" s="448"/>
      <c r="L1367" s="29"/>
      <c r="M1367" s="31"/>
      <c r="N1367" s="14"/>
      <c r="O1367" s="31"/>
      <c r="Q1367" s="36"/>
      <c r="R1367" s="36"/>
      <c r="S1367" s="36"/>
      <c r="T1367" s="36"/>
      <c r="V1367" s="31"/>
    </row>
    <row r="1368">
      <c r="A1368" s="14"/>
      <c r="B1368" s="460"/>
      <c r="C1368" s="302"/>
      <c r="D1368" s="50"/>
      <c r="E1368" s="348"/>
      <c r="F1368" s="22"/>
      <c r="G1368" s="22"/>
      <c r="H1368" s="26" t="str">
        <f t="shared" si="1267"/>
        <v/>
      </c>
      <c r="I1368" s="50"/>
      <c r="J1368" s="351"/>
      <c r="K1368" s="448"/>
      <c r="L1368" s="29"/>
      <c r="M1368" s="31"/>
      <c r="N1368" s="14"/>
      <c r="O1368" s="31"/>
      <c r="Q1368" s="36"/>
      <c r="R1368" s="36"/>
      <c r="S1368" s="36"/>
      <c r="T1368" s="36"/>
      <c r="V1368" s="31"/>
    </row>
    <row r="1369">
      <c r="A1369" s="14"/>
      <c r="B1369" s="460"/>
      <c r="C1369" s="302"/>
      <c r="D1369" s="50"/>
      <c r="E1369" s="348"/>
      <c r="F1369" s="22"/>
      <c r="G1369" s="22"/>
      <c r="H1369" s="26" t="str">
        <f t="shared" si="1267"/>
        <v/>
      </c>
      <c r="I1369" s="50"/>
      <c r="J1369" s="351"/>
      <c r="K1369" s="448"/>
      <c r="L1369" s="29"/>
      <c r="M1369" s="31"/>
      <c r="N1369" s="14"/>
      <c r="O1369" s="31"/>
      <c r="Q1369" s="36"/>
      <c r="R1369" s="36"/>
      <c r="S1369" s="36"/>
      <c r="T1369" s="36"/>
      <c r="V1369" s="31"/>
    </row>
    <row r="1370">
      <c r="A1370" s="14"/>
      <c r="B1370" s="460"/>
      <c r="C1370" s="302"/>
      <c r="D1370" s="50"/>
      <c r="E1370" s="348"/>
      <c r="F1370" s="22"/>
      <c r="G1370" s="22"/>
      <c r="H1370" s="26" t="str">
        <f t="shared" si="1267"/>
        <v/>
      </c>
      <c r="I1370" s="50"/>
      <c r="J1370" s="351"/>
      <c r="K1370" s="448"/>
      <c r="L1370" s="29"/>
      <c r="M1370" s="31"/>
      <c r="N1370" s="14"/>
      <c r="O1370" s="31"/>
      <c r="Q1370" s="36"/>
      <c r="R1370" s="36"/>
      <c r="S1370" s="36"/>
      <c r="T1370" s="36"/>
      <c r="V1370" s="31"/>
    </row>
    <row r="1371">
      <c r="A1371" s="14"/>
      <c r="B1371" s="460"/>
      <c r="C1371" s="302"/>
      <c r="D1371" s="50"/>
      <c r="E1371" s="348"/>
      <c r="F1371" s="22"/>
      <c r="G1371" s="22"/>
      <c r="H1371" s="26" t="str">
        <f t="shared" si="1267"/>
        <v/>
      </c>
      <c r="I1371" s="50"/>
      <c r="J1371" s="351"/>
      <c r="K1371" s="448"/>
      <c r="L1371" s="29"/>
      <c r="M1371" s="31"/>
      <c r="N1371" s="14"/>
      <c r="O1371" s="31"/>
      <c r="Q1371" s="36"/>
      <c r="R1371" s="36"/>
      <c r="S1371" s="36"/>
      <c r="T1371" s="36"/>
      <c r="V1371" s="31"/>
    </row>
    <row r="1372">
      <c r="A1372" s="14"/>
      <c r="B1372" s="460"/>
      <c r="C1372" s="302"/>
      <c r="D1372" s="50"/>
      <c r="E1372" s="348"/>
      <c r="F1372" s="22"/>
      <c r="G1372" s="22"/>
      <c r="H1372" s="26" t="str">
        <f t="shared" si="1267"/>
        <v/>
      </c>
      <c r="I1372" s="50"/>
      <c r="J1372" s="351"/>
      <c r="K1372" s="448"/>
      <c r="L1372" s="29"/>
      <c r="M1372" s="31"/>
      <c r="N1372" s="14"/>
      <c r="O1372" s="31"/>
      <c r="Q1372" s="36"/>
      <c r="R1372" s="36"/>
      <c r="S1372" s="36"/>
      <c r="T1372" s="36"/>
      <c r="V1372" s="31"/>
    </row>
    <row r="1373">
      <c r="A1373" s="14"/>
      <c r="B1373" s="460"/>
      <c r="C1373" s="302"/>
      <c r="D1373" s="50"/>
      <c r="E1373" s="348"/>
      <c r="F1373" s="22"/>
      <c r="G1373" s="22"/>
      <c r="H1373" s="26" t="str">
        <f t="shared" si="1267"/>
        <v/>
      </c>
      <c r="I1373" s="50"/>
      <c r="J1373" s="351"/>
      <c r="K1373" s="448"/>
      <c r="L1373" s="29"/>
      <c r="M1373" s="31"/>
      <c r="N1373" s="14"/>
      <c r="O1373" s="31"/>
      <c r="Q1373" s="36"/>
      <c r="R1373" s="36"/>
      <c r="S1373" s="36"/>
      <c r="T1373" s="36"/>
      <c r="V1373" s="31"/>
    </row>
    <row r="1374">
      <c r="A1374" s="14"/>
      <c r="B1374" s="460"/>
      <c r="C1374" s="302"/>
      <c r="D1374" s="50"/>
      <c r="E1374" s="348"/>
      <c r="F1374" s="22"/>
      <c r="G1374" s="22"/>
      <c r="H1374" s="22"/>
      <c r="I1374" s="50"/>
      <c r="J1374" s="351"/>
      <c r="K1374" s="448"/>
      <c r="L1374" s="29"/>
      <c r="M1374" s="31"/>
      <c r="N1374" s="14"/>
      <c r="O1374" s="31"/>
      <c r="Q1374" s="36"/>
      <c r="R1374" s="36"/>
      <c r="S1374" s="36"/>
      <c r="T1374" s="36"/>
      <c r="V1374" s="31"/>
    </row>
    <row r="1375">
      <c r="A1375" s="14"/>
      <c r="B1375" s="460"/>
      <c r="C1375" s="302"/>
      <c r="D1375" s="50"/>
      <c r="E1375" s="348"/>
      <c r="F1375" s="22"/>
      <c r="G1375" s="22"/>
      <c r="H1375" s="22"/>
      <c r="I1375" s="50"/>
      <c r="J1375" s="351"/>
      <c r="K1375" s="448"/>
      <c r="L1375" s="29"/>
      <c r="M1375" s="31"/>
      <c r="N1375" s="14"/>
      <c r="O1375" s="31"/>
      <c r="Q1375" s="36"/>
      <c r="R1375" s="36"/>
      <c r="S1375" s="36"/>
      <c r="T1375" s="36"/>
      <c r="V1375" s="31"/>
    </row>
    <row r="1376">
      <c r="A1376" s="14"/>
      <c r="B1376" s="460"/>
      <c r="C1376" s="302"/>
      <c r="D1376" s="50"/>
      <c r="E1376" s="348"/>
      <c r="F1376" s="22"/>
      <c r="G1376" s="22"/>
      <c r="H1376" s="22"/>
      <c r="I1376" s="50"/>
      <c r="J1376" s="351"/>
      <c r="K1376" s="448"/>
      <c r="L1376" s="29"/>
      <c r="M1376" s="31"/>
      <c r="N1376" s="14"/>
      <c r="O1376" s="31"/>
      <c r="Q1376" s="36"/>
      <c r="R1376" s="36"/>
      <c r="S1376" s="36"/>
      <c r="T1376" s="36"/>
      <c r="V1376" s="31"/>
    </row>
    <row r="1377">
      <c r="A1377" s="14"/>
      <c r="B1377" s="460"/>
      <c r="C1377" s="302"/>
      <c r="D1377" s="50"/>
      <c r="E1377" s="348"/>
      <c r="F1377" s="22"/>
      <c r="G1377" s="22"/>
      <c r="H1377" s="22"/>
      <c r="I1377" s="50"/>
      <c r="J1377" s="351"/>
      <c r="K1377" s="448"/>
      <c r="L1377" s="29"/>
      <c r="M1377" s="31"/>
      <c r="N1377" s="14"/>
      <c r="O1377" s="31"/>
      <c r="Q1377" s="36"/>
      <c r="R1377" s="36"/>
      <c r="S1377" s="36"/>
      <c r="T1377" s="36"/>
      <c r="V1377" s="31"/>
    </row>
    <row r="1378">
      <c r="A1378" s="14"/>
      <c r="B1378" s="460"/>
      <c r="C1378" s="302"/>
      <c r="D1378" s="50"/>
      <c r="E1378" s="348"/>
      <c r="F1378" s="22"/>
      <c r="G1378" s="22"/>
      <c r="H1378" s="22"/>
      <c r="I1378" s="50"/>
      <c r="J1378" s="351"/>
      <c r="K1378" s="448"/>
      <c r="L1378" s="29"/>
      <c r="M1378" s="31"/>
      <c r="N1378" s="14"/>
      <c r="O1378" s="31"/>
      <c r="Q1378" s="36"/>
      <c r="R1378" s="36"/>
      <c r="S1378" s="36"/>
      <c r="T1378" s="36"/>
      <c r="V1378" s="31"/>
    </row>
    <row r="1379">
      <c r="A1379" s="14"/>
      <c r="B1379" s="460"/>
      <c r="C1379" s="302"/>
      <c r="D1379" s="50"/>
      <c r="E1379" s="348"/>
      <c r="F1379" s="22"/>
      <c r="G1379" s="22"/>
      <c r="H1379" s="22"/>
      <c r="I1379" s="50"/>
      <c r="J1379" s="351"/>
      <c r="K1379" s="448"/>
      <c r="L1379" s="29"/>
      <c r="M1379" s="31"/>
      <c r="N1379" s="14"/>
      <c r="O1379" s="31"/>
      <c r="Q1379" s="36"/>
      <c r="R1379" s="36"/>
      <c r="S1379" s="36"/>
      <c r="T1379" s="36"/>
      <c r="V1379" s="31"/>
    </row>
    <row r="1380">
      <c r="A1380" s="14"/>
      <c r="B1380" s="460"/>
      <c r="C1380" s="302"/>
      <c r="D1380" s="50"/>
      <c r="E1380" s="348"/>
      <c r="F1380" s="22"/>
      <c r="G1380" s="22"/>
      <c r="H1380" s="22"/>
      <c r="I1380" s="50"/>
      <c r="J1380" s="351"/>
      <c r="K1380" s="448"/>
      <c r="L1380" s="29"/>
      <c r="M1380" s="31"/>
      <c r="N1380" s="14"/>
      <c r="O1380" s="31"/>
      <c r="Q1380" s="36"/>
      <c r="R1380" s="36"/>
      <c r="S1380" s="36"/>
      <c r="T1380" s="36"/>
      <c r="V1380" s="31"/>
    </row>
    <row r="1381">
      <c r="A1381" s="14"/>
      <c r="B1381" s="460"/>
      <c r="C1381" s="302"/>
      <c r="D1381" s="50"/>
      <c r="E1381" s="348"/>
      <c r="F1381" s="22"/>
      <c r="G1381" s="22"/>
      <c r="H1381" s="22"/>
      <c r="I1381" s="50"/>
      <c r="J1381" s="351"/>
      <c r="K1381" s="448"/>
      <c r="L1381" s="29"/>
      <c r="M1381" s="31"/>
      <c r="N1381" s="14"/>
      <c r="O1381" s="31"/>
      <c r="Q1381" s="36"/>
      <c r="R1381" s="36"/>
      <c r="S1381" s="36"/>
      <c r="T1381" s="36"/>
      <c r="V1381" s="31"/>
    </row>
    <row r="1382">
      <c r="A1382" s="14"/>
      <c r="B1382" s="460"/>
      <c r="C1382" s="302"/>
      <c r="D1382" s="50"/>
      <c r="E1382" s="348"/>
      <c r="F1382" s="22"/>
      <c r="G1382" s="22"/>
      <c r="H1382" s="22"/>
      <c r="I1382" s="50"/>
      <c r="J1382" s="351"/>
      <c r="K1382" s="448"/>
      <c r="L1382" s="29"/>
      <c r="M1382" s="31"/>
      <c r="N1382" s="14"/>
      <c r="O1382" s="31"/>
      <c r="Q1382" s="36"/>
      <c r="R1382" s="36"/>
      <c r="S1382" s="36"/>
      <c r="T1382" s="36"/>
      <c r="V1382" s="31"/>
    </row>
    <row r="1383">
      <c r="A1383" s="14"/>
      <c r="B1383" s="460"/>
      <c r="C1383" s="302"/>
      <c r="D1383" s="50"/>
      <c r="E1383" s="348"/>
      <c r="F1383" s="22"/>
      <c r="G1383" s="22"/>
      <c r="H1383" s="22"/>
      <c r="I1383" s="50"/>
      <c r="J1383" s="351"/>
      <c r="K1383" s="448"/>
      <c r="L1383" s="29"/>
      <c r="M1383" s="31"/>
      <c r="N1383" s="14"/>
      <c r="O1383" s="31"/>
      <c r="Q1383" s="36"/>
      <c r="R1383" s="36"/>
      <c r="S1383" s="36"/>
      <c r="T1383" s="36"/>
      <c r="V1383" s="31"/>
    </row>
    <row r="1384">
      <c r="A1384" s="14"/>
      <c r="B1384" s="460"/>
      <c r="C1384" s="302"/>
      <c r="D1384" s="50"/>
      <c r="E1384" s="348"/>
      <c r="F1384" s="22"/>
      <c r="G1384" s="22"/>
      <c r="H1384" s="22"/>
      <c r="I1384" s="50"/>
      <c r="J1384" s="351"/>
      <c r="K1384" s="448"/>
      <c r="L1384" s="29"/>
      <c r="M1384" s="31"/>
      <c r="N1384" s="14"/>
      <c r="O1384" s="31"/>
      <c r="Q1384" s="36"/>
      <c r="R1384" s="36"/>
      <c r="S1384" s="36"/>
      <c r="T1384" s="36"/>
      <c r="V1384" s="31"/>
    </row>
    <row r="1385">
      <c r="A1385" s="14"/>
      <c r="B1385" s="460"/>
      <c r="C1385" s="302"/>
      <c r="D1385" s="50"/>
      <c r="E1385" s="348"/>
      <c r="F1385" s="22"/>
      <c r="G1385" s="22"/>
      <c r="H1385" s="22"/>
      <c r="I1385" s="50"/>
      <c r="J1385" s="351"/>
      <c r="K1385" s="448"/>
      <c r="L1385" s="29"/>
      <c r="M1385" s="31"/>
      <c r="N1385" s="14"/>
      <c r="O1385" s="31"/>
      <c r="Q1385" s="36"/>
      <c r="R1385" s="36"/>
      <c r="S1385" s="36"/>
      <c r="T1385" s="36"/>
      <c r="V1385" s="31"/>
    </row>
    <row r="1386">
      <c r="A1386" s="14"/>
      <c r="B1386" s="460"/>
      <c r="C1386" s="302"/>
      <c r="D1386" s="50"/>
      <c r="E1386" s="348"/>
      <c r="F1386" s="22"/>
      <c r="G1386" s="22"/>
      <c r="H1386" s="22"/>
      <c r="I1386" s="50"/>
      <c r="J1386" s="351"/>
      <c r="K1386" s="448"/>
      <c r="L1386" s="29"/>
      <c r="M1386" s="31"/>
      <c r="N1386" s="14"/>
      <c r="O1386" s="31"/>
      <c r="Q1386" s="36"/>
      <c r="R1386" s="36"/>
      <c r="S1386" s="36"/>
      <c r="T1386" s="36"/>
      <c r="V1386" s="31"/>
    </row>
    <row r="1387">
      <c r="A1387" s="14"/>
      <c r="B1387" s="460"/>
      <c r="C1387" s="302"/>
      <c r="D1387" s="50"/>
      <c r="E1387" s="348"/>
      <c r="F1387" s="22"/>
      <c r="G1387" s="22"/>
      <c r="H1387" s="22"/>
      <c r="I1387" s="50"/>
      <c r="J1387" s="351"/>
      <c r="K1387" s="448"/>
      <c r="L1387" s="29"/>
      <c r="M1387" s="31"/>
      <c r="N1387" s="14"/>
      <c r="O1387" s="31"/>
      <c r="Q1387" s="36"/>
      <c r="R1387" s="36"/>
      <c r="S1387" s="36"/>
      <c r="T1387" s="36"/>
      <c r="V1387" s="31"/>
    </row>
    <row r="1388">
      <c r="A1388" s="14"/>
      <c r="B1388" s="460"/>
      <c r="C1388" s="302"/>
      <c r="D1388" s="50"/>
      <c r="E1388" s="348"/>
      <c r="F1388" s="22"/>
      <c r="G1388" s="22"/>
      <c r="H1388" s="22"/>
      <c r="I1388" s="50"/>
      <c r="J1388" s="351"/>
      <c r="K1388" s="448"/>
      <c r="L1388" s="29"/>
      <c r="M1388" s="31"/>
      <c r="N1388" s="14"/>
      <c r="O1388" s="31"/>
      <c r="Q1388" s="36"/>
      <c r="R1388" s="36"/>
      <c r="S1388" s="36"/>
      <c r="T1388" s="36"/>
      <c r="V1388" s="31"/>
    </row>
    <row r="1389">
      <c r="A1389" s="14"/>
      <c r="B1389" s="460"/>
      <c r="C1389" s="302"/>
      <c r="D1389" s="50"/>
      <c r="E1389" s="348"/>
      <c r="F1389" s="22"/>
      <c r="G1389" s="22"/>
      <c r="H1389" s="22"/>
      <c r="I1389" s="50"/>
      <c r="J1389" s="351"/>
      <c r="K1389" s="448"/>
      <c r="L1389" s="29"/>
      <c r="M1389" s="31"/>
      <c r="N1389" s="14"/>
      <c r="O1389" s="31"/>
      <c r="Q1389" s="36"/>
      <c r="R1389" s="36"/>
      <c r="S1389" s="36"/>
      <c r="T1389" s="36"/>
      <c r="V1389" s="31"/>
    </row>
    <row r="1390">
      <c r="A1390" s="14"/>
      <c r="B1390" s="460"/>
      <c r="C1390" s="302"/>
      <c r="D1390" s="50"/>
      <c r="E1390" s="348"/>
      <c r="F1390" s="22"/>
      <c r="G1390" s="22"/>
      <c r="H1390" s="22"/>
      <c r="I1390" s="50"/>
      <c r="J1390" s="351"/>
      <c r="K1390" s="448"/>
      <c r="L1390" s="29"/>
      <c r="M1390" s="31"/>
      <c r="N1390" s="14"/>
      <c r="O1390" s="31"/>
      <c r="Q1390" s="36"/>
      <c r="R1390" s="36"/>
      <c r="S1390" s="36"/>
      <c r="T1390" s="36"/>
      <c r="V1390" s="31"/>
    </row>
    <row r="1391">
      <c r="A1391" s="14"/>
      <c r="B1391" s="460"/>
      <c r="C1391" s="302"/>
      <c r="D1391" s="50"/>
      <c r="E1391" s="348"/>
      <c r="F1391" s="22"/>
      <c r="G1391" s="22"/>
      <c r="H1391" s="22"/>
      <c r="I1391" s="50"/>
      <c r="J1391" s="351"/>
      <c r="K1391" s="448"/>
      <c r="L1391" s="29"/>
      <c r="M1391" s="31"/>
      <c r="N1391" s="14"/>
      <c r="O1391" s="31"/>
      <c r="Q1391" s="36"/>
      <c r="R1391" s="36"/>
      <c r="S1391" s="36"/>
      <c r="T1391" s="36"/>
      <c r="V1391" s="31"/>
    </row>
    <row r="1392">
      <c r="A1392" s="14"/>
      <c r="B1392" s="460"/>
      <c r="C1392" s="302"/>
      <c r="D1392" s="50"/>
      <c r="E1392" s="348"/>
      <c r="F1392" s="22"/>
      <c r="G1392" s="22"/>
      <c r="H1392" s="22"/>
      <c r="I1392" s="50"/>
      <c r="J1392" s="351"/>
      <c r="K1392" s="448"/>
      <c r="L1392" s="29"/>
      <c r="M1392" s="31"/>
      <c r="N1392" s="14"/>
      <c r="O1392" s="31"/>
      <c r="Q1392" s="36"/>
      <c r="R1392" s="36"/>
      <c r="S1392" s="36"/>
      <c r="T1392" s="36"/>
      <c r="V1392" s="31"/>
    </row>
    <row r="1393">
      <c r="A1393" s="14"/>
      <c r="B1393" s="460"/>
      <c r="C1393" s="302"/>
      <c r="D1393" s="50"/>
      <c r="E1393" s="348"/>
      <c r="F1393" s="22"/>
      <c r="G1393" s="22"/>
      <c r="H1393" s="22"/>
      <c r="I1393" s="50"/>
      <c r="J1393" s="351"/>
      <c r="K1393" s="448"/>
      <c r="L1393" s="29"/>
      <c r="M1393" s="31"/>
      <c r="N1393" s="14"/>
      <c r="O1393" s="31"/>
      <c r="Q1393" s="36"/>
      <c r="R1393" s="36"/>
      <c r="S1393" s="36"/>
      <c r="T1393" s="36"/>
      <c r="V1393" s="31"/>
    </row>
    <row r="1394">
      <c r="A1394" s="14"/>
      <c r="B1394" s="460"/>
      <c r="C1394" s="302"/>
      <c r="D1394" s="50"/>
      <c r="E1394" s="348"/>
      <c r="F1394" s="22"/>
      <c r="G1394" s="22"/>
      <c r="H1394" s="22"/>
      <c r="I1394" s="50"/>
      <c r="J1394" s="351"/>
      <c r="K1394" s="448"/>
      <c r="L1394" s="29"/>
      <c r="M1394" s="31"/>
      <c r="N1394" s="14"/>
      <c r="O1394" s="31"/>
      <c r="Q1394" s="36"/>
      <c r="R1394" s="36"/>
      <c r="S1394" s="36"/>
      <c r="T1394" s="36"/>
      <c r="V1394" s="31"/>
    </row>
    <row r="1395">
      <c r="A1395" s="14"/>
      <c r="B1395" s="460"/>
      <c r="C1395" s="302"/>
      <c r="D1395" s="50"/>
      <c r="E1395" s="348"/>
      <c r="F1395" s="22"/>
      <c r="G1395" s="22"/>
      <c r="H1395" s="22"/>
      <c r="I1395" s="50"/>
      <c r="J1395" s="351"/>
      <c r="K1395" s="448"/>
      <c r="L1395" s="29"/>
      <c r="M1395" s="31"/>
      <c r="N1395" s="14"/>
      <c r="O1395" s="31"/>
      <c r="Q1395" s="36"/>
      <c r="R1395" s="36"/>
      <c r="S1395" s="36"/>
      <c r="T1395" s="36"/>
      <c r="V1395" s="31"/>
    </row>
    <row r="1396">
      <c r="A1396" s="14"/>
      <c r="B1396" s="460"/>
      <c r="C1396" s="302"/>
      <c r="D1396" s="50"/>
      <c r="E1396" s="348"/>
      <c r="F1396" s="22"/>
      <c r="G1396" s="22"/>
      <c r="H1396" s="22"/>
      <c r="I1396" s="50"/>
      <c r="J1396" s="351"/>
      <c r="K1396" s="448"/>
      <c r="L1396" s="29"/>
      <c r="M1396" s="31"/>
      <c r="N1396" s="14"/>
      <c r="O1396" s="31"/>
      <c r="Q1396" s="36"/>
      <c r="R1396" s="36"/>
      <c r="S1396" s="36"/>
      <c r="T1396" s="36"/>
      <c r="V1396" s="31"/>
    </row>
    <row r="1397">
      <c r="A1397" s="14"/>
      <c r="B1397" s="460"/>
      <c r="C1397" s="302"/>
      <c r="D1397" s="50"/>
      <c r="E1397" s="348"/>
      <c r="F1397" s="22"/>
      <c r="G1397" s="22"/>
      <c r="H1397" s="22"/>
      <c r="I1397" s="50"/>
      <c r="J1397" s="351"/>
      <c r="K1397" s="448"/>
      <c r="L1397" s="29"/>
      <c r="M1397" s="31"/>
      <c r="N1397" s="14"/>
      <c r="O1397" s="31"/>
      <c r="Q1397" s="36"/>
      <c r="R1397" s="36"/>
      <c r="S1397" s="36"/>
      <c r="T1397" s="36"/>
      <c r="V1397" s="31"/>
    </row>
    <row r="1398">
      <c r="A1398" s="14"/>
      <c r="B1398" s="460"/>
      <c r="C1398" s="302"/>
      <c r="D1398" s="50"/>
      <c r="E1398" s="348"/>
      <c r="F1398" s="22"/>
      <c r="G1398" s="22"/>
      <c r="H1398" s="22"/>
      <c r="I1398" s="50"/>
      <c r="J1398" s="351"/>
      <c r="K1398" s="448"/>
      <c r="L1398" s="29"/>
      <c r="M1398" s="31"/>
      <c r="N1398" s="14"/>
      <c r="O1398" s="31"/>
      <c r="Q1398" s="36"/>
      <c r="R1398" s="36"/>
      <c r="S1398" s="36"/>
      <c r="T1398" s="36"/>
      <c r="V1398" s="31"/>
    </row>
    <row r="1399">
      <c r="A1399" s="14"/>
      <c r="B1399" s="460"/>
      <c r="C1399" s="302"/>
      <c r="D1399" s="50"/>
      <c r="E1399" s="348"/>
      <c r="F1399" s="22"/>
      <c r="G1399" s="22"/>
      <c r="H1399" s="22"/>
      <c r="I1399" s="50"/>
      <c r="J1399" s="351"/>
      <c r="K1399" s="448"/>
      <c r="L1399" s="29"/>
      <c r="M1399" s="31"/>
      <c r="N1399" s="14"/>
      <c r="O1399" s="31"/>
      <c r="Q1399" s="36"/>
      <c r="R1399" s="36"/>
      <c r="S1399" s="36"/>
      <c r="T1399" s="36"/>
      <c r="V1399" s="31"/>
    </row>
    <row r="1400">
      <c r="A1400" s="14"/>
      <c r="B1400" s="460"/>
      <c r="C1400" s="302"/>
      <c r="D1400" s="50"/>
      <c r="E1400" s="348"/>
      <c r="F1400" s="22"/>
      <c r="G1400" s="22"/>
      <c r="H1400" s="22"/>
      <c r="I1400" s="50"/>
      <c r="J1400" s="351"/>
      <c r="K1400" s="448"/>
      <c r="L1400" s="29"/>
      <c r="M1400" s="31"/>
      <c r="N1400" s="14"/>
      <c r="O1400" s="31"/>
      <c r="Q1400" s="36"/>
      <c r="R1400" s="36"/>
      <c r="S1400" s="36"/>
      <c r="T1400" s="36"/>
      <c r="V1400" s="31"/>
    </row>
    <row r="1401">
      <c r="A1401" s="14"/>
      <c r="B1401" s="460"/>
      <c r="C1401" s="302"/>
      <c r="D1401" s="50"/>
      <c r="E1401" s="348"/>
      <c r="F1401" s="22"/>
      <c r="G1401" s="22"/>
      <c r="H1401" s="22"/>
      <c r="I1401" s="50"/>
      <c r="J1401" s="351"/>
      <c r="K1401" s="448"/>
      <c r="L1401" s="29"/>
      <c r="M1401" s="31"/>
      <c r="N1401" s="14"/>
      <c r="O1401" s="31"/>
      <c r="Q1401" s="36"/>
      <c r="R1401" s="36"/>
      <c r="S1401" s="36"/>
      <c r="T1401" s="36"/>
      <c r="V1401" s="31"/>
    </row>
    <row r="1402">
      <c r="A1402" s="14"/>
      <c r="B1402" s="460"/>
      <c r="C1402" s="302"/>
      <c r="D1402" s="50"/>
      <c r="E1402" s="348"/>
      <c r="F1402" s="22"/>
      <c r="G1402" s="22"/>
      <c r="H1402" s="22"/>
      <c r="I1402" s="50"/>
      <c r="J1402" s="351"/>
      <c r="K1402" s="448"/>
      <c r="L1402" s="29"/>
      <c r="M1402" s="31"/>
      <c r="N1402" s="14"/>
      <c r="O1402" s="31"/>
      <c r="Q1402" s="36"/>
      <c r="R1402" s="36"/>
      <c r="S1402" s="36"/>
      <c r="T1402" s="36"/>
      <c r="V1402" s="31"/>
    </row>
    <row r="1403">
      <c r="A1403" s="14"/>
      <c r="B1403" s="460"/>
      <c r="C1403" s="302"/>
      <c r="D1403" s="50"/>
      <c r="E1403" s="348"/>
      <c r="F1403" s="22"/>
      <c r="G1403" s="22"/>
      <c r="H1403" s="22"/>
      <c r="I1403" s="50"/>
      <c r="J1403" s="351"/>
      <c r="K1403" s="448"/>
      <c r="L1403" s="29"/>
      <c r="M1403" s="31"/>
      <c r="N1403" s="14"/>
      <c r="O1403" s="31"/>
      <c r="Q1403" s="36"/>
      <c r="R1403" s="36"/>
      <c r="S1403" s="36"/>
      <c r="T1403" s="36"/>
      <c r="V1403" s="31"/>
    </row>
    <row r="1404">
      <c r="A1404" s="14"/>
      <c r="B1404" s="460"/>
      <c r="C1404" s="302"/>
      <c r="D1404" s="50"/>
      <c r="E1404" s="348"/>
      <c r="F1404" s="22"/>
      <c r="G1404" s="22"/>
      <c r="H1404" s="22"/>
      <c r="I1404" s="50"/>
      <c r="J1404" s="351"/>
      <c r="K1404" s="448"/>
      <c r="L1404" s="29"/>
      <c r="M1404" s="31"/>
      <c r="N1404" s="14"/>
      <c r="O1404" s="31"/>
      <c r="Q1404" s="36"/>
      <c r="R1404" s="36"/>
      <c r="S1404" s="36"/>
      <c r="T1404" s="36"/>
      <c r="V1404" s="31"/>
    </row>
    <row r="1405">
      <c r="A1405" s="14"/>
      <c r="B1405" s="460"/>
      <c r="C1405" s="302"/>
      <c r="D1405" s="50"/>
      <c r="E1405" s="348"/>
      <c r="F1405" s="22"/>
      <c r="G1405" s="22"/>
      <c r="H1405" s="22"/>
      <c r="I1405" s="50"/>
      <c r="J1405" s="351"/>
      <c r="K1405" s="448"/>
      <c r="L1405" s="29"/>
      <c r="M1405" s="31"/>
      <c r="N1405" s="14"/>
      <c r="O1405" s="31"/>
      <c r="Q1405" s="36"/>
      <c r="R1405" s="36"/>
      <c r="S1405" s="36"/>
      <c r="T1405" s="36"/>
      <c r="V1405" s="31"/>
    </row>
    <row r="1406">
      <c r="A1406" s="14"/>
      <c r="B1406" s="460"/>
      <c r="C1406" s="302"/>
      <c r="D1406" s="50"/>
      <c r="E1406" s="348"/>
      <c r="F1406" s="22"/>
      <c r="G1406" s="22"/>
      <c r="H1406" s="22"/>
      <c r="I1406" s="50"/>
      <c r="J1406" s="351"/>
      <c r="K1406" s="448"/>
      <c r="L1406" s="29"/>
      <c r="M1406" s="31"/>
      <c r="N1406" s="14"/>
      <c r="O1406" s="31"/>
      <c r="Q1406" s="36"/>
      <c r="R1406" s="36"/>
      <c r="S1406" s="36"/>
      <c r="T1406" s="36"/>
      <c r="V1406" s="31"/>
    </row>
    <row r="1407">
      <c r="A1407" s="14"/>
      <c r="B1407" s="460"/>
      <c r="C1407" s="302"/>
      <c r="D1407" s="50"/>
      <c r="E1407" s="348"/>
      <c r="F1407" s="22"/>
      <c r="G1407" s="22"/>
      <c r="H1407" s="22"/>
      <c r="I1407" s="50"/>
      <c r="J1407" s="351"/>
      <c r="K1407" s="448"/>
      <c r="L1407" s="29"/>
      <c r="M1407" s="31"/>
      <c r="N1407" s="14"/>
      <c r="O1407" s="31"/>
      <c r="Q1407" s="36"/>
      <c r="R1407" s="36"/>
      <c r="S1407" s="36"/>
      <c r="T1407" s="36"/>
      <c r="V1407" s="31"/>
    </row>
    <row r="1408">
      <c r="A1408" s="14"/>
      <c r="B1408" s="460"/>
      <c r="C1408" s="302"/>
      <c r="D1408" s="50"/>
      <c r="E1408" s="348"/>
      <c r="F1408" s="22"/>
      <c r="G1408" s="22"/>
      <c r="H1408" s="22"/>
      <c r="I1408" s="50"/>
      <c r="J1408" s="351"/>
      <c r="K1408" s="448"/>
      <c r="L1408" s="29"/>
      <c r="M1408" s="31"/>
      <c r="N1408" s="14"/>
      <c r="O1408" s="31"/>
      <c r="Q1408" s="36"/>
      <c r="R1408" s="36"/>
      <c r="S1408" s="36"/>
      <c r="T1408" s="36"/>
      <c r="V1408" s="31"/>
    </row>
    <row r="1409">
      <c r="A1409" s="14"/>
      <c r="B1409" s="460"/>
      <c r="C1409" s="302"/>
      <c r="D1409" s="50"/>
      <c r="E1409" s="348"/>
      <c r="F1409" s="22"/>
      <c r="G1409" s="22"/>
      <c r="H1409" s="22"/>
      <c r="I1409" s="50"/>
      <c r="J1409" s="351"/>
      <c r="K1409" s="448"/>
      <c r="L1409" s="29"/>
      <c r="M1409" s="31"/>
      <c r="N1409" s="14"/>
      <c r="O1409" s="31"/>
      <c r="Q1409" s="36"/>
      <c r="R1409" s="36"/>
      <c r="S1409" s="36"/>
      <c r="T1409" s="36"/>
      <c r="V1409" s="31"/>
    </row>
    <row r="1410">
      <c r="A1410" s="14"/>
      <c r="B1410" s="460"/>
      <c r="C1410" s="302"/>
      <c r="D1410" s="50"/>
      <c r="E1410" s="348"/>
      <c r="F1410" s="22"/>
      <c r="G1410" s="22"/>
      <c r="H1410" s="22"/>
      <c r="I1410" s="50"/>
      <c r="J1410" s="351"/>
      <c r="K1410" s="448"/>
      <c r="L1410" s="29"/>
      <c r="M1410" s="31"/>
      <c r="N1410" s="14"/>
      <c r="O1410" s="31"/>
      <c r="Q1410" s="36"/>
      <c r="R1410" s="36"/>
      <c r="S1410" s="36"/>
      <c r="T1410" s="36"/>
      <c r="V1410" s="31"/>
    </row>
    <row r="1411">
      <c r="A1411" s="14"/>
      <c r="B1411" s="460"/>
      <c r="C1411" s="302"/>
      <c r="D1411" s="50"/>
      <c r="E1411" s="348"/>
      <c r="F1411" s="22"/>
      <c r="G1411" s="22"/>
      <c r="H1411" s="22"/>
      <c r="I1411" s="50"/>
      <c r="J1411" s="351"/>
      <c r="K1411" s="448"/>
      <c r="L1411" s="29"/>
      <c r="M1411" s="31"/>
      <c r="N1411" s="14"/>
      <c r="O1411" s="31"/>
      <c r="Q1411" s="36"/>
      <c r="R1411" s="36"/>
      <c r="S1411" s="36"/>
      <c r="T1411" s="36"/>
      <c r="V1411" s="31"/>
    </row>
    <row r="1412">
      <c r="A1412" s="14"/>
      <c r="B1412" s="460"/>
      <c r="C1412" s="302"/>
      <c r="D1412" s="50"/>
      <c r="E1412" s="348"/>
      <c r="F1412" s="22"/>
      <c r="G1412" s="22"/>
      <c r="H1412" s="22"/>
      <c r="I1412" s="50"/>
      <c r="J1412" s="351"/>
      <c r="K1412" s="448"/>
      <c r="L1412" s="29"/>
      <c r="M1412" s="31"/>
      <c r="N1412" s="14"/>
      <c r="O1412" s="31"/>
      <c r="Q1412" s="36"/>
      <c r="R1412" s="36"/>
      <c r="S1412" s="36"/>
      <c r="T1412" s="36"/>
      <c r="V1412" s="31"/>
    </row>
    <row r="1413">
      <c r="A1413" s="14"/>
      <c r="B1413" s="460"/>
      <c r="C1413" s="302"/>
      <c r="D1413" s="50"/>
      <c r="E1413" s="348"/>
      <c r="F1413" s="22"/>
      <c r="G1413" s="22"/>
      <c r="H1413" s="22"/>
      <c r="I1413" s="50"/>
      <c r="J1413" s="351"/>
      <c r="K1413" s="448"/>
      <c r="L1413" s="29"/>
      <c r="M1413" s="31"/>
      <c r="N1413" s="14"/>
      <c r="O1413" s="31"/>
      <c r="Q1413" s="36"/>
      <c r="R1413" s="36"/>
      <c r="S1413" s="36"/>
      <c r="T1413" s="36"/>
      <c r="V1413" s="31"/>
    </row>
    <row r="1414">
      <c r="A1414" s="14"/>
      <c r="B1414" s="460"/>
      <c r="C1414" s="302"/>
      <c r="D1414" s="50"/>
      <c r="E1414" s="348"/>
      <c r="F1414" s="22"/>
      <c r="G1414" s="22"/>
      <c r="H1414" s="22"/>
      <c r="I1414" s="50"/>
      <c r="J1414" s="351"/>
      <c r="K1414" s="448"/>
      <c r="L1414" s="29"/>
      <c r="M1414" s="31"/>
      <c r="N1414" s="14"/>
      <c r="O1414" s="31"/>
      <c r="Q1414" s="36"/>
      <c r="R1414" s="36"/>
      <c r="S1414" s="36"/>
      <c r="T1414" s="36"/>
      <c r="V1414" s="31"/>
    </row>
    <row r="1415">
      <c r="A1415" s="14"/>
      <c r="B1415" s="460"/>
      <c r="C1415" s="302"/>
      <c r="D1415" s="50"/>
      <c r="E1415" s="348"/>
      <c r="F1415" s="22"/>
      <c r="G1415" s="22"/>
      <c r="H1415" s="22"/>
      <c r="I1415" s="50"/>
      <c r="J1415" s="351"/>
      <c r="K1415" s="448"/>
      <c r="L1415" s="29"/>
      <c r="M1415" s="31"/>
      <c r="N1415" s="14"/>
      <c r="O1415" s="31"/>
      <c r="Q1415" s="36"/>
      <c r="R1415" s="36"/>
      <c r="S1415" s="36"/>
      <c r="T1415" s="36"/>
      <c r="V1415" s="31"/>
    </row>
    <row r="1416">
      <c r="A1416" s="14"/>
      <c r="B1416" s="460"/>
      <c r="C1416" s="302"/>
      <c r="D1416" s="50"/>
      <c r="E1416" s="348"/>
      <c r="F1416" s="22"/>
      <c r="G1416" s="22"/>
      <c r="H1416" s="22"/>
      <c r="I1416" s="50"/>
      <c r="J1416" s="351"/>
      <c r="K1416" s="448"/>
      <c r="L1416" s="29"/>
      <c r="M1416" s="31"/>
      <c r="N1416" s="14"/>
      <c r="O1416" s="31"/>
      <c r="Q1416" s="36"/>
      <c r="R1416" s="36"/>
      <c r="S1416" s="36"/>
      <c r="T1416" s="36"/>
      <c r="V1416" s="31"/>
    </row>
    <row r="1417">
      <c r="A1417" s="14"/>
      <c r="B1417" s="460"/>
      <c r="C1417" s="302"/>
      <c r="D1417" s="50"/>
      <c r="E1417" s="348"/>
      <c r="F1417" s="22"/>
      <c r="G1417" s="22"/>
      <c r="H1417" s="22"/>
      <c r="I1417" s="50"/>
      <c r="J1417" s="351"/>
      <c r="K1417" s="448"/>
      <c r="L1417" s="29"/>
      <c r="M1417" s="31"/>
      <c r="N1417" s="14"/>
      <c r="O1417" s="31"/>
      <c r="Q1417" s="36"/>
      <c r="R1417" s="36"/>
      <c r="S1417" s="36"/>
      <c r="T1417" s="36"/>
      <c r="V1417" s="31"/>
    </row>
    <row r="1418">
      <c r="A1418" s="14"/>
      <c r="B1418" s="460"/>
      <c r="C1418" s="302"/>
      <c r="D1418" s="50"/>
      <c r="E1418" s="348"/>
      <c r="F1418" s="22"/>
      <c r="G1418" s="22"/>
      <c r="H1418" s="22"/>
      <c r="I1418" s="50"/>
      <c r="J1418" s="351"/>
      <c r="K1418" s="448"/>
      <c r="L1418" s="29"/>
      <c r="M1418" s="31"/>
      <c r="N1418" s="14"/>
      <c r="O1418" s="31"/>
      <c r="Q1418" s="36"/>
      <c r="R1418" s="36"/>
      <c r="S1418" s="36"/>
      <c r="T1418" s="36"/>
      <c r="V1418" s="31"/>
    </row>
    <row r="1419">
      <c r="A1419" s="14"/>
      <c r="B1419" s="460"/>
      <c r="C1419" s="302"/>
      <c r="D1419" s="50"/>
      <c r="E1419" s="348"/>
      <c r="F1419" s="22"/>
      <c r="G1419" s="22"/>
      <c r="H1419" s="22"/>
      <c r="I1419" s="50"/>
      <c r="J1419" s="351"/>
      <c r="K1419" s="448"/>
      <c r="L1419" s="29"/>
      <c r="M1419" s="31"/>
      <c r="N1419" s="14"/>
      <c r="O1419" s="31"/>
      <c r="Q1419" s="36"/>
      <c r="R1419" s="36"/>
      <c r="S1419" s="36"/>
      <c r="T1419" s="36"/>
      <c r="V1419" s="31"/>
    </row>
    <row r="1420">
      <c r="A1420" s="14"/>
      <c r="B1420" s="460"/>
      <c r="C1420" s="302"/>
      <c r="D1420" s="50"/>
      <c r="E1420" s="348"/>
      <c r="F1420" s="22"/>
      <c r="G1420" s="22"/>
      <c r="H1420" s="22"/>
      <c r="I1420" s="50"/>
      <c r="J1420" s="351"/>
      <c r="K1420" s="448"/>
      <c r="L1420" s="29"/>
      <c r="M1420" s="31"/>
      <c r="N1420" s="14"/>
      <c r="O1420" s="31"/>
      <c r="Q1420" s="36"/>
      <c r="R1420" s="36"/>
      <c r="S1420" s="36"/>
      <c r="T1420" s="36"/>
      <c r="V1420" s="31"/>
    </row>
    <row r="1421">
      <c r="A1421" s="14"/>
      <c r="B1421" s="460"/>
      <c r="C1421" s="302"/>
      <c r="D1421" s="50"/>
      <c r="E1421" s="348"/>
      <c r="F1421" s="22"/>
      <c r="G1421" s="22"/>
      <c r="H1421" s="22"/>
      <c r="I1421" s="50"/>
      <c r="J1421" s="351"/>
      <c r="K1421" s="448"/>
      <c r="L1421" s="29"/>
      <c r="M1421" s="31"/>
      <c r="N1421" s="14"/>
      <c r="O1421" s="31"/>
      <c r="Q1421" s="36"/>
      <c r="R1421" s="36"/>
      <c r="S1421" s="36"/>
      <c r="T1421" s="36"/>
      <c r="V1421" s="31"/>
    </row>
    <row r="1422">
      <c r="A1422" s="14"/>
      <c r="B1422" s="460"/>
      <c r="C1422" s="302"/>
      <c r="D1422" s="50"/>
      <c r="E1422" s="348"/>
      <c r="F1422" s="22"/>
      <c r="G1422" s="22"/>
      <c r="H1422" s="22"/>
      <c r="I1422" s="50"/>
      <c r="J1422" s="351"/>
      <c r="K1422" s="448"/>
      <c r="L1422" s="29"/>
      <c r="M1422" s="31"/>
      <c r="N1422" s="14"/>
      <c r="O1422" s="31"/>
      <c r="Q1422" s="36"/>
      <c r="R1422" s="36"/>
      <c r="S1422" s="36"/>
      <c r="T1422" s="36"/>
      <c r="V1422" s="31"/>
    </row>
    <row r="1423">
      <c r="A1423" s="14"/>
      <c r="B1423" s="460"/>
      <c r="C1423" s="302"/>
      <c r="D1423" s="50"/>
      <c r="E1423" s="348"/>
      <c r="F1423" s="22"/>
      <c r="G1423" s="22"/>
      <c r="H1423" s="22"/>
      <c r="I1423" s="50"/>
      <c r="J1423" s="351"/>
      <c r="K1423" s="448"/>
      <c r="L1423" s="29"/>
      <c r="M1423" s="31"/>
      <c r="N1423" s="14"/>
      <c r="O1423" s="31"/>
      <c r="Q1423" s="36"/>
      <c r="R1423" s="36"/>
      <c r="S1423" s="36"/>
      <c r="T1423" s="36"/>
      <c r="V1423" s="31"/>
    </row>
    <row r="1424">
      <c r="A1424" s="14"/>
      <c r="B1424" s="460"/>
      <c r="C1424" s="302"/>
      <c r="D1424" s="50"/>
      <c r="E1424" s="348"/>
      <c r="F1424" s="22"/>
      <c r="G1424" s="22"/>
      <c r="H1424" s="22"/>
      <c r="I1424" s="50"/>
      <c r="J1424" s="351"/>
      <c r="K1424" s="448"/>
      <c r="L1424" s="29"/>
      <c r="M1424" s="31"/>
      <c r="N1424" s="14"/>
      <c r="O1424" s="31"/>
      <c r="Q1424" s="36"/>
      <c r="R1424" s="36"/>
      <c r="S1424" s="36"/>
      <c r="T1424" s="36"/>
      <c r="V1424" s="31"/>
    </row>
    <row r="1425">
      <c r="A1425" s="14"/>
      <c r="B1425" s="460"/>
      <c r="C1425" s="302"/>
      <c r="D1425" s="50"/>
      <c r="E1425" s="348"/>
      <c r="F1425" s="22"/>
      <c r="G1425" s="22"/>
      <c r="H1425" s="22"/>
      <c r="I1425" s="50"/>
      <c r="J1425" s="351"/>
      <c r="K1425" s="448"/>
      <c r="L1425" s="29"/>
      <c r="M1425" s="31"/>
      <c r="N1425" s="14"/>
      <c r="O1425" s="31"/>
      <c r="Q1425" s="36"/>
      <c r="R1425" s="36"/>
      <c r="S1425" s="36"/>
      <c r="T1425" s="36"/>
      <c r="V1425" s="31"/>
    </row>
    <row r="1426">
      <c r="A1426" s="14"/>
      <c r="B1426" s="460"/>
      <c r="C1426" s="302"/>
      <c r="D1426" s="50"/>
      <c r="E1426" s="348"/>
      <c r="F1426" s="22"/>
      <c r="G1426" s="22"/>
      <c r="H1426" s="22"/>
      <c r="I1426" s="50"/>
      <c r="J1426" s="351"/>
      <c r="K1426" s="448"/>
      <c r="L1426" s="29"/>
      <c r="M1426" s="31"/>
      <c r="N1426" s="14"/>
      <c r="O1426" s="31"/>
      <c r="Q1426" s="36"/>
      <c r="R1426" s="36"/>
      <c r="S1426" s="36"/>
      <c r="T1426" s="36"/>
      <c r="V1426" s="31"/>
    </row>
    <row r="1427">
      <c r="A1427" s="14"/>
      <c r="B1427" s="460"/>
      <c r="C1427" s="302"/>
      <c r="D1427" s="50"/>
      <c r="E1427" s="348"/>
      <c r="F1427" s="22"/>
      <c r="G1427" s="22"/>
      <c r="H1427" s="22"/>
      <c r="I1427" s="50"/>
      <c r="J1427" s="351"/>
      <c r="K1427" s="448"/>
      <c r="L1427" s="29"/>
      <c r="M1427" s="31"/>
      <c r="N1427" s="14"/>
      <c r="O1427" s="31"/>
      <c r="Q1427" s="36"/>
      <c r="R1427" s="36"/>
      <c r="S1427" s="36"/>
      <c r="T1427" s="36"/>
      <c r="V1427" s="31"/>
    </row>
    <row r="1428">
      <c r="A1428" s="14"/>
      <c r="B1428" s="460"/>
      <c r="C1428" s="302"/>
      <c r="D1428" s="50"/>
      <c r="E1428" s="348"/>
      <c r="F1428" s="22"/>
      <c r="G1428" s="22"/>
      <c r="H1428" s="22"/>
      <c r="I1428" s="50"/>
      <c r="J1428" s="351"/>
      <c r="K1428" s="448"/>
      <c r="L1428" s="29"/>
      <c r="M1428" s="31"/>
      <c r="N1428" s="14"/>
      <c r="O1428" s="31"/>
      <c r="Q1428" s="36"/>
      <c r="R1428" s="36"/>
      <c r="S1428" s="36"/>
      <c r="T1428" s="36"/>
      <c r="V1428" s="31"/>
    </row>
    <row r="1429">
      <c r="A1429" s="14"/>
      <c r="B1429" s="460"/>
      <c r="C1429" s="302"/>
      <c r="D1429" s="50"/>
      <c r="E1429" s="348"/>
      <c r="F1429" s="22"/>
      <c r="G1429" s="22"/>
      <c r="H1429" s="22"/>
      <c r="I1429" s="50"/>
      <c r="J1429" s="351"/>
      <c r="K1429" s="448"/>
      <c r="L1429" s="29"/>
      <c r="M1429" s="31"/>
      <c r="N1429" s="14"/>
      <c r="O1429" s="31"/>
      <c r="Q1429" s="36"/>
      <c r="R1429" s="36"/>
      <c r="S1429" s="36"/>
      <c r="T1429" s="36"/>
      <c r="V1429" s="31"/>
    </row>
    <row r="1430">
      <c r="A1430" s="14"/>
      <c r="B1430" s="460"/>
      <c r="C1430" s="302"/>
      <c r="D1430" s="50"/>
      <c r="E1430" s="348"/>
      <c r="F1430" s="22"/>
      <c r="G1430" s="22"/>
      <c r="H1430" s="22"/>
      <c r="I1430" s="50"/>
      <c r="J1430" s="351"/>
      <c r="K1430" s="448"/>
      <c r="L1430" s="29"/>
      <c r="M1430" s="31"/>
      <c r="N1430" s="14"/>
      <c r="O1430" s="31"/>
      <c r="Q1430" s="36"/>
      <c r="R1430" s="36"/>
      <c r="S1430" s="36"/>
      <c r="T1430" s="36"/>
      <c r="V1430" s="31"/>
    </row>
    <row r="1431">
      <c r="A1431" s="14"/>
      <c r="B1431" s="460"/>
      <c r="C1431" s="302"/>
      <c r="D1431" s="50"/>
      <c r="E1431" s="348"/>
      <c r="F1431" s="22"/>
      <c r="G1431" s="22"/>
      <c r="H1431" s="22"/>
      <c r="I1431" s="50"/>
      <c r="J1431" s="351"/>
      <c r="K1431" s="448"/>
      <c r="L1431" s="29"/>
      <c r="M1431" s="31"/>
      <c r="N1431" s="14"/>
      <c r="O1431" s="31"/>
      <c r="Q1431" s="36"/>
      <c r="R1431" s="36"/>
      <c r="S1431" s="36"/>
      <c r="T1431" s="36"/>
      <c r="V1431" s="31"/>
    </row>
    <row r="1432">
      <c r="A1432" s="14"/>
      <c r="B1432" s="460"/>
      <c r="C1432" s="302"/>
      <c r="D1432" s="50"/>
      <c r="E1432" s="348"/>
      <c r="F1432" s="22"/>
      <c r="G1432" s="22"/>
      <c r="H1432" s="22"/>
      <c r="I1432" s="50"/>
      <c r="J1432" s="351"/>
      <c r="K1432" s="448"/>
      <c r="L1432" s="29"/>
      <c r="M1432" s="31"/>
      <c r="N1432" s="14"/>
      <c r="O1432" s="31"/>
      <c r="Q1432" s="36"/>
      <c r="R1432" s="36"/>
      <c r="S1432" s="36"/>
      <c r="T1432" s="36"/>
      <c r="V1432" s="31"/>
    </row>
    <row r="1433">
      <c r="A1433" s="14"/>
      <c r="B1433" s="460"/>
      <c r="C1433" s="302"/>
      <c r="D1433" s="50"/>
      <c r="E1433" s="348"/>
      <c r="F1433" s="22"/>
      <c r="G1433" s="22"/>
      <c r="H1433" s="22"/>
      <c r="I1433" s="50"/>
      <c r="J1433" s="351"/>
      <c r="K1433" s="448"/>
      <c r="L1433" s="29"/>
      <c r="M1433" s="31"/>
      <c r="N1433" s="14"/>
      <c r="O1433" s="31"/>
      <c r="Q1433" s="36"/>
      <c r="R1433" s="36"/>
      <c r="S1433" s="36"/>
      <c r="T1433" s="36"/>
      <c r="V1433" s="31"/>
    </row>
    <row r="1434">
      <c r="A1434" s="14"/>
      <c r="B1434" s="460"/>
      <c r="C1434" s="302"/>
      <c r="D1434" s="50"/>
      <c r="E1434" s="348"/>
      <c r="F1434" s="22"/>
      <c r="G1434" s="22"/>
      <c r="H1434" s="22"/>
      <c r="I1434" s="50"/>
      <c r="J1434" s="351"/>
      <c r="K1434" s="448"/>
      <c r="L1434" s="29"/>
      <c r="M1434" s="31"/>
      <c r="N1434" s="14"/>
      <c r="O1434" s="31"/>
      <c r="Q1434" s="36"/>
      <c r="R1434" s="36"/>
      <c r="S1434" s="36"/>
      <c r="T1434" s="36"/>
      <c r="V1434" s="31"/>
    </row>
    <row r="1435">
      <c r="A1435" s="14"/>
      <c r="B1435" s="460"/>
      <c r="C1435" s="302"/>
      <c r="D1435" s="50"/>
      <c r="E1435" s="348"/>
      <c r="F1435" s="22"/>
      <c r="G1435" s="22"/>
      <c r="H1435" s="22"/>
      <c r="I1435" s="50"/>
      <c r="J1435" s="351"/>
      <c r="K1435" s="448"/>
      <c r="L1435" s="29"/>
      <c r="M1435" s="31"/>
      <c r="N1435" s="14"/>
      <c r="O1435" s="31"/>
      <c r="Q1435" s="36"/>
      <c r="R1435" s="36"/>
      <c r="S1435" s="36"/>
      <c r="T1435" s="36"/>
      <c r="V1435" s="31"/>
    </row>
    <row r="1436">
      <c r="A1436" s="14"/>
      <c r="B1436" s="460"/>
      <c r="C1436" s="302"/>
      <c r="D1436" s="50"/>
      <c r="E1436" s="348"/>
      <c r="F1436" s="22"/>
      <c r="G1436" s="22"/>
      <c r="H1436" s="22"/>
      <c r="I1436" s="50"/>
      <c r="J1436" s="351"/>
      <c r="K1436" s="448"/>
      <c r="L1436" s="29"/>
      <c r="M1436" s="31"/>
      <c r="N1436" s="14"/>
      <c r="O1436" s="31"/>
      <c r="Q1436" s="36"/>
      <c r="R1436" s="36"/>
      <c r="S1436" s="36"/>
      <c r="T1436" s="36"/>
      <c r="V1436" s="31"/>
    </row>
    <row r="1437">
      <c r="A1437" s="14"/>
      <c r="B1437" s="460"/>
      <c r="C1437" s="302"/>
      <c r="D1437" s="50"/>
      <c r="E1437" s="348"/>
      <c r="F1437" s="22"/>
      <c r="G1437" s="22"/>
      <c r="H1437" s="22"/>
      <c r="I1437" s="50"/>
      <c r="J1437" s="351"/>
      <c r="K1437" s="448"/>
      <c r="L1437" s="29"/>
      <c r="M1437" s="31"/>
      <c r="N1437" s="14"/>
      <c r="O1437" s="31"/>
      <c r="Q1437" s="36"/>
      <c r="R1437" s="36"/>
      <c r="S1437" s="36"/>
      <c r="T1437" s="36"/>
      <c r="V1437" s="31"/>
    </row>
    <row r="1438">
      <c r="A1438" s="14"/>
      <c r="B1438" s="460"/>
      <c r="C1438" s="302"/>
      <c r="D1438" s="50"/>
      <c r="E1438" s="348"/>
      <c r="F1438" s="22"/>
      <c r="G1438" s="22"/>
      <c r="H1438" s="22"/>
      <c r="I1438" s="50"/>
      <c r="J1438" s="351"/>
      <c r="K1438" s="448"/>
      <c r="L1438" s="29"/>
      <c r="M1438" s="31"/>
      <c r="N1438" s="14"/>
      <c r="O1438" s="31"/>
      <c r="Q1438" s="36"/>
      <c r="R1438" s="36"/>
      <c r="S1438" s="36"/>
      <c r="T1438" s="36"/>
      <c r="V1438" s="31"/>
    </row>
    <row r="1439">
      <c r="A1439" s="14"/>
      <c r="B1439" s="460"/>
      <c r="C1439" s="302"/>
      <c r="D1439" s="50"/>
      <c r="E1439" s="348"/>
      <c r="F1439" s="22"/>
      <c r="G1439" s="22"/>
      <c r="H1439" s="22"/>
      <c r="I1439" s="50"/>
      <c r="J1439" s="351"/>
      <c r="K1439" s="448"/>
      <c r="L1439" s="29"/>
      <c r="M1439" s="31"/>
      <c r="N1439" s="14"/>
      <c r="O1439" s="31"/>
      <c r="Q1439" s="36"/>
      <c r="R1439" s="36"/>
      <c r="S1439" s="36"/>
      <c r="T1439" s="36"/>
      <c r="V1439" s="31"/>
    </row>
    <row r="1440">
      <c r="A1440" s="14"/>
      <c r="B1440" s="460"/>
      <c r="C1440" s="302"/>
      <c r="D1440" s="50"/>
      <c r="E1440" s="348"/>
      <c r="F1440" s="22"/>
      <c r="G1440" s="22"/>
      <c r="H1440" s="22"/>
      <c r="I1440" s="50"/>
      <c r="J1440" s="351"/>
      <c r="K1440" s="448"/>
      <c r="L1440" s="29"/>
      <c r="M1440" s="31"/>
      <c r="N1440" s="14"/>
      <c r="O1440" s="31"/>
      <c r="Q1440" s="36"/>
      <c r="R1440" s="36"/>
      <c r="S1440" s="36"/>
      <c r="T1440" s="36"/>
      <c r="V1440" s="31"/>
    </row>
    <row r="1441">
      <c r="A1441" s="14"/>
      <c r="B1441" s="460"/>
      <c r="C1441" s="302"/>
      <c r="D1441" s="50"/>
      <c r="E1441" s="348"/>
      <c r="F1441" s="22"/>
      <c r="G1441" s="22"/>
      <c r="H1441" s="22"/>
      <c r="I1441" s="50"/>
      <c r="J1441" s="351"/>
      <c r="K1441" s="448"/>
      <c r="L1441" s="29"/>
      <c r="M1441" s="31"/>
      <c r="N1441" s="14"/>
      <c r="O1441" s="31"/>
      <c r="Q1441" s="36"/>
      <c r="R1441" s="36"/>
      <c r="S1441" s="36"/>
      <c r="T1441" s="36"/>
      <c r="V1441" s="31"/>
    </row>
    <row r="1442">
      <c r="A1442" s="14"/>
      <c r="B1442" s="460"/>
      <c r="C1442" s="302"/>
      <c r="D1442" s="50"/>
      <c r="E1442" s="348"/>
      <c r="F1442" s="22"/>
      <c r="G1442" s="22"/>
      <c r="H1442" s="22"/>
      <c r="I1442" s="50"/>
      <c r="J1442" s="351"/>
      <c r="K1442" s="448"/>
      <c r="L1442" s="29"/>
      <c r="M1442" s="31"/>
      <c r="N1442" s="14"/>
      <c r="O1442" s="31"/>
      <c r="Q1442" s="36"/>
      <c r="R1442" s="36"/>
      <c r="S1442" s="36"/>
      <c r="T1442" s="36"/>
      <c r="V1442" s="31"/>
    </row>
    <row r="1443">
      <c r="A1443" s="14"/>
      <c r="B1443" s="460"/>
      <c r="C1443" s="302"/>
      <c r="D1443" s="50"/>
      <c r="E1443" s="348"/>
      <c r="F1443" s="22"/>
      <c r="G1443" s="22"/>
      <c r="H1443" s="22"/>
      <c r="I1443" s="50"/>
      <c r="J1443" s="351"/>
      <c r="K1443" s="448"/>
      <c r="L1443" s="29"/>
      <c r="M1443" s="31"/>
      <c r="N1443" s="14"/>
      <c r="O1443" s="31"/>
      <c r="Q1443" s="36"/>
      <c r="R1443" s="36"/>
      <c r="S1443" s="36"/>
      <c r="T1443" s="36"/>
      <c r="V1443" s="31"/>
    </row>
    <row r="1444">
      <c r="A1444" s="14"/>
      <c r="B1444" s="460"/>
      <c r="C1444" s="302"/>
      <c r="D1444" s="50"/>
      <c r="E1444" s="348"/>
      <c r="F1444" s="22"/>
      <c r="G1444" s="22"/>
      <c r="H1444" s="22"/>
      <c r="I1444" s="50"/>
      <c r="J1444" s="351"/>
      <c r="K1444" s="448"/>
      <c r="L1444" s="29"/>
      <c r="M1444" s="31"/>
      <c r="N1444" s="14"/>
      <c r="O1444" s="31"/>
      <c r="Q1444" s="36"/>
      <c r="R1444" s="36"/>
      <c r="S1444" s="36"/>
      <c r="T1444" s="36"/>
      <c r="V1444" s="31"/>
    </row>
    <row r="1445">
      <c r="A1445" s="14"/>
      <c r="B1445" s="460"/>
      <c r="C1445" s="302"/>
      <c r="D1445" s="50"/>
      <c r="E1445" s="348"/>
      <c r="F1445" s="22"/>
      <c r="G1445" s="22"/>
      <c r="H1445" s="22"/>
      <c r="I1445" s="50"/>
      <c r="J1445" s="351"/>
      <c r="K1445" s="448"/>
      <c r="L1445" s="29"/>
      <c r="M1445" s="31"/>
      <c r="N1445" s="14"/>
      <c r="O1445" s="31"/>
      <c r="Q1445" s="36"/>
      <c r="R1445" s="36"/>
      <c r="S1445" s="36"/>
      <c r="T1445" s="36"/>
      <c r="V1445" s="31"/>
    </row>
    <row r="1446">
      <c r="A1446" s="14"/>
      <c r="B1446" s="460"/>
      <c r="C1446" s="302"/>
      <c r="D1446" s="50"/>
      <c r="E1446" s="348"/>
      <c r="F1446" s="22"/>
      <c r="G1446" s="22"/>
      <c r="H1446" s="22"/>
      <c r="I1446" s="50"/>
      <c r="J1446" s="351"/>
      <c r="K1446" s="448"/>
      <c r="L1446" s="29"/>
      <c r="M1446" s="31"/>
      <c r="N1446" s="14"/>
      <c r="O1446" s="31"/>
      <c r="Q1446" s="36"/>
      <c r="R1446" s="36"/>
      <c r="S1446" s="36"/>
      <c r="T1446" s="36"/>
      <c r="V1446" s="31"/>
    </row>
    <row r="1447">
      <c r="A1447" s="14"/>
      <c r="B1447" s="460"/>
      <c r="C1447" s="302"/>
      <c r="D1447" s="50"/>
      <c r="E1447" s="348"/>
      <c r="F1447" s="22"/>
      <c r="G1447" s="22"/>
      <c r="H1447" s="22"/>
      <c r="I1447" s="50"/>
      <c r="J1447" s="351"/>
      <c r="K1447" s="448"/>
      <c r="L1447" s="29"/>
      <c r="M1447" s="31"/>
      <c r="N1447" s="14"/>
      <c r="O1447" s="31"/>
      <c r="Q1447" s="36"/>
      <c r="R1447" s="36"/>
      <c r="S1447" s="36"/>
      <c r="T1447" s="36"/>
      <c r="V1447" s="31"/>
    </row>
    <row r="1448">
      <c r="A1448" s="14"/>
      <c r="B1448" s="460"/>
      <c r="C1448" s="302"/>
      <c r="D1448" s="50"/>
      <c r="E1448" s="348"/>
      <c r="F1448" s="22"/>
      <c r="G1448" s="22"/>
      <c r="H1448" s="22"/>
      <c r="I1448" s="50"/>
      <c r="J1448" s="351"/>
      <c r="K1448" s="448"/>
      <c r="L1448" s="29"/>
      <c r="M1448" s="31"/>
      <c r="N1448" s="14"/>
      <c r="O1448" s="31"/>
      <c r="Q1448" s="36"/>
      <c r="R1448" s="36"/>
      <c r="S1448" s="36"/>
      <c r="T1448" s="36"/>
      <c r="V1448" s="31"/>
    </row>
    <row r="1449">
      <c r="A1449" s="14"/>
      <c r="B1449" s="460"/>
      <c r="C1449" s="302"/>
      <c r="D1449" s="50"/>
      <c r="E1449" s="348"/>
      <c r="F1449" s="22"/>
      <c r="G1449" s="22"/>
      <c r="H1449" s="22"/>
      <c r="I1449" s="50"/>
      <c r="J1449" s="351"/>
      <c r="K1449" s="448"/>
      <c r="L1449" s="29"/>
      <c r="M1449" s="31"/>
      <c r="N1449" s="14"/>
      <c r="O1449" s="31"/>
      <c r="Q1449" s="36"/>
      <c r="R1449" s="36"/>
      <c r="S1449" s="36"/>
      <c r="T1449" s="36"/>
      <c r="V1449" s="31"/>
    </row>
    <row r="1450">
      <c r="A1450" s="14"/>
      <c r="B1450" s="460"/>
      <c r="C1450" s="302"/>
      <c r="D1450" s="50"/>
      <c r="E1450" s="348"/>
      <c r="F1450" s="22"/>
      <c r="G1450" s="22"/>
      <c r="H1450" s="22"/>
      <c r="I1450" s="50"/>
      <c r="J1450" s="351"/>
      <c r="K1450" s="448"/>
      <c r="L1450" s="29"/>
      <c r="M1450" s="31"/>
      <c r="N1450" s="14"/>
      <c r="O1450" s="31"/>
      <c r="Q1450" s="36"/>
      <c r="R1450" s="36"/>
      <c r="S1450" s="36"/>
      <c r="T1450" s="36"/>
      <c r="V1450" s="31"/>
    </row>
    <row r="1451">
      <c r="A1451" s="14"/>
      <c r="B1451" s="460"/>
      <c r="C1451" s="302"/>
      <c r="D1451" s="50"/>
      <c r="E1451" s="348"/>
      <c r="F1451" s="22"/>
      <c r="G1451" s="22"/>
      <c r="H1451" s="22"/>
      <c r="I1451" s="50"/>
      <c r="J1451" s="351"/>
      <c r="K1451" s="448"/>
      <c r="L1451" s="29"/>
      <c r="M1451" s="31"/>
      <c r="N1451" s="14"/>
      <c r="O1451" s="31"/>
      <c r="Q1451" s="36"/>
      <c r="R1451" s="36"/>
      <c r="S1451" s="36"/>
      <c r="T1451" s="36"/>
      <c r="V1451" s="31"/>
    </row>
    <row r="1452">
      <c r="A1452" s="14"/>
      <c r="B1452" s="460"/>
      <c r="C1452" s="302"/>
      <c r="D1452" s="50"/>
      <c r="E1452" s="348"/>
      <c r="F1452" s="22"/>
      <c r="G1452" s="22"/>
      <c r="H1452" s="22"/>
      <c r="I1452" s="50"/>
      <c r="J1452" s="351"/>
      <c r="K1452" s="448"/>
      <c r="L1452" s="29"/>
      <c r="M1452" s="31"/>
      <c r="N1452" s="14"/>
      <c r="O1452" s="31"/>
      <c r="Q1452" s="36"/>
      <c r="R1452" s="36"/>
      <c r="S1452" s="36"/>
      <c r="T1452" s="36"/>
      <c r="V1452" s="31"/>
    </row>
    <row r="1453">
      <c r="A1453" s="14"/>
      <c r="B1453" s="460"/>
      <c r="C1453" s="302"/>
      <c r="D1453" s="50"/>
      <c r="E1453" s="348"/>
      <c r="F1453" s="22"/>
      <c r="G1453" s="22"/>
      <c r="H1453" s="22"/>
      <c r="I1453" s="50"/>
      <c r="J1453" s="351"/>
      <c r="K1453" s="448"/>
      <c r="L1453" s="29"/>
      <c r="M1453" s="31"/>
      <c r="N1453" s="14"/>
      <c r="O1453" s="31"/>
      <c r="Q1453" s="36"/>
      <c r="R1453" s="36"/>
      <c r="S1453" s="36"/>
      <c r="T1453" s="36"/>
      <c r="V1453" s="31"/>
    </row>
    <row r="1454">
      <c r="A1454" s="14"/>
      <c r="B1454" s="460"/>
      <c r="C1454" s="302"/>
      <c r="D1454" s="50"/>
      <c r="E1454" s="348"/>
      <c r="F1454" s="22"/>
      <c r="G1454" s="22"/>
      <c r="H1454" s="22"/>
      <c r="I1454" s="50"/>
      <c r="J1454" s="351"/>
      <c r="K1454" s="448"/>
      <c r="L1454" s="29"/>
      <c r="M1454" s="31"/>
      <c r="N1454" s="14"/>
      <c r="O1454" s="31"/>
      <c r="Q1454" s="36"/>
      <c r="R1454" s="36"/>
      <c r="S1454" s="36"/>
      <c r="T1454" s="36"/>
      <c r="V1454" s="31"/>
    </row>
    <row r="1455">
      <c r="A1455" s="14"/>
      <c r="B1455" s="460"/>
      <c r="C1455" s="302"/>
      <c r="D1455" s="50"/>
      <c r="E1455" s="348"/>
      <c r="F1455" s="22"/>
      <c r="G1455" s="22"/>
      <c r="H1455" s="22"/>
      <c r="I1455" s="50"/>
      <c r="J1455" s="351"/>
      <c r="K1455" s="448"/>
      <c r="L1455" s="29"/>
      <c r="M1455" s="31"/>
      <c r="N1455" s="14"/>
      <c r="O1455" s="31"/>
      <c r="Q1455" s="36"/>
      <c r="R1455" s="36"/>
      <c r="S1455" s="36"/>
      <c r="T1455" s="36"/>
      <c r="V1455" s="31"/>
    </row>
    <row r="1456">
      <c r="A1456" s="14"/>
      <c r="B1456" s="460"/>
      <c r="C1456" s="302"/>
      <c r="D1456" s="50"/>
      <c r="E1456" s="348"/>
      <c r="F1456" s="22"/>
      <c r="G1456" s="22"/>
      <c r="H1456" s="22"/>
      <c r="I1456" s="50"/>
      <c r="J1456" s="351"/>
      <c r="K1456" s="448"/>
      <c r="L1456" s="29"/>
      <c r="M1456" s="31"/>
      <c r="N1456" s="14"/>
      <c r="O1456" s="31"/>
      <c r="Q1456" s="36"/>
      <c r="R1456" s="36"/>
      <c r="S1456" s="36"/>
      <c r="T1456" s="36"/>
      <c r="V1456" s="31"/>
    </row>
    <row r="1457">
      <c r="A1457" s="14"/>
      <c r="B1457" s="460"/>
      <c r="C1457" s="302"/>
      <c r="D1457" s="50"/>
      <c r="E1457" s="348"/>
      <c r="F1457" s="22"/>
      <c r="G1457" s="22"/>
      <c r="H1457" s="22"/>
      <c r="I1457" s="50"/>
      <c r="J1457" s="351"/>
      <c r="K1457" s="448"/>
      <c r="L1457" s="29"/>
      <c r="M1457" s="31"/>
      <c r="N1457" s="14"/>
      <c r="O1457" s="31"/>
      <c r="Q1457" s="36"/>
      <c r="R1457" s="36"/>
      <c r="S1457" s="36"/>
      <c r="T1457" s="36"/>
      <c r="V1457" s="31"/>
    </row>
    <row r="1458">
      <c r="A1458" s="14"/>
      <c r="B1458" s="460"/>
      <c r="C1458" s="302"/>
      <c r="D1458" s="50"/>
      <c r="E1458" s="348"/>
      <c r="F1458" s="22"/>
      <c r="G1458" s="22"/>
      <c r="H1458" s="22"/>
      <c r="I1458" s="50"/>
      <c r="J1458" s="351"/>
      <c r="K1458" s="448"/>
      <c r="L1458" s="29"/>
      <c r="M1458" s="31"/>
      <c r="N1458" s="14"/>
      <c r="O1458" s="31"/>
      <c r="Q1458" s="36"/>
      <c r="R1458" s="36"/>
      <c r="S1458" s="36"/>
      <c r="T1458" s="36"/>
      <c r="V1458" s="31"/>
    </row>
    <row r="1459">
      <c r="A1459" s="14"/>
      <c r="B1459" s="460"/>
      <c r="C1459" s="302"/>
      <c r="D1459" s="50"/>
      <c r="E1459" s="348"/>
      <c r="F1459" s="22"/>
      <c r="G1459" s="22"/>
      <c r="H1459" s="22"/>
      <c r="I1459" s="50"/>
      <c r="J1459" s="351"/>
      <c r="K1459" s="448"/>
      <c r="L1459" s="29"/>
      <c r="M1459" s="31"/>
      <c r="N1459" s="14"/>
      <c r="O1459" s="31"/>
      <c r="Q1459" s="36"/>
      <c r="R1459" s="36"/>
      <c r="S1459" s="36"/>
      <c r="T1459" s="36"/>
      <c r="V1459" s="31"/>
    </row>
    <row r="1460">
      <c r="A1460" s="14"/>
      <c r="B1460" s="460"/>
      <c r="C1460" s="302"/>
      <c r="D1460" s="50"/>
      <c r="E1460" s="348"/>
      <c r="F1460" s="22"/>
      <c r="G1460" s="22"/>
      <c r="H1460" s="22"/>
      <c r="I1460" s="50"/>
      <c r="J1460" s="351"/>
      <c r="K1460" s="448"/>
      <c r="L1460" s="29"/>
      <c r="M1460" s="31"/>
      <c r="N1460" s="14"/>
      <c r="O1460" s="31"/>
      <c r="Q1460" s="36"/>
      <c r="R1460" s="36"/>
      <c r="S1460" s="36"/>
      <c r="T1460" s="36"/>
      <c r="V1460" s="31"/>
    </row>
    <row r="1461">
      <c r="A1461" s="14"/>
      <c r="B1461" s="460"/>
      <c r="C1461" s="302"/>
      <c r="D1461" s="50"/>
      <c r="E1461" s="348"/>
      <c r="F1461" s="22"/>
      <c r="G1461" s="22"/>
      <c r="H1461" s="22"/>
      <c r="I1461" s="50"/>
      <c r="J1461" s="351"/>
      <c r="K1461" s="448"/>
      <c r="L1461" s="29"/>
      <c r="M1461" s="31"/>
      <c r="N1461" s="14"/>
      <c r="O1461" s="31"/>
      <c r="Q1461" s="36"/>
      <c r="R1461" s="36"/>
      <c r="S1461" s="36"/>
      <c r="T1461" s="36"/>
      <c r="V1461" s="31"/>
    </row>
    <row r="1462">
      <c r="A1462" s="14"/>
      <c r="B1462" s="460"/>
      <c r="C1462" s="302"/>
      <c r="D1462" s="50"/>
      <c r="E1462" s="348"/>
      <c r="F1462" s="22"/>
      <c r="G1462" s="22"/>
      <c r="H1462" s="22"/>
      <c r="I1462" s="50"/>
      <c r="J1462" s="351"/>
      <c r="K1462" s="448"/>
      <c r="L1462" s="29"/>
      <c r="M1462" s="31"/>
      <c r="N1462" s="14"/>
      <c r="O1462" s="31"/>
      <c r="Q1462" s="36"/>
      <c r="R1462" s="36"/>
      <c r="S1462" s="36"/>
      <c r="T1462" s="36"/>
      <c r="V1462" s="31"/>
    </row>
    <row r="1463">
      <c r="A1463" s="14"/>
      <c r="B1463" s="460"/>
      <c r="C1463" s="302"/>
      <c r="D1463" s="50"/>
      <c r="E1463" s="348"/>
      <c r="F1463" s="22"/>
      <c r="G1463" s="22"/>
      <c r="H1463" s="22"/>
      <c r="I1463" s="50"/>
      <c r="J1463" s="351"/>
      <c r="K1463" s="448"/>
      <c r="L1463" s="29"/>
      <c r="M1463" s="31"/>
      <c r="N1463" s="14"/>
      <c r="O1463" s="31"/>
      <c r="Q1463" s="36"/>
      <c r="R1463" s="36"/>
      <c r="S1463" s="36"/>
      <c r="T1463" s="36"/>
      <c r="V1463" s="31"/>
    </row>
    <row r="1464">
      <c r="A1464" s="14"/>
      <c r="B1464" s="460"/>
      <c r="C1464" s="302"/>
      <c r="D1464" s="50"/>
      <c r="E1464" s="348"/>
      <c r="F1464" s="22"/>
      <c r="G1464" s="22"/>
      <c r="H1464" s="22"/>
      <c r="I1464" s="50"/>
      <c r="J1464" s="351"/>
      <c r="K1464" s="448"/>
      <c r="L1464" s="29"/>
      <c r="M1464" s="31"/>
      <c r="N1464" s="14"/>
      <c r="O1464" s="31"/>
      <c r="Q1464" s="36"/>
      <c r="R1464" s="36"/>
      <c r="S1464" s="36"/>
      <c r="T1464" s="36"/>
      <c r="V1464" s="31"/>
    </row>
    <row r="1465">
      <c r="A1465" s="14"/>
      <c r="B1465" s="460"/>
      <c r="C1465" s="302"/>
      <c r="D1465" s="50"/>
      <c r="E1465" s="348"/>
      <c r="F1465" s="22"/>
      <c r="G1465" s="22"/>
      <c r="H1465" s="22"/>
      <c r="I1465" s="50"/>
      <c r="J1465" s="351"/>
      <c r="K1465" s="448"/>
      <c r="L1465" s="29"/>
      <c r="M1465" s="31"/>
      <c r="N1465" s="14"/>
      <c r="O1465" s="31"/>
      <c r="Q1465" s="36"/>
      <c r="R1465" s="36"/>
      <c r="S1465" s="36"/>
      <c r="T1465" s="36"/>
      <c r="V1465" s="31"/>
    </row>
    <row r="1466">
      <c r="A1466" s="14"/>
      <c r="B1466" s="460"/>
      <c r="C1466" s="302"/>
      <c r="D1466" s="50"/>
      <c r="E1466" s="348"/>
      <c r="F1466" s="22"/>
      <c r="G1466" s="22"/>
      <c r="H1466" s="22"/>
      <c r="I1466" s="50"/>
      <c r="J1466" s="351"/>
      <c r="K1466" s="448"/>
      <c r="L1466" s="29"/>
      <c r="M1466" s="31"/>
      <c r="N1466" s="14"/>
      <c r="O1466" s="31"/>
      <c r="Q1466" s="36"/>
      <c r="R1466" s="36"/>
      <c r="S1466" s="36"/>
      <c r="T1466" s="36"/>
      <c r="V1466" s="31"/>
    </row>
    <row r="1467">
      <c r="A1467" s="14"/>
      <c r="B1467" s="460"/>
      <c r="C1467" s="302"/>
      <c r="D1467" s="50"/>
      <c r="E1467" s="348"/>
      <c r="F1467" s="22"/>
      <c r="G1467" s="22"/>
      <c r="H1467" s="22"/>
      <c r="I1467" s="50"/>
      <c r="J1467" s="351"/>
      <c r="K1467" s="448"/>
      <c r="L1467" s="29"/>
      <c r="M1467" s="31"/>
      <c r="N1467" s="14"/>
      <c r="O1467" s="31"/>
      <c r="Q1467" s="36"/>
      <c r="R1467" s="36"/>
      <c r="S1467" s="36"/>
      <c r="T1467" s="36"/>
      <c r="V1467" s="31"/>
    </row>
    <row r="1468">
      <c r="A1468" s="14"/>
      <c r="B1468" s="460"/>
      <c r="C1468" s="302"/>
      <c r="D1468" s="50"/>
      <c r="E1468" s="348"/>
      <c r="F1468" s="22"/>
      <c r="G1468" s="22"/>
      <c r="H1468" s="22"/>
      <c r="I1468" s="50"/>
      <c r="J1468" s="351"/>
      <c r="K1468" s="448"/>
      <c r="L1468" s="29"/>
      <c r="M1468" s="31"/>
      <c r="N1468" s="14"/>
      <c r="O1468" s="31"/>
      <c r="Q1468" s="36"/>
      <c r="R1468" s="36"/>
      <c r="S1468" s="36"/>
      <c r="T1468" s="36"/>
      <c r="V1468" s="31"/>
    </row>
    <row r="1469">
      <c r="A1469" s="14"/>
      <c r="B1469" s="460"/>
      <c r="C1469" s="302"/>
      <c r="D1469" s="50"/>
      <c r="E1469" s="348"/>
      <c r="F1469" s="22"/>
      <c r="G1469" s="22"/>
      <c r="H1469" s="22"/>
      <c r="I1469" s="50"/>
      <c r="J1469" s="351"/>
      <c r="K1469" s="448"/>
      <c r="L1469" s="29"/>
      <c r="M1469" s="31"/>
      <c r="N1469" s="14"/>
      <c r="O1469" s="31"/>
      <c r="Q1469" s="36"/>
      <c r="R1469" s="36"/>
      <c r="S1469" s="36"/>
      <c r="T1469" s="36"/>
      <c r="V1469" s="31"/>
    </row>
    <row r="1470">
      <c r="A1470" s="14"/>
      <c r="B1470" s="460"/>
      <c r="C1470" s="302"/>
      <c r="D1470" s="50"/>
      <c r="E1470" s="348"/>
      <c r="F1470" s="22"/>
      <c r="G1470" s="22"/>
      <c r="H1470" s="22"/>
      <c r="I1470" s="50"/>
      <c r="J1470" s="351"/>
      <c r="K1470" s="448"/>
      <c r="L1470" s="29"/>
      <c r="M1470" s="31"/>
      <c r="N1470" s="14"/>
      <c r="O1470" s="31"/>
      <c r="Q1470" s="36"/>
      <c r="R1470" s="36"/>
      <c r="S1470" s="36"/>
      <c r="T1470" s="36"/>
      <c r="V1470" s="31"/>
    </row>
    <row r="1471">
      <c r="A1471" s="14"/>
      <c r="B1471" s="460"/>
      <c r="C1471" s="302"/>
      <c r="D1471" s="50"/>
      <c r="E1471" s="348"/>
      <c r="F1471" s="22"/>
      <c r="G1471" s="22"/>
      <c r="H1471" s="22"/>
      <c r="I1471" s="50"/>
      <c r="J1471" s="351"/>
      <c r="K1471" s="448"/>
      <c r="L1471" s="29"/>
      <c r="M1471" s="31"/>
      <c r="N1471" s="14"/>
      <c r="O1471" s="31"/>
      <c r="Q1471" s="36"/>
      <c r="R1471" s="36"/>
      <c r="S1471" s="36"/>
      <c r="T1471" s="36"/>
      <c r="V1471" s="31"/>
    </row>
    <row r="1472">
      <c r="A1472" s="14"/>
      <c r="B1472" s="460"/>
      <c r="C1472" s="302"/>
      <c r="D1472" s="50"/>
      <c r="E1472" s="348"/>
      <c r="F1472" s="22"/>
      <c r="G1472" s="22"/>
      <c r="H1472" s="22"/>
      <c r="I1472" s="50"/>
      <c r="J1472" s="351"/>
      <c r="K1472" s="448"/>
      <c r="L1472" s="29"/>
      <c r="M1472" s="31"/>
      <c r="N1472" s="14"/>
      <c r="O1472" s="31"/>
      <c r="Q1472" s="36"/>
      <c r="R1472" s="36"/>
      <c r="S1472" s="36"/>
      <c r="T1472" s="36"/>
      <c r="V1472" s="31"/>
    </row>
    <row r="1473">
      <c r="A1473" s="14"/>
      <c r="B1473" s="460"/>
      <c r="C1473" s="302"/>
      <c r="D1473" s="50"/>
      <c r="E1473" s="348"/>
      <c r="F1473" s="22"/>
      <c r="G1473" s="22"/>
      <c r="H1473" s="22"/>
      <c r="I1473" s="50"/>
      <c r="J1473" s="351"/>
      <c r="K1473" s="448"/>
      <c r="L1473" s="29"/>
      <c r="M1473" s="31"/>
      <c r="N1473" s="14"/>
      <c r="O1473" s="31"/>
      <c r="Q1473" s="36"/>
      <c r="R1473" s="36"/>
      <c r="S1473" s="36"/>
      <c r="T1473" s="36"/>
      <c r="V1473" s="31"/>
    </row>
    <row r="1474">
      <c r="A1474" s="14"/>
      <c r="B1474" s="460"/>
      <c r="C1474" s="302"/>
      <c r="D1474" s="50"/>
      <c r="E1474" s="348"/>
      <c r="F1474" s="22"/>
      <c r="G1474" s="22"/>
      <c r="H1474" s="22"/>
      <c r="I1474" s="50"/>
      <c r="J1474" s="351"/>
      <c r="K1474" s="448"/>
      <c r="L1474" s="29"/>
      <c r="M1474" s="31"/>
      <c r="N1474" s="14"/>
      <c r="O1474" s="31"/>
      <c r="Q1474" s="36"/>
      <c r="R1474" s="36"/>
      <c r="S1474" s="36"/>
      <c r="T1474" s="36"/>
      <c r="V1474" s="31"/>
    </row>
    <row r="1475">
      <c r="A1475" s="14"/>
      <c r="B1475" s="460"/>
      <c r="C1475" s="302"/>
      <c r="D1475" s="50"/>
      <c r="E1475" s="348"/>
      <c r="F1475" s="22"/>
      <c r="G1475" s="22"/>
      <c r="H1475" s="22"/>
      <c r="I1475" s="50"/>
      <c r="J1475" s="351"/>
      <c r="K1475" s="448"/>
      <c r="L1475" s="29"/>
      <c r="M1475" s="31"/>
      <c r="N1475" s="14"/>
      <c r="O1475" s="31"/>
      <c r="Q1475" s="36"/>
      <c r="R1475" s="36"/>
      <c r="S1475" s="36"/>
      <c r="T1475" s="36"/>
      <c r="V1475" s="31"/>
    </row>
    <row r="1476">
      <c r="A1476" s="14"/>
      <c r="B1476" s="460"/>
      <c r="C1476" s="302"/>
      <c r="D1476" s="50"/>
      <c r="E1476" s="348"/>
      <c r="F1476" s="22"/>
      <c r="G1476" s="22"/>
      <c r="H1476" s="22"/>
      <c r="I1476" s="50"/>
      <c r="J1476" s="351"/>
      <c r="K1476" s="448"/>
      <c r="L1476" s="29"/>
      <c r="M1476" s="31"/>
      <c r="N1476" s="14"/>
      <c r="O1476" s="31"/>
      <c r="Q1476" s="36"/>
      <c r="R1476" s="36"/>
      <c r="S1476" s="36"/>
      <c r="T1476" s="36"/>
      <c r="V1476" s="31"/>
    </row>
    <row r="1477">
      <c r="A1477" s="14"/>
      <c r="B1477" s="460"/>
      <c r="C1477" s="302"/>
      <c r="D1477" s="50"/>
      <c r="E1477" s="348"/>
      <c r="F1477" s="22"/>
      <c r="G1477" s="22"/>
      <c r="H1477" s="22"/>
      <c r="I1477" s="50"/>
      <c r="J1477" s="351"/>
      <c r="K1477" s="448"/>
      <c r="L1477" s="29"/>
      <c r="M1477" s="31"/>
      <c r="N1477" s="14"/>
      <c r="O1477" s="31"/>
      <c r="Q1477" s="36"/>
      <c r="R1477" s="36"/>
      <c r="S1477" s="36"/>
      <c r="T1477" s="36"/>
      <c r="V1477" s="31"/>
    </row>
    <row r="1478">
      <c r="A1478" s="14"/>
      <c r="B1478" s="460"/>
      <c r="C1478" s="302"/>
      <c r="D1478" s="50"/>
      <c r="E1478" s="348"/>
      <c r="F1478" s="22"/>
      <c r="G1478" s="22"/>
      <c r="H1478" s="22"/>
      <c r="I1478" s="50"/>
      <c r="J1478" s="351"/>
      <c r="K1478" s="448"/>
      <c r="L1478" s="29"/>
      <c r="M1478" s="31"/>
      <c r="N1478" s="14"/>
      <c r="O1478" s="31"/>
      <c r="Q1478" s="36"/>
      <c r="R1478" s="36"/>
      <c r="S1478" s="36"/>
      <c r="T1478" s="36"/>
      <c r="V1478" s="31"/>
    </row>
    <row r="1479">
      <c r="A1479" s="14"/>
      <c r="B1479" s="460"/>
      <c r="C1479" s="302"/>
      <c r="D1479" s="50"/>
      <c r="E1479" s="348"/>
      <c r="F1479" s="22"/>
      <c r="G1479" s="22"/>
      <c r="H1479" s="22"/>
      <c r="I1479" s="50"/>
      <c r="J1479" s="351"/>
      <c r="K1479" s="448"/>
      <c r="L1479" s="29"/>
      <c r="M1479" s="31"/>
      <c r="N1479" s="14"/>
      <c r="O1479" s="31"/>
      <c r="Q1479" s="36"/>
      <c r="R1479" s="36"/>
      <c r="S1479" s="36"/>
      <c r="T1479" s="36"/>
      <c r="V1479" s="31"/>
    </row>
    <row r="1480">
      <c r="A1480" s="14"/>
      <c r="B1480" s="460"/>
      <c r="C1480" s="302"/>
      <c r="D1480" s="50"/>
      <c r="E1480" s="348"/>
      <c r="F1480" s="22"/>
      <c r="G1480" s="22"/>
      <c r="H1480" s="22"/>
      <c r="I1480" s="50"/>
      <c r="J1480" s="351"/>
      <c r="K1480" s="448"/>
      <c r="L1480" s="29"/>
      <c r="M1480" s="31"/>
      <c r="N1480" s="14"/>
      <c r="O1480" s="31"/>
      <c r="Q1480" s="36"/>
      <c r="R1480" s="36"/>
      <c r="S1480" s="36"/>
      <c r="T1480" s="36"/>
      <c r="V1480" s="31"/>
    </row>
    <row r="1481">
      <c r="A1481" s="14"/>
      <c r="B1481" s="460"/>
      <c r="C1481" s="302"/>
      <c r="D1481" s="50"/>
      <c r="E1481" s="348"/>
      <c r="F1481" s="22"/>
      <c r="G1481" s="22"/>
      <c r="H1481" s="22"/>
      <c r="I1481" s="50"/>
      <c r="J1481" s="351"/>
      <c r="K1481" s="448"/>
      <c r="L1481" s="29"/>
      <c r="M1481" s="31"/>
      <c r="N1481" s="14"/>
      <c r="O1481" s="31"/>
      <c r="Q1481" s="36"/>
      <c r="R1481" s="36"/>
      <c r="S1481" s="36"/>
      <c r="T1481" s="36"/>
      <c r="V1481" s="31"/>
    </row>
    <row r="1482">
      <c r="A1482" s="14"/>
      <c r="B1482" s="460"/>
      <c r="C1482" s="302"/>
      <c r="D1482" s="50"/>
      <c r="E1482" s="348"/>
      <c r="F1482" s="22"/>
      <c r="G1482" s="22"/>
      <c r="H1482" s="22"/>
      <c r="I1482" s="50"/>
      <c r="J1482" s="351"/>
      <c r="K1482" s="448"/>
      <c r="L1482" s="29"/>
      <c r="M1482" s="31"/>
      <c r="N1482" s="14"/>
      <c r="O1482" s="31"/>
      <c r="Q1482" s="36"/>
      <c r="R1482" s="36"/>
      <c r="S1482" s="36"/>
      <c r="T1482" s="36"/>
      <c r="V1482" s="31"/>
    </row>
    <row r="1483">
      <c r="A1483" s="14"/>
      <c r="B1483" s="460"/>
      <c r="C1483" s="302"/>
      <c r="D1483" s="50"/>
      <c r="E1483" s="348"/>
      <c r="F1483" s="22"/>
      <c r="G1483" s="22"/>
      <c r="H1483" s="22"/>
      <c r="I1483" s="50"/>
      <c r="J1483" s="351"/>
      <c r="K1483" s="448"/>
      <c r="L1483" s="29"/>
      <c r="M1483" s="31"/>
      <c r="N1483" s="14"/>
      <c r="O1483" s="31"/>
      <c r="Q1483" s="36"/>
      <c r="R1483" s="36"/>
      <c r="S1483" s="36"/>
      <c r="T1483" s="36"/>
      <c r="V1483" s="31"/>
    </row>
    <row r="1484">
      <c r="A1484" s="14"/>
      <c r="B1484" s="460"/>
      <c r="C1484" s="302"/>
      <c r="D1484" s="50"/>
      <c r="E1484" s="348"/>
      <c r="F1484" s="22"/>
      <c r="G1484" s="22"/>
      <c r="H1484" s="22"/>
      <c r="I1484" s="50"/>
      <c r="J1484" s="351"/>
      <c r="K1484" s="448"/>
      <c r="L1484" s="29"/>
      <c r="M1484" s="31"/>
      <c r="N1484" s="14"/>
      <c r="O1484" s="31"/>
      <c r="Q1484" s="36"/>
      <c r="R1484" s="36"/>
      <c r="S1484" s="36"/>
      <c r="T1484" s="36"/>
      <c r="V1484" s="31"/>
    </row>
    <row r="1485">
      <c r="A1485" s="14"/>
      <c r="B1485" s="460"/>
      <c r="C1485" s="302"/>
      <c r="D1485" s="50"/>
      <c r="E1485" s="348"/>
      <c r="F1485" s="22"/>
      <c r="G1485" s="22"/>
      <c r="H1485" s="22"/>
      <c r="I1485" s="50"/>
      <c r="J1485" s="351"/>
      <c r="K1485" s="448"/>
      <c r="L1485" s="29"/>
      <c r="M1485" s="31"/>
      <c r="N1485" s="14"/>
      <c r="O1485" s="31"/>
      <c r="Q1485" s="36"/>
      <c r="R1485" s="36"/>
      <c r="S1485" s="36"/>
      <c r="T1485" s="36"/>
      <c r="V1485" s="31"/>
    </row>
    <row r="1486">
      <c r="A1486" s="14"/>
      <c r="B1486" s="460"/>
      <c r="C1486" s="302"/>
      <c r="D1486" s="50"/>
      <c r="E1486" s="348"/>
      <c r="F1486" s="22"/>
      <c r="G1486" s="22"/>
      <c r="H1486" s="22"/>
      <c r="I1486" s="50"/>
      <c r="J1486" s="351"/>
      <c r="K1486" s="448"/>
      <c r="L1486" s="29"/>
      <c r="M1486" s="31"/>
      <c r="N1486" s="14"/>
      <c r="O1486" s="31"/>
      <c r="Q1486" s="36"/>
      <c r="R1486" s="36"/>
      <c r="S1486" s="36"/>
      <c r="T1486" s="36"/>
      <c r="V1486" s="31"/>
    </row>
    <row r="1487">
      <c r="A1487" s="14"/>
      <c r="B1487" s="460"/>
      <c r="C1487" s="302"/>
      <c r="D1487" s="50"/>
      <c r="E1487" s="348"/>
      <c r="F1487" s="22"/>
      <c r="G1487" s="22"/>
      <c r="H1487" s="22"/>
      <c r="I1487" s="50"/>
      <c r="J1487" s="351"/>
      <c r="K1487" s="448"/>
      <c r="L1487" s="29"/>
      <c r="M1487" s="31"/>
      <c r="N1487" s="14"/>
      <c r="O1487" s="31"/>
      <c r="Q1487" s="36"/>
      <c r="R1487" s="36"/>
      <c r="S1487" s="36"/>
      <c r="T1487" s="36"/>
      <c r="V1487" s="31"/>
    </row>
    <row r="1488">
      <c r="A1488" s="14"/>
      <c r="B1488" s="460"/>
      <c r="C1488" s="302"/>
      <c r="D1488" s="50"/>
      <c r="E1488" s="348"/>
      <c r="F1488" s="22"/>
      <c r="G1488" s="22"/>
      <c r="H1488" s="22"/>
      <c r="I1488" s="50"/>
      <c r="J1488" s="351"/>
      <c r="K1488" s="448"/>
      <c r="L1488" s="29"/>
      <c r="M1488" s="31"/>
      <c r="N1488" s="14"/>
      <c r="O1488" s="31"/>
      <c r="Q1488" s="36"/>
      <c r="R1488" s="36"/>
      <c r="S1488" s="36"/>
      <c r="T1488" s="36"/>
      <c r="V1488" s="31"/>
    </row>
    <row r="1489">
      <c r="A1489" s="14"/>
      <c r="B1489" s="460"/>
      <c r="C1489" s="302"/>
      <c r="D1489" s="50"/>
      <c r="E1489" s="348"/>
      <c r="F1489" s="22"/>
      <c r="G1489" s="22"/>
      <c r="H1489" s="22"/>
      <c r="I1489" s="50"/>
      <c r="J1489" s="351"/>
      <c r="K1489" s="448"/>
      <c r="L1489" s="29"/>
      <c r="M1489" s="31"/>
      <c r="N1489" s="14"/>
      <c r="O1489" s="31"/>
      <c r="Q1489" s="36"/>
      <c r="R1489" s="36"/>
      <c r="S1489" s="36"/>
      <c r="T1489" s="36"/>
      <c r="V1489" s="31"/>
    </row>
    <row r="1490">
      <c r="A1490" s="14"/>
      <c r="B1490" s="460"/>
      <c r="C1490" s="302"/>
      <c r="D1490" s="50"/>
      <c r="E1490" s="348"/>
      <c r="F1490" s="22"/>
      <c r="G1490" s="22"/>
      <c r="H1490" s="22"/>
      <c r="I1490" s="50"/>
      <c r="J1490" s="351"/>
      <c r="K1490" s="448"/>
      <c r="L1490" s="29"/>
      <c r="M1490" s="31"/>
      <c r="N1490" s="14"/>
      <c r="O1490" s="31"/>
      <c r="Q1490" s="36"/>
      <c r="R1490" s="36"/>
      <c r="S1490" s="36"/>
      <c r="T1490" s="36"/>
      <c r="V1490" s="31"/>
    </row>
    <row r="1491">
      <c r="A1491" s="14"/>
      <c r="B1491" s="460"/>
      <c r="C1491" s="302"/>
      <c r="D1491" s="50"/>
      <c r="E1491" s="348"/>
      <c r="F1491" s="22"/>
      <c r="G1491" s="22"/>
      <c r="H1491" s="22"/>
      <c r="I1491" s="50"/>
      <c r="J1491" s="351"/>
      <c r="K1491" s="448"/>
      <c r="L1491" s="29"/>
      <c r="M1491" s="31"/>
      <c r="N1491" s="14"/>
      <c r="O1491" s="31"/>
      <c r="Q1491" s="36"/>
      <c r="R1491" s="36"/>
      <c r="S1491" s="36"/>
      <c r="T1491" s="36"/>
      <c r="V1491" s="31"/>
    </row>
    <row r="1492">
      <c r="A1492" s="14"/>
      <c r="B1492" s="460"/>
      <c r="C1492" s="302"/>
      <c r="D1492" s="50"/>
      <c r="E1492" s="348"/>
      <c r="F1492" s="22"/>
      <c r="G1492" s="22"/>
      <c r="H1492" s="22"/>
      <c r="I1492" s="50"/>
      <c r="J1492" s="351"/>
      <c r="K1492" s="448"/>
      <c r="L1492" s="29"/>
      <c r="M1492" s="31"/>
      <c r="N1492" s="14"/>
      <c r="O1492" s="31"/>
      <c r="Q1492" s="36"/>
      <c r="R1492" s="36"/>
      <c r="S1492" s="36"/>
      <c r="T1492" s="36"/>
      <c r="V1492" s="31"/>
    </row>
    <row r="1493">
      <c r="A1493" s="14"/>
      <c r="B1493" s="460"/>
      <c r="C1493" s="302"/>
      <c r="D1493" s="50"/>
      <c r="E1493" s="348"/>
      <c r="F1493" s="22"/>
      <c r="G1493" s="22"/>
      <c r="H1493" s="22"/>
      <c r="I1493" s="50"/>
      <c r="J1493" s="351"/>
      <c r="K1493" s="448"/>
      <c r="L1493" s="29"/>
      <c r="M1493" s="31"/>
      <c r="N1493" s="14"/>
      <c r="O1493" s="31"/>
      <c r="Q1493" s="36"/>
      <c r="R1493" s="36"/>
      <c r="S1493" s="36"/>
      <c r="T1493" s="36"/>
      <c r="V1493" s="31"/>
    </row>
    <row r="1494">
      <c r="A1494" s="14"/>
      <c r="B1494" s="460"/>
      <c r="C1494" s="302"/>
      <c r="D1494" s="50"/>
      <c r="E1494" s="348"/>
      <c r="F1494" s="22"/>
      <c r="G1494" s="22"/>
      <c r="H1494" s="22"/>
      <c r="I1494" s="50"/>
      <c r="J1494" s="351"/>
      <c r="K1494" s="448"/>
      <c r="L1494" s="29"/>
      <c r="M1494" s="31"/>
      <c r="N1494" s="14"/>
      <c r="O1494" s="31"/>
      <c r="Q1494" s="36"/>
      <c r="R1494" s="36"/>
      <c r="S1494" s="36"/>
      <c r="T1494" s="36"/>
      <c r="V1494" s="31"/>
    </row>
    <row r="1495">
      <c r="A1495" s="14"/>
      <c r="B1495" s="460"/>
      <c r="C1495" s="302"/>
      <c r="D1495" s="50"/>
      <c r="E1495" s="348"/>
      <c r="F1495" s="22"/>
      <c r="G1495" s="22"/>
      <c r="H1495" s="22"/>
      <c r="I1495" s="50"/>
      <c r="J1495" s="351"/>
      <c r="K1495" s="448"/>
      <c r="L1495" s="29"/>
      <c r="M1495" s="31"/>
      <c r="N1495" s="14"/>
      <c r="O1495" s="31"/>
      <c r="Q1495" s="36"/>
      <c r="R1495" s="36"/>
      <c r="S1495" s="36"/>
      <c r="T1495" s="36"/>
      <c r="V1495" s="31"/>
    </row>
    <row r="1496">
      <c r="A1496" s="14"/>
      <c r="B1496" s="460"/>
      <c r="C1496" s="302"/>
      <c r="D1496" s="50"/>
      <c r="E1496" s="348"/>
      <c r="F1496" s="22"/>
      <c r="G1496" s="22"/>
      <c r="H1496" s="22"/>
      <c r="I1496" s="50"/>
      <c r="J1496" s="351"/>
      <c r="K1496" s="448"/>
      <c r="L1496" s="29"/>
      <c r="M1496" s="31"/>
      <c r="N1496" s="14"/>
      <c r="O1496" s="31"/>
      <c r="Q1496" s="36"/>
      <c r="R1496" s="36"/>
      <c r="S1496" s="36"/>
      <c r="T1496" s="36"/>
      <c r="V1496" s="31"/>
    </row>
    <row r="1497">
      <c r="A1497" s="14"/>
      <c r="B1497" s="460"/>
      <c r="C1497" s="302"/>
      <c r="D1497" s="50"/>
      <c r="E1497" s="348"/>
      <c r="F1497" s="22"/>
      <c r="G1497" s="22"/>
      <c r="H1497" s="22"/>
      <c r="I1497" s="50"/>
      <c r="J1497" s="351"/>
      <c r="K1497" s="448"/>
      <c r="L1497" s="29"/>
      <c r="M1497" s="31"/>
      <c r="N1497" s="14"/>
      <c r="O1497" s="31"/>
      <c r="Q1497" s="36"/>
      <c r="R1497" s="36"/>
      <c r="S1497" s="36"/>
      <c r="T1497" s="36"/>
      <c r="V1497" s="31"/>
    </row>
    <row r="1498">
      <c r="A1498" s="14"/>
      <c r="B1498" s="460"/>
      <c r="C1498" s="302"/>
      <c r="D1498" s="50"/>
      <c r="E1498" s="348"/>
      <c r="F1498" s="22"/>
      <c r="G1498" s="22"/>
      <c r="H1498" s="22"/>
      <c r="I1498" s="50"/>
      <c r="J1498" s="351"/>
      <c r="K1498" s="448"/>
      <c r="L1498" s="29"/>
      <c r="M1498" s="31"/>
      <c r="N1498" s="14"/>
      <c r="O1498" s="31"/>
      <c r="Q1498" s="36"/>
      <c r="R1498" s="36"/>
      <c r="S1498" s="36"/>
      <c r="T1498" s="36"/>
      <c r="V1498" s="31"/>
    </row>
    <row r="1499">
      <c r="A1499" s="14"/>
      <c r="B1499" s="460"/>
      <c r="C1499" s="302"/>
      <c r="D1499" s="50"/>
      <c r="E1499" s="348"/>
      <c r="F1499" s="22"/>
      <c r="G1499" s="22"/>
      <c r="H1499" s="22"/>
      <c r="I1499" s="50"/>
      <c r="J1499" s="351"/>
      <c r="K1499" s="448"/>
      <c r="L1499" s="29"/>
      <c r="M1499" s="31"/>
      <c r="N1499" s="14"/>
      <c r="O1499" s="31"/>
      <c r="Q1499" s="36"/>
      <c r="R1499" s="36"/>
      <c r="S1499" s="36"/>
      <c r="T1499" s="36"/>
      <c r="V1499" s="31"/>
    </row>
    <row r="1500">
      <c r="A1500" s="14"/>
      <c r="B1500" s="460"/>
      <c r="C1500" s="302"/>
      <c r="D1500" s="50"/>
      <c r="E1500" s="348"/>
      <c r="F1500" s="22"/>
      <c r="G1500" s="22"/>
      <c r="H1500" s="22"/>
      <c r="I1500" s="50"/>
      <c r="J1500" s="351"/>
      <c r="K1500" s="448"/>
      <c r="L1500" s="29"/>
      <c r="M1500" s="31"/>
      <c r="N1500" s="14"/>
      <c r="O1500" s="31"/>
      <c r="Q1500" s="36"/>
      <c r="R1500" s="36"/>
      <c r="S1500" s="36"/>
      <c r="T1500" s="36"/>
      <c r="V1500" s="31"/>
    </row>
    <row r="1501">
      <c r="A1501" s="14"/>
      <c r="B1501" s="460"/>
      <c r="C1501" s="302"/>
      <c r="D1501" s="50"/>
      <c r="E1501" s="348"/>
      <c r="F1501" s="22"/>
      <c r="G1501" s="22"/>
      <c r="H1501" s="22"/>
      <c r="I1501" s="50"/>
      <c r="J1501" s="351"/>
      <c r="K1501" s="448"/>
      <c r="L1501" s="29"/>
      <c r="M1501" s="31"/>
      <c r="N1501" s="14"/>
      <c r="O1501" s="31"/>
      <c r="Q1501" s="36"/>
      <c r="R1501" s="36"/>
      <c r="S1501" s="36"/>
      <c r="T1501" s="36"/>
      <c r="V1501" s="31"/>
    </row>
    <row r="1502">
      <c r="A1502" s="14"/>
      <c r="B1502" s="460"/>
      <c r="C1502" s="302"/>
      <c r="D1502" s="50"/>
      <c r="E1502" s="348"/>
      <c r="F1502" s="22"/>
      <c r="G1502" s="22"/>
      <c r="H1502" s="22"/>
      <c r="I1502" s="50"/>
      <c r="J1502" s="351"/>
      <c r="K1502" s="448"/>
      <c r="L1502" s="29"/>
      <c r="M1502" s="31"/>
      <c r="N1502" s="14"/>
      <c r="O1502" s="31"/>
      <c r="Q1502" s="36"/>
      <c r="R1502" s="36"/>
      <c r="S1502" s="36"/>
      <c r="T1502" s="36"/>
      <c r="V1502" s="31"/>
    </row>
    <row r="1503">
      <c r="A1503" s="14"/>
      <c r="B1503" s="460"/>
      <c r="C1503" s="302"/>
      <c r="D1503" s="50"/>
      <c r="E1503" s="348"/>
      <c r="F1503" s="22"/>
      <c r="G1503" s="22"/>
      <c r="H1503" s="22"/>
      <c r="I1503" s="50"/>
      <c r="J1503" s="351"/>
      <c r="K1503" s="448"/>
      <c r="L1503" s="29"/>
      <c r="M1503" s="31"/>
      <c r="N1503" s="14"/>
      <c r="O1503" s="31"/>
      <c r="Q1503" s="36"/>
      <c r="R1503" s="36"/>
      <c r="S1503" s="36"/>
      <c r="T1503" s="36"/>
      <c r="V1503" s="31"/>
    </row>
    <row r="1504">
      <c r="A1504" s="14"/>
      <c r="B1504" s="460"/>
      <c r="C1504" s="302"/>
      <c r="D1504" s="50"/>
      <c r="E1504" s="348"/>
      <c r="F1504" s="22"/>
      <c r="G1504" s="22"/>
      <c r="H1504" s="22"/>
      <c r="I1504" s="50"/>
      <c r="J1504" s="351"/>
      <c r="K1504" s="448"/>
      <c r="L1504" s="29"/>
      <c r="M1504" s="31"/>
      <c r="N1504" s="14"/>
      <c r="O1504" s="31"/>
      <c r="Q1504" s="36"/>
      <c r="R1504" s="36"/>
      <c r="S1504" s="36"/>
      <c r="T1504" s="36"/>
      <c r="V1504" s="31"/>
    </row>
    <row r="1505">
      <c r="A1505" s="14"/>
      <c r="B1505" s="460"/>
      <c r="C1505" s="302"/>
      <c r="D1505" s="50"/>
      <c r="E1505" s="348"/>
      <c r="F1505" s="22"/>
      <c r="G1505" s="22"/>
      <c r="H1505" s="22"/>
      <c r="I1505" s="50"/>
      <c r="J1505" s="351"/>
      <c r="K1505" s="448"/>
      <c r="L1505" s="29"/>
      <c r="M1505" s="31"/>
      <c r="N1505" s="14"/>
      <c r="O1505" s="31"/>
      <c r="Q1505" s="36"/>
      <c r="R1505" s="36"/>
      <c r="S1505" s="36"/>
      <c r="T1505" s="36"/>
      <c r="V1505" s="31"/>
    </row>
    <row r="1506">
      <c r="A1506" s="14"/>
      <c r="B1506" s="460"/>
      <c r="C1506" s="302"/>
      <c r="D1506" s="50"/>
      <c r="E1506" s="348"/>
      <c r="F1506" s="22"/>
      <c r="G1506" s="22"/>
      <c r="H1506" s="22"/>
      <c r="I1506" s="50"/>
      <c r="J1506" s="351"/>
      <c r="K1506" s="448"/>
      <c r="L1506" s="29"/>
      <c r="M1506" s="31"/>
      <c r="N1506" s="14"/>
      <c r="O1506" s="31"/>
      <c r="Q1506" s="36"/>
      <c r="R1506" s="36"/>
      <c r="S1506" s="36"/>
      <c r="T1506" s="36"/>
      <c r="V1506" s="31"/>
    </row>
    <row r="1507">
      <c r="A1507" s="14"/>
      <c r="B1507" s="460"/>
      <c r="C1507" s="302"/>
      <c r="D1507" s="50"/>
      <c r="E1507" s="348"/>
      <c r="F1507" s="22"/>
      <c r="G1507" s="22"/>
      <c r="H1507" s="22"/>
      <c r="I1507" s="50"/>
      <c r="J1507" s="351"/>
      <c r="K1507" s="448"/>
      <c r="L1507" s="29"/>
      <c r="M1507" s="31"/>
      <c r="N1507" s="14"/>
      <c r="O1507" s="31"/>
      <c r="Q1507" s="36"/>
      <c r="R1507" s="36"/>
      <c r="S1507" s="36"/>
      <c r="T1507" s="36"/>
      <c r="V1507" s="31"/>
    </row>
    <row r="1508">
      <c r="A1508" s="14"/>
      <c r="B1508" s="460"/>
      <c r="C1508" s="302"/>
      <c r="D1508" s="50"/>
      <c r="E1508" s="348"/>
      <c r="F1508" s="22"/>
      <c r="G1508" s="22"/>
      <c r="H1508" s="22"/>
      <c r="I1508" s="50"/>
      <c r="J1508" s="351"/>
      <c r="K1508" s="448"/>
      <c r="L1508" s="29"/>
      <c r="M1508" s="31"/>
      <c r="N1508" s="14"/>
      <c r="O1508" s="31"/>
      <c r="Q1508" s="36"/>
      <c r="R1508" s="36"/>
      <c r="S1508" s="36"/>
      <c r="T1508" s="36"/>
      <c r="V1508" s="31"/>
    </row>
    <row r="1509">
      <c r="A1509" s="14"/>
      <c r="B1509" s="460"/>
      <c r="C1509" s="302"/>
      <c r="D1509" s="50"/>
      <c r="E1509" s="348"/>
      <c r="F1509" s="22"/>
      <c r="G1509" s="22"/>
      <c r="H1509" s="22"/>
      <c r="I1509" s="50"/>
      <c r="J1509" s="351"/>
      <c r="K1509" s="448"/>
      <c r="L1509" s="29"/>
      <c r="M1509" s="31"/>
      <c r="N1509" s="14"/>
      <c r="O1509" s="31"/>
      <c r="Q1509" s="36"/>
      <c r="R1509" s="36"/>
      <c r="S1509" s="36"/>
      <c r="T1509" s="36"/>
      <c r="V1509" s="31"/>
    </row>
    <row r="1510">
      <c r="A1510" s="14"/>
      <c r="B1510" s="460"/>
      <c r="C1510" s="302"/>
      <c r="D1510" s="50"/>
      <c r="E1510" s="348"/>
      <c r="F1510" s="22"/>
      <c r="G1510" s="22"/>
      <c r="H1510" s="22"/>
      <c r="I1510" s="50"/>
      <c r="J1510" s="351"/>
      <c r="K1510" s="448"/>
      <c r="L1510" s="29"/>
      <c r="M1510" s="31"/>
      <c r="N1510" s="14"/>
      <c r="O1510" s="31"/>
      <c r="Q1510" s="36"/>
      <c r="R1510" s="36"/>
      <c r="S1510" s="36"/>
      <c r="T1510" s="36"/>
      <c r="V1510" s="31"/>
    </row>
    <row r="1511">
      <c r="A1511" s="14"/>
      <c r="B1511" s="460"/>
      <c r="C1511" s="302"/>
      <c r="D1511" s="50"/>
      <c r="E1511" s="348"/>
      <c r="F1511" s="22"/>
      <c r="G1511" s="22"/>
      <c r="H1511" s="22"/>
      <c r="I1511" s="50"/>
      <c r="J1511" s="351"/>
      <c r="K1511" s="448"/>
      <c r="L1511" s="29"/>
      <c r="M1511" s="31"/>
      <c r="N1511" s="14"/>
      <c r="O1511" s="31"/>
      <c r="Q1511" s="36"/>
      <c r="R1511" s="36"/>
      <c r="S1511" s="36"/>
      <c r="T1511" s="36"/>
      <c r="V1511" s="31"/>
    </row>
    <row r="1512">
      <c r="A1512" s="14"/>
      <c r="B1512" s="460"/>
      <c r="C1512" s="302"/>
      <c r="D1512" s="50"/>
      <c r="E1512" s="348"/>
      <c r="F1512" s="22"/>
      <c r="G1512" s="22"/>
      <c r="H1512" s="22"/>
      <c r="I1512" s="50"/>
      <c r="J1512" s="351"/>
      <c r="K1512" s="448"/>
      <c r="L1512" s="29"/>
      <c r="M1512" s="31"/>
      <c r="N1512" s="14"/>
      <c r="O1512" s="31"/>
      <c r="Q1512" s="36"/>
      <c r="R1512" s="36"/>
      <c r="S1512" s="36"/>
      <c r="T1512" s="36"/>
      <c r="V1512" s="31"/>
    </row>
    <row r="1513">
      <c r="A1513" s="14"/>
      <c r="B1513" s="460"/>
      <c r="C1513" s="302"/>
      <c r="D1513" s="50"/>
      <c r="E1513" s="348"/>
      <c r="F1513" s="22"/>
      <c r="G1513" s="22"/>
      <c r="H1513" s="22"/>
      <c r="I1513" s="50"/>
      <c r="J1513" s="351"/>
      <c r="K1513" s="448"/>
      <c r="L1513" s="29"/>
      <c r="M1513" s="31"/>
      <c r="N1513" s="14"/>
      <c r="O1513" s="31"/>
      <c r="Q1513" s="36"/>
      <c r="R1513" s="36"/>
      <c r="S1513" s="36"/>
      <c r="T1513" s="36"/>
      <c r="V1513" s="31"/>
    </row>
    <row r="1514">
      <c r="A1514" s="14"/>
      <c r="B1514" s="460"/>
      <c r="C1514" s="302"/>
      <c r="D1514" s="50"/>
      <c r="E1514" s="348"/>
      <c r="F1514" s="22"/>
      <c r="G1514" s="22"/>
      <c r="H1514" s="22"/>
      <c r="I1514" s="50"/>
      <c r="J1514" s="351"/>
      <c r="K1514" s="448"/>
      <c r="L1514" s="29"/>
      <c r="M1514" s="31"/>
      <c r="N1514" s="14"/>
      <c r="O1514" s="31"/>
      <c r="Q1514" s="36"/>
      <c r="R1514" s="36"/>
      <c r="S1514" s="36"/>
      <c r="T1514" s="36"/>
      <c r="V1514" s="31"/>
    </row>
    <row r="1515">
      <c r="A1515" s="14"/>
      <c r="B1515" s="460"/>
      <c r="C1515" s="302"/>
      <c r="D1515" s="50"/>
      <c r="E1515" s="348"/>
      <c r="F1515" s="22"/>
      <c r="G1515" s="22"/>
      <c r="H1515" s="22"/>
      <c r="I1515" s="50"/>
      <c r="J1515" s="351"/>
      <c r="K1515" s="448"/>
      <c r="L1515" s="29"/>
      <c r="M1515" s="31"/>
      <c r="N1515" s="14"/>
      <c r="O1515" s="31"/>
      <c r="Q1515" s="36"/>
      <c r="R1515" s="36"/>
      <c r="S1515" s="36"/>
      <c r="T1515" s="36"/>
      <c r="V1515" s="31"/>
    </row>
    <row r="1516">
      <c r="A1516" s="14"/>
      <c r="B1516" s="460"/>
      <c r="C1516" s="302"/>
      <c r="D1516" s="50"/>
      <c r="E1516" s="348"/>
      <c r="F1516" s="22"/>
      <c r="G1516" s="22"/>
      <c r="H1516" s="22"/>
      <c r="I1516" s="50"/>
      <c r="J1516" s="351"/>
      <c r="K1516" s="448"/>
      <c r="L1516" s="29"/>
      <c r="M1516" s="31"/>
      <c r="N1516" s="14"/>
      <c r="O1516" s="31"/>
      <c r="Q1516" s="36"/>
      <c r="R1516" s="36"/>
      <c r="S1516" s="36"/>
      <c r="T1516" s="36"/>
      <c r="V1516" s="31"/>
    </row>
    <row r="1517">
      <c r="A1517" s="14"/>
      <c r="B1517" s="460"/>
      <c r="C1517" s="302"/>
      <c r="D1517" s="50"/>
      <c r="E1517" s="348"/>
      <c r="F1517" s="22"/>
      <c r="G1517" s="22"/>
      <c r="H1517" s="22"/>
      <c r="I1517" s="50"/>
      <c r="J1517" s="351"/>
      <c r="K1517" s="448"/>
      <c r="L1517" s="29"/>
      <c r="M1517" s="31"/>
      <c r="N1517" s="14"/>
      <c r="O1517" s="31"/>
      <c r="Q1517" s="36"/>
      <c r="R1517" s="36"/>
      <c r="S1517" s="36"/>
      <c r="T1517" s="36"/>
      <c r="V1517" s="31"/>
    </row>
    <row r="1518">
      <c r="A1518" s="14"/>
      <c r="B1518" s="460"/>
      <c r="C1518" s="302"/>
      <c r="D1518" s="50"/>
      <c r="E1518" s="348"/>
      <c r="F1518" s="22"/>
      <c r="G1518" s="22"/>
      <c r="H1518" s="22"/>
      <c r="I1518" s="50"/>
      <c r="J1518" s="351"/>
      <c r="K1518" s="448"/>
      <c r="L1518" s="29"/>
      <c r="M1518" s="31"/>
      <c r="N1518" s="14"/>
      <c r="O1518" s="31"/>
      <c r="Q1518" s="36"/>
      <c r="R1518" s="36"/>
      <c r="S1518" s="36"/>
      <c r="T1518" s="36"/>
      <c r="V1518" s="31"/>
    </row>
    <row r="1519">
      <c r="A1519" s="14"/>
      <c r="B1519" s="460"/>
      <c r="C1519" s="302"/>
      <c r="D1519" s="50"/>
      <c r="E1519" s="348"/>
      <c r="F1519" s="22"/>
      <c r="G1519" s="22"/>
      <c r="H1519" s="22"/>
      <c r="I1519" s="50"/>
      <c r="J1519" s="351"/>
      <c r="K1519" s="448"/>
      <c r="L1519" s="29"/>
      <c r="M1519" s="31"/>
      <c r="N1519" s="14"/>
      <c r="O1519" s="31"/>
      <c r="Q1519" s="36"/>
      <c r="R1519" s="36"/>
      <c r="S1519" s="36"/>
      <c r="T1519" s="36"/>
      <c r="V1519" s="31"/>
    </row>
    <row r="1520">
      <c r="A1520" s="14"/>
      <c r="B1520" s="460"/>
      <c r="C1520" s="302"/>
      <c r="D1520" s="50"/>
      <c r="E1520" s="348"/>
      <c r="F1520" s="22"/>
      <c r="G1520" s="22"/>
      <c r="H1520" s="22"/>
      <c r="I1520" s="50"/>
      <c r="J1520" s="351"/>
      <c r="K1520" s="448"/>
      <c r="L1520" s="29"/>
      <c r="M1520" s="31"/>
      <c r="N1520" s="14"/>
      <c r="O1520" s="31"/>
      <c r="Q1520" s="36"/>
      <c r="R1520" s="36"/>
      <c r="S1520" s="36"/>
      <c r="T1520" s="36"/>
      <c r="V1520" s="31"/>
    </row>
    <row r="1521">
      <c r="A1521" s="14"/>
      <c r="B1521" s="460"/>
      <c r="C1521" s="302"/>
      <c r="D1521" s="50"/>
      <c r="E1521" s="348"/>
      <c r="F1521" s="22"/>
      <c r="G1521" s="22"/>
      <c r="H1521" s="22"/>
      <c r="I1521" s="50"/>
      <c r="J1521" s="351"/>
      <c r="K1521" s="448"/>
      <c r="L1521" s="29"/>
      <c r="M1521" s="31"/>
      <c r="N1521" s="14"/>
      <c r="O1521" s="31"/>
      <c r="Q1521" s="36"/>
      <c r="R1521" s="36"/>
      <c r="S1521" s="36"/>
      <c r="T1521" s="36"/>
      <c r="V1521" s="31"/>
    </row>
    <row r="1522">
      <c r="A1522" s="14"/>
      <c r="B1522" s="460"/>
      <c r="C1522" s="302"/>
      <c r="D1522" s="50"/>
      <c r="E1522" s="348"/>
      <c r="F1522" s="22"/>
      <c r="G1522" s="22"/>
      <c r="H1522" s="22"/>
      <c r="I1522" s="50"/>
      <c r="J1522" s="351"/>
      <c r="K1522" s="448"/>
      <c r="L1522" s="29"/>
      <c r="M1522" s="31"/>
      <c r="N1522" s="14"/>
      <c r="O1522" s="31"/>
      <c r="Q1522" s="36"/>
      <c r="R1522" s="36"/>
      <c r="S1522" s="36"/>
      <c r="T1522" s="36"/>
      <c r="V1522" s="31"/>
    </row>
    <row r="1523">
      <c r="A1523" s="14"/>
      <c r="B1523" s="460"/>
      <c r="C1523" s="302"/>
      <c r="D1523" s="50"/>
      <c r="E1523" s="348"/>
      <c r="F1523" s="22"/>
      <c r="G1523" s="22"/>
      <c r="H1523" s="22"/>
      <c r="I1523" s="50"/>
      <c r="J1523" s="351"/>
      <c r="K1523" s="448"/>
      <c r="L1523" s="29"/>
      <c r="M1523" s="31"/>
      <c r="N1523" s="14"/>
      <c r="O1523" s="31"/>
      <c r="Q1523" s="36"/>
      <c r="R1523" s="36"/>
      <c r="S1523" s="36"/>
      <c r="T1523" s="36"/>
      <c r="V1523" s="31"/>
    </row>
    <row r="1524">
      <c r="A1524" s="14"/>
      <c r="B1524" s="460"/>
      <c r="C1524" s="302"/>
      <c r="D1524" s="50"/>
      <c r="E1524" s="348"/>
      <c r="F1524" s="22"/>
      <c r="G1524" s="22"/>
      <c r="H1524" s="22"/>
      <c r="I1524" s="50"/>
      <c r="J1524" s="351"/>
      <c r="K1524" s="448"/>
      <c r="L1524" s="29"/>
      <c r="M1524" s="31"/>
      <c r="N1524" s="14"/>
      <c r="O1524" s="31"/>
      <c r="Q1524" s="36"/>
      <c r="R1524" s="36"/>
      <c r="S1524" s="36"/>
      <c r="T1524" s="36"/>
      <c r="V1524" s="31"/>
    </row>
    <row r="1525">
      <c r="A1525" s="14"/>
      <c r="B1525" s="460"/>
      <c r="C1525" s="302"/>
      <c r="D1525" s="50"/>
      <c r="E1525" s="348"/>
      <c r="F1525" s="22"/>
      <c r="G1525" s="22"/>
      <c r="H1525" s="22"/>
      <c r="I1525" s="50"/>
      <c r="J1525" s="351"/>
      <c r="K1525" s="448"/>
      <c r="L1525" s="29"/>
      <c r="M1525" s="31"/>
      <c r="N1525" s="14"/>
      <c r="O1525" s="31"/>
      <c r="Q1525" s="36"/>
      <c r="R1525" s="36"/>
      <c r="S1525" s="36"/>
      <c r="T1525" s="36"/>
      <c r="V1525" s="31"/>
    </row>
    <row r="1526">
      <c r="A1526" s="14"/>
      <c r="B1526" s="460"/>
      <c r="C1526" s="302"/>
      <c r="D1526" s="50"/>
      <c r="E1526" s="348"/>
      <c r="F1526" s="22"/>
      <c r="G1526" s="22"/>
      <c r="H1526" s="22"/>
      <c r="I1526" s="50"/>
      <c r="J1526" s="351"/>
      <c r="K1526" s="448"/>
      <c r="L1526" s="29"/>
      <c r="M1526" s="31"/>
      <c r="N1526" s="14"/>
      <c r="O1526" s="31"/>
      <c r="Q1526" s="36"/>
      <c r="R1526" s="36"/>
      <c r="S1526" s="36"/>
      <c r="T1526" s="36"/>
      <c r="V1526" s="31"/>
    </row>
    <row r="1527">
      <c r="A1527" s="14"/>
      <c r="B1527" s="460"/>
      <c r="C1527" s="302"/>
      <c r="D1527" s="50"/>
      <c r="E1527" s="348"/>
      <c r="F1527" s="22"/>
      <c r="G1527" s="22"/>
      <c r="H1527" s="22"/>
      <c r="I1527" s="50"/>
      <c r="J1527" s="351"/>
      <c r="K1527" s="448"/>
      <c r="L1527" s="29"/>
      <c r="M1527" s="31"/>
      <c r="N1527" s="14"/>
      <c r="O1527" s="31"/>
      <c r="Q1527" s="36"/>
      <c r="R1527" s="36"/>
      <c r="S1527" s="36"/>
      <c r="T1527" s="36"/>
      <c r="V1527" s="31"/>
    </row>
    <row r="1528">
      <c r="A1528" s="14"/>
      <c r="B1528" s="460"/>
      <c r="C1528" s="302"/>
      <c r="D1528" s="50"/>
      <c r="E1528" s="348"/>
      <c r="F1528" s="22"/>
      <c r="G1528" s="22"/>
      <c r="H1528" s="22"/>
      <c r="I1528" s="50"/>
      <c r="J1528" s="351"/>
      <c r="K1528" s="448"/>
      <c r="L1528" s="29"/>
      <c r="M1528" s="31"/>
      <c r="N1528" s="14"/>
      <c r="O1528" s="31"/>
      <c r="Q1528" s="36"/>
      <c r="R1528" s="36"/>
      <c r="S1528" s="36"/>
      <c r="T1528" s="36"/>
      <c r="V1528" s="31"/>
    </row>
    <row r="1529">
      <c r="A1529" s="14"/>
      <c r="B1529" s="460"/>
      <c r="C1529" s="302"/>
      <c r="D1529" s="50"/>
      <c r="E1529" s="348"/>
      <c r="F1529" s="22"/>
      <c r="G1529" s="22"/>
      <c r="H1529" s="22"/>
      <c r="I1529" s="50"/>
      <c r="J1529" s="351"/>
      <c r="K1529" s="448"/>
      <c r="L1529" s="29"/>
      <c r="M1529" s="31"/>
      <c r="N1529" s="14"/>
      <c r="O1529" s="31"/>
      <c r="Q1529" s="36"/>
      <c r="R1529" s="36"/>
      <c r="S1529" s="36"/>
      <c r="T1529" s="36"/>
      <c r="V1529" s="31"/>
    </row>
    <row r="1530">
      <c r="A1530" s="14"/>
      <c r="B1530" s="460"/>
      <c r="C1530" s="302"/>
      <c r="D1530" s="50"/>
      <c r="E1530" s="348"/>
      <c r="F1530" s="22"/>
      <c r="G1530" s="22"/>
      <c r="H1530" s="22"/>
      <c r="I1530" s="50"/>
      <c r="J1530" s="351"/>
      <c r="K1530" s="448"/>
      <c r="L1530" s="29"/>
      <c r="M1530" s="31"/>
      <c r="N1530" s="14"/>
      <c r="O1530" s="31"/>
      <c r="Q1530" s="36"/>
      <c r="R1530" s="36"/>
      <c r="S1530" s="36"/>
      <c r="T1530" s="36"/>
      <c r="V1530" s="31"/>
    </row>
    <row r="1531">
      <c r="A1531" s="14"/>
      <c r="B1531" s="460"/>
      <c r="C1531" s="302"/>
      <c r="D1531" s="50"/>
      <c r="E1531" s="348"/>
      <c r="F1531" s="22"/>
      <c r="G1531" s="22"/>
      <c r="H1531" s="22"/>
      <c r="I1531" s="50"/>
      <c r="J1531" s="351"/>
      <c r="K1531" s="448"/>
      <c r="L1531" s="29"/>
      <c r="M1531" s="31"/>
      <c r="N1531" s="14"/>
      <c r="O1531" s="31"/>
      <c r="Q1531" s="36"/>
      <c r="R1531" s="36"/>
      <c r="S1531" s="36"/>
      <c r="T1531" s="36"/>
      <c r="V1531" s="31"/>
    </row>
    <row r="1532">
      <c r="A1532" s="14"/>
      <c r="B1532" s="460"/>
      <c r="C1532" s="302"/>
      <c r="D1532" s="50"/>
      <c r="E1532" s="348"/>
      <c r="F1532" s="22"/>
      <c r="G1532" s="22"/>
      <c r="H1532" s="22"/>
      <c r="I1532" s="50"/>
      <c r="J1532" s="351"/>
      <c r="K1532" s="448"/>
      <c r="L1532" s="29"/>
      <c r="M1532" s="31"/>
      <c r="N1532" s="14"/>
      <c r="O1532" s="31"/>
      <c r="Q1532" s="36"/>
      <c r="R1532" s="36"/>
      <c r="S1532" s="36"/>
      <c r="T1532" s="36"/>
      <c r="V1532" s="31"/>
    </row>
    <row r="1533">
      <c r="A1533" s="14"/>
      <c r="B1533" s="460"/>
      <c r="C1533" s="302"/>
      <c r="D1533" s="50"/>
      <c r="E1533" s="348"/>
      <c r="F1533" s="22"/>
      <c r="G1533" s="22"/>
      <c r="H1533" s="22"/>
      <c r="I1533" s="50"/>
      <c r="J1533" s="351"/>
      <c r="K1533" s="448"/>
      <c r="L1533" s="29"/>
      <c r="M1533" s="31"/>
      <c r="N1533" s="14"/>
      <c r="O1533" s="31"/>
      <c r="Q1533" s="36"/>
      <c r="R1533" s="36"/>
      <c r="S1533" s="36"/>
      <c r="T1533" s="36"/>
      <c r="V1533" s="31"/>
    </row>
    <row r="1534">
      <c r="A1534" s="14"/>
      <c r="B1534" s="460"/>
      <c r="C1534" s="302"/>
      <c r="D1534" s="50"/>
      <c r="E1534" s="348"/>
      <c r="F1534" s="22"/>
      <c r="G1534" s="22"/>
      <c r="H1534" s="22"/>
      <c r="I1534" s="50"/>
      <c r="J1534" s="351"/>
      <c r="K1534" s="448"/>
      <c r="L1534" s="29"/>
      <c r="M1534" s="31"/>
      <c r="N1534" s="14"/>
      <c r="O1534" s="31"/>
      <c r="Q1534" s="36"/>
      <c r="R1534" s="36"/>
      <c r="S1534" s="36"/>
      <c r="T1534" s="36"/>
      <c r="V1534" s="31"/>
    </row>
    <row r="1535">
      <c r="A1535" s="14"/>
      <c r="B1535" s="460"/>
      <c r="C1535" s="302"/>
      <c r="D1535" s="50"/>
      <c r="E1535" s="348"/>
      <c r="F1535" s="22"/>
      <c r="G1535" s="22"/>
      <c r="H1535" s="22"/>
      <c r="I1535" s="50"/>
      <c r="J1535" s="351"/>
      <c r="K1535" s="448"/>
      <c r="L1535" s="29"/>
      <c r="M1535" s="31"/>
      <c r="N1535" s="14"/>
      <c r="O1535" s="31"/>
      <c r="Q1535" s="36"/>
      <c r="R1535" s="36"/>
      <c r="S1535" s="36"/>
      <c r="T1535" s="36"/>
      <c r="V1535" s="31"/>
    </row>
    <row r="1536">
      <c r="A1536" s="14"/>
      <c r="B1536" s="460"/>
      <c r="C1536" s="302"/>
      <c r="D1536" s="50"/>
      <c r="E1536" s="348"/>
      <c r="F1536" s="22"/>
      <c r="G1536" s="22"/>
      <c r="H1536" s="22"/>
      <c r="I1536" s="50"/>
      <c r="J1536" s="351"/>
      <c r="K1536" s="448"/>
      <c r="L1536" s="29"/>
      <c r="M1536" s="31"/>
      <c r="N1536" s="14"/>
      <c r="O1536" s="31"/>
      <c r="Q1536" s="36"/>
      <c r="R1536" s="36"/>
      <c r="S1536" s="36"/>
      <c r="T1536" s="36"/>
      <c r="V1536" s="31"/>
    </row>
    <row r="1537">
      <c r="A1537" s="14"/>
      <c r="B1537" s="460"/>
      <c r="C1537" s="302"/>
      <c r="D1537" s="50"/>
      <c r="E1537" s="348"/>
      <c r="F1537" s="22"/>
      <c r="G1537" s="22"/>
      <c r="H1537" s="22"/>
      <c r="I1537" s="50"/>
      <c r="J1537" s="351"/>
      <c r="K1537" s="448"/>
      <c r="L1537" s="29"/>
      <c r="M1537" s="31"/>
      <c r="N1537" s="14"/>
      <c r="O1537" s="31"/>
      <c r="Q1537" s="36"/>
      <c r="R1537" s="36"/>
      <c r="S1537" s="36"/>
      <c r="T1537" s="36"/>
      <c r="V1537" s="31"/>
    </row>
    <row r="1538">
      <c r="A1538" s="14"/>
      <c r="B1538" s="460"/>
      <c r="C1538" s="302"/>
      <c r="D1538" s="50"/>
      <c r="E1538" s="348"/>
      <c r="F1538" s="22"/>
      <c r="G1538" s="22"/>
      <c r="H1538" s="22"/>
      <c r="I1538" s="50"/>
      <c r="J1538" s="351"/>
      <c r="K1538" s="448"/>
      <c r="L1538" s="29"/>
      <c r="M1538" s="31"/>
      <c r="N1538" s="14"/>
      <c r="O1538" s="31"/>
      <c r="Q1538" s="36"/>
      <c r="R1538" s="36"/>
      <c r="S1538" s="36"/>
      <c r="T1538" s="36"/>
      <c r="V1538" s="31"/>
    </row>
    <row r="1539">
      <c r="A1539" s="14"/>
      <c r="B1539" s="460"/>
      <c r="C1539" s="302"/>
      <c r="D1539" s="50"/>
      <c r="E1539" s="348"/>
      <c r="F1539" s="22"/>
      <c r="G1539" s="22"/>
      <c r="H1539" s="22"/>
      <c r="I1539" s="50"/>
      <c r="J1539" s="351"/>
      <c r="K1539" s="448"/>
      <c r="L1539" s="29"/>
      <c r="M1539" s="31"/>
      <c r="N1539" s="14"/>
      <c r="O1539" s="31"/>
      <c r="Q1539" s="36"/>
      <c r="R1539" s="36"/>
      <c r="S1539" s="36"/>
      <c r="T1539" s="36"/>
      <c r="V1539" s="31"/>
    </row>
    <row r="1540">
      <c r="A1540" s="14"/>
      <c r="B1540" s="460"/>
      <c r="C1540" s="302"/>
      <c r="D1540" s="50"/>
      <c r="E1540" s="348"/>
      <c r="F1540" s="22"/>
      <c r="G1540" s="22"/>
      <c r="H1540" s="22"/>
      <c r="I1540" s="50"/>
      <c r="J1540" s="351"/>
      <c r="K1540" s="448"/>
      <c r="L1540" s="29"/>
      <c r="M1540" s="31"/>
      <c r="N1540" s="14"/>
      <c r="O1540" s="31"/>
      <c r="Q1540" s="36"/>
      <c r="R1540" s="36"/>
      <c r="S1540" s="36"/>
      <c r="T1540" s="36"/>
      <c r="V1540" s="31"/>
    </row>
    <row r="1541">
      <c r="A1541" s="14"/>
      <c r="B1541" s="460"/>
      <c r="C1541" s="302"/>
      <c r="D1541" s="50"/>
      <c r="E1541" s="348"/>
      <c r="F1541" s="22"/>
      <c r="G1541" s="22"/>
      <c r="H1541" s="22"/>
      <c r="I1541" s="50"/>
      <c r="J1541" s="351"/>
      <c r="K1541" s="448"/>
      <c r="L1541" s="29"/>
      <c r="M1541" s="31"/>
      <c r="N1541" s="14"/>
      <c r="O1541" s="31"/>
      <c r="Q1541" s="36"/>
      <c r="R1541" s="36"/>
      <c r="S1541" s="36"/>
      <c r="T1541" s="36"/>
      <c r="V1541" s="31"/>
    </row>
    <row r="1542">
      <c r="A1542" s="14"/>
      <c r="B1542" s="460"/>
      <c r="C1542" s="302"/>
      <c r="D1542" s="50"/>
      <c r="E1542" s="348"/>
      <c r="F1542" s="22"/>
      <c r="G1542" s="22"/>
      <c r="H1542" s="22"/>
      <c r="I1542" s="50"/>
      <c r="J1542" s="351"/>
      <c r="K1542" s="448"/>
      <c r="L1542" s="29"/>
      <c r="M1542" s="31"/>
      <c r="N1542" s="14"/>
      <c r="O1542" s="31"/>
      <c r="Q1542" s="36"/>
      <c r="R1542" s="36"/>
      <c r="S1542" s="36"/>
      <c r="T1542" s="36"/>
      <c r="V1542" s="31"/>
    </row>
    <row r="1543">
      <c r="A1543" s="14"/>
      <c r="B1543" s="460"/>
      <c r="C1543" s="302"/>
      <c r="D1543" s="50"/>
      <c r="E1543" s="348"/>
      <c r="F1543" s="22"/>
      <c r="G1543" s="22"/>
      <c r="H1543" s="22"/>
      <c r="I1543" s="50"/>
      <c r="J1543" s="351"/>
      <c r="K1543" s="448"/>
      <c r="L1543" s="29"/>
      <c r="M1543" s="31"/>
      <c r="N1543" s="14"/>
      <c r="O1543" s="31"/>
      <c r="Q1543" s="36"/>
      <c r="R1543" s="36"/>
      <c r="S1543" s="36"/>
      <c r="T1543" s="36"/>
      <c r="V1543" s="31"/>
    </row>
    <row r="1544">
      <c r="A1544" s="14"/>
      <c r="B1544" s="460"/>
      <c r="C1544" s="302"/>
      <c r="D1544" s="50"/>
      <c r="E1544" s="348"/>
      <c r="F1544" s="22"/>
      <c r="G1544" s="22"/>
      <c r="H1544" s="22"/>
      <c r="I1544" s="50"/>
      <c r="J1544" s="351"/>
      <c r="K1544" s="448"/>
      <c r="L1544" s="29"/>
      <c r="M1544" s="31"/>
      <c r="N1544" s="14"/>
      <c r="O1544" s="31"/>
      <c r="Q1544" s="36"/>
      <c r="R1544" s="36"/>
      <c r="S1544" s="36"/>
      <c r="T1544" s="36"/>
      <c r="V1544" s="31"/>
    </row>
    <row r="1545">
      <c r="A1545" s="14"/>
      <c r="B1545" s="460"/>
      <c r="C1545" s="302"/>
      <c r="D1545" s="50"/>
      <c r="E1545" s="348"/>
      <c r="F1545" s="22"/>
      <c r="G1545" s="22"/>
      <c r="H1545" s="22"/>
      <c r="I1545" s="50"/>
      <c r="J1545" s="351"/>
      <c r="K1545" s="448"/>
      <c r="L1545" s="29"/>
      <c r="M1545" s="31"/>
      <c r="N1545" s="14"/>
      <c r="O1545" s="31"/>
      <c r="Q1545" s="36"/>
      <c r="R1545" s="36"/>
      <c r="S1545" s="36"/>
      <c r="T1545" s="36"/>
      <c r="V1545" s="31"/>
    </row>
    <row r="1546">
      <c r="A1546" s="14"/>
      <c r="B1546" s="460"/>
      <c r="C1546" s="302"/>
      <c r="D1546" s="50"/>
      <c r="E1546" s="348"/>
      <c r="F1546" s="22"/>
      <c r="G1546" s="22"/>
      <c r="H1546" s="22"/>
      <c r="I1546" s="50"/>
      <c r="J1546" s="351"/>
      <c r="K1546" s="448"/>
      <c r="L1546" s="29"/>
      <c r="M1546" s="31"/>
      <c r="N1546" s="14"/>
      <c r="O1546" s="31"/>
      <c r="Q1546" s="36"/>
      <c r="R1546" s="36"/>
      <c r="S1546" s="36"/>
      <c r="T1546" s="36"/>
      <c r="V1546" s="31"/>
    </row>
    <row r="1547">
      <c r="A1547" s="14"/>
      <c r="B1547" s="460"/>
      <c r="C1547" s="302"/>
      <c r="D1547" s="50"/>
      <c r="E1547" s="348"/>
      <c r="F1547" s="22"/>
      <c r="G1547" s="22"/>
      <c r="H1547" s="22"/>
      <c r="I1547" s="50"/>
      <c r="J1547" s="351"/>
      <c r="K1547" s="448"/>
      <c r="L1547" s="29"/>
      <c r="M1547" s="31"/>
      <c r="N1547" s="14"/>
      <c r="O1547" s="31"/>
      <c r="Q1547" s="36"/>
      <c r="R1547" s="36"/>
      <c r="S1547" s="36"/>
      <c r="T1547" s="36"/>
      <c r="V1547" s="31"/>
    </row>
    <row r="1548">
      <c r="A1548" s="14"/>
      <c r="B1548" s="460"/>
      <c r="C1548" s="302"/>
      <c r="D1548" s="50"/>
      <c r="E1548" s="348"/>
      <c r="F1548" s="22"/>
      <c r="G1548" s="22"/>
      <c r="H1548" s="22"/>
      <c r="I1548" s="50"/>
      <c r="J1548" s="351"/>
      <c r="K1548" s="448"/>
      <c r="L1548" s="29"/>
      <c r="M1548" s="31"/>
      <c r="N1548" s="14"/>
      <c r="O1548" s="31"/>
      <c r="Q1548" s="36"/>
      <c r="R1548" s="36"/>
      <c r="S1548" s="36"/>
      <c r="T1548" s="36"/>
      <c r="V1548" s="31"/>
    </row>
    <row r="1549">
      <c r="A1549" s="14"/>
      <c r="B1549" s="460"/>
      <c r="C1549" s="302"/>
      <c r="D1549" s="50"/>
      <c r="E1549" s="348"/>
      <c r="F1549" s="22"/>
      <c r="G1549" s="22"/>
      <c r="H1549" s="22"/>
      <c r="I1549" s="50"/>
      <c r="J1549" s="351"/>
      <c r="K1549" s="448"/>
      <c r="L1549" s="29"/>
      <c r="M1549" s="31"/>
      <c r="N1549" s="14"/>
      <c r="O1549" s="31"/>
      <c r="Q1549" s="36"/>
      <c r="R1549" s="36"/>
      <c r="S1549" s="36"/>
      <c r="T1549" s="36"/>
      <c r="V1549" s="31"/>
    </row>
    <row r="1550">
      <c r="A1550" s="14"/>
      <c r="B1550" s="460"/>
      <c r="C1550" s="302"/>
      <c r="D1550" s="50"/>
      <c r="E1550" s="348"/>
      <c r="F1550" s="22"/>
      <c r="G1550" s="22"/>
      <c r="H1550" s="22"/>
      <c r="I1550" s="50"/>
      <c r="J1550" s="351"/>
      <c r="K1550" s="448"/>
      <c r="L1550" s="29"/>
      <c r="M1550" s="31"/>
      <c r="N1550" s="14"/>
      <c r="O1550" s="31"/>
      <c r="Q1550" s="36"/>
      <c r="R1550" s="36"/>
      <c r="S1550" s="36"/>
      <c r="T1550" s="36"/>
      <c r="V1550" s="31"/>
    </row>
    <row r="1551">
      <c r="A1551" s="14"/>
      <c r="B1551" s="460"/>
      <c r="C1551" s="302"/>
      <c r="D1551" s="50"/>
      <c r="E1551" s="348"/>
      <c r="F1551" s="22"/>
      <c r="G1551" s="22"/>
      <c r="H1551" s="22"/>
      <c r="I1551" s="50"/>
      <c r="J1551" s="351"/>
      <c r="K1551" s="448"/>
      <c r="L1551" s="29"/>
      <c r="M1551" s="31"/>
      <c r="N1551" s="14"/>
      <c r="O1551" s="31"/>
      <c r="Q1551" s="36"/>
      <c r="R1551" s="36"/>
      <c r="S1551" s="36"/>
      <c r="T1551" s="36"/>
      <c r="V1551" s="31"/>
    </row>
    <row r="1552">
      <c r="A1552" s="14"/>
      <c r="B1552" s="460"/>
      <c r="C1552" s="302"/>
      <c r="D1552" s="50"/>
      <c r="E1552" s="348"/>
      <c r="F1552" s="22"/>
      <c r="G1552" s="22"/>
      <c r="H1552" s="22"/>
      <c r="I1552" s="50"/>
      <c r="J1552" s="351"/>
      <c r="K1552" s="448"/>
      <c r="L1552" s="29"/>
      <c r="M1552" s="31"/>
      <c r="N1552" s="14"/>
      <c r="O1552" s="31"/>
      <c r="Q1552" s="36"/>
      <c r="R1552" s="36"/>
      <c r="S1552" s="36"/>
      <c r="T1552" s="36"/>
      <c r="V1552" s="31"/>
    </row>
    <row r="1553">
      <c r="A1553" s="14"/>
      <c r="B1553" s="460"/>
      <c r="C1553" s="302"/>
      <c r="D1553" s="50"/>
      <c r="E1553" s="348"/>
      <c r="F1553" s="22"/>
      <c r="G1553" s="22"/>
      <c r="H1553" s="22"/>
      <c r="I1553" s="50"/>
      <c r="J1553" s="351"/>
      <c r="K1553" s="448"/>
      <c r="L1553" s="29"/>
      <c r="M1553" s="31"/>
      <c r="N1553" s="14"/>
      <c r="O1553" s="31"/>
      <c r="Q1553" s="36"/>
      <c r="R1553" s="36"/>
      <c r="S1553" s="36"/>
      <c r="T1553" s="36"/>
      <c r="V1553" s="31"/>
    </row>
    <row r="1554">
      <c r="A1554" s="14"/>
      <c r="B1554" s="460"/>
      <c r="C1554" s="302"/>
      <c r="D1554" s="50"/>
      <c r="E1554" s="348"/>
      <c r="F1554" s="22"/>
      <c r="G1554" s="22"/>
      <c r="H1554" s="22"/>
      <c r="I1554" s="50"/>
      <c r="J1554" s="351"/>
      <c r="K1554" s="448"/>
      <c r="L1554" s="29"/>
      <c r="M1554" s="31"/>
      <c r="N1554" s="14"/>
      <c r="O1554" s="31"/>
      <c r="Q1554" s="36"/>
      <c r="R1554" s="36"/>
      <c r="S1554" s="36"/>
      <c r="T1554" s="36"/>
      <c r="V1554" s="31"/>
    </row>
    <row r="1555">
      <c r="A1555" s="14"/>
      <c r="B1555" s="460"/>
      <c r="C1555" s="302"/>
      <c r="D1555" s="50"/>
      <c r="E1555" s="348"/>
      <c r="F1555" s="22"/>
      <c r="G1555" s="22"/>
      <c r="H1555" s="22"/>
      <c r="I1555" s="50"/>
      <c r="J1555" s="351"/>
      <c r="K1555" s="448"/>
      <c r="L1555" s="29"/>
      <c r="M1555" s="31"/>
      <c r="N1555" s="14"/>
      <c r="O1555" s="31"/>
      <c r="Q1555" s="36"/>
      <c r="R1555" s="36"/>
      <c r="S1555" s="36"/>
      <c r="T1555" s="36"/>
      <c r="V1555" s="31"/>
    </row>
    <row r="1556">
      <c r="A1556" s="14"/>
      <c r="B1556" s="460"/>
      <c r="C1556" s="302"/>
      <c r="D1556" s="50"/>
      <c r="E1556" s="348"/>
      <c r="F1556" s="22"/>
      <c r="G1556" s="22"/>
      <c r="H1556" s="22"/>
      <c r="I1556" s="50"/>
      <c r="J1556" s="351"/>
      <c r="K1556" s="448"/>
      <c r="L1556" s="29"/>
      <c r="M1556" s="31"/>
      <c r="N1556" s="14"/>
      <c r="O1556" s="31"/>
      <c r="Q1556" s="36"/>
      <c r="R1556" s="36"/>
      <c r="S1556" s="36"/>
      <c r="T1556" s="36"/>
      <c r="V1556" s="31"/>
    </row>
    <row r="1557">
      <c r="A1557" s="14"/>
      <c r="B1557" s="460"/>
      <c r="C1557" s="302"/>
      <c r="D1557" s="50"/>
      <c r="E1557" s="348"/>
      <c r="F1557" s="22"/>
      <c r="G1557" s="22"/>
      <c r="H1557" s="22"/>
      <c r="I1557" s="50"/>
      <c r="J1557" s="351"/>
      <c r="K1557" s="448"/>
      <c r="L1557" s="29"/>
      <c r="M1557" s="31"/>
      <c r="N1557" s="14"/>
      <c r="O1557" s="31"/>
      <c r="Q1557" s="36"/>
      <c r="R1557" s="36"/>
      <c r="S1557" s="36"/>
      <c r="T1557" s="36"/>
      <c r="V1557" s="31"/>
    </row>
    <row r="1558">
      <c r="A1558" s="14"/>
      <c r="B1558" s="460"/>
      <c r="C1558" s="302"/>
      <c r="D1558" s="50"/>
      <c r="E1558" s="348"/>
      <c r="F1558" s="22"/>
      <c r="G1558" s="22"/>
      <c r="H1558" s="22"/>
      <c r="I1558" s="50"/>
      <c r="J1558" s="351"/>
      <c r="K1558" s="448"/>
      <c r="L1558" s="29"/>
      <c r="M1558" s="31"/>
      <c r="N1558" s="14"/>
      <c r="O1558" s="31"/>
      <c r="Q1558" s="36"/>
      <c r="R1558" s="36"/>
      <c r="S1558" s="36"/>
      <c r="T1558" s="36"/>
      <c r="V1558" s="31"/>
    </row>
    <row r="1559">
      <c r="A1559" s="14"/>
      <c r="B1559" s="460"/>
      <c r="C1559" s="302"/>
      <c r="D1559" s="50"/>
      <c r="E1559" s="348"/>
      <c r="F1559" s="22"/>
      <c r="G1559" s="22"/>
      <c r="H1559" s="22"/>
      <c r="I1559" s="50"/>
      <c r="J1559" s="351"/>
      <c r="K1559" s="448"/>
      <c r="L1559" s="29"/>
      <c r="M1559" s="31"/>
      <c r="N1559" s="14"/>
      <c r="O1559" s="31"/>
      <c r="Q1559" s="36"/>
      <c r="R1559" s="36"/>
      <c r="S1559" s="36"/>
      <c r="T1559" s="36"/>
      <c r="V1559" s="31"/>
    </row>
    <row r="1560">
      <c r="A1560" s="14"/>
      <c r="B1560" s="460"/>
      <c r="C1560" s="302"/>
      <c r="D1560" s="50"/>
      <c r="E1560" s="348"/>
      <c r="F1560" s="22"/>
      <c r="G1560" s="22"/>
      <c r="H1560" s="22"/>
      <c r="I1560" s="50"/>
      <c r="J1560" s="351"/>
      <c r="K1560" s="448"/>
      <c r="L1560" s="29"/>
      <c r="M1560" s="31"/>
      <c r="N1560" s="14"/>
      <c r="O1560" s="31"/>
      <c r="Q1560" s="36"/>
      <c r="R1560" s="36"/>
      <c r="S1560" s="36"/>
      <c r="T1560" s="36"/>
      <c r="V1560" s="31"/>
    </row>
    <row r="1561">
      <c r="A1561" s="14"/>
      <c r="B1561" s="460"/>
      <c r="C1561" s="302"/>
      <c r="D1561" s="50"/>
      <c r="E1561" s="348"/>
      <c r="F1561" s="22"/>
      <c r="G1561" s="22"/>
      <c r="H1561" s="22"/>
      <c r="I1561" s="50"/>
      <c r="J1561" s="351"/>
      <c r="K1561" s="448"/>
      <c r="L1561" s="29"/>
      <c r="M1561" s="31"/>
      <c r="N1561" s="14"/>
      <c r="O1561" s="31"/>
      <c r="Q1561" s="36"/>
      <c r="R1561" s="36"/>
      <c r="S1561" s="36"/>
      <c r="T1561" s="36"/>
      <c r="V1561" s="31"/>
    </row>
    <row r="1562">
      <c r="A1562" s="14"/>
      <c r="B1562" s="460"/>
      <c r="C1562" s="302"/>
      <c r="D1562" s="50"/>
      <c r="E1562" s="348"/>
      <c r="F1562" s="22"/>
      <c r="G1562" s="22"/>
      <c r="H1562" s="22"/>
      <c r="I1562" s="50"/>
      <c r="J1562" s="351"/>
      <c r="K1562" s="448"/>
      <c r="L1562" s="29"/>
      <c r="M1562" s="31"/>
      <c r="N1562" s="14"/>
      <c r="O1562" s="31"/>
      <c r="Q1562" s="36"/>
      <c r="R1562" s="36"/>
      <c r="S1562" s="36"/>
      <c r="T1562" s="36"/>
      <c r="V1562" s="31"/>
    </row>
    <row r="1563">
      <c r="A1563" s="14"/>
      <c r="B1563" s="460"/>
      <c r="C1563" s="302"/>
      <c r="D1563" s="50"/>
      <c r="E1563" s="348"/>
      <c r="F1563" s="22"/>
      <c r="G1563" s="22"/>
      <c r="H1563" s="22"/>
      <c r="I1563" s="50"/>
      <c r="J1563" s="351"/>
      <c r="K1563" s="448"/>
      <c r="L1563" s="29"/>
      <c r="M1563" s="31"/>
      <c r="N1563" s="14"/>
      <c r="O1563" s="31"/>
      <c r="Q1563" s="36"/>
      <c r="R1563" s="36"/>
      <c r="S1563" s="36"/>
      <c r="T1563" s="36"/>
      <c r="V1563" s="31"/>
    </row>
    <row r="1564">
      <c r="A1564" s="14"/>
      <c r="B1564" s="460"/>
      <c r="C1564" s="302"/>
      <c r="D1564" s="50"/>
      <c r="E1564" s="348"/>
      <c r="F1564" s="22"/>
      <c r="G1564" s="22"/>
      <c r="H1564" s="22"/>
      <c r="I1564" s="50"/>
      <c r="J1564" s="351"/>
      <c r="K1564" s="448"/>
      <c r="L1564" s="29"/>
      <c r="M1564" s="31"/>
      <c r="N1564" s="14"/>
      <c r="O1564" s="31"/>
      <c r="Q1564" s="36"/>
      <c r="R1564" s="36"/>
      <c r="S1564" s="36"/>
      <c r="T1564" s="36"/>
      <c r="V1564" s="31"/>
    </row>
    <row r="1565">
      <c r="A1565" s="14"/>
      <c r="B1565" s="460"/>
      <c r="C1565" s="302"/>
      <c r="D1565" s="50"/>
      <c r="E1565" s="348"/>
      <c r="F1565" s="22"/>
      <c r="G1565" s="22"/>
      <c r="H1565" s="22"/>
      <c r="I1565" s="50"/>
      <c r="J1565" s="351"/>
      <c r="K1565" s="448"/>
      <c r="L1565" s="29"/>
      <c r="M1565" s="31"/>
      <c r="N1565" s="14"/>
      <c r="O1565" s="31"/>
      <c r="Q1565" s="36"/>
      <c r="R1565" s="36"/>
      <c r="S1565" s="36"/>
      <c r="T1565" s="36"/>
      <c r="V1565" s="31"/>
    </row>
    <row r="1566">
      <c r="A1566" s="14"/>
      <c r="B1566" s="460"/>
      <c r="C1566" s="302"/>
      <c r="D1566" s="50"/>
      <c r="E1566" s="348"/>
      <c r="F1566" s="22"/>
      <c r="G1566" s="22"/>
      <c r="H1566" s="22"/>
      <c r="I1566" s="50"/>
      <c r="J1566" s="351"/>
      <c r="K1566" s="448"/>
      <c r="L1566" s="29"/>
      <c r="M1566" s="31"/>
      <c r="N1566" s="14"/>
      <c r="O1566" s="31"/>
      <c r="Q1566" s="36"/>
      <c r="R1566" s="36"/>
      <c r="S1566" s="36"/>
      <c r="T1566" s="36"/>
      <c r="V1566" s="31"/>
    </row>
    <row r="1567">
      <c r="A1567" s="14"/>
      <c r="B1567" s="460"/>
      <c r="C1567" s="302"/>
      <c r="D1567" s="50"/>
      <c r="E1567" s="348"/>
      <c r="F1567" s="22"/>
      <c r="G1567" s="22"/>
      <c r="H1567" s="22"/>
      <c r="I1567" s="50"/>
      <c r="J1567" s="351"/>
      <c r="K1567" s="448"/>
      <c r="L1567" s="29"/>
      <c r="M1567" s="31"/>
      <c r="N1567" s="14"/>
      <c r="O1567" s="31"/>
      <c r="Q1567" s="36"/>
      <c r="R1567" s="36"/>
      <c r="S1567" s="36"/>
      <c r="T1567" s="36"/>
      <c r="V1567" s="31"/>
    </row>
    <row r="1568">
      <c r="A1568" s="14"/>
      <c r="B1568" s="460"/>
      <c r="C1568" s="302"/>
      <c r="D1568" s="50"/>
      <c r="E1568" s="348"/>
      <c r="F1568" s="22"/>
      <c r="G1568" s="22"/>
      <c r="H1568" s="22"/>
      <c r="I1568" s="50"/>
      <c r="J1568" s="351"/>
      <c r="K1568" s="448"/>
      <c r="L1568" s="29"/>
      <c r="M1568" s="31"/>
      <c r="N1568" s="14"/>
      <c r="O1568" s="31"/>
      <c r="Q1568" s="36"/>
      <c r="R1568" s="36"/>
      <c r="S1568" s="36"/>
      <c r="T1568" s="36"/>
      <c r="V1568" s="31"/>
    </row>
    <row r="1569">
      <c r="A1569" s="14"/>
      <c r="B1569" s="460"/>
      <c r="C1569" s="302"/>
      <c r="D1569" s="50"/>
      <c r="E1569" s="348"/>
      <c r="F1569" s="22"/>
      <c r="G1569" s="22"/>
      <c r="H1569" s="22"/>
      <c r="I1569" s="50"/>
      <c r="J1569" s="351"/>
      <c r="K1569" s="448"/>
      <c r="L1569" s="29"/>
      <c r="M1569" s="31"/>
      <c r="N1569" s="14"/>
      <c r="O1569" s="31"/>
      <c r="Q1569" s="36"/>
      <c r="R1569" s="36"/>
      <c r="S1569" s="36"/>
      <c r="T1569" s="36"/>
      <c r="V1569" s="31"/>
    </row>
    <row r="1570">
      <c r="A1570" s="14"/>
      <c r="B1570" s="460"/>
      <c r="C1570" s="302"/>
      <c r="D1570" s="50"/>
      <c r="E1570" s="348"/>
      <c r="F1570" s="22"/>
      <c r="G1570" s="22"/>
      <c r="H1570" s="22"/>
      <c r="I1570" s="50"/>
      <c r="J1570" s="351"/>
      <c r="K1570" s="448"/>
      <c r="L1570" s="29"/>
      <c r="M1570" s="31"/>
      <c r="N1570" s="14"/>
      <c r="O1570" s="31"/>
      <c r="Q1570" s="36"/>
      <c r="R1570" s="36"/>
      <c r="S1570" s="36"/>
      <c r="T1570" s="36"/>
      <c r="V1570" s="31"/>
    </row>
    <row r="1571">
      <c r="A1571" s="14"/>
      <c r="B1571" s="460"/>
      <c r="C1571" s="302"/>
      <c r="D1571" s="50"/>
      <c r="E1571" s="348"/>
      <c r="F1571" s="22"/>
      <c r="G1571" s="22"/>
      <c r="H1571" s="22"/>
      <c r="I1571" s="50"/>
      <c r="J1571" s="351"/>
      <c r="K1571" s="448"/>
      <c r="L1571" s="29"/>
      <c r="M1571" s="31"/>
      <c r="N1571" s="14"/>
      <c r="O1571" s="31"/>
      <c r="Q1571" s="36"/>
      <c r="R1571" s="36"/>
      <c r="S1571" s="36"/>
      <c r="T1571" s="36"/>
      <c r="V1571" s="31"/>
    </row>
    <row r="1572">
      <c r="A1572" s="14"/>
      <c r="B1572" s="460"/>
      <c r="C1572" s="302"/>
      <c r="D1572" s="50"/>
      <c r="E1572" s="348"/>
      <c r="F1572" s="22"/>
      <c r="G1572" s="22"/>
      <c r="H1572" s="22"/>
      <c r="I1572" s="50"/>
      <c r="J1572" s="351"/>
      <c r="K1572" s="448"/>
      <c r="L1572" s="29"/>
      <c r="M1572" s="31"/>
      <c r="N1572" s="14"/>
      <c r="O1572" s="31"/>
      <c r="Q1572" s="36"/>
      <c r="R1572" s="36"/>
      <c r="S1572" s="36"/>
      <c r="T1572" s="36"/>
      <c r="V1572" s="31"/>
    </row>
    <row r="1573">
      <c r="A1573" s="14"/>
      <c r="B1573" s="460"/>
      <c r="C1573" s="302"/>
      <c r="D1573" s="50"/>
      <c r="E1573" s="348"/>
      <c r="F1573" s="22"/>
      <c r="G1573" s="22"/>
      <c r="H1573" s="22"/>
      <c r="I1573" s="50"/>
      <c r="J1573" s="351"/>
      <c r="K1573" s="448"/>
      <c r="L1573" s="29"/>
      <c r="M1573" s="31"/>
      <c r="N1573" s="14"/>
      <c r="O1573" s="31"/>
      <c r="Q1573" s="36"/>
      <c r="R1573" s="36"/>
      <c r="S1573" s="36"/>
      <c r="T1573" s="36"/>
      <c r="V1573" s="31"/>
    </row>
    <row r="1574">
      <c r="A1574" s="14"/>
      <c r="B1574" s="460"/>
      <c r="C1574" s="302"/>
      <c r="D1574" s="50"/>
      <c r="E1574" s="348"/>
      <c r="F1574" s="22"/>
      <c r="G1574" s="22"/>
      <c r="H1574" s="22"/>
      <c r="I1574" s="50"/>
      <c r="J1574" s="351"/>
      <c r="K1574" s="448"/>
      <c r="L1574" s="29"/>
      <c r="M1574" s="31"/>
      <c r="N1574" s="14"/>
      <c r="O1574" s="31"/>
      <c r="Q1574" s="36"/>
      <c r="R1574" s="36"/>
      <c r="S1574" s="36"/>
      <c r="T1574" s="36"/>
      <c r="V1574" s="31"/>
    </row>
    <row r="1575">
      <c r="A1575" s="14"/>
      <c r="B1575" s="460"/>
      <c r="C1575" s="302"/>
      <c r="D1575" s="50"/>
      <c r="E1575" s="348"/>
      <c r="F1575" s="22"/>
      <c r="G1575" s="22"/>
      <c r="H1575" s="22"/>
      <c r="I1575" s="50"/>
      <c r="J1575" s="351"/>
      <c r="K1575" s="448"/>
      <c r="L1575" s="29"/>
      <c r="M1575" s="31"/>
      <c r="N1575" s="14"/>
      <c r="O1575" s="31"/>
      <c r="Q1575" s="36"/>
      <c r="R1575" s="36"/>
      <c r="S1575" s="36"/>
      <c r="T1575" s="36"/>
      <c r="V1575" s="31"/>
    </row>
    <row r="1576">
      <c r="A1576" s="14"/>
      <c r="B1576" s="460"/>
      <c r="C1576" s="302"/>
      <c r="D1576" s="50"/>
      <c r="E1576" s="348"/>
      <c r="F1576" s="22"/>
      <c r="G1576" s="22"/>
      <c r="H1576" s="22"/>
      <c r="I1576" s="50"/>
      <c r="J1576" s="351"/>
      <c r="K1576" s="448"/>
      <c r="L1576" s="29"/>
      <c r="M1576" s="31"/>
      <c r="N1576" s="14"/>
      <c r="O1576" s="31"/>
      <c r="Q1576" s="36"/>
      <c r="R1576" s="36"/>
      <c r="S1576" s="36"/>
      <c r="T1576" s="36"/>
      <c r="V1576" s="31"/>
    </row>
    <row r="1577">
      <c r="A1577" s="14"/>
      <c r="B1577" s="460"/>
      <c r="C1577" s="302"/>
      <c r="D1577" s="50"/>
      <c r="E1577" s="348"/>
      <c r="F1577" s="22"/>
      <c r="G1577" s="22"/>
      <c r="H1577" s="22"/>
      <c r="I1577" s="50"/>
      <c r="J1577" s="351"/>
      <c r="K1577" s="448"/>
      <c r="L1577" s="29"/>
      <c r="M1577" s="31"/>
      <c r="N1577" s="14"/>
      <c r="O1577" s="31"/>
      <c r="Q1577" s="36"/>
      <c r="R1577" s="36"/>
      <c r="S1577" s="36"/>
      <c r="T1577" s="36"/>
      <c r="V1577" s="31"/>
    </row>
    <row r="1578">
      <c r="A1578" s="14"/>
      <c r="B1578" s="460"/>
      <c r="C1578" s="302"/>
      <c r="D1578" s="50"/>
      <c r="E1578" s="348"/>
      <c r="F1578" s="22"/>
      <c r="G1578" s="22"/>
      <c r="H1578" s="22"/>
      <c r="I1578" s="50"/>
      <c r="J1578" s="351"/>
      <c r="K1578" s="448"/>
      <c r="L1578" s="29"/>
      <c r="M1578" s="31"/>
      <c r="N1578" s="14"/>
      <c r="O1578" s="31"/>
      <c r="Q1578" s="36"/>
      <c r="R1578" s="36"/>
      <c r="S1578" s="36"/>
      <c r="T1578" s="36"/>
      <c r="V1578" s="31"/>
    </row>
    <row r="1579">
      <c r="A1579" s="14"/>
      <c r="B1579" s="460"/>
      <c r="C1579" s="302"/>
      <c r="D1579" s="50"/>
      <c r="E1579" s="348"/>
      <c r="F1579" s="22"/>
      <c r="G1579" s="22"/>
      <c r="H1579" s="22"/>
      <c r="I1579" s="50"/>
      <c r="J1579" s="351"/>
      <c r="K1579" s="448"/>
      <c r="L1579" s="29"/>
      <c r="M1579" s="31"/>
      <c r="N1579" s="14"/>
      <c r="O1579" s="31"/>
      <c r="Q1579" s="36"/>
      <c r="R1579" s="36"/>
      <c r="S1579" s="36"/>
      <c r="T1579" s="36"/>
      <c r="V1579" s="31"/>
    </row>
    <row r="1580">
      <c r="A1580" s="14"/>
      <c r="B1580" s="460"/>
      <c r="C1580" s="302"/>
      <c r="D1580" s="50"/>
      <c r="E1580" s="348"/>
      <c r="F1580" s="22"/>
      <c r="G1580" s="22"/>
      <c r="H1580" s="22"/>
      <c r="I1580" s="50"/>
      <c r="J1580" s="351"/>
      <c r="K1580" s="448"/>
      <c r="L1580" s="29"/>
      <c r="M1580" s="31"/>
      <c r="N1580" s="14"/>
      <c r="O1580" s="31"/>
      <c r="Q1580" s="36"/>
      <c r="R1580" s="36"/>
      <c r="S1580" s="36"/>
      <c r="T1580" s="36"/>
      <c r="V1580" s="31"/>
    </row>
    <row r="1581">
      <c r="A1581" s="14"/>
      <c r="B1581" s="460"/>
      <c r="C1581" s="302"/>
      <c r="D1581" s="50"/>
      <c r="E1581" s="348"/>
      <c r="F1581" s="22"/>
      <c r="G1581" s="22"/>
      <c r="H1581" s="22"/>
      <c r="I1581" s="50"/>
      <c r="J1581" s="351"/>
      <c r="K1581" s="448"/>
      <c r="L1581" s="29"/>
      <c r="M1581" s="31"/>
      <c r="N1581" s="14"/>
      <c r="O1581" s="31"/>
      <c r="Q1581" s="36"/>
      <c r="R1581" s="36"/>
      <c r="S1581" s="36"/>
      <c r="T1581" s="36"/>
      <c r="V1581" s="31"/>
    </row>
    <row r="1582">
      <c r="A1582" s="14"/>
      <c r="B1582" s="460"/>
      <c r="C1582" s="302"/>
      <c r="D1582" s="50"/>
      <c r="E1582" s="348"/>
      <c r="F1582" s="22"/>
      <c r="G1582" s="22"/>
      <c r="H1582" s="22"/>
      <c r="I1582" s="50"/>
      <c r="J1582" s="351"/>
      <c r="K1582" s="448"/>
      <c r="L1582" s="29"/>
      <c r="M1582" s="31"/>
      <c r="N1582" s="14"/>
      <c r="O1582" s="31"/>
      <c r="Q1582" s="36"/>
      <c r="R1582" s="36"/>
      <c r="S1582" s="36"/>
      <c r="T1582" s="36"/>
      <c r="V1582" s="31"/>
    </row>
    <row r="1583">
      <c r="A1583" s="14"/>
      <c r="B1583" s="460"/>
      <c r="C1583" s="302"/>
      <c r="D1583" s="50"/>
      <c r="E1583" s="348"/>
      <c r="F1583" s="22"/>
      <c r="G1583" s="22"/>
      <c r="H1583" s="22"/>
      <c r="I1583" s="50"/>
      <c r="J1583" s="351"/>
      <c r="K1583" s="448"/>
      <c r="L1583" s="29"/>
      <c r="M1583" s="31"/>
      <c r="N1583" s="14"/>
      <c r="O1583" s="31"/>
      <c r="Q1583" s="36"/>
      <c r="R1583" s="36"/>
      <c r="S1583" s="36"/>
      <c r="T1583" s="36"/>
      <c r="V1583" s="31"/>
    </row>
    <row r="1584">
      <c r="A1584" s="14"/>
      <c r="B1584" s="460"/>
      <c r="C1584" s="302"/>
      <c r="D1584" s="50"/>
      <c r="E1584" s="348"/>
      <c r="F1584" s="22"/>
      <c r="G1584" s="22"/>
      <c r="H1584" s="22"/>
      <c r="I1584" s="50"/>
      <c r="J1584" s="351"/>
      <c r="K1584" s="448"/>
      <c r="L1584" s="29"/>
      <c r="M1584" s="31"/>
      <c r="N1584" s="14"/>
      <c r="O1584" s="31"/>
      <c r="Q1584" s="36"/>
      <c r="R1584" s="36"/>
      <c r="S1584" s="36"/>
      <c r="T1584" s="36"/>
      <c r="V1584" s="31"/>
    </row>
    <row r="1585">
      <c r="A1585" s="14"/>
      <c r="B1585" s="460"/>
      <c r="C1585" s="302"/>
      <c r="D1585" s="50"/>
      <c r="E1585" s="348"/>
      <c r="F1585" s="22"/>
      <c r="G1585" s="22"/>
      <c r="H1585" s="22"/>
      <c r="I1585" s="50"/>
      <c r="J1585" s="351"/>
      <c r="K1585" s="448"/>
      <c r="L1585" s="29"/>
      <c r="M1585" s="31"/>
      <c r="N1585" s="14"/>
      <c r="O1585" s="31"/>
      <c r="Q1585" s="36"/>
      <c r="R1585" s="36"/>
      <c r="S1585" s="36"/>
      <c r="T1585" s="36"/>
      <c r="V1585" s="31"/>
    </row>
    <row r="1586">
      <c r="A1586" s="14"/>
      <c r="B1586" s="460"/>
      <c r="C1586" s="302"/>
      <c r="D1586" s="50"/>
      <c r="E1586" s="348"/>
      <c r="F1586" s="22"/>
      <c r="G1586" s="22"/>
      <c r="H1586" s="22"/>
      <c r="I1586" s="50"/>
      <c r="J1586" s="351"/>
      <c r="K1586" s="448"/>
      <c r="L1586" s="29"/>
      <c r="M1586" s="31"/>
      <c r="N1586" s="14"/>
      <c r="O1586" s="31"/>
      <c r="Q1586" s="36"/>
      <c r="R1586" s="36"/>
      <c r="S1586" s="36"/>
      <c r="T1586" s="36"/>
      <c r="V1586" s="31"/>
    </row>
    <row r="1587">
      <c r="A1587" s="14"/>
      <c r="B1587" s="460"/>
      <c r="C1587" s="302"/>
      <c r="D1587" s="50"/>
      <c r="E1587" s="348"/>
      <c r="F1587" s="22"/>
      <c r="G1587" s="22"/>
      <c r="H1587" s="22"/>
      <c r="I1587" s="50"/>
      <c r="J1587" s="351"/>
      <c r="K1587" s="448"/>
      <c r="L1587" s="29"/>
      <c r="M1587" s="31"/>
      <c r="N1587" s="14"/>
      <c r="O1587" s="31"/>
      <c r="Q1587" s="36"/>
      <c r="R1587" s="36"/>
      <c r="S1587" s="36"/>
      <c r="T1587" s="36"/>
      <c r="V1587" s="31"/>
    </row>
    <row r="1588">
      <c r="A1588" s="14"/>
      <c r="B1588" s="460"/>
      <c r="C1588" s="302"/>
      <c r="D1588" s="50"/>
      <c r="E1588" s="348"/>
      <c r="F1588" s="22"/>
      <c r="G1588" s="22"/>
      <c r="H1588" s="22"/>
      <c r="I1588" s="50"/>
      <c r="J1588" s="351"/>
      <c r="K1588" s="448"/>
      <c r="L1588" s="29"/>
      <c r="M1588" s="31"/>
      <c r="N1588" s="14"/>
      <c r="O1588" s="31"/>
      <c r="Q1588" s="36"/>
      <c r="R1588" s="36"/>
      <c r="S1588" s="36"/>
      <c r="T1588" s="36"/>
      <c r="V1588" s="31"/>
    </row>
    <row r="1589">
      <c r="A1589" s="14"/>
      <c r="B1589" s="460"/>
      <c r="C1589" s="302"/>
      <c r="D1589" s="50"/>
      <c r="E1589" s="348"/>
      <c r="F1589" s="22"/>
      <c r="G1589" s="22"/>
      <c r="H1589" s="22"/>
      <c r="I1589" s="50"/>
      <c r="J1589" s="351"/>
      <c r="K1589" s="448"/>
      <c r="L1589" s="29"/>
      <c r="M1589" s="31"/>
      <c r="N1589" s="14"/>
      <c r="O1589" s="31"/>
      <c r="Q1589" s="36"/>
      <c r="R1589" s="36"/>
      <c r="S1589" s="36"/>
      <c r="T1589" s="36"/>
      <c r="V1589" s="31"/>
    </row>
    <row r="1590">
      <c r="A1590" s="14"/>
      <c r="B1590" s="460"/>
      <c r="C1590" s="302"/>
      <c r="D1590" s="50"/>
      <c r="E1590" s="348"/>
      <c r="F1590" s="22"/>
      <c r="G1590" s="22"/>
      <c r="H1590" s="22"/>
      <c r="I1590" s="50"/>
      <c r="J1590" s="351"/>
      <c r="K1590" s="448"/>
      <c r="L1590" s="29"/>
      <c r="M1590" s="31"/>
      <c r="N1590" s="14"/>
      <c r="O1590" s="31"/>
      <c r="Q1590" s="36"/>
      <c r="R1590" s="36"/>
      <c r="S1590" s="36"/>
      <c r="T1590" s="36"/>
      <c r="V1590" s="31"/>
    </row>
    <row r="1591">
      <c r="A1591" s="14"/>
      <c r="B1591" s="460"/>
      <c r="C1591" s="302"/>
      <c r="D1591" s="50"/>
      <c r="E1591" s="348"/>
      <c r="F1591" s="22"/>
      <c r="G1591" s="22"/>
      <c r="H1591" s="22"/>
      <c r="I1591" s="50"/>
      <c r="J1591" s="351"/>
      <c r="K1591" s="448"/>
      <c r="L1591" s="29"/>
      <c r="M1591" s="31"/>
      <c r="N1591" s="14"/>
      <c r="O1591" s="31"/>
      <c r="Q1591" s="36"/>
      <c r="R1591" s="36"/>
      <c r="S1591" s="36"/>
      <c r="T1591" s="36"/>
      <c r="V1591" s="31"/>
    </row>
    <row r="1592">
      <c r="A1592" s="14"/>
      <c r="B1592" s="460"/>
      <c r="C1592" s="302"/>
      <c r="D1592" s="50"/>
      <c r="E1592" s="348"/>
      <c r="F1592" s="22"/>
      <c r="G1592" s="22"/>
      <c r="H1592" s="22"/>
      <c r="I1592" s="50"/>
      <c r="J1592" s="351"/>
      <c r="K1592" s="448"/>
      <c r="L1592" s="29"/>
      <c r="M1592" s="31"/>
      <c r="N1592" s="14"/>
      <c r="O1592" s="31"/>
      <c r="Q1592" s="36"/>
      <c r="R1592" s="36"/>
      <c r="S1592" s="36"/>
      <c r="T1592" s="36"/>
      <c r="V1592" s="31"/>
    </row>
    <row r="1593">
      <c r="A1593" s="14"/>
      <c r="B1593" s="460"/>
      <c r="C1593" s="302"/>
      <c r="D1593" s="50"/>
      <c r="E1593" s="348"/>
      <c r="F1593" s="22"/>
      <c r="G1593" s="22"/>
      <c r="H1593" s="22"/>
      <c r="I1593" s="50"/>
      <c r="J1593" s="351"/>
      <c r="K1593" s="448"/>
      <c r="L1593" s="29"/>
      <c r="M1593" s="31"/>
      <c r="N1593" s="14"/>
      <c r="O1593" s="31"/>
      <c r="Q1593" s="36"/>
      <c r="R1593" s="36"/>
      <c r="S1593" s="36"/>
      <c r="T1593" s="36"/>
      <c r="V1593" s="31"/>
    </row>
    <row r="1594">
      <c r="A1594" s="14"/>
      <c r="B1594" s="460"/>
      <c r="C1594" s="302"/>
      <c r="D1594" s="50"/>
      <c r="E1594" s="348"/>
      <c r="F1594" s="22"/>
      <c r="G1594" s="22"/>
      <c r="H1594" s="22"/>
      <c r="I1594" s="50"/>
      <c r="J1594" s="351"/>
      <c r="K1594" s="448"/>
      <c r="L1594" s="29"/>
      <c r="M1594" s="31"/>
      <c r="N1594" s="14"/>
      <c r="O1594" s="31"/>
      <c r="Q1594" s="36"/>
      <c r="R1594" s="36"/>
      <c r="S1594" s="36"/>
      <c r="T1594" s="36"/>
      <c r="V1594" s="31"/>
    </row>
    <row r="1595">
      <c r="A1595" s="14"/>
      <c r="B1595" s="460"/>
      <c r="C1595" s="302"/>
      <c r="D1595" s="50"/>
      <c r="E1595" s="348"/>
      <c r="F1595" s="22"/>
      <c r="G1595" s="22"/>
      <c r="H1595" s="22"/>
      <c r="I1595" s="50"/>
      <c r="J1595" s="351"/>
      <c r="K1595" s="448"/>
      <c r="L1595" s="29"/>
      <c r="M1595" s="31"/>
      <c r="N1595" s="14"/>
      <c r="O1595" s="31"/>
      <c r="Q1595" s="36"/>
      <c r="R1595" s="36"/>
      <c r="S1595" s="36"/>
      <c r="T1595" s="36"/>
      <c r="V1595" s="31"/>
    </row>
    <row r="1596">
      <c r="A1596" s="14"/>
      <c r="B1596" s="460"/>
      <c r="C1596" s="302"/>
      <c r="D1596" s="50"/>
      <c r="E1596" s="348"/>
      <c r="F1596" s="22"/>
      <c r="G1596" s="22"/>
      <c r="H1596" s="22"/>
      <c r="I1596" s="50"/>
      <c r="J1596" s="351"/>
      <c r="K1596" s="448"/>
      <c r="L1596" s="29"/>
      <c r="M1596" s="31"/>
      <c r="N1596" s="14"/>
      <c r="O1596" s="31"/>
      <c r="Q1596" s="36"/>
      <c r="R1596" s="36"/>
      <c r="S1596" s="36"/>
      <c r="T1596" s="36"/>
      <c r="V1596" s="31"/>
    </row>
    <row r="1597">
      <c r="A1597" s="14"/>
      <c r="B1597" s="460"/>
      <c r="C1597" s="302"/>
      <c r="D1597" s="50"/>
      <c r="E1597" s="348"/>
      <c r="F1597" s="22"/>
      <c r="G1597" s="22"/>
      <c r="H1597" s="22"/>
      <c r="I1597" s="50"/>
      <c r="J1597" s="351"/>
      <c r="K1597" s="448"/>
      <c r="L1597" s="29"/>
      <c r="M1597" s="31"/>
      <c r="N1597" s="14"/>
      <c r="O1597" s="31"/>
      <c r="Q1597" s="36"/>
      <c r="R1597" s="36"/>
      <c r="S1597" s="36"/>
      <c r="T1597" s="36"/>
      <c r="V1597" s="31"/>
    </row>
    <row r="1598">
      <c r="A1598" s="14"/>
      <c r="B1598" s="460"/>
      <c r="C1598" s="302"/>
      <c r="D1598" s="50"/>
      <c r="E1598" s="348"/>
      <c r="F1598" s="22"/>
      <c r="G1598" s="22"/>
      <c r="H1598" s="22"/>
      <c r="I1598" s="50"/>
      <c r="J1598" s="351"/>
      <c r="K1598" s="448"/>
      <c r="L1598" s="29"/>
      <c r="M1598" s="31"/>
      <c r="N1598" s="14"/>
      <c r="O1598" s="31"/>
      <c r="Q1598" s="36"/>
      <c r="R1598" s="36"/>
      <c r="S1598" s="36"/>
      <c r="T1598" s="36"/>
      <c r="V1598" s="31"/>
    </row>
    <row r="1599">
      <c r="A1599" s="14"/>
      <c r="B1599" s="460"/>
      <c r="C1599" s="302"/>
      <c r="D1599" s="50"/>
      <c r="E1599" s="348"/>
      <c r="F1599" s="22"/>
      <c r="G1599" s="22"/>
      <c r="H1599" s="22"/>
      <c r="I1599" s="50"/>
      <c r="J1599" s="351"/>
      <c r="K1599" s="448"/>
      <c r="L1599" s="29"/>
      <c r="M1599" s="31"/>
      <c r="N1599" s="14"/>
      <c r="O1599" s="31"/>
      <c r="Q1599" s="36"/>
      <c r="R1599" s="36"/>
      <c r="S1599" s="36"/>
      <c r="T1599" s="36"/>
      <c r="V1599" s="31"/>
    </row>
    <row r="1600">
      <c r="A1600" s="14"/>
      <c r="B1600" s="460"/>
      <c r="C1600" s="302"/>
      <c r="D1600" s="50"/>
      <c r="E1600" s="348"/>
      <c r="F1600" s="22"/>
      <c r="G1600" s="22"/>
      <c r="H1600" s="22"/>
      <c r="I1600" s="50"/>
      <c r="J1600" s="351"/>
      <c r="K1600" s="448"/>
      <c r="L1600" s="29"/>
      <c r="M1600" s="31"/>
      <c r="N1600" s="14"/>
      <c r="O1600" s="31"/>
      <c r="Q1600" s="36"/>
      <c r="R1600" s="36"/>
      <c r="S1600" s="36"/>
      <c r="T1600" s="36"/>
      <c r="V1600" s="31"/>
    </row>
    <row r="1601">
      <c r="A1601" s="14"/>
      <c r="B1601" s="460"/>
      <c r="C1601" s="302"/>
      <c r="D1601" s="50"/>
      <c r="E1601" s="348"/>
      <c r="F1601" s="22"/>
      <c r="G1601" s="22"/>
      <c r="H1601" s="22"/>
      <c r="I1601" s="50"/>
      <c r="J1601" s="351"/>
      <c r="K1601" s="448"/>
      <c r="L1601" s="29"/>
      <c r="M1601" s="31"/>
      <c r="N1601" s="14"/>
      <c r="O1601" s="31"/>
      <c r="Q1601" s="36"/>
      <c r="R1601" s="36"/>
      <c r="S1601" s="36"/>
      <c r="T1601" s="36"/>
      <c r="V1601" s="31"/>
    </row>
    <row r="1602">
      <c r="A1602" s="14"/>
      <c r="B1602" s="460"/>
      <c r="C1602" s="302"/>
      <c r="D1602" s="50"/>
      <c r="E1602" s="348"/>
      <c r="F1602" s="22"/>
      <c r="G1602" s="22"/>
      <c r="H1602" s="22"/>
      <c r="I1602" s="50"/>
      <c r="J1602" s="351"/>
      <c r="K1602" s="448"/>
      <c r="L1602" s="29"/>
      <c r="M1602" s="31"/>
      <c r="N1602" s="14"/>
      <c r="O1602" s="31"/>
      <c r="Q1602" s="36"/>
      <c r="R1602" s="36"/>
      <c r="S1602" s="36"/>
      <c r="T1602" s="36"/>
      <c r="V1602" s="31"/>
    </row>
    <row r="1603">
      <c r="A1603" s="14"/>
      <c r="B1603" s="460"/>
      <c r="C1603" s="302"/>
      <c r="D1603" s="50"/>
      <c r="E1603" s="348"/>
      <c r="F1603" s="22"/>
      <c r="G1603" s="22"/>
      <c r="H1603" s="22"/>
      <c r="I1603" s="50"/>
      <c r="J1603" s="351"/>
      <c r="K1603" s="448"/>
      <c r="L1603" s="29"/>
      <c r="M1603" s="31"/>
      <c r="N1603" s="14"/>
      <c r="O1603" s="31"/>
      <c r="Q1603" s="36"/>
      <c r="R1603" s="36"/>
      <c r="S1603" s="36"/>
      <c r="T1603" s="36"/>
      <c r="V1603" s="31"/>
    </row>
    <row r="1604">
      <c r="A1604" s="14"/>
      <c r="B1604" s="460"/>
      <c r="C1604" s="302"/>
      <c r="D1604" s="50"/>
      <c r="E1604" s="348"/>
      <c r="F1604" s="22"/>
      <c r="G1604" s="22"/>
      <c r="H1604" s="22"/>
      <c r="I1604" s="50"/>
      <c r="J1604" s="351"/>
      <c r="K1604" s="448"/>
      <c r="L1604" s="29"/>
      <c r="M1604" s="31"/>
      <c r="N1604" s="14"/>
      <c r="O1604" s="31"/>
      <c r="Q1604" s="36"/>
      <c r="R1604" s="36"/>
      <c r="S1604" s="36"/>
      <c r="T1604" s="36"/>
      <c r="V1604" s="31"/>
    </row>
    <row r="1605">
      <c r="A1605" s="14"/>
      <c r="B1605" s="460"/>
      <c r="C1605" s="302"/>
      <c r="D1605" s="50"/>
      <c r="E1605" s="348"/>
      <c r="F1605" s="22"/>
      <c r="G1605" s="22"/>
      <c r="H1605" s="22"/>
      <c r="I1605" s="50"/>
      <c r="J1605" s="351"/>
      <c r="K1605" s="448"/>
      <c r="L1605" s="29"/>
      <c r="M1605" s="31"/>
      <c r="N1605" s="14"/>
      <c r="O1605" s="31"/>
      <c r="Q1605" s="36"/>
      <c r="R1605" s="36"/>
      <c r="S1605" s="36"/>
      <c r="T1605" s="36"/>
      <c r="V1605" s="31"/>
    </row>
    <row r="1606">
      <c r="A1606" s="14"/>
      <c r="B1606" s="460"/>
      <c r="C1606" s="302"/>
      <c r="D1606" s="50"/>
      <c r="E1606" s="348"/>
      <c r="F1606" s="22"/>
      <c r="G1606" s="22"/>
      <c r="H1606" s="22"/>
      <c r="I1606" s="50"/>
      <c r="J1606" s="351"/>
      <c r="K1606" s="448"/>
      <c r="L1606" s="29"/>
      <c r="M1606" s="31"/>
      <c r="N1606" s="14"/>
      <c r="O1606" s="31"/>
      <c r="Q1606" s="36"/>
      <c r="R1606" s="36"/>
      <c r="S1606" s="36"/>
      <c r="T1606" s="36"/>
      <c r="V1606" s="31"/>
    </row>
    <row r="1607">
      <c r="A1607" s="14"/>
      <c r="B1607" s="460"/>
      <c r="C1607" s="302"/>
      <c r="D1607" s="50"/>
      <c r="E1607" s="348"/>
      <c r="F1607" s="22"/>
      <c r="G1607" s="22"/>
      <c r="H1607" s="22"/>
      <c r="I1607" s="50"/>
      <c r="J1607" s="351"/>
      <c r="K1607" s="448"/>
      <c r="L1607" s="29"/>
      <c r="M1607" s="31"/>
      <c r="N1607" s="14"/>
      <c r="O1607" s="31"/>
      <c r="Q1607" s="36"/>
      <c r="R1607" s="36"/>
      <c r="S1607" s="36"/>
      <c r="T1607" s="36"/>
      <c r="V1607" s="31"/>
    </row>
    <row r="1608">
      <c r="A1608" s="14"/>
      <c r="B1608" s="460"/>
      <c r="C1608" s="302"/>
      <c r="D1608" s="50"/>
      <c r="E1608" s="348"/>
      <c r="F1608" s="22"/>
      <c r="G1608" s="22"/>
      <c r="H1608" s="22"/>
      <c r="I1608" s="50"/>
      <c r="J1608" s="351"/>
      <c r="K1608" s="448"/>
      <c r="L1608" s="29"/>
      <c r="M1608" s="31"/>
      <c r="N1608" s="14"/>
      <c r="O1608" s="31"/>
      <c r="Q1608" s="36"/>
      <c r="R1608" s="36"/>
      <c r="S1608" s="36"/>
      <c r="T1608" s="36"/>
      <c r="V1608" s="31"/>
    </row>
    <row r="1609">
      <c r="A1609" s="14"/>
      <c r="B1609" s="460"/>
      <c r="C1609" s="302"/>
      <c r="D1609" s="50"/>
      <c r="E1609" s="348"/>
      <c r="F1609" s="22"/>
      <c r="G1609" s="22"/>
      <c r="H1609" s="22"/>
      <c r="I1609" s="50"/>
      <c r="J1609" s="351"/>
      <c r="K1609" s="448"/>
      <c r="L1609" s="29"/>
      <c r="M1609" s="31"/>
      <c r="N1609" s="14"/>
      <c r="O1609" s="31"/>
      <c r="Q1609" s="36"/>
      <c r="R1609" s="36"/>
      <c r="S1609" s="36"/>
      <c r="T1609" s="36"/>
      <c r="V1609" s="31"/>
    </row>
    <row r="1610">
      <c r="A1610" s="14"/>
      <c r="B1610" s="460"/>
      <c r="C1610" s="302"/>
      <c r="D1610" s="50"/>
      <c r="E1610" s="348"/>
      <c r="F1610" s="22"/>
      <c r="G1610" s="22"/>
      <c r="H1610" s="22"/>
      <c r="I1610" s="50"/>
      <c r="J1610" s="351"/>
      <c r="K1610" s="448"/>
      <c r="L1610" s="29"/>
      <c r="M1610" s="31"/>
      <c r="N1610" s="14"/>
      <c r="O1610" s="31"/>
      <c r="Q1610" s="36"/>
      <c r="R1610" s="36"/>
      <c r="S1610" s="36"/>
      <c r="T1610" s="36"/>
      <c r="V1610" s="31"/>
    </row>
    <row r="1611">
      <c r="A1611" s="14"/>
      <c r="B1611" s="460"/>
      <c r="C1611" s="302"/>
      <c r="D1611" s="50"/>
      <c r="E1611" s="348"/>
      <c r="F1611" s="22"/>
      <c r="G1611" s="22"/>
      <c r="H1611" s="22"/>
      <c r="I1611" s="50"/>
      <c r="J1611" s="351"/>
      <c r="K1611" s="448"/>
      <c r="L1611" s="29"/>
      <c r="M1611" s="31"/>
      <c r="N1611" s="14"/>
      <c r="O1611" s="31"/>
      <c r="Q1611" s="36"/>
      <c r="R1611" s="36"/>
      <c r="S1611" s="36"/>
      <c r="T1611" s="36"/>
      <c r="V1611" s="31"/>
    </row>
    <row r="1612">
      <c r="A1612" s="14"/>
      <c r="B1612" s="460"/>
      <c r="C1612" s="302"/>
      <c r="D1612" s="50"/>
      <c r="E1612" s="348"/>
      <c r="F1612" s="22"/>
      <c r="G1612" s="22"/>
      <c r="H1612" s="22"/>
      <c r="I1612" s="50"/>
      <c r="J1612" s="351"/>
      <c r="K1612" s="448"/>
      <c r="L1612" s="29"/>
      <c r="M1612" s="31"/>
      <c r="N1612" s="14"/>
      <c r="O1612" s="31"/>
      <c r="Q1612" s="36"/>
      <c r="R1612" s="36"/>
      <c r="S1612" s="36"/>
      <c r="T1612" s="36"/>
      <c r="V1612" s="31"/>
    </row>
    <row r="1613">
      <c r="A1613" s="14"/>
      <c r="B1613" s="460"/>
      <c r="C1613" s="302"/>
      <c r="D1613" s="50"/>
      <c r="E1613" s="348"/>
      <c r="F1613" s="22"/>
      <c r="G1613" s="22"/>
      <c r="H1613" s="22"/>
      <c r="I1613" s="50"/>
      <c r="J1613" s="351"/>
      <c r="K1613" s="448"/>
      <c r="L1613" s="29"/>
      <c r="M1613" s="31"/>
      <c r="N1613" s="14"/>
      <c r="O1613" s="31"/>
      <c r="Q1613" s="36"/>
      <c r="R1613" s="36"/>
      <c r="S1613" s="36"/>
      <c r="T1613" s="36"/>
      <c r="V1613" s="31"/>
    </row>
    <row r="1614">
      <c r="A1614" s="14"/>
      <c r="B1614" s="460"/>
      <c r="C1614" s="302"/>
      <c r="D1614" s="50"/>
      <c r="E1614" s="348"/>
      <c r="F1614" s="22"/>
      <c r="G1614" s="22"/>
      <c r="H1614" s="22"/>
      <c r="I1614" s="50"/>
      <c r="J1614" s="351"/>
      <c r="K1614" s="448"/>
      <c r="L1614" s="29"/>
      <c r="M1614" s="31"/>
      <c r="N1614" s="14"/>
      <c r="O1614" s="31"/>
      <c r="Q1614" s="36"/>
      <c r="R1614" s="36"/>
      <c r="S1614" s="36"/>
      <c r="T1614" s="36"/>
      <c r="V1614" s="31"/>
    </row>
    <row r="1615">
      <c r="A1615" s="14"/>
      <c r="B1615" s="460"/>
      <c r="C1615" s="302"/>
      <c r="D1615" s="50"/>
      <c r="E1615" s="348"/>
      <c r="F1615" s="22"/>
      <c r="G1615" s="22"/>
      <c r="H1615" s="22"/>
      <c r="I1615" s="50"/>
      <c r="J1615" s="351"/>
      <c r="K1615" s="448"/>
      <c r="L1615" s="29"/>
      <c r="M1615" s="31"/>
      <c r="N1615" s="14"/>
      <c r="O1615" s="31"/>
      <c r="Q1615" s="36"/>
      <c r="R1615" s="36"/>
      <c r="S1615" s="36"/>
      <c r="T1615" s="36"/>
      <c r="V1615" s="31"/>
    </row>
    <row r="1616">
      <c r="A1616" s="14"/>
      <c r="B1616" s="460"/>
      <c r="C1616" s="302"/>
      <c r="D1616" s="50"/>
      <c r="E1616" s="348"/>
      <c r="F1616" s="22"/>
      <c r="G1616" s="22"/>
      <c r="H1616" s="22"/>
      <c r="I1616" s="50"/>
      <c r="J1616" s="351"/>
      <c r="K1616" s="448"/>
      <c r="L1616" s="29"/>
      <c r="M1616" s="31"/>
      <c r="N1616" s="14"/>
      <c r="O1616" s="31"/>
      <c r="Q1616" s="36"/>
      <c r="R1616" s="36"/>
      <c r="S1616" s="36"/>
      <c r="T1616" s="36"/>
      <c r="V1616" s="31"/>
    </row>
    <row r="1617">
      <c r="A1617" s="14"/>
      <c r="B1617" s="460"/>
      <c r="C1617" s="302"/>
      <c r="D1617" s="50"/>
      <c r="E1617" s="348"/>
      <c r="F1617" s="22"/>
      <c r="G1617" s="22"/>
      <c r="H1617" s="22"/>
      <c r="I1617" s="50"/>
      <c r="J1617" s="351"/>
      <c r="K1617" s="448"/>
      <c r="L1617" s="29"/>
      <c r="M1617" s="31"/>
      <c r="N1617" s="14"/>
      <c r="O1617" s="31"/>
      <c r="Q1617" s="36"/>
      <c r="R1617" s="36"/>
      <c r="S1617" s="36"/>
      <c r="T1617" s="36"/>
      <c r="V1617" s="31"/>
    </row>
    <row r="1618">
      <c r="A1618" s="14"/>
      <c r="B1618" s="460"/>
      <c r="C1618" s="302"/>
      <c r="D1618" s="50"/>
      <c r="E1618" s="348"/>
      <c r="F1618" s="22"/>
      <c r="G1618" s="22"/>
      <c r="H1618" s="22"/>
      <c r="I1618" s="50"/>
      <c r="J1618" s="351"/>
      <c r="K1618" s="448"/>
      <c r="L1618" s="29"/>
      <c r="M1618" s="31"/>
      <c r="N1618" s="14"/>
      <c r="O1618" s="31"/>
      <c r="Q1618" s="36"/>
      <c r="R1618" s="36"/>
      <c r="S1618" s="36"/>
      <c r="T1618" s="36"/>
      <c r="V1618" s="31"/>
    </row>
    <row r="1619">
      <c r="A1619" s="14"/>
      <c r="B1619" s="460"/>
      <c r="C1619" s="302"/>
      <c r="D1619" s="50"/>
      <c r="E1619" s="348"/>
      <c r="F1619" s="22"/>
      <c r="G1619" s="22"/>
      <c r="H1619" s="22"/>
      <c r="I1619" s="50"/>
      <c r="J1619" s="351"/>
      <c r="K1619" s="448"/>
      <c r="L1619" s="29"/>
      <c r="M1619" s="31"/>
      <c r="N1619" s="14"/>
      <c r="O1619" s="31"/>
      <c r="Q1619" s="36"/>
      <c r="R1619" s="36"/>
      <c r="S1619" s="36"/>
      <c r="T1619" s="36"/>
      <c r="V1619" s="31"/>
    </row>
    <row r="1620">
      <c r="A1620" s="14"/>
      <c r="B1620" s="460"/>
      <c r="C1620" s="302"/>
      <c r="D1620" s="50"/>
      <c r="E1620" s="348"/>
      <c r="F1620" s="22"/>
      <c r="G1620" s="22"/>
      <c r="H1620" s="22"/>
      <c r="I1620" s="50"/>
      <c r="J1620" s="351"/>
      <c r="K1620" s="448"/>
      <c r="L1620" s="29"/>
      <c r="M1620" s="31"/>
      <c r="N1620" s="14"/>
      <c r="O1620" s="31"/>
      <c r="Q1620" s="36"/>
      <c r="R1620" s="36"/>
      <c r="S1620" s="36"/>
      <c r="T1620" s="36"/>
      <c r="V1620" s="31"/>
    </row>
    <row r="1621">
      <c r="A1621" s="14"/>
      <c r="B1621" s="460"/>
      <c r="C1621" s="302"/>
      <c r="D1621" s="50"/>
      <c r="E1621" s="348"/>
      <c r="F1621" s="22"/>
      <c r="G1621" s="22"/>
      <c r="H1621" s="22"/>
      <c r="I1621" s="50"/>
      <c r="J1621" s="351"/>
      <c r="K1621" s="448"/>
      <c r="L1621" s="29"/>
      <c r="M1621" s="31"/>
      <c r="N1621" s="14"/>
      <c r="O1621" s="31"/>
      <c r="Q1621" s="36"/>
      <c r="R1621" s="36"/>
      <c r="S1621" s="36"/>
      <c r="T1621" s="36"/>
      <c r="V1621" s="31"/>
    </row>
    <row r="1622">
      <c r="A1622" s="14"/>
      <c r="B1622" s="460"/>
      <c r="C1622" s="302"/>
      <c r="D1622" s="50"/>
      <c r="E1622" s="348"/>
      <c r="F1622" s="22"/>
      <c r="G1622" s="22"/>
      <c r="H1622" s="22"/>
      <c r="I1622" s="50"/>
      <c r="J1622" s="351"/>
      <c r="K1622" s="448"/>
      <c r="L1622" s="29"/>
      <c r="M1622" s="31"/>
      <c r="N1622" s="14"/>
      <c r="O1622" s="31"/>
      <c r="Q1622" s="36"/>
      <c r="R1622" s="36"/>
      <c r="S1622" s="36"/>
      <c r="T1622" s="36"/>
      <c r="V1622" s="31"/>
    </row>
    <row r="1623">
      <c r="A1623" s="14"/>
      <c r="B1623" s="460"/>
      <c r="C1623" s="302"/>
      <c r="D1623" s="50"/>
      <c r="E1623" s="348"/>
      <c r="F1623" s="22"/>
      <c r="G1623" s="22"/>
      <c r="H1623" s="22"/>
      <c r="I1623" s="50"/>
      <c r="J1623" s="351"/>
      <c r="K1623" s="448"/>
      <c r="L1623" s="29"/>
      <c r="M1623" s="31"/>
      <c r="N1623" s="14"/>
      <c r="O1623" s="31"/>
      <c r="Q1623" s="36"/>
      <c r="R1623" s="36"/>
      <c r="S1623" s="36"/>
      <c r="T1623" s="36"/>
      <c r="V1623" s="31"/>
    </row>
    <row r="1624">
      <c r="A1624" s="14"/>
      <c r="B1624" s="460"/>
      <c r="C1624" s="302"/>
      <c r="D1624" s="50"/>
      <c r="E1624" s="348"/>
      <c r="F1624" s="22"/>
      <c r="G1624" s="22"/>
      <c r="H1624" s="22"/>
      <c r="I1624" s="50"/>
      <c r="J1624" s="351"/>
      <c r="K1624" s="448"/>
      <c r="L1624" s="29"/>
      <c r="M1624" s="31"/>
      <c r="N1624" s="14"/>
      <c r="O1624" s="31"/>
      <c r="Q1624" s="36"/>
      <c r="R1624" s="36"/>
      <c r="S1624" s="36"/>
      <c r="T1624" s="36"/>
      <c r="V1624" s="31"/>
    </row>
    <row r="1625">
      <c r="A1625" s="14"/>
      <c r="B1625" s="460"/>
      <c r="C1625" s="302"/>
      <c r="D1625" s="50"/>
      <c r="E1625" s="348"/>
      <c r="F1625" s="22"/>
      <c r="G1625" s="22"/>
      <c r="H1625" s="22"/>
      <c r="I1625" s="50"/>
      <c r="J1625" s="351"/>
      <c r="K1625" s="448"/>
      <c r="L1625" s="29"/>
      <c r="M1625" s="31"/>
      <c r="N1625" s="14"/>
      <c r="O1625" s="31"/>
      <c r="Q1625" s="36"/>
      <c r="R1625" s="36"/>
      <c r="S1625" s="36"/>
      <c r="T1625" s="36"/>
      <c r="V1625" s="31"/>
    </row>
    <row r="1626">
      <c r="A1626" s="14"/>
      <c r="B1626" s="460"/>
      <c r="C1626" s="302"/>
      <c r="D1626" s="50"/>
      <c r="E1626" s="348"/>
      <c r="F1626" s="22"/>
      <c r="G1626" s="22"/>
      <c r="H1626" s="22"/>
      <c r="I1626" s="50"/>
      <c r="J1626" s="351"/>
      <c r="K1626" s="448"/>
      <c r="L1626" s="29"/>
      <c r="M1626" s="31"/>
      <c r="N1626" s="14"/>
      <c r="O1626" s="31"/>
      <c r="Q1626" s="36"/>
      <c r="R1626" s="36"/>
      <c r="S1626" s="36"/>
      <c r="T1626" s="36"/>
      <c r="V1626" s="31"/>
    </row>
    <row r="1627">
      <c r="A1627" s="14"/>
      <c r="B1627" s="460"/>
      <c r="C1627" s="302"/>
      <c r="D1627" s="50"/>
      <c r="E1627" s="348"/>
      <c r="F1627" s="22"/>
      <c r="G1627" s="22"/>
      <c r="H1627" s="22"/>
      <c r="I1627" s="50"/>
      <c r="J1627" s="351"/>
      <c r="K1627" s="448"/>
      <c r="L1627" s="29"/>
      <c r="M1627" s="31"/>
      <c r="N1627" s="14"/>
      <c r="O1627" s="31"/>
      <c r="Q1627" s="36"/>
      <c r="R1627" s="36"/>
      <c r="S1627" s="36"/>
      <c r="T1627" s="36"/>
      <c r="V1627" s="31"/>
    </row>
    <row r="1628">
      <c r="A1628" s="14"/>
      <c r="B1628" s="460"/>
      <c r="C1628" s="302"/>
      <c r="D1628" s="50"/>
      <c r="E1628" s="348"/>
      <c r="F1628" s="22"/>
      <c r="G1628" s="22"/>
      <c r="H1628" s="22"/>
      <c r="I1628" s="50"/>
      <c r="J1628" s="351"/>
      <c r="K1628" s="448"/>
      <c r="L1628" s="29"/>
      <c r="M1628" s="31"/>
      <c r="N1628" s="14"/>
      <c r="O1628" s="31"/>
      <c r="Q1628" s="36"/>
      <c r="R1628" s="36"/>
      <c r="S1628" s="36"/>
      <c r="T1628" s="36"/>
      <c r="V1628" s="31"/>
    </row>
    <row r="1629">
      <c r="A1629" s="14"/>
      <c r="B1629" s="460"/>
      <c r="C1629" s="302"/>
      <c r="D1629" s="50"/>
      <c r="E1629" s="348"/>
      <c r="F1629" s="22"/>
      <c r="G1629" s="22"/>
      <c r="H1629" s="22"/>
      <c r="I1629" s="50"/>
      <c r="J1629" s="351"/>
      <c r="K1629" s="448"/>
      <c r="L1629" s="29"/>
      <c r="M1629" s="31"/>
      <c r="N1629" s="14"/>
      <c r="O1629" s="31"/>
      <c r="Q1629" s="36"/>
      <c r="R1629" s="36"/>
      <c r="S1629" s="36"/>
      <c r="T1629" s="36"/>
      <c r="V1629" s="31"/>
    </row>
    <row r="1630">
      <c r="A1630" s="14"/>
      <c r="B1630" s="460"/>
      <c r="C1630" s="302"/>
      <c r="D1630" s="50"/>
      <c r="E1630" s="348"/>
      <c r="F1630" s="22"/>
      <c r="G1630" s="22"/>
      <c r="H1630" s="22"/>
      <c r="I1630" s="50"/>
      <c r="J1630" s="351"/>
      <c r="K1630" s="448"/>
      <c r="L1630" s="29"/>
      <c r="M1630" s="31"/>
      <c r="N1630" s="14"/>
      <c r="O1630" s="31"/>
      <c r="Q1630" s="36"/>
      <c r="R1630" s="36"/>
      <c r="S1630" s="36"/>
      <c r="T1630" s="36"/>
      <c r="V1630" s="31"/>
    </row>
    <row r="1631">
      <c r="A1631" s="14"/>
      <c r="B1631" s="460"/>
      <c r="C1631" s="302"/>
      <c r="D1631" s="50"/>
      <c r="E1631" s="348"/>
      <c r="F1631" s="22"/>
      <c r="G1631" s="22"/>
      <c r="H1631" s="22"/>
      <c r="I1631" s="50"/>
      <c r="J1631" s="351"/>
      <c r="K1631" s="448"/>
      <c r="L1631" s="29"/>
      <c r="M1631" s="31"/>
      <c r="N1631" s="14"/>
      <c r="O1631" s="31"/>
      <c r="Q1631" s="36"/>
      <c r="R1631" s="36"/>
      <c r="S1631" s="36"/>
      <c r="T1631" s="36"/>
      <c r="V1631" s="31"/>
    </row>
    <row r="1632">
      <c r="A1632" s="14"/>
      <c r="B1632" s="460"/>
      <c r="C1632" s="302"/>
      <c r="D1632" s="50"/>
      <c r="E1632" s="348"/>
      <c r="F1632" s="22"/>
      <c r="G1632" s="22"/>
      <c r="H1632" s="22"/>
      <c r="I1632" s="50"/>
      <c r="J1632" s="351"/>
      <c r="K1632" s="448"/>
      <c r="L1632" s="29"/>
      <c r="M1632" s="31"/>
      <c r="N1632" s="14"/>
      <c r="O1632" s="31"/>
      <c r="Q1632" s="36"/>
      <c r="R1632" s="36"/>
      <c r="S1632" s="36"/>
      <c r="T1632" s="36"/>
      <c r="V1632" s="31"/>
    </row>
    <row r="1633">
      <c r="A1633" s="14"/>
      <c r="B1633" s="460"/>
      <c r="C1633" s="302"/>
      <c r="D1633" s="50"/>
      <c r="E1633" s="348"/>
      <c r="F1633" s="22"/>
      <c r="G1633" s="22"/>
      <c r="H1633" s="22"/>
      <c r="I1633" s="50"/>
      <c r="J1633" s="351"/>
      <c r="K1633" s="448"/>
      <c r="L1633" s="29"/>
      <c r="M1633" s="31"/>
      <c r="N1633" s="14"/>
      <c r="O1633" s="31"/>
      <c r="Q1633" s="36"/>
      <c r="R1633" s="36"/>
      <c r="S1633" s="36"/>
      <c r="T1633" s="36"/>
      <c r="V1633" s="31"/>
    </row>
    <row r="1634">
      <c r="A1634" s="14"/>
      <c r="B1634" s="460"/>
      <c r="C1634" s="302"/>
      <c r="D1634" s="50"/>
      <c r="E1634" s="348"/>
      <c r="F1634" s="22"/>
      <c r="G1634" s="22"/>
      <c r="H1634" s="22"/>
      <c r="I1634" s="50"/>
      <c r="J1634" s="351"/>
      <c r="K1634" s="448"/>
      <c r="L1634" s="29"/>
      <c r="M1634" s="31"/>
      <c r="N1634" s="14"/>
      <c r="O1634" s="31"/>
      <c r="Q1634" s="36"/>
      <c r="R1634" s="36"/>
      <c r="S1634" s="36"/>
      <c r="T1634" s="36"/>
      <c r="V1634" s="31"/>
    </row>
    <row r="1635">
      <c r="A1635" s="14"/>
      <c r="B1635" s="460"/>
      <c r="C1635" s="302"/>
      <c r="D1635" s="50"/>
      <c r="E1635" s="348"/>
      <c r="F1635" s="22"/>
      <c r="G1635" s="22"/>
      <c r="H1635" s="22"/>
      <c r="I1635" s="50"/>
      <c r="J1635" s="351"/>
      <c r="K1635" s="448"/>
      <c r="L1635" s="29"/>
      <c r="M1635" s="31"/>
      <c r="N1635" s="14"/>
      <c r="O1635" s="31"/>
      <c r="Q1635" s="36"/>
      <c r="R1635" s="36"/>
      <c r="S1635" s="36"/>
      <c r="T1635" s="36"/>
      <c r="V1635" s="31"/>
    </row>
    <row r="1636">
      <c r="A1636" s="14"/>
      <c r="B1636" s="460"/>
      <c r="C1636" s="302"/>
      <c r="D1636" s="50"/>
      <c r="E1636" s="348"/>
      <c r="F1636" s="22"/>
      <c r="G1636" s="22"/>
      <c r="H1636" s="22"/>
      <c r="I1636" s="50"/>
      <c r="J1636" s="351"/>
      <c r="K1636" s="448"/>
      <c r="L1636" s="29"/>
      <c r="M1636" s="31"/>
      <c r="N1636" s="14"/>
      <c r="O1636" s="31"/>
      <c r="Q1636" s="36"/>
      <c r="R1636" s="36"/>
      <c r="S1636" s="36"/>
      <c r="T1636" s="36"/>
      <c r="V1636" s="31"/>
    </row>
    <row r="1637">
      <c r="A1637" s="14"/>
      <c r="B1637" s="460"/>
      <c r="C1637" s="302"/>
      <c r="D1637" s="50"/>
      <c r="E1637" s="348"/>
      <c r="F1637" s="22"/>
      <c r="G1637" s="22"/>
      <c r="H1637" s="22"/>
      <c r="I1637" s="50"/>
      <c r="J1637" s="351"/>
      <c r="K1637" s="448"/>
      <c r="L1637" s="29"/>
      <c r="M1637" s="31"/>
      <c r="N1637" s="14"/>
      <c r="O1637" s="31"/>
      <c r="Q1637" s="36"/>
      <c r="R1637" s="36"/>
      <c r="S1637" s="36"/>
      <c r="T1637" s="36"/>
      <c r="V1637" s="31"/>
    </row>
    <row r="1638">
      <c r="A1638" s="14"/>
      <c r="B1638" s="460"/>
      <c r="C1638" s="302"/>
      <c r="D1638" s="50"/>
      <c r="E1638" s="348"/>
      <c r="F1638" s="22"/>
      <c r="G1638" s="22"/>
      <c r="H1638" s="22"/>
      <c r="I1638" s="50"/>
      <c r="J1638" s="351"/>
      <c r="K1638" s="448"/>
      <c r="L1638" s="29"/>
      <c r="M1638" s="31"/>
      <c r="N1638" s="14"/>
      <c r="O1638" s="31"/>
      <c r="Q1638" s="36"/>
      <c r="R1638" s="36"/>
      <c r="S1638" s="36"/>
      <c r="T1638" s="36"/>
      <c r="V1638" s="31"/>
    </row>
    <row r="1639">
      <c r="A1639" s="14"/>
      <c r="B1639" s="460"/>
      <c r="C1639" s="302"/>
      <c r="D1639" s="50"/>
      <c r="E1639" s="348"/>
      <c r="F1639" s="22"/>
      <c r="G1639" s="22"/>
      <c r="H1639" s="22"/>
      <c r="I1639" s="50"/>
      <c r="J1639" s="351"/>
      <c r="K1639" s="448"/>
      <c r="L1639" s="29"/>
      <c r="M1639" s="31"/>
      <c r="N1639" s="14"/>
      <c r="O1639" s="31"/>
      <c r="Q1639" s="36"/>
      <c r="R1639" s="36"/>
      <c r="S1639" s="36"/>
      <c r="T1639" s="36"/>
      <c r="V1639" s="31"/>
    </row>
    <row r="1640">
      <c r="A1640" s="14"/>
      <c r="B1640" s="460"/>
      <c r="C1640" s="302"/>
      <c r="D1640" s="50"/>
      <c r="E1640" s="348"/>
      <c r="F1640" s="22"/>
      <c r="G1640" s="22"/>
      <c r="H1640" s="22"/>
      <c r="I1640" s="50"/>
      <c r="J1640" s="351"/>
      <c r="K1640" s="448"/>
      <c r="L1640" s="29"/>
      <c r="M1640" s="31"/>
      <c r="N1640" s="14"/>
      <c r="O1640" s="31"/>
      <c r="Q1640" s="36"/>
      <c r="R1640" s="36"/>
      <c r="S1640" s="36"/>
      <c r="T1640" s="36"/>
      <c r="V1640" s="31"/>
    </row>
    <row r="1641">
      <c r="A1641" s="14"/>
      <c r="B1641" s="460"/>
      <c r="C1641" s="302"/>
      <c r="D1641" s="50"/>
      <c r="E1641" s="348"/>
      <c r="F1641" s="22"/>
      <c r="G1641" s="22"/>
      <c r="H1641" s="22"/>
      <c r="I1641" s="50"/>
      <c r="J1641" s="351"/>
      <c r="K1641" s="448"/>
      <c r="L1641" s="29"/>
      <c r="M1641" s="31"/>
      <c r="N1641" s="14"/>
      <c r="O1641" s="31"/>
      <c r="Q1641" s="36"/>
      <c r="R1641" s="36"/>
      <c r="S1641" s="36"/>
      <c r="T1641" s="36"/>
      <c r="V1641" s="31"/>
    </row>
    <row r="1642">
      <c r="A1642" s="14"/>
      <c r="B1642" s="460"/>
      <c r="C1642" s="302"/>
      <c r="D1642" s="50"/>
      <c r="E1642" s="348"/>
      <c r="F1642" s="22"/>
      <c r="G1642" s="22"/>
      <c r="H1642" s="22"/>
      <c r="I1642" s="50"/>
      <c r="J1642" s="351"/>
      <c r="K1642" s="448"/>
      <c r="L1642" s="29"/>
      <c r="M1642" s="31"/>
      <c r="N1642" s="14"/>
      <c r="O1642" s="31"/>
      <c r="Q1642" s="36"/>
      <c r="R1642" s="36"/>
      <c r="S1642" s="36"/>
      <c r="T1642" s="36"/>
      <c r="V1642" s="31"/>
    </row>
    <row r="1643">
      <c r="A1643" s="14"/>
      <c r="B1643" s="460"/>
      <c r="C1643" s="302"/>
      <c r="D1643" s="50"/>
      <c r="E1643" s="348"/>
      <c r="F1643" s="22"/>
      <c r="G1643" s="22"/>
      <c r="H1643" s="22"/>
      <c r="I1643" s="50"/>
      <c r="J1643" s="351"/>
      <c r="K1643" s="448"/>
      <c r="L1643" s="29"/>
      <c r="M1643" s="31"/>
      <c r="N1643" s="14"/>
      <c r="O1643" s="31"/>
      <c r="Q1643" s="36"/>
      <c r="R1643" s="36"/>
      <c r="S1643" s="36"/>
      <c r="T1643" s="36"/>
      <c r="V1643" s="31"/>
    </row>
    <row r="1644">
      <c r="A1644" s="14"/>
      <c r="B1644" s="460"/>
      <c r="C1644" s="302"/>
      <c r="D1644" s="50"/>
      <c r="E1644" s="348"/>
      <c r="F1644" s="22"/>
      <c r="G1644" s="22"/>
      <c r="H1644" s="22"/>
      <c r="I1644" s="50"/>
      <c r="J1644" s="351"/>
      <c r="K1644" s="448"/>
      <c r="L1644" s="29"/>
      <c r="M1644" s="31"/>
      <c r="N1644" s="14"/>
      <c r="O1644" s="31"/>
      <c r="Q1644" s="36"/>
      <c r="R1644" s="36"/>
      <c r="S1644" s="36"/>
      <c r="T1644" s="36"/>
      <c r="V1644" s="31"/>
    </row>
    <row r="1645">
      <c r="A1645" s="14"/>
      <c r="B1645" s="460"/>
      <c r="C1645" s="302"/>
      <c r="D1645" s="50"/>
      <c r="E1645" s="348"/>
      <c r="F1645" s="22"/>
      <c r="G1645" s="22"/>
      <c r="H1645" s="22"/>
      <c r="I1645" s="50"/>
      <c r="J1645" s="351"/>
      <c r="K1645" s="448"/>
      <c r="L1645" s="29"/>
      <c r="M1645" s="31"/>
      <c r="N1645" s="14"/>
      <c r="O1645" s="31"/>
      <c r="Q1645" s="36"/>
      <c r="R1645" s="36"/>
      <c r="S1645" s="36"/>
      <c r="T1645" s="36"/>
      <c r="V1645" s="31"/>
    </row>
    <row r="1646">
      <c r="A1646" s="14"/>
      <c r="B1646" s="460"/>
      <c r="C1646" s="302"/>
      <c r="D1646" s="50"/>
      <c r="E1646" s="348"/>
      <c r="F1646" s="22"/>
      <c r="G1646" s="22"/>
      <c r="H1646" s="22"/>
      <c r="I1646" s="50"/>
      <c r="J1646" s="351"/>
      <c r="K1646" s="448"/>
      <c r="L1646" s="29"/>
      <c r="M1646" s="31"/>
      <c r="N1646" s="14"/>
      <c r="O1646" s="31"/>
      <c r="Q1646" s="36"/>
      <c r="R1646" s="36"/>
      <c r="S1646" s="36"/>
      <c r="T1646" s="36"/>
      <c r="V1646" s="31"/>
    </row>
    <row r="1647">
      <c r="A1647" s="14"/>
      <c r="B1647" s="460"/>
      <c r="C1647" s="302"/>
      <c r="D1647" s="50"/>
      <c r="E1647" s="348"/>
      <c r="F1647" s="22"/>
      <c r="G1647" s="22"/>
      <c r="H1647" s="22"/>
      <c r="I1647" s="50"/>
      <c r="J1647" s="351"/>
      <c r="K1647" s="448"/>
      <c r="L1647" s="29"/>
      <c r="M1647" s="31"/>
      <c r="N1647" s="14"/>
      <c r="O1647" s="31"/>
      <c r="Q1647" s="36"/>
      <c r="R1647" s="36"/>
      <c r="S1647" s="36"/>
      <c r="T1647" s="36"/>
      <c r="V1647" s="31"/>
    </row>
    <row r="1648">
      <c r="A1648" s="14"/>
      <c r="B1648" s="460"/>
      <c r="C1648" s="302"/>
      <c r="D1648" s="50"/>
      <c r="E1648" s="348"/>
      <c r="F1648" s="22"/>
      <c r="G1648" s="22"/>
      <c r="H1648" s="22"/>
      <c r="I1648" s="50"/>
      <c r="J1648" s="351"/>
      <c r="K1648" s="448"/>
      <c r="L1648" s="29"/>
      <c r="M1648" s="31"/>
      <c r="N1648" s="14"/>
      <c r="O1648" s="31"/>
      <c r="Q1648" s="36"/>
      <c r="R1648" s="36"/>
      <c r="S1648" s="36"/>
      <c r="T1648" s="36"/>
      <c r="V1648" s="31"/>
    </row>
    <row r="1649">
      <c r="A1649" s="14"/>
      <c r="B1649" s="460"/>
      <c r="C1649" s="302"/>
      <c r="D1649" s="50"/>
      <c r="E1649" s="348"/>
      <c r="F1649" s="22"/>
      <c r="G1649" s="22"/>
      <c r="H1649" s="22"/>
      <c r="I1649" s="50"/>
      <c r="J1649" s="351"/>
      <c r="K1649" s="448"/>
      <c r="L1649" s="29"/>
      <c r="M1649" s="31"/>
      <c r="N1649" s="14"/>
      <c r="O1649" s="31"/>
      <c r="Q1649" s="36"/>
      <c r="R1649" s="36"/>
      <c r="S1649" s="36"/>
      <c r="T1649" s="36"/>
      <c r="V1649" s="31"/>
    </row>
    <row r="1650">
      <c r="A1650" s="14"/>
      <c r="B1650" s="460"/>
      <c r="C1650" s="302"/>
      <c r="D1650" s="50"/>
      <c r="E1650" s="348"/>
      <c r="F1650" s="22"/>
      <c r="G1650" s="22"/>
      <c r="H1650" s="22"/>
      <c r="I1650" s="50"/>
      <c r="J1650" s="351"/>
      <c r="K1650" s="448"/>
      <c r="L1650" s="29"/>
      <c r="M1650" s="31"/>
      <c r="N1650" s="14"/>
      <c r="O1650" s="31"/>
      <c r="Q1650" s="36"/>
      <c r="R1650" s="36"/>
      <c r="S1650" s="36"/>
      <c r="T1650" s="36"/>
      <c r="V1650" s="31"/>
    </row>
    <row r="1651">
      <c r="A1651" s="14"/>
      <c r="B1651" s="460"/>
      <c r="C1651" s="302"/>
      <c r="D1651" s="50"/>
      <c r="E1651" s="348"/>
      <c r="F1651" s="22"/>
      <c r="G1651" s="22"/>
      <c r="H1651" s="22"/>
      <c r="I1651" s="50"/>
      <c r="J1651" s="351"/>
      <c r="K1651" s="448"/>
      <c r="L1651" s="29"/>
      <c r="M1651" s="31"/>
      <c r="N1651" s="14"/>
      <c r="O1651" s="31"/>
      <c r="Q1651" s="36"/>
      <c r="R1651" s="36"/>
      <c r="S1651" s="36"/>
      <c r="T1651" s="36"/>
      <c r="V1651" s="31"/>
    </row>
    <row r="1652">
      <c r="A1652" s="14"/>
      <c r="B1652" s="460"/>
      <c r="C1652" s="302"/>
      <c r="D1652" s="50"/>
      <c r="E1652" s="348"/>
      <c r="F1652" s="22"/>
      <c r="G1652" s="22"/>
      <c r="H1652" s="22"/>
      <c r="I1652" s="50"/>
      <c r="J1652" s="351"/>
      <c r="K1652" s="448"/>
      <c r="L1652" s="29"/>
      <c r="M1652" s="31"/>
      <c r="N1652" s="14"/>
      <c r="O1652" s="31"/>
      <c r="Q1652" s="36"/>
      <c r="R1652" s="36"/>
      <c r="S1652" s="36"/>
      <c r="T1652" s="36"/>
      <c r="V1652" s="31"/>
    </row>
    <row r="1653">
      <c r="A1653" s="14"/>
      <c r="B1653" s="460"/>
      <c r="C1653" s="302"/>
      <c r="D1653" s="50"/>
      <c r="E1653" s="348"/>
      <c r="F1653" s="22"/>
      <c r="G1653" s="22"/>
      <c r="H1653" s="22"/>
      <c r="I1653" s="50"/>
      <c r="J1653" s="351"/>
      <c r="K1653" s="448"/>
      <c r="L1653" s="29"/>
      <c r="M1653" s="31"/>
      <c r="N1653" s="14"/>
      <c r="O1653" s="31"/>
      <c r="Q1653" s="36"/>
      <c r="R1653" s="36"/>
      <c r="S1653" s="36"/>
      <c r="T1653" s="36"/>
      <c r="V1653" s="31"/>
    </row>
    <row r="1654">
      <c r="A1654" s="14"/>
      <c r="B1654" s="460"/>
      <c r="C1654" s="302"/>
      <c r="D1654" s="50"/>
      <c r="E1654" s="348"/>
      <c r="F1654" s="22"/>
      <c r="G1654" s="22"/>
      <c r="H1654" s="22"/>
      <c r="I1654" s="50"/>
      <c r="J1654" s="351"/>
      <c r="K1654" s="448"/>
      <c r="L1654" s="29"/>
      <c r="M1654" s="31"/>
      <c r="N1654" s="14"/>
      <c r="O1654" s="31"/>
      <c r="Q1654" s="36"/>
      <c r="R1654" s="36"/>
      <c r="S1654" s="36"/>
      <c r="T1654" s="36"/>
      <c r="V1654" s="31"/>
    </row>
    <row r="1655">
      <c r="A1655" s="14"/>
      <c r="B1655" s="460"/>
      <c r="C1655" s="302"/>
      <c r="D1655" s="50"/>
      <c r="E1655" s="348"/>
      <c r="F1655" s="22"/>
      <c r="G1655" s="22"/>
      <c r="H1655" s="22"/>
      <c r="I1655" s="50"/>
      <c r="J1655" s="351"/>
      <c r="K1655" s="448"/>
      <c r="L1655" s="29"/>
      <c r="M1655" s="31"/>
      <c r="N1655" s="14"/>
      <c r="O1655" s="31"/>
      <c r="Q1655" s="36"/>
      <c r="R1655" s="36"/>
      <c r="S1655" s="36"/>
      <c r="T1655" s="36"/>
      <c r="V1655" s="31"/>
    </row>
    <row r="1656">
      <c r="A1656" s="14"/>
      <c r="B1656" s="460"/>
      <c r="C1656" s="302"/>
      <c r="D1656" s="50"/>
      <c r="E1656" s="348"/>
      <c r="F1656" s="22"/>
      <c r="G1656" s="22"/>
      <c r="H1656" s="22"/>
      <c r="I1656" s="50"/>
      <c r="J1656" s="351"/>
      <c r="K1656" s="448"/>
      <c r="L1656" s="29"/>
      <c r="M1656" s="31"/>
      <c r="N1656" s="14"/>
      <c r="O1656" s="31"/>
      <c r="Q1656" s="36"/>
      <c r="R1656" s="36"/>
      <c r="S1656" s="36"/>
      <c r="T1656" s="36"/>
      <c r="V1656" s="31"/>
    </row>
    <row r="1657">
      <c r="A1657" s="14"/>
      <c r="B1657" s="460"/>
      <c r="C1657" s="302"/>
      <c r="D1657" s="50"/>
      <c r="E1657" s="348"/>
      <c r="F1657" s="22"/>
      <c r="G1657" s="22"/>
      <c r="H1657" s="22"/>
      <c r="I1657" s="50"/>
      <c r="J1657" s="351"/>
      <c r="K1657" s="448"/>
      <c r="L1657" s="29"/>
      <c r="M1657" s="31"/>
      <c r="N1657" s="14"/>
      <c r="O1657" s="31"/>
      <c r="Q1657" s="36"/>
      <c r="R1657" s="36"/>
      <c r="S1657" s="36"/>
      <c r="T1657" s="36"/>
      <c r="V1657" s="31"/>
    </row>
    <row r="1658">
      <c r="A1658" s="14"/>
      <c r="B1658" s="460"/>
      <c r="C1658" s="302"/>
      <c r="D1658" s="50"/>
      <c r="E1658" s="348"/>
      <c r="F1658" s="22"/>
      <c r="G1658" s="22"/>
      <c r="H1658" s="22"/>
      <c r="I1658" s="50"/>
      <c r="J1658" s="351"/>
      <c r="K1658" s="448"/>
      <c r="L1658" s="29"/>
      <c r="M1658" s="31"/>
      <c r="N1658" s="14"/>
      <c r="O1658" s="31"/>
      <c r="Q1658" s="36"/>
      <c r="R1658" s="36"/>
      <c r="S1658" s="36"/>
      <c r="T1658" s="36"/>
      <c r="V1658" s="31"/>
    </row>
    <row r="1659">
      <c r="A1659" s="14"/>
      <c r="B1659" s="460"/>
      <c r="C1659" s="302"/>
      <c r="D1659" s="50"/>
      <c r="E1659" s="348"/>
      <c r="F1659" s="22"/>
      <c r="G1659" s="22"/>
      <c r="H1659" s="22"/>
      <c r="I1659" s="50"/>
      <c r="J1659" s="351"/>
      <c r="K1659" s="448"/>
      <c r="L1659" s="29"/>
      <c r="M1659" s="31"/>
      <c r="N1659" s="14"/>
      <c r="O1659" s="31"/>
      <c r="Q1659" s="36"/>
      <c r="R1659" s="36"/>
      <c r="S1659" s="36"/>
      <c r="T1659" s="36"/>
      <c r="V1659" s="31"/>
    </row>
    <row r="1660">
      <c r="A1660" s="14"/>
      <c r="B1660" s="460"/>
      <c r="C1660" s="302"/>
      <c r="D1660" s="50"/>
      <c r="E1660" s="348"/>
      <c r="F1660" s="22"/>
      <c r="G1660" s="22"/>
      <c r="H1660" s="22"/>
      <c r="I1660" s="50"/>
      <c r="J1660" s="351"/>
      <c r="K1660" s="448"/>
      <c r="L1660" s="29"/>
      <c r="M1660" s="31"/>
      <c r="N1660" s="14"/>
      <c r="O1660" s="31"/>
      <c r="Q1660" s="36"/>
      <c r="R1660" s="36"/>
      <c r="S1660" s="36"/>
      <c r="T1660" s="36"/>
      <c r="V1660" s="31"/>
    </row>
    <row r="1661">
      <c r="A1661" s="14"/>
      <c r="B1661" s="460"/>
      <c r="C1661" s="302"/>
      <c r="D1661" s="50"/>
      <c r="E1661" s="348"/>
      <c r="F1661" s="22"/>
      <c r="G1661" s="22"/>
      <c r="H1661" s="22"/>
      <c r="I1661" s="50"/>
      <c r="J1661" s="351"/>
      <c r="K1661" s="448"/>
      <c r="L1661" s="29"/>
      <c r="M1661" s="31"/>
      <c r="N1661" s="14"/>
      <c r="O1661" s="31"/>
      <c r="Q1661" s="36"/>
      <c r="R1661" s="36"/>
      <c r="S1661" s="36"/>
      <c r="T1661" s="36"/>
      <c r="V1661" s="31"/>
    </row>
    <row r="1662">
      <c r="A1662" s="14"/>
      <c r="B1662" s="460"/>
      <c r="C1662" s="302"/>
      <c r="D1662" s="50"/>
      <c r="E1662" s="348"/>
      <c r="F1662" s="22"/>
      <c r="G1662" s="22"/>
      <c r="H1662" s="22"/>
      <c r="I1662" s="50"/>
      <c r="J1662" s="351"/>
      <c r="K1662" s="448"/>
      <c r="L1662" s="29"/>
      <c r="M1662" s="31"/>
      <c r="N1662" s="14"/>
      <c r="O1662" s="31"/>
      <c r="Q1662" s="36"/>
      <c r="R1662" s="36"/>
      <c r="S1662" s="36"/>
      <c r="T1662" s="36"/>
      <c r="V1662" s="31"/>
    </row>
    <row r="1663">
      <c r="A1663" s="14"/>
      <c r="B1663" s="460"/>
      <c r="C1663" s="302"/>
      <c r="D1663" s="50"/>
      <c r="E1663" s="348"/>
      <c r="F1663" s="22"/>
      <c r="G1663" s="22"/>
      <c r="H1663" s="22"/>
      <c r="I1663" s="50"/>
      <c r="J1663" s="351"/>
      <c r="K1663" s="448"/>
      <c r="L1663" s="29"/>
      <c r="M1663" s="31"/>
      <c r="N1663" s="14"/>
      <c r="O1663" s="31"/>
      <c r="Q1663" s="36"/>
      <c r="R1663" s="36"/>
      <c r="S1663" s="36"/>
      <c r="T1663" s="36"/>
      <c r="V1663" s="31"/>
    </row>
    <row r="1664">
      <c r="A1664" s="14"/>
      <c r="B1664" s="460"/>
      <c r="C1664" s="302"/>
      <c r="D1664" s="50"/>
      <c r="E1664" s="348"/>
      <c r="F1664" s="22"/>
      <c r="G1664" s="22"/>
      <c r="H1664" s="22"/>
      <c r="I1664" s="50"/>
      <c r="J1664" s="351"/>
      <c r="K1664" s="448"/>
      <c r="L1664" s="29"/>
      <c r="M1664" s="31"/>
      <c r="N1664" s="14"/>
      <c r="O1664" s="31"/>
      <c r="Q1664" s="36"/>
      <c r="R1664" s="36"/>
      <c r="S1664" s="36"/>
      <c r="T1664" s="36"/>
      <c r="V1664" s="31"/>
    </row>
    <row r="1665">
      <c r="A1665" s="14"/>
      <c r="B1665" s="460"/>
      <c r="C1665" s="302"/>
      <c r="D1665" s="50"/>
      <c r="E1665" s="348"/>
      <c r="F1665" s="22"/>
      <c r="G1665" s="22"/>
      <c r="H1665" s="22"/>
      <c r="I1665" s="50"/>
      <c r="J1665" s="351"/>
      <c r="K1665" s="448"/>
      <c r="L1665" s="29"/>
      <c r="M1665" s="31"/>
      <c r="N1665" s="14"/>
      <c r="O1665" s="31"/>
      <c r="Q1665" s="36"/>
      <c r="R1665" s="36"/>
      <c r="S1665" s="36"/>
      <c r="T1665" s="36"/>
      <c r="V1665" s="31"/>
    </row>
    <row r="1666">
      <c r="A1666" s="14"/>
      <c r="B1666" s="460"/>
      <c r="C1666" s="302"/>
      <c r="D1666" s="50"/>
      <c r="E1666" s="348"/>
      <c r="F1666" s="22"/>
      <c r="G1666" s="22"/>
      <c r="H1666" s="22"/>
      <c r="I1666" s="50"/>
      <c r="J1666" s="351"/>
      <c r="K1666" s="448"/>
      <c r="L1666" s="29"/>
      <c r="M1666" s="31"/>
      <c r="N1666" s="14"/>
      <c r="O1666" s="31"/>
      <c r="Q1666" s="36"/>
      <c r="R1666" s="36"/>
      <c r="S1666" s="36"/>
      <c r="T1666" s="36"/>
      <c r="V1666" s="31"/>
    </row>
    <row r="1667">
      <c r="A1667" s="14"/>
      <c r="B1667" s="460"/>
      <c r="C1667" s="302"/>
      <c r="D1667" s="50"/>
      <c r="E1667" s="348"/>
      <c r="F1667" s="22"/>
      <c r="G1667" s="22"/>
      <c r="H1667" s="22"/>
      <c r="I1667" s="50"/>
      <c r="J1667" s="351"/>
      <c r="K1667" s="448"/>
      <c r="L1667" s="29"/>
      <c r="M1667" s="31"/>
      <c r="N1667" s="14"/>
      <c r="O1667" s="31"/>
      <c r="Q1667" s="36"/>
      <c r="R1667" s="36"/>
      <c r="S1667" s="36"/>
      <c r="T1667" s="36"/>
      <c r="V1667" s="31"/>
    </row>
    <row r="1668">
      <c r="A1668" s="14"/>
      <c r="B1668" s="460"/>
      <c r="C1668" s="302"/>
      <c r="D1668" s="50"/>
      <c r="E1668" s="348"/>
      <c r="F1668" s="22"/>
      <c r="G1668" s="22"/>
      <c r="H1668" s="22"/>
      <c r="I1668" s="50"/>
      <c r="J1668" s="351"/>
      <c r="K1668" s="448"/>
      <c r="L1668" s="29"/>
      <c r="M1668" s="31"/>
      <c r="N1668" s="14"/>
      <c r="O1668" s="31"/>
      <c r="Q1668" s="36"/>
      <c r="R1668" s="36"/>
      <c r="S1668" s="36"/>
      <c r="T1668" s="36"/>
      <c r="V1668" s="31"/>
    </row>
    <row r="1669">
      <c r="A1669" s="14"/>
      <c r="B1669" s="460"/>
      <c r="C1669" s="302"/>
      <c r="D1669" s="50"/>
      <c r="E1669" s="348"/>
      <c r="F1669" s="22"/>
      <c r="G1669" s="22"/>
      <c r="H1669" s="22"/>
      <c r="I1669" s="50"/>
      <c r="J1669" s="351"/>
      <c r="K1669" s="448"/>
      <c r="L1669" s="29"/>
      <c r="M1669" s="31"/>
      <c r="N1669" s="14"/>
      <c r="O1669" s="31"/>
      <c r="Q1669" s="36"/>
      <c r="R1669" s="36"/>
      <c r="S1669" s="36"/>
      <c r="T1669" s="36"/>
      <c r="V1669" s="31"/>
    </row>
    <row r="1670">
      <c r="A1670" s="14"/>
      <c r="B1670" s="460"/>
      <c r="C1670" s="302"/>
      <c r="D1670" s="50"/>
      <c r="E1670" s="348"/>
      <c r="F1670" s="22"/>
      <c r="G1670" s="22"/>
      <c r="H1670" s="22"/>
      <c r="I1670" s="50"/>
      <c r="J1670" s="351"/>
      <c r="K1670" s="448"/>
      <c r="L1670" s="29"/>
      <c r="M1670" s="31"/>
      <c r="N1670" s="14"/>
      <c r="O1670" s="31"/>
      <c r="Q1670" s="36"/>
      <c r="R1670" s="36"/>
      <c r="S1670" s="36"/>
      <c r="T1670" s="36"/>
      <c r="V1670" s="31"/>
    </row>
    <row r="1671">
      <c r="A1671" s="14"/>
      <c r="B1671" s="460"/>
      <c r="C1671" s="302"/>
      <c r="D1671" s="50"/>
      <c r="E1671" s="348"/>
      <c r="F1671" s="22"/>
      <c r="G1671" s="22"/>
      <c r="H1671" s="22"/>
      <c r="I1671" s="50"/>
      <c r="J1671" s="351"/>
      <c r="K1671" s="448"/>
      <c r="L1671" s="29"/>
      <c r="M1671" s="31"/>
      <c r="N1671" s="14"/>
      <c r="O1671" s="31"/>
      <c r="Q1671" s="36"/>
      <c r="R1671" s="36"/>
      <c r="S1671" s="36"/>
      <c r="T1671" s="36"/>
      <c r="V1671" s="31"/>
    </row>
    <row r="1672">
      <c r="A1672" s="14"/>
      <c r="B1672" s="460"/>
      <c r="C1672" s="302"/>
      <c r="D1672" s="50"/>
      <c r="E1672" s="348"/>
      <c r="F1672" s="22"/>
      <c r="G1672" s="22"/>
      <c r="H1672" s="22"/>
      <c r="I1672" s="50"/>
      <c r="J1672" s="351"/>
      <c r="K1672" s="448"/>
      <c r="L1672" s="29"/>
      <c r="M1672" s="31"/>
      <c r="N1672" s="14"/>
      <c r="O1672" s="31"/>
      <c r="Q1672" s="36"/>
      <c r="R1672" s="36"/>
      <c r="S1672" s="36"/>
      <c r="T1672" s="36"/>
      <c r="V1672" s="31"/>
    </row>
    <row r="1673">
      <c r="A1673" s="14"/>
      <c r="B1673" s="460"/>
      <c r="C1673" s="302"/>
      <c r="D1673" s="50"/>
      <c r="E1673" s="348"/>
      <c r="F1673" s="22"/>
      <c r="G1673" s="22"/>
      <c r="H1673" s="22"/>
      <c r="I1673" s="50"/>
      <c r="J1673" s="351"/>
      <c r="K1673" s="448"/>
      <c r="L1673" s="29"/>
      <c r="M1673" s="31"/>
      <c r="N1673" s="14"/>
      <c r="O1673" s="31"/>
      <c r="Q1673" s="36"/>
      <c r="R1673" s="36"/>
      <c r="S1673" s="36"/>
      <c r="T1673" s="36"/>
      <c r="V1673" s="31"/>
    </row>
    <row r="1674">
      <c r="A1674" s="14"/>
      <c r="B1674" s="460"/>
      <c r="C1674" s="302"/>
      <c r="D1674" s="50"/>
      <c r="E1674" s="348"/>
      <c r="F1674" s="22"/>
      <c r="G1674" s="22"/>
      <c r="H1674" s="22"/>
      <c r="I1674" s="50"/>
      <c r="J1674" s="351"/>
      <c r="K1674" s="448"/>
      <c r="L1674" s="29"/>
      <c r="M1674" s="31"/>
      <c r="N1674" s="14"/>
      <c r="O1674" s="31"/>
      <c r="Q1674" s="36"/>
      <c r="R1674" s="36"/>
      <c r="S1674" s="36"/>
      <c r="T1674" s="36"/>
      <c r="V1674" s="31"/>
    </row>
    <row r="1675">
      <c r="A1675" s="14"/>
      <c r="B1675" s="460"/>
      <c r="C1675" s="302"/>
      <c r="D1675" s="50"/>
      <c r="E1675" s="348"/>
      <c r="F1675" s="22"/>
      <c r="G1675" s="22"/>
      <c r="H1675" s="22"/>
      <c r="I1675" s="50"/>
      <c r="J1675" s="351"/>
      <c r="K1675" s="448"/>
      <c r="L1675" s="29"/>
      <c r="M1675" s="31"/>
      <c r="N1675" s="14"/>
      <c r="O1675" s="31"/>
      <c r="Q1675" s="36"/>
      <c r="R1675" s="36"/>
      <c r="S1675" s="36"/>
      <c r="T1675" s="36"/>
      <c r="V1675" s="31"/>
    </row>
    <row r="1676">
      <c r="A1676" s="14"/>
      <c r="B1676" s="460"/>
      <c r="C1676" s="302"/>
      <c r="D1676" s="50"/>
      <c r="E1676" s="348"/>
      <c r="F1676" s="22"/>
      <c r="G1676" s="22"/>
      <c r="H1676" s="22"/>
      <c r="I1676" s="50"/>
      <c r="J1676" s="351"/>
      <c r="K1676" s="448"/>
      <c r="L1676" s="29"/>
      <c r="M1676" s="31"/>
      <c r="N1676" s="14"/>
      <c r="O1676" s="31"/>
      <c r="Q1676" s="36"/>
      <c r="R1676" s="36"/>
      <c r="S1676" s="36"/>
      <c r="T1676" s="36"/>
      <c r="V1676" s="31"/>
    </row>
    <row r="1677">
      <c r="A1677" s="14"/>
      <c r="B1677" s="460"/>
      <c r="C1677" s="302"/>
      <c r="D1677" s="50"/>
      <c r="E1677" s="348"/>
      <c r="F1677" s="22"/>
      <c r="G1677" s="22"/>
      <c r="H1677" s="22"/>
      <c r="I1677" s="50"/>
      <c r="J1677" s="351"/>
      <c r="K1677" s="448"/>
      <c r="L1677" s="29"/>
      <c r="M1677" s="31"/>
      <c r="N1677" s="14"/>
      <c r="O1677" s="31"/>
      <c r="Q1677" s="36"/>
      <c r="R1677" s="36"/>
      <c r="S1677" s="36"/>
      <c r="T1677" s="36"/>
      <c r="V1677" s="31"/>
    </row>
    <row r="1678">
      <c r="A1678" s="14"/>
      <c r="B1678" s="460"/>
      <c r="C1678" s="302"/>
      <c r="D1678" s="50"/>
      <c r="E1678" s="348"/>
      <c r="F1678" s="22"/>
      <c r="G1678" s="22"/>
      <c r="H1678" s="22"/>
      <c r="I1678" s="50"/>
      <c r="J1678" s="351"/>
      <c r="K1678" s="448"/>
      <c r="L1678" s="29"/>
      <c r="M1678" s="31"/>
      <c r="N1678" s="14"/>
      <c r="O1678" s="31"/>
      <c r="Q1678" s="36"/>
      <c r="R1678" s="36"/>
      <c r="S1678" s="36"/>
      <c r="T1678" s="36"/>
      <c r="V1678" s="31"/>
    </row>
    <row r="1679">
      <c r="A1679" s="14"/>
      <c r="B1679" s="460"/>
      <c r="C1679" s="302"/>
      <c r="D1679" s="50"/>
      <c r="E1679" s="348"/>
      <c r="F1679" s="22"/>
      <c r="G1679" s="22"/>
      <c r="H1679" s="22"/>
      <c r="I1679" s="50"/>
      <c r="J1679" s="351"/>
      <c r="K1679" s="448"/>
      <c r="L1679" s="29"/>
      <c r="M1679" s="31"/>
      <c r="N1679" s="14"/>
      <c r="O1679" s="31"/>
      <c r="Q1679" s="36"/>
      <c r="R1679" s="36"/>
      <c r="S1679" s="36"/>
      <c r="T1679" s="36"/>
      <c r="V1679" s="31"/>
    </row>
    <row r="1680">
      <c r="A1680" s="14"/>
      <c r="B1680" s="460"/>
      <c r="C1680" s="302"/>
      <c r="D1680" s="50"/>
      <c r="E1680" s="348"/>
      <c r="F1680" s="22"/>
      <c r="G1680" s="22"/>
      <c r="H1680" s="22"/>
      <c r="I1680" s="50"/>
      <c r="J1680" s="351"/>
      <c r="K1680" s="448"/>
      <c r="L1680" s="29"/>
      <c r="M1680" s="31"/>
      <c r="N1680" s="14"/>
      <c r="O1680" s="31"/>
      <c r="Q1680" s="36"/>
      <c r="R1680" s="36"/>
      <c r="S1680" s="36"/>
      <c r="T1680" s="36"/>
      <c r="V1680" s="31"/>
    </row>
    <row r="1681">
      <c r="A1681" s="14"/>
      <c r="B1681" s="460"/>
      <c r="C1681" s="302"/>
      <c r="D1681" s="50"/>
      <c r="E1681" s="348"/>
      <c r="F1681" s="22"/>
      <c r="G1681" s="22"/>
      <c r="H1681" s="22"/>
      <c r="I1681" s="50"/>
      <c r="J1681" s="351"/>
      <c r="K1681" s="448"/>
      <c r="L1681" s="29"/>
      <c r="M1681" s="31"/>
      <c r="N1681" s="14"/>
      <c r="O1681" s="31"/>
      <c r="Q1681" s="36"/>
      <c r="R1681" s="36"/>
      <c r="S1681" s="36"/>
      <c r="T1681" s="36"/>
      <c r="V1681" s="31"/>
    </row>
    <row r="1682">
      <c r="A1682" s="14"/>
      <c r="B1682" s="460"/>
      <c r="C1682" s="302"/>
      <c r="D1682" s="50"/>
      <c r="E1682" s="348"/>
      <c r="F1682" s="22"/>
      <c r="G1682" s="22"/>
      <c r="H1682" s="22"/>
      <c r="I1682" s="50"/>
      <c r="J1682" s="351"/>
      <c r="K1682" s="448"/>
      <c r="L1682" s="29"/>
      <c r="M1682" s="31"/>
      <c r="N1682" s="14"/>
      <c r="O1682" s="31"/>
      <c r="Q1682" s="36"/>
      <c r="R1682" s="36"/>
      <c r="S1682" s="36"/>
      <c r="T1682" s="36"/>
      <c r="V1682" s="31"/>
    </row>
    <row r="1683">
      <c r="A1683" s="14"/>
      <c r="B1683" s="460"/>
      <c r="C1683" s="302"/>
      <c r="D1683" s="50"/>
      <c r="E1683" s="348"/>
      <c r="F1683" s="22"/>
      <c r="G1683" s="22"/>
      <c r="H1683" s="22"/>
      <c r="I1683" s="50"/>
      <c r="J1683" s="351"/>
      <c r="K1683" s="448"/>
      <c r="L1683" s="29"/>
      <c r="M1683" s="31"/>
      <c r="N1683" s="14"/>
      <c r="O1683" s="31"/>
      <c r="Q1683" s="36"/>
      <c r="R1683" s="36"/>
      <c r="S1683" s="36"/>
      <c r="T1683" s="36"/>
      <c r="V1683" s="31"/>
    </row>
    <row r="1684">
      <c r="A1684" s="14"/>
      <c r="B1684" s="460"/>
      <c r="C1684" s="302"/>
      <c r="D1684" s="50"/>
      <c r="E1684" s="348"/>
      <c r="F1684" s="22"/>
      <c r="G1684" s="22"/>
      <c r="H1684" s="22"/>
      <c r="I1684" s="50"/>
      <c r="J1684" s="351"/>
      <c r="K1684" s="448"/>
      <c r="L1684" s="29"/>
      <c r="M1684" s="31"/>
      <c r="N1684" s="14"/>
      <c r="O1684" s="31"/>
      <c r="Q1684" s="36"/>
      <c r="R1684" s="36"/>
      <c r="S1684" s="36"/>
      <c r="T1684" s="36"/>
      <c r="V1684" s="31"/>
    </row>
    <row r="1685">
      <c r="A1685" s="14"/>
      <c r="B1685" s="460"/>
      <c r="C1685" s="302"/>
      <c r="D1685" s="50"/>
      <c r="E1685" s="348"/>
      <c r="F1685" s="22"/>
      <c r="G1685" s="22"/>
      <c r="H1685" s="22"/>
      <c r="I1685" s="50"/>
      <c r="J1685" s="351"/>
      <c r="K1685" s="448"/>
      <c r="L1685" s="29"/>
      <c r="M1685" s="31"/>
      <c r="N1685" s="14"/>
      <c r="O1685" s="31"/>
      <c r="Q1685" s="36"/>
      <c r="R1685" s="36"/>
      <c r="S1685" s="36"/>
      <c r="T1685" s="36"/>
      <c r="V1685" s="31"/>
    </row>
    <row r="1686">
      <c r="A1686" s="14"/>
      <c r="B1686" s="460"/>
      <c r="C1686" s="302"/>
      <c r="D1686" s="50"/>
      <c r="E1686" s="348"/>
      <c r="F1686" s="22"/>
      <c r="G1686" s="22"/>
      <c r="H1686" s="22"/>
      <c r="I1686" s="50"/>
      <c r="J1686" s="351"/>
      <c r="K1686" s="448"/>
      <c r="L1686" s="29"/>
      <c r="M1686" s="31"/>
      <c r="N1686" s="14"/>
      <c r="O1686" s="31"/>
      <c r="Q1686" s="36"/>
      <c r="R1686" s="36"/>
      <c r="S1686" s="36"/>
      <c r="T1686" s="36"/>
      <c r="V1686" s="31"/>
    </row>
    <row r="1687">
      <c r="A1687" s="14"/>
      <c r="B1687" s="460"/>
      <c r="C1687" s="302"/>
      <c r="D1687" s="50"/>
      <c r="E1687" s="348"/>
      <c r="F1687" s="22"/>
      <c r="G1687" s="22"/>
      <c r="H1687" s="22"/>
      <c r="I1687" s="50"/>
      <c r="J1687" s="351"/>
      <c r="K1687" s="448"/>
      <c r="L1687" s="29"/>
      <c r="M1687" s="31"/>
      <c r="N1687" s="14"/>
      <c r="O1687" s="31"/>
      <c r="Q1687" s="36"/>
      <c r="R1687" s="36"/>
      <c r="S1687" s="36"/>
      <c r="T1687" s="36"/>
      <c r="V1687" s="31"/>
    </row>
    <row r="1688">
      <c r="A1688" s="14"/>
      <c r="B1688" s="460"/>
      <c r="C1688" s="302"/>
      <c r="D1688" s="50"/>
      <c r="E1688" s="348"/>
      <c r="F1688" s="22"/>
      <c r="G1688" s="22"/>
      <c r="H1688" s="22"/>
      <c r="I1688" s="50"/>
      <c r="J1688" s="351"/>
      <c r="K1688" s="448"/>
      <c r="L1688" s="29"/>
      <c r="M1688" s="31"/>
      <c r="N1688" s="14"/>
      <c r="O1688" s="31"/>
      <c r="Q1688" s="36"/>
      <c r="R1688" s="36"/>
      <c r="S1688" s="36"/>
      <c r="T1688" s="36"/>
      <c r="V1688" s="31"/>
    </row>
    <row r="1689">
      <c r="A1689" s="14"/>
      <c r="B1689" s="460"/>
      <c r="C1689" s="302"/>
      <c r="D1689" s="50"/>
      <c r="E1689" s="348"/>
      <c r="F1689" s="22"/>
      <c r="G1689" s="22"/>
      <c r="H1689" s="22"/>
      <c r="I1689" s="50"/>
      <c r="J1689" s="351"/>
      <c r="K1689" s="448"/>
      <c r="L1689" s="29"/>
      <c r="M1689" s="31"/>
      <c r="N1689" s="14"/>
      <c r="O1689" s="31"/>
      <c r="Q1689" s="36"/>
      <c r="R1689" s="36"/>
      <c r="S1689" s="36"/>
      <c r="T1689" s="36"/>
      <c r="V1689" s="31"/>
    </row>
    <row r="1690">
      <c r="A1690" s="14"/>
      <c r="B1690" s="460"/>
      <c r="C1690" s="302"/>
      <c r="D1690" s="50"/>
      <c r="E1690" s="348"/>
      <c r="F1690" s="22"/>
      <c r="G1690" s="22"/>
      <c r="H1690" s="22"/>
      <c r="I1690" s="50"/>
      <c r="J1690" s="351"/>
      <c r="K1690" s="448"/>
      <c r="L1690" s="29"/>
      <c r="M1690" s="31"/>
      <c r="N1690" s="14"/>
      <c r="O1690" s="31"/>
      <c r="Q1690" s="36"/>
      <c r="R1690" s="36"/>
      <c r="S1690" s="36"/>
      <c r="T1690" s="36"/>
      <c r="V1690" s="31"/>
    </row>
    <row r="1691">
      <c r="A1691" s="14"/>
      <c r="B1691" s="460"/>
      <c r="C1691" s="302"/>
      <c r="D1691" s="50"/>
      <c r="E1691" s="348"/>
      <c r="F1691" s="22"/>
      <c r="G1691" s="22"/>
      <c r="H1691" s="22"/>
      <c r="I1691" s="50"/>
      <c r="J1691" s="351"/>
      <c r="K1691" s="448"/>
      <c r="L1691" s="29"/>
      <c r="M1691" s="31"/>
      <c r="N1691" s="14"/>
      <c r="O1691" s="31"/>
      <c r="Q1691" s="36"/>
      <c r="R1691" s="36"/>
      <c r="S1691" s="36"/>
      <c r="T1691" s="36"/>
      <c r="V1691" s="31"/>
    </row>
    <row r="1692">
      <c r="A1692" s="14"/>
      <c r="B1692" s="460"/>
      <c r="C1692" s="302"/>
      <c r="D1692" s="50"/>
      <c r="E1692" s="348"/>
      <c r="F1692" s="22"/>
      <c r="G1692" s="22"/>
      <c r="H1692" s="22"/>
      <c r="I1692" s="50"/>
      <c r="J1692" s="351"/>
      <c r="K1692" s="448"/>
      <c r="L1692" s="29"/>
      <c r="M1692" s="31"/>
      <c r="N1692" s="14"/>
      <c r="O1692" s="31"/>
      <c r="Q1692" s="36"/>
      <c r="R1692" s="36"/>
      <c r="S1692" s="36"/>
      <c r="T1692" s="36"/>
      <c r="V1692" s="31"/>
    </row>
    <row r="1693">
      <c r="A1693" s="14"/>
      <c r="B1693" s="460"/>
      <c r="C1693" s="302"/>
      <c r="D1693" s="50"/>
      <c r="E1693" s="348"/>
      <c r="F1693" s="22"/>
      <c r="G1693" s="22"/>
      <c r="H1693" s="22"/>
      <c r="I1693" s="50"/>
      <c r="J1693" s="351"/>
      <c r="K1693" s="448"/>
      <c r="L1693" s="29"/>
      <c r="M1693" s="31"/>
      <c r="N1693" s="14"/>
      <c r="O1693" s="31"/>
      <c r="Q1693" s="36"/>
      <c r="R1693" s="36"/>
      <c r="S1693" s="36"/>
      <c r="T1693" s="36"/>
      <c r="V1693" s="31"/>
    </row>
    <row r="1694">
      <c r="A1694" s="14"/>
      <c r="B1694" s="460"/>
      <c r="C1694" s="302"/>
      <c r="D1694" s="50"/>
      <c r="E1694" s="348"/>
      <c r="F1694" s="22"/>
      <c r="G1694" s="22"/>
      <c r="H1694" s="22"/>
      <c r="I1694" s="50"/>
      <c r="J1694" s="351"/>
      <c r="K1694" s="448"/>
      <c r="L1694" s="29"/>
      <c r="M1694" s="31"/>
      <c r="N1694" s="14"/>
      <c r="O1694" s="31"/>
      <c r="Q1694" s="36"/>
      <c r="R1694" s="36"/>
      <c r="S1694" s="36"/>
      <c r="T1694" s="36"/>
      <c r="V1694" s="31"/>
    </row>
    <row r="1695">
      <c r="A1695" s="14"/>
      <c r="B1695" s="460"/>
      <c r="C1695" s="302"/>
      <c r="D1695" s="50"/>
      <c r="E1695" s="348"/>
      <c r="F1695" s="22"/>
      <c r="G1695" s="22"/>
      <c r="H1695" s="22"/>
      <c r="I1695" s="50"/>
      <c r="J1695" s="351"/>
      <c r="K1695" s="448"/>
      <c r="L1695" s="29"/>
      <c r="M1695" s="31"/>
      <c r="N1695" s="14"/>
      <c r="O1695" s="31"/>
      <c r="Q1695" s="36"/>
      <c r="R1695" s="36"/>
      <c r="S1695" s="36"/>
      <c r="T1695" s="36"/>
      <c r="V1695" s="31"/>
    </row>
    <row r="1696">
      <c r="A1696" s="14"/>
      <c r="B1696" s="460"/>
      <c r="C1696" s="302"/>
      <c r="D1696" s="50"/>
      <c r="E1696" s="348"/>
      <c r="F1696" s="22"/>
      <c r="G1696" s="22"/>
      <c r="H1696" s="22"/>
      <c r="I1696" s="50"/>
      <c r="J1696" s="351"/>
      <c r="K1696" s="448"/>
      <c r="L1696" s="29"/>
      <c r="M1696" s="31"/>
      <c r="N1696" s="14"/>
      <c r="O1696" s="31"/>
      <c r="Q1696" s="36"/>
      <c r="R1696" s="36"/>
      <c r="S1696" s="36"/>
      <c r="T1696" s="36"/>
      <c r="V1696" s="31"/>
    </row>
    <row r="1697">
      <c r="A1697" s="14"/>
      <c r="B1697" s="460"/>
      <c r="C1697" s="302"/>
      <c r="D1697" s="50"/>
      <c r="E1697" s="348"/>
      <c r="F1697" s="22"/>
      <c r="G1697" s="22"/>
      <c r="H1697" s="22"/>
      <c r="I1697" s="50"/>
      <c r="J1697" s="351"/>
      <c r="K1697" s="448"/>
      <c r="L1697" s="29"/>
      <c r="M1697" s="31"/>
      <c r="N1697" s="14"/>
      <c r="O1697" s="31"/>
      <c r="Q1697" s="36"/>
      <c r="R1697" s="36"/>
      <c r="S1697" s="36"/>
      <c r="T1697" s="36"/>
      <c r="V1697" s="31"/>
    </row>
    <row r="1698">
      <c r="A1698" s="14"/>
      <c r="B1698" s="460"/>
      <c r="C1698" s="302"/>
      <c r="D1698" s="50"/>
      <c r="E1698" s="348"/>
      <c r="F1698" s="22"/>
      <c r="G1698" s="22"/>
      <c r="H1698" s="22"/>
      <c r="I1698" s="50"/>
      <c r="J1698" s="351"/>
      <c r="K1698" s="448"/>
      <c r="L1698" s="29"/>
      <c r="M1698" s="31"/>
      <c r="N1698" s="14"/>
      <c r="O1698" s="31"/>
      <c r="Q1698" s="36"/>
      <c r="R1698" s="36"/>
      <c r="S1698" s="36"/>
      <c r="T1698" s="36"/>
      <c r="V1698" s="31"/>
    </row>
    <row r="1699">
      <c r="A1699" s="14"/>
      <c r="B1699" s="460"/>
      <c r="C1699" s="302"/>
      <c r="D1699" s="50"/>
      <c r="E1699" s="348"/>
      <c r="F1699" s="22"/>
      <c r="G1699" s="22"/>
      <c r="H1699" s="22"/>
      <c r="I1699" s="50"/>
      <c r="J1699" s="351"/>
      <c r="K1699" s="448"/>
      <c r="L1699" s="29"/>
      <c r="M1699" s="31"/>
      <c r="N1699" s="14"/>
      <c r="O1699" s="31"/>
      <c r="Q1699" s="36"/>
      <c r="R1699" s="36"/>
      <c r="S1699" s="36"/>
      <c r="T1699" s="36"/>
      <c r="V1699" s="31"/>
    </row>
    <row r="1700">
      <c r="A1700" s="14"/>
      <c r="B1700" s="460"/>
      <c r="C1700" s="302"/>
      <c r="D1700" s="50"/>
      <c r="E1700" s="348"/>
      <c r="F1700" s="22"/>
      <c r="G1700" s="22"/>
      <c r="H1700" s="22"/>
      <c r="I1700" s="50"/>
      <c r="J1700" s="351"/>
      <c r="K1700" s="448"/>
      <c r="L1700" s="29"/>
      <c r="M1700" s="31"/>
      <c r="N1700" s="14"/>
      <c r="O1700" s="31"/>
      <c r="Q1700" s="36"/>
      <c r="R1700" s="36"/>
      <c r="S1700" s="36"/>
      <c r="T1700" s="36"/>
      <c r="V1700" s="31"/>
    </row>
    <row r="1701">
      <c r="A1701" s="14"/>
      <c r="B1701" s="460"/>
      <c r="C1701" s="302"/>
      <c r="D1701" s="50"/>
      <c r="E1701" s="348"/>
      <c r="F1701" s="22"/>
      <c r="G1701" s="22"/>
      <c r="H1701" s="22"/>
      <c r="I1701" s="50"/>
      <c r="J1701" s="351"/>
      <c r="K1701" s="448"/>
      <c r="L1701" s="29"/>
      <c r="M1701" s="31"/>
      <c r="N1701" s="14"/>
      <c r="O1701" s="31"/>
      <c r="Q1701" s="36"/>
      <c r="R1701" s="36"/>
      <c r="S1701" s="36"/>
      <c r="T1701" s="36"/>
      <c r="V1701" s="31"/>
    </row>
    <row r="1702">
      <c r="A1702" s="14"/>
      <c r="B1702" s="460"/>
      <c r="C1702" s="302"/>
      <c r="D1702" s="50"/>
      <c r="E1702" s="348"/>
      <c r="F1702" s="22"/>
      <c r="G1702" s="22"/>
      <c r="H1702" s="22"/>
      <c r="I1702" s="50"/>
      <c r="J1702" s="351"/>
      <c r="K1702" s="448"/>
      <c r="L1702" s="29"/>
      <c r="M1702" s="31"/>
      <c r="N1702" s="14"/>
      <c r="O1702" s="31"/>
      <c r="Q1702" s="36"/>
      <c r="R1702" s="36"/>
      <c r="S1702" s="36"/>
      <c r="T1702" s="36"/>
      <c r="V1702" s="31"/>
    </row>
    <row r="1703">
      <c r="A1703" s="14"/>
      <c r="B1703" s="460"/>
      <c r="C1703" s="302"/>
      <c r="D1703" s="50"/>
      <c r="E1703" s="348"/>
      <c r="F1703" s="22"/>
      <c r="G1703" s="22"/>
      <c r="H1703" s="22"/>
      <c r="I1703" s="50"/>
      <c r="J1703" s="351"/>
      <c r="K1703" s="448"/>
      <c r="L1703" s="29"/>
      <c r="M1703" s="31"/>
      <c r="N1703" s="14"/>
      <c r="O1703" s="31"/>
      <c r="Q1703" s="36"/>
      <c r="R1703" s="36"/>
      <c r="S1703" s="36"/>
      <c r="T1703" s="36"/>
      <c r="V1703" s="31"/>
    </row>
    <row r="1704">
      <c r="A1704" s="14"/>
      <c r="B1704" s="460"/>
      <c r="C1704" s="302"/>
      <c r="D1704" s="50"/>
      <c r="E1704" s="348"/>
      <c r="F1704" s="22"/>
      <c r="G1704" s="22"/>
      <c r="H1704" s="22"/>
      <c r="I1704" s="50"/>
      <c r="J1704" s="351"/>
      <c r="K1704" s="448"/>
      <c r="L1704" s="29"/>
      <c r="M1704" s="31"/>
      <c r="N1704" s="14"/>
      <c r="O1704" s="31"/>
      <c r="Q1704" s="36"/>
      <c r="R1704" s="36"/>
      <c r="S1704" s="36"/>
      <c r="T1704" s="36"/>
      <c r="V1704" s="31"/>
    </row>
    <row r="1705">
      <c r="A1705" s="14"/>
      <c r="B1705" s="460"/>
      <c r="C1705" s="302"/>
      <c r="D1705" s="50"/>
      <c r="E1705" s="348"/>
      <c r="F1705" s="22"/>
      <c r="G1705" s="22"/>
      <c r="H1705" s="22"/>
      <c r="I1705" s="50"/>
      <c r="J1705" s="351"/>
      <c r="K1705" s="448"/>
      <c r="L1705" s="29"/>
      <c r="M1705" s="31"/>
      <c r="N1705" s="14"/>
      <c r="O1705" s="31"/>
      <c r="Q1705" s="36"/>
      <c r="R1705" s="36"/>
      <c r="S1705" s="36"/>
      <c r="T1705" s="36"/>
      <c r="V1705" s="31"/>
    </row>
    <row r="1706">
      <c r="A1706" s="14"/>
      <c r="B1706" s="460"/>
      <c r="C1706" s="302"/>
      <c r="D1706" s="50"/>
      <c r="E1706" s="348"/>
      <c r="F1706" s="22"/>
      <c r="G1706" s="22"/>
      <c r="H1706" s="22"/>
      <c r="I1706" s="50"/>
      <c r="J1706" s="351"/>
      <c r="K1706" s="448"/>
      <c r="L1706" s="29"/>
      <c r="M1706" s="31"/>
      <c r="N1706" s="14"/>
      <c r="O1706" s="31"/>
      <c r="Q1706" s="36"/>
      <c r="R1706" s="36"/>
      <c r="S1706" s="36"/>
      <c r="T1706" s="36"/>
      <c r="V1706" s="31"/>
    </row>
    <row r="1707">
      <c r="A1707" s="14"/>
      <c r="B1707" s="460"/>
      <c r="C1707" s="302"/>
      <c r="D1707" s="50"/>
      <c r="E1707" s="348"/>
      <c r="F1707" s="22"/>
      <c r="G1707" s="22"/>
      <c r="H1707" s="22"/>
      <c r="I1707" s="50"/>
      <c r="J1707" s="351"/>
      <c r="K1707" s="448"/>
      <c r="L1707" s="29"/>
      <c r="M1707" s="31"/>
      <c r="N1707" s="14"/>
      <c r="O1707" s="31"/>
      <c r="Q1707" s="36"/>
      <c r="R1707" s="36"/>
      <c r="S1707" s="36"/>
      <c r="T1707" s="36"/>
      <c r="V1707" s="31"/>
    </row>
    <row r="1708">
      <c r="A1708" s="14"/>
      <c r="B1708" s="460"/>
      <c r="C1708" s="302"/>
      <c r="D1708" s="50"/>
      <c r="E1708" s="348"/>
      <c r="F1708" s="22"/>
      <c r="G1708" s="22"/>
      <c r="H1708" s="22"/>
      <c r="I1708" s="50"/>
      <c r="J1708" s="351"/>
      <c r="K1708" s="448"/>
      <c r="L1708" s="29"/>
      <c r="M1708" s="31"/>
      <c r="N1708" s="14"/>
      <c r="O1708" s="31"/>
      <c r="Q1708" s="36"/>
      <c r="R1708" s="36"/>
      <c r="S1708" s="36"/>
      <c r="T1708" s="36"/>
      <c r="V1708" s="31"/>
    </row>
    <row r="1709">
      <c r="A1709" s="14"/>
      <c r="B1709" s="460"/>
      <c r="C1709" s="302"/>
      <c r="D1709" s="50"/>
      <c r="E1709" s="348"/>
      <c r="F1709" s="22"/>
      <c r="G1709" s="22"/>
      <c r="H1709" s="22"/>
      <c r="I1709" s="50"/>
      <c r="J1709" s="351"/>
      <c r="K1709" s="448"/>
      <c r="L1709" s="29"/>
      <c r="M1709" s="31"/>
      <c r="N1709" s="14"/>
      <c r="O1709" s="31"/>
      <c r="Q1709" s="36"/>
      <c r="R1709" s="36"/>
      <c r="S1709" s="36"/>
      <c r="T1709" s="36"/>
      <c r="V1709" s="31"/>
    </row>
    <row r="1710">
      <c r="A1710" s="14"/>
      <c r="B1710" s="460"/>
      <c r="C1710" s="302"/>
      <c r="D1710" s="50"/>
      <c r="E1710" s="348"/>
      <c r="F1710" s="22"/>
      <c r="G1710" s="22"/>
      <c r="H1710" s="22"/>
      <c r="I1710" s="50"/>
      <c r="J1710" s="351"/>
      <c r="K1710" s="448"/>
      <c r="L1710" s="29"/>
      <c r="M1710" s="31"/>
      <c r="N1710" s="14"/>
      <c r="O1710" s="31"/>
      <c r="Q1710" s="36"/>
      <c r="R1710" s="36"/>
      <c r="S1710" s="36"/>
      <c r="T1710" s="36"/>
      <c r="V1710" s="31"/>
    </row>
    <row r="1711">
      <c r="A1711" s="14"/>
      <c r="B1711" s="460"/>
      <c r="C1711" s="302"/>
      <c r="D1711" s="50"/>
      <c r="E1711" s="348"/>
      <c r="F1711" s="22"/>
      <c r="G1711" s="22"/>
      <c r="H1711" s="22"/>
      <c r="I1711" s="50"/>
      <c r="J1711" s="351"/>
      <c r="K1711" s="448"/>
      <c r="L1711" s="29"/>
      <c r="M1711" s="31"/>
      <c r="N1711" s="14"/>
      <c r="O1711" s="31"/>
      <c r="Q1711" s="36"/>
      <c r="R1711" s="36"/>
      <c r="S1711" s="36"/>
      <c r="T1711" s="36"/>
      <c r="V1711" s="31"/>
    </row>
    <row r="1712">
      <c r="A1712" s="14"/>
      <c r="B1712" s="460"/>
      <c r="C1712" s="302"/>
      <c r="D1712" s="50"/>
      <c r="E1712" s="348"/>
      <c r="F1712" s="22"/>
      <c r="G1712" s="22"/>
      <c r="H1712" s="22"/>
      <c r="I1712" s="50"/>
      <c r="J1712" s="351"/>
      <c r="K1712" s="448"/>
      <c r="L1712" s="29"/>
      <c r="M1712" s="31"/>
      <c r="N1712" s="14"/>
      <c r="O1712" s="31"/>
      <c r="Q1712" s="36"/>
      <c r="R1712" s="36"/>
      <c r="S1712" s="36"/>
      <c r="T1712" s="36"/>
      <c r="V1712" s="31"/>
    </row>
    <row r="1713">
      <c r="A1713" s="14"/>
      <c r="B1713" s="460"/>
      <c r="C1713" s="302"/>
      <c r="D1713" s="50"/>
      <c r="E1713" s="348"/>
      <c r="F1713" s="22"/>
      <c r="G1713" s="22"/>
      <c r="H1713" s="22"/>
      <c r="I1713" s="50"/>
      <c r="J1713" s="351"/>
      <c r="K1713" s="448"/>
      <c r="L1713" s="29"/>
      <c r="M1713" s="31"/>
      <c r="N1713" s="14"/>
      <c r="O1713" s="31"/>
      <c r="Q1713" s="36"/>
      <c r="R1713" s="36"/>
      <c r="S1713" s="36"/>
      <c r="T1713" s="36"/>
      <c r="V1713" s="31"/>
    </row>
    <row r="1714">
      <c r="A1714" s="14"/>
      <c r="B1714" s="460"/>
      <c r="C1714" s="302"/>
      <c r="D1714" s="50"/>
      <c r="E1714" s="348"/>
      <c r="F1714" s="22"/>
      <c r="G1714" s="22"/>
      <c r="H1714" s="22"/>
      <c r="I1714" s="50"/>
      <c r="J1714" s="351"/>
      <c r="K1714" s="448"/>
      <c r="L1714" s="29"/>
      <c r="M1714" s="31"/>
      <c r="N1714" s="14"/>
      <c r="O1714" s="31"/>
      <c r="Q1714" s="36"/>
      <c r="R1714" s="36"/>
      <c r="S1714" s="36"/>
      <c r="T1714" s="36"/>
      <c r="V1714" s="31"/>
    </row>
    <row r="1715">
      <c r="A1715" s="14"/>
      <c r="B1715" s="460"/>
      <c r="C1715" s="302"/>
      <c r="D1715" s="50"/>
      <c r="E1715" s="348"/>
      <c r="F1715" s="22"/>
      <c r="G1715" s="22"/>
      <c r="H1715" s="22"/>
      <c r="I1715" s="50"/>
      <c r="J1715" s="351"/>
      <c r="K1715" s="448"/>
      <c r="L1715" s="29"/>
      <c r="M1715" s="31"/>
      <c r="N1715" s="14"/>
      <c r="O1715" s="31"/>
      <c r="Q1715" s="36"/>
      <c r="R1715" s="36"/>
      <c r="S1715" s="36"/>
      <c r="T1715" s="36"/>
      <c r="V1715" s="31"/>
    </row>
    <row r="1716">
      <c r="A1716" s="14"/>
      <c r="B1716" s="460"/>
      <c r="C1716" s="302"/>
      <c r="D1716" s="50"/>
      <c r="E1716" s="348"/>
      <c r="F1716" s="22"/>
      <c r="G1716" s="22"/>
      <c r="H1716" s="22"/>
      <c r="I1716" s="50"/>
      <c r="J1716" s="351"/>
      <c r="K1716" s="448"/>
      <c r="L1716" s="29"/>
      <c r="M1716" s="31"/>
      <c r="N1716" s="14"/>
      <c r="O1716" s="31"/>
      <c r="Q1716" s="36"/>
      <c r="R1716" s="36"/>
      <c r="S1716" s="36"/>
      <c r="T1716" s="36"/>
      <c r="V1716" s="31"/>
    </row>
    <row r="1717">
      <c r="A1717" s="14"/>
      <c r="B1717" s="460"/>
      <c r="C1717" s="302"/>
      <c r="D1717" s="50"/>
      <c r="E1717" s="348"/>
      <c r="F1717" s="22"/>
      <c r="G1717" s="22"/>
      <c r="H1717" s="22"/>
      <c r="I1717" s="50"/>
      <c r="J1717" s="351"/>
      <c r="K1717" s="448"/>
      <c r="L1717" s="29"/>
      <c r="M1717" s="31"/>
      <c r="N1717" s="14"/>
      <c r="O1717" s="31"/>
      <c r="Q1717" s="36"/>
      <c r="R1717" s="36"/>
      <c r="S1717" s="36"/>
      <c r="T1717" s="36"/>
      <c r="V1717" s="31"/>
    </row>
    <row r="1718">
      <c r="A1718" s="14"/>
      <c r="B1718" s="460"/>
      <c r="C1718" s="302"/>
      <c r="D1718" s="50"/>
      <c r="E1718" s="348"/>
      <c r="F1718" s="22"/>
      <c r="G1718" s="22"/>
      <c r="H1718" s="22"/>
      <c r="I1718" s="50"/>
      <c r="J1718" s="351"/>
      <c r="K1718" s="448"/>
      <c r="L1718" s="29"/>
      <c r="M1718" s="31"/>
      <c r="N1718" s="14"/>
      <c r="O1718" s="31"/>
      <c r="Q1718" s="36"/>
      <c r="R1718" s="36"/>
      <c r="S1718" s="36"/>
      <c r="T1718" s="36"/>
      <c r="V1718" s="31"/>
    </row>
    <row r="1719">
      <c r="A1719" s="14"/>
      <c r="B1719" s="460"/>
      <c r="C1719" s="302"/>
      <c r="D1719" s="50"/>
      <c r="E1719" s="348"/>
      <c r="F1719" s="22"/>
      <c r="G1719" s="22"/>
      <c r="H1719" s="22"/>
      <c r="I1719" s="50"/>
      <c r="J1719" s="351"/>
      <c r="K1719" s="448"/>
      <c r="L1719" s="29"/>
      <c r="M1719" s="31"/>
      <c r="N1719" s="14"/>
      <c r="O1719" s="31"/>
      <c r="Q1719" s="36"/>
      <c r="R1719" s="36"/>
      <c r="S1719" s="36"/>
      <c r="T1719" s="36"/>
      <c r="V1719" s="31"/>
    </row>
    <row r="1720">
      <c r="A1720" s="14"/>
      <c r="B1720" s="460"/>
      <c r="C1720" s="302"/>
      <c r="D1720" s="50"/>
      <c r="E1720" s="348"/>
      <c r="F1720" s="22"/>
      <c r="G1720" s="22"/>
      <c r="H1720" s="22"/>
      <c r="I1720" s="50"/>
      <c r="J1720" s="351"/>
      <c r="K1720" s="448"/>
      <c r="L1720" s="29"/>
      <c r="M1720" s="31"/>
      <c r="N1720" s="14"/>
      <c r="O1720" s="31"/>
      <c r="Q1720" s="36"/>
      <c r="R1720" s="36"/>
      <c r="S1720" s="36"/>
      <c r="T1720" s="36"/>
      <c r="V1720" s="31"/>
    </row>
    <row r="1721">
      <c r="A1721" s="14"/>
      <c r="B1721" s="460"/>
      <c r="C1721" s="302"/>
      <c r="D1721" s="50"/>
      <c r="E1721" s="348"/>
      <c r="F1721" s="22"/>
      <c r="G1721" s="22"/>
      <c r="H1721" s="22"/>
      <c r="I1721" s="50"/>
      <c r="J1721" s="351"/>
      <c r="K1721" s="448"/>
      <c r="L1721" s="29"/>
      <c r="M1721" s="31"/>
      <c r="N1721" s="14"/>
      <c r="O1721" s="31"/>
      <c r="Q1721" s="36"/>
      <c r="R1721" s="36"/>
      <c r="S1721" s="36"/>
      <c r="T1721" s="36"/>
      <c r="V1721" s="31"/>
    </row>
    <row r="1722">
      <c r="A1722" s="14"/>
      <c r="B1722" s="460"/>
      <c r="C1722" s="302"/>
      <c r="D1722" s="50"/>
      <c r="E1722" s="348"/>
      <c r="F1722" s="22"/>
      <c r="G1722" s="22"/>
      <c r="H1722" s="22"/>
      <c r="I1722" s="50"/>
      <c r="J1722" s="351"/>
      <c r="K1722" s="448"/>
      <c r="L1722" s="29"/>
      <c r="M1722" s="31"/>
      <c r="N1722" s="14"/>
      <c r="O1722" s="31"/>
      <c r="Q1722" s="36"/>
      <c r="R1722" s="36"/>
      <c r="S1722" s="36"/>
      <c r="T1722" s="36"/>
      <c r="V1722" s="31"/>
    </row>
    <row r="1723">
      <c r="A1723" s="14"/>
      <c r="B1723" s="460"/>
      <c r="C1723" s="302"/>
      <c r="D1723" s="50"/>
      <c r="E1723" s="348"/>
      <c r="F1723" s="22"/>
      <c r="G1723" s="22"/>
      <c r="H1723" s="22"/>
      <c r="I1723" s="50"/>
      <c r="J1723" s="351"/>
      <c r="K1723" s="448"/>
      <c r="L1723" s="29"/>
      <c r="M1723" s="31"/>
      <c r="N1723" s="14"/>
      <c r="O1723" s="31"/>
      <c r="Q1723" s="36"/>
      <c r="R1723" s="36"/>
      <c r="S1723" s="36"/>
      <c r="T1723" s="36"/>
      <c r="V1723" s="31"/>
    </row>
    <row r="1724">
      <c r="A1724" s="14"/>
      <c r="B1724" s="460"/>
      <c r="C1724" s="302"/>
      <c r="D1724" s="50"/>
      <c r="E1724" s="348"/>
      <c r="F1724" s="22"/>
      <c r="G1724" s="22"/>
      <c r="H1724" s="22"/>
      <c r="I1724" s="50"/>
      <c r="J1724" s="351"/>
      <c r="K1724" s="448"/>
      <c r="L1724" s="29"/>
      <c r="M1724" s="31"/>
      <c r="N1724" s="14"/>
      <c r="O1724" s="31"/>
      <c r="Q1724" s="36"/>
      <c r="R1724" s="36"/>
      <c r="S1724" s="36"/>
      <c r="T1724" s="36"/>
      <c r="V1724" s="31"/>
    </row>
    <row r="1725">
      <c r="A1725" s="14"/>
      <c r="B1725" s="460"/>
      <c r="C1725" s="302"/>
      <c r="D1725" s="50"/>
      <c r="E1725" s="348"/>
      <c r="F1725" s="22"/>
      <c r="G1725" s="22"/>
      <c r="H1725" s="22"/>
      <c r="I1725" s="50"/>
      <c r="J1725" s="351"/>
      <c r="K1725" s="448"/>
      <c r="L1725" s="29"/>
      <c r="M1725" s="31"/>
      <c r="N1725" s="14"/>
      <c r="O1725" s="31"/>
      <c r="Q1725" s="36"/>
      <c r="R1725" s="36"/>
      <c r="S1725" s="36"/>
      <c r="T1725" s="36"/>
      <c r="V1725" s="31"/>
    </row>
    <row r="1726">
      <c r="A1726" s="14"/>
      <c r="B1726" s="460"/>
      <c r="C1726" s="302"/>
      <c r="D1726" s="50"/>
      <c r="E1726" s="348"/>
      <c r="F1726" s="22"/>
      <c r="G1726" s="22"/>
      <c r="H1726" s="22"/>
      <c r="I1726" s="50"/>
      <c r="J1726" s="351"/>
      <c r="K1726" s="448"/>
      <c r="L1726" s="29"/>
      <c r="M1726" s="31"/>
      <c r="N1726" s="14"/>
      <c r="O1726" s="31"/>
      <c r="Q1726" s="36"/>
      <c r="R1726" s="36"/>
      <c r="S1726" s="36"/>
      <c r="T1726" s="36"/>
      <c r="V1726" s="31"/>
    </row>
    <row r="1727">
      <c r="A1727" s="14"/>
      <c r="B1727" s="460"/>
      <c r="C1727" s="302"/>
      <c r="D1727" s="50"/>
      <c r="E1727" s="348"/>
      <c r="F1727" s="22"/>
      <c r="G1727" s="22"/>
      <c r="H1727" s="22"/>
      <c r="I1727" s="50"/>
      <c r="J1727" s="351"/>
      <c r="K1727" s="448"/>
      <c r="L1727" s="29"/>
      <c r="M1727" s="31"/>
      <c r="N1727" s="14"/>
      <c r="O1727" s="31"/>
      <c r="Q1727" s="36"/>
      <c r="R1727" s="36"/>
      <c r="S1727" s="36"/>
      <c r="T1727" s="36"/>
      <c r="V1727" s="31"/>
    </row>
    <row r="1728">
      <c r="A1728" s="14"/>
      <c r="B1728" s="460"/>
      <c r="C1728" s="302"/>
      <c r="D1728" s="50"/>
      <c r="E1728" s="348"/>
      <c r="F1728" s="22"/>
      <c r="G1728" s="22"/>
      <c r="H1728" s="22"/>
      <c r="I1728" s="50"/>
      <c r="J1728" s="351"/>
      <c r="K1728" s="448"/>
      <c r="L1728" s="29"/>
      <c r="M1728" s="31"/>
      <c r="N1728" s="14"/>
      <c r="O1728" s="31"/>
      <c r="Q1728" s="36"/>
      <c r="R1728" s="36"/>
      <c r="S1728" s="36"/>
      <c r="T1728" s="36"/>
      <c r="V1728" s="31"/>
    </row>
    <row r="1729">
      <c r="A1729" s="14"/>
      <c r="B1729" s="460"/>
      <c r="C1729" s="302"/>
      <c r="D1729" s="50"/>
      <c r="E1729" s="348"/>
      <c r="F1729" s="22"/>
      <c r="G1729" s="22"/>
      <c r="H1729" s="22"/>
      <c r="I1729" s="50"/>
      <c r="J1729" s="351"/>
      <c r="K1729" s="448"/>
      <c r="L1729" s="29"/>
      <c r="M1729" s="31"/>
      <c r="N1729" s="14"/>
      <c r="O1729" s="31"/>
      <c r="Q1729" s="36"/>
      <c r="R1729" s="36"/>
      <c r="S1729" s="36"/>
      <c r="T1729" s="36"/>
      <c r="V1729" s="31"/>
    </row>
    <row r="1730">
      <c r="A1730" s="14"/>
      <c r="B1730" s="460"/>
      <c r="C1730" s="302"/>
      <c r="D1730" s="50"/>
      <c r="E1730" s="348"/>
      <c r="F1730" s="22"/>
      <c r="G1730" s="22"/>
      <c r="H1730" s="22"/>
      <c r="I1730" s="50"/>
      <c r="J1730" s="351"/>
      <c r="K1730" s="448"/>
      <c r="L1730" s="29"/>
      <c r="M1730" s="31"/>
      <c r="N1730" s="14"/>
      <c r="O1730" s="31"/>
      <c r="Q1730" s="36"/>
      <c r="R1730" s="36"/>
      <c r="S1730" s="36"/>
      <c r="T1730" s="36"/>
      <c r="V1730" s="31"/>
    </row>
    <row r="1731">
      <c r="A1731" s="14"/>
      <c r="B1731" s="460"/>
      <c r="C1731" s="302"/>
      <c r="D1731" s="50"/>
      <c r="E1731" s="348"/>
      <c r="F1731" s="22"/>
      <c r="G1731" s="22"/>
      <c r="H1731" s="22"/>
      <c r="I1731" s="50"/>
      <c r="J1731" s="351"/>
      <c r="K1731" s="448"/>
      <c r="L1731" s="29"/>
      <c r="M1731" s="31"/>
      <c r="N1731" s="14"/>
      <c r="O1731" s="31"/>
      <c r="Q1731" s="36"/>
      <c r="R1731" s="36"/>
      <c r="S1731" s="36"/>
      <c r="T1731" s="36"/>
      <c r="V1731" s="31"/>
    </row>
    <row r="1732">
      <c r="A1732" s="14"/>
      <c r="B1732" s="460"/>
      <c r="C1732" s="302"/>
      <c r="D1732" s="50"/>
      <c r="E1732" s="348"/>
      <c r="F1732" s="22"/>
      <c r="G1732" s="22"/>
      <c r="H1732" s="22"/>
      <c r="I1732" s="50"/>
      <c r="J1732" s="351"/>
      <c r="K1732" s="448"/>
      <c r="L1732" s="29"/>
      <c r="M1732" s="31"/>
      <c r="N1732" s="14"/>
      <c r="O1732" s="31"/>
      <c r="Q1732" s="36"/>
      <c r="R1732" s="36"/>
      <c r="S1732" s="36"/>
      <c r="T1732" s="36"/>
      <c r="V1732" s="31"/>
    </row>
    <row r="1733">
      <c r="A1733" s="14"/>
      <c r="B1733" s="460"/>
      <c r="C1733" s="302"/>
      <c r="D1733" s="50"/>
      <c r="E1733" s="348"/>
      <c r="F1733" s="22"/>
      <c r="G1733" s="22"/>
      <c r="H1733" s="22"/>
      <c r="I1733" s="50"/>
      <c r="J1733" s="351"/>
      <c r="K1733" s="448"/>
      <c r="L1733" s="29"/>
      <c r="M1733" s="31"/>
      <c r="N1733" s="14"/>
      <c r="O1733" s="31"/>
      <c r="Q1733" s="36"/>
      <c r="R1733" s="36"/>
      <c r="S1733" s="36"/>
      <c r="T1733" s="36"/>
      <c r="V1733" s="31"/>
    </row>
    <row r="1734">
      <c r="A1734" s="14"/>
      <c r="B1734" s="460"/>
      <c r="C1734" s="302"/>
      <c r="D1734" s="50"/>
      <c r="E1734" s="348"/>
      <c r="F1734" s="22"/>
      <c r="G1734" s="22"/>
      <c r="H1734" s="22"/>
      <c r="I1734" s="50"/>
      <c r="J1734" s="351"/>
      <c r="K1734" s="448"/>
      <c r="L1734" s="29"/>
      <c r="M1734" s="31"/>
      <c r="N1734" s="14"/>
      <c r="O1734" s="31"/>
      <c r="Q1734" s="36"/>
      <c r="R1734" s="36"/>
      <c r="S1734" s="36"/>
      <c r="T1734" s="36"/>
      <c r="V1734" s="31"/>
    </row>
    <row r="1735">
      <c r="A1735" s="14"/>
      <c r="B1735" s="460"/>
      <c r="C1735" s="302"/>
      <c r="D1735" s="50"/>
      <c r="E1735" s="348"/>
      <c r="F1735" s="22"/>
      <c r="G1735" s="22"/>
      <c r="H1735" s="22"/>
      <c r="I1735" s="50"/>
      <c r="J1735" s="351"/>
      <c r="K1735" s="448"/>
      <c r="L1735" s="29"/>
      <c r="M1735" s="31"/>
      <c r="N1735" s="14"/>
      <c r="O1735" s="31"/>
      <c r="Q1735" s="36"/>
      <c r="R1735" s="36"/>
      <c r="S1735" s="36"/>
      <c r="T1735" s="36"/>
      <c r="V1735" s="31"/>
    </row>
    <row r="1736">
      <c r="A1736" s="14"/>
      <c r="B1736" s="460"/>
      <c r="C1736" s="302"/>
      <c r="D1736" s="50"/>
      <c r="E1736" s="348"/>
      <c r="F1736" s="22"/>
      <c r="G1736" s="22"/>
      <c r="H1736" s="22"/>
      <c r="I1736" s="50"/>
      <c r="J1736" s="351"/>
      <c r="K1736" s="448"/>
      <c r="L1736" s="29"/>
      <c r="M1736" s="31"/>
      <c r="N1736" s="14"/>
      <c r="O1736" s="31"/>
      <c r="Q1736" s="36"/>
      <c r="R1736" s="36"/>
      <c r="S1736" s="36"/>
      <c r="T1736" s="36"/>
      <c r="V1736" s="31"/>
    </row>
    <row r="1737">
      <c r="A1737" s="14"/>
      <c r="B1737" s="460"/>
      <c r="C1737" s="302"/>
      <c r="D1737" s="50"/>
      <c r="E1737" s="348"/>
      <c r="F1737" s="22"/>
      <c r="G1737" s="22"/>
      <c r="H1737" s="22"/>
      <c r="I1737" s="50"/>
      <c r="J1737" s="351"/>
      <c r="K1737" s="448"/>
      <c r="L1737" s="29"/>
      <c r="M1737" s="31"/>
      <c r="N1737" s="14"/>
      <c r="O1737" s="31"/>
      <c r="Q1737" s="36"/>
      <c r="R1737" s="36"/>
      <c r="S1737" s="36"/>
      <c r="T1737" s="36"/>
      <c r="V1737" s="31"/>
    </row>
    <row r="1738">
      <c r="A1738" s="14"/>
      <c r="B1738" s="460"/>
      <c r="C1738" s="302"/>
      <c r="D1738" s="50"/>
      <c r="E1738" s="348"/>
      <c r="F1738" s="22"/>
      <c r="G1738" s="22"/>
      <c r="H1738" s="22"/>
      <c r="I1738" s="50"/>
      <c r="J1738" s="351"/>
      <c r="K1738" s="448"/>
      <c r="L1738" s="29"/>
      <c r="M1738" s="31"/>
      <c r="N1738" s="14"/>
      <c r="O1738" s="31"/>
      <c r="Q1738" s="36"/>
      <c r="R1738" s="36"/>
      <c r="S1738" s="36"/>
      <c r="T1738" s="36"/>
      <c r="V1738" s="31"/>
    </row>
    <row r="1739">
      <c r="A1739" s="14"/>
      <c r="B1739" s="460"/>
      <c r="C1739" s="302"/>
      <c r="D1739" s="50"/>
      <c r="E1739" s="348"/>
      <c r="F1739" s="22"/>
      <c r="G1739" s="22"/>
      <c r="H1739" s="22"/>
      <c r="I1739" s="50"/>
      <c r="J1739" s="351"/>
      <c r="K1739" s="448"/>
      <c r="L1739" s="29"/>
      <c r="M1739" s="31"/>
      <c r="N1739" s="14"/>
      <c r="O1739" s="31"/>
      <c r="Q1739" s="36"/>
      <c r="R1739" s="36"/>
      <c r="S1739" s="36"/>
      <c r="T1739" s="36"/>
      <c r="V1739" s="31"/>
    </row>
    <row r="1740">
      <c r="A1740" s="14"/>
      <c r="B1740" s="460"/>
      <c r="C1740" s="302"/>
      <c r="D1740" s="50"/>
      <c r="E1740" s="348"/>
      <c r="F1740" s="22"/>
      <c r="G1740" s="22"/>
      <c r="H1740" s="22"/>
      <c r="I1740" s="50"/>
      <c r="J1740" s="351"/>
      <c r="K1740" s="448"/>
      <c r="L1740" s="29"/>
      <c r="M1740" s="31"/>
      <c r="N1740" s="14"/>
      <c r="O1740" s="31"/>
      <c r="Q1740" s="36"/>
      <c r="R1740" s="36"/>
      <c r="S1740" s="36"/>
      <c r="T1740" s="36"/>
      <c r="V1740" s="31"/>
    </row>
    <row r="1741">
      <c r="A1741" s="14"/>
      <c r="B1741" s="460"/>
      <c r="C1741" s="302"/>
      <c r="D1741" s="50"/>
      <c r="E1741" s="348"/>
      <c r="F1741" s="22"/>
      <c r="G1741" s="22"/>
      <c r="H1741" s="22"/>
      <c r="I1741" s="50"/>
      <c r="J1741" s="351"/>
      <c r="K1741" s="448"/>
      <c r="L1741" s="29"/>
      <c r="M1741" s="31"/>
      <c r="N1741" s="14"/>
      <c r="O1741" s="31"/>
      <c r="Q1741" s="36"/>
      <c r="R1741" s="36"/>
      <c r="S1741" s="36"/>
      <c r="T1741" s="36"/>
      <c r="V1741" s="31"/>
    </row>
    <row r="1742">
      <c r="A1742" s="14"/>
      <c r="B1742" s="460"/>
      <c r="C1742" s="302"/>
      <c r="D1742" s="50"/>
      <c r="E1742" s="348"/>
      <c r="F1742" s="22"/>
      <c r="G1742" s="22"/>
      <c r="H1742" s="22"/>
      <c r="I1742" s="50"/>
      <c r="J1742" s="351"/>
      <c r="K1742" s="448"/>
      <c r="L1742" s="29"/>
      <c r="M1742" s="31"/>
      <c r="N1742" s="14"/>
      <c r="O1742" s="31"/>
      <c r="Q1742" s="36"/>
      <c r="R1742" s="36"/>
      <c r="S1742" s="36"/>
      <c r="T1742" s="36"/>
      <c r="V1742" s="31"/>
    </row>
    <row r="1743">
      <c r="A1743" s="14"/>
      <c r="B1743" s="460"/>
      <c r="C1743" s="302"/>
      <c r="D1743" s="50"/>
      <c r="E1743" s="348"/>
      <c r="F1743" s="22"/>
      <c r="G1743" s="22"/>
      <c r="H1743" s="22"/>
      <c r="I1743" s="50"/>
      <c r="J1743" s="351"/>
      <c r="K1743" s="448"/>
      <c r="L1743" s="29"/>
      <c r="M1743" s="31"/>
      <c r="N1743" s="14"/>
      <c r="O1743" s="31"/>
      <c r="Q1743" s="36"/>
      <c r="R1743" s="36"/>
      <c r="S1743" s="36"/>
      <c r="T1743" s="36"/>
      <c r="V1743" s="31"/>
    </row>
    <row r="1744">
      <c r="A1744" s="14"/>
      <c r="B1744" s="460"/>
      <c r="C1744" s="302"/>
      <c r="D1744" s="50"/>
      <c r="E1744" s="348"/>
      <c r="F1744" s="22"/>
      <c r="G1744" s="22"/>
      <c r="H1744" s="22"/>
      <c r="I1744" s="50"/>
      <c r="J1744" s="351"/>
      <c r="K1744" s="448"/>
      <c r="L1744" s="29"/>
      <c r="M1744" s="31"/>
      <c r="N1744" s="14"/>
      <c r="O1744" s="31"/>
      <c r="Q1744" s="36"/>
      <c r="R1744" s="36"/>
      <c r="S1744" s="36"/>
      <c r="T1744" s="36"/>
      <c r="V1744" s="31"/>
    </row>
    <row r="1745">
      <c r="A1745" s="14"/>
      <c r="B1745" s="460"/>
      <c r="C1745" s="302"/>
      <c r="D1745" s="50"/>
      <c r="E1745" s="348"/>
      <c r="F1745" s="22"/>
      <c r="G1745" s="22"/>
      <c r="H1745" s="22"/>
      <c r="I1745" s="50"/>
      <c r="J1745" s="351"/>
      <c r="K1745" s="448"/>
      <c r="L1745" s="29"/>
      <c r="M1745" s="31"/>
      <c r="N1745" s="14"/>
      <c r="O1745" s="31"/>
      <c r="Q1745" s="36"/>
      <c r="R1745" s="36"/>
      <c r="S1745" s="36"/>
      <c r="T1745" s="36"/>
      <c r="V1745" s="31"/>
    </row>
    <row r="1746">
      <c r="A1746" s="14"/>
      <c r="B1746" s="460"/>
      <c r="C1746" s="302"/>
      <c r="D1746" s="50"/>
      <c r="E1746" s="348"/>
      <c r="F1746" s="22"/>
      <c r="G1746" s="22"/>
      <c r="H1746" s="22"/>
      <c r="I1746" s="50"/>
      <c r="J1746" s="351"/>
      <c r="K1746" s="448"/>
      <c r="L1746" s="29"/>
      <c r="M1746" s="31"/>
      <c r="N1746" s="14"/>
      <c r="O1746" s="31"/>
      <c r="Q1746" s="36"/>
      <c r="R1746" s="36"/>
      <c r="S1746" s="36"/>
      <c r="T1746" s="36"/>
      <c r="V1746" s="31"/>
    </row>
    <row r="1747">
      <c r="A1747" s="14"/>
      <c r="B1747" s="460"/>
      <c r="C1747" s="302"/>
      <c r="D1747" s="50"/>
      <c r="E1747" s="348"/>
      <c r="F1747" s="22"/>
      <c r="G1747" s="22"/>
      <c r="H1747" s="22"/>
      <c r="I1747" s="50"/>
      <c r="J1747" s="351"/>
      <c r="K1747" s="448"/>
      <c r="L1747" s="29"/>
      <c r="M1747" s="31"/>
      <c r="N1747" s="14"/>
      <c r="O1747" s="31"/>
      <c r="Q1747" s="36"/>
      <c r="R1747" s="36"/>
      <c r="S1747" s="36"/>
      <c r="T1747" s="36"/>
      <c r="V1747" s="31"/>
    </row>
    <row r="1748">
      <c r="A1748" s="14"/>
      <c r="B1748" s="460"/>
      <c r="C1748" s="302"/>
      <c r="D1748" s="50"/>
      <c r="E1748" s="348"/>
      <c r="F1748" s="22"/>
      <c r="G1748" s="22"/>
      <c r="H1748" s="22"/>
      <c r="I1748" s="50"/>
      <c r="J1748" s="351"/>
      <c r="K1748" s="448"/>
      <c r="L1748" s="29"/>
      <c r="M1748" s="31"/>
      <c r="N1748" s="14"/>
      <c r="O1748" s="31"/>
      <c r="Q1748" s="36"/>
      <c r="R1748" s="36"/>
      <c r="S1748" s="36"/>
      <c r="T1748" s="36"/>
      <c r="V1748" s="31"/>
    </row>
    <row r="1749">
      <c r="A1749" s="14"/>
      <c r="B1749" s="460"/>
      <c r="C1749" s="302"/>
      <c r="D1749" s="50"/>
      <c r="E1749" s="348"/>
      <c r="F1749" s="22"/>
      <c r="G1749" s="22"/>
      <c r="H1749" s="22"/>
      <c r="I1749" s="50"/>
      <c r="J1749" s="351"/>
      <c r="K1749" s="448"/>
      <c r="L1749" s="29"/>
      <c r="M1749" s="31"/>
      <c r="N1749" s="14"/>
      <c r="O1749" s="31"/>
      <c r="Q1749" s="36"/>
      <c r="R1749" s="36"/>
      <c r="S1749" s="36"/>
      <c r="T1749" s="36"/>
      <c r="V1749" s="31"/>
    </row>
    <row r="1750">
      <c r="A1750" s="14"/>
      <c r="B1750" s="460"/>
      <c r="C1750" s="302"/>
      <c r="D1750" s="50"/>
      <c r="E1750" s="348"/>
      <c r="F1750" s="22"/>
      <c r="G1750" s="22"/>
      <c r="H1750" s="22"/>
      <c r="I1750" s="50"/>
      <c r="J1750" s="351"/>
      <c r="K1750" s="448"/>
      <c r="L1750" s="29"/>
      <c r="M1750" s="31"/>
      <c r="N1750" s="14"/>
      <c r="O1750" s="31"/>
      <c r="Q1750" s="36"/>
      <c r="R1750" s="36"/>
      <c r="S1750" s="36"/>
      <c r="T1750" s="36"/>
      <c r="V1750" s="31"/>
    </row>
    <row r="1751">
      <c r="A1751" s="14"/>
      <c r="B1751" s="460"/>
      <c r="C1751" s="302"/>
      <c r="D1751" s="50"/>
      <c r="E1751" s="348"/>
      <c r="F1751" s="22"/>
      <c r="G1751" s="22"/>
      <c r="H1751" s="22"/>
      <c r="I1751" s="50"/>
      <c r="J1751" s="351"/>
      <c r="K1751" s="448"/>
      <c r="L1751" s="29"/>
      <c r="M1751" s="31"/>
      <c r="N1751" s="14"/>
      <c r="O1751" s="31"/>
      <c r="Q1751" s="36"/>
      <c r="R1751" s="36"/>
      <c r="S1751" s="36"/>
      <c r="T1751" s="36"/>
      <c r="V1751" s="31"/>
    </row>
    <row r="1752">
      <c r="A1752" s="14"/>
      <c r="B1752" s="460"/>
      <c r="C1752" s="302"/>
      <c r="D1752" s="50"/>
      <c r="E1752" s="348"/>
      <c r="F1752" s="22"/>
      <c r="G1752" s="22"/>
      <c r="H1752" s="22"/>
      <c r="I1752" s="50"/>
      <c r="J1752" s="351"/>
      <c r="K1752" s="448"/>
      <c r="L1752" s="29"/>
      <c r="M1752" s="31"/>
      <c r="N1752" s="14"/>
      <c r="O1752" s="31"/>
      <c r="Q1752" s="36"/>
      <c r="R1752" s="36"/>
      <c r="S1752" s="36"/>
      <c r="T1752" s="36"/>
      <c r="V1752" s="31"/>
    </row>
    <row r="1753">
      <c r="A1753" s="14"/>
      <c r="B1753" s="460"/>
      <c r="C1753" s="302"/>
      <c r="D1753" s="50"/>
      <c r="E1753" s="348"/>
      <c r="F1753" s="22"/>
      <c r="G1753" s="22"/>
      <c r="H1753" s="22"/>
      <c r="I1753" s="50"/>
      <c r="J1753" s="351"/>
      <c r="K1753" s="448"/>
      <c r="L1753" s="29"/>
      <c r="M1753" s="31"/>
      <c r="N1753" s="14"/>
      <c r="O1753" s="31"/>
      <c r="Q1753" s="36"/>
      <c r="R1753" s="36"/>
      <c r="S1753" s="36"/>
      <c r="T1753" s="36"/>
      <c r="V1753" s="31"/>
    </row>
    <row r="1754">
      <c r="A1754" s="14"/>
      <c r="B1754" s="460"/>
      <c r="C1754" s="302"/>
      <c r="D1754" s="50"/>
      <c r="E1754" s="348"/>
      <c r="F1754" s="22"/>
      <c r="G1754" s="22"/>
      <c r="H1754" s="22"/>
      <c r="I1754" s="50"/>
      <c r="J1754" s="351"/>
      <c r="K1754" s="448"/>
      <c r="L1754" s="29"/>
      <c r="M1754" s="31"/>
      <c r="N1754" s="14"/>
      <c r="O1754" s="31"/>
      <c r="Q1754" s="36"/>
      <c r="R1754" s="36"/>
      <c r="S1754" s="36"/>
      <c r="T1754" s="36"/>
      <c r="V1754" s="31"/>
    </row>
    <row r="1755">
      <c r="A1755" s="14"/>
      <c r="B1755" s="460"/>
      <c r="C1755" s="302"/>
      <c r="D1755" s="50"/>
      <c r="E1755" s="348"/>
      <c r="F1755" s="22"/>
      <c r="G1755" s="22"/>
      <c r="H1755" s="22"/>
      <c r="I1755" s="50"/>
      <c r="J1755" s="351"/>
      <c r="K1755" s="448"/>
      <c r="L1755" s="29"/>
      <c r="M1755" s="31"/>
      <c r="N1755" s="14"/>
      <c r="O1755" s="31"/>
      <c r="Q1755" s="36"/>
      <c r="R1755" s="36"/>
      <c r="S1755" s="36"/>
      <c r="T1755" s="36"/>
      <c r="V1755" s="31"/>
    </row>
    <row r="1756">
      <c r="A1756" s="14"/>
      <c r="B1756" s="460"/>
      <c r="C1756" s="302"/>
      <c r="D1756" s="50"/>
      <c r="E1756" s="348"/>
      <c r="F1756" s="22"/>
      <c r="G1756" s="22"/>
      <c r="H1756" s="22"/>
      <c r="I1756" s="50"/>
      <c r="J1756" s="351"/>
      <c r="K1756" s="448"/>
      <c r="L1756" s="29"/>
      <c r="M1756" s="31"/>
      <c r="N1756" s="14"/>
      <c r="O1756" s="31"/>
      <c r="Q1756" s="36"/>
      <c r="R1756" s="36"/>
      <c r="S1756" s="36"/>
      <c r="T1756" s="36"/>
      <c r="V1756" s="31"/>
    </row>
    <row r="1757">
      <c r="A1757" s="14"/>
      <c r="B1757" s="460"/>
      <c r="C1757" s="302"/>
      <c r="D1757" s="50"/>
      <c r="E1757" s="348"/>
      <c r="F1757" s="22"/>
      <c r="G1757" s="22"/>
      <c r="H1757" s="22"/>
      <c r="I1757" s="50"/>
      <c r="J1757" s="351"/>
      <c r="K1757" s="448"/>
      <c r="L1757" s="29"/>
      <c r="M1757" s="31"/>
      <c r="N1757" s="14"/>
      <c r="O1757" s="31"/>
      <c r="Q1757" s="36"/>
      <c r="R1757" s="36"/>
      <c r="S1757" s="36"/>
      <c r="T1757" s="36"/>
      <c r="V1757" s="31"/>
    </row>
    <row r="1758">
      <c r="A1758" s="14"/>
      <c r="B1758" s="460"/>
      <c r="C1758" s="302"/>
      <c r="D1758" s="50"/>
      <c r="E1758" s="348"/>
      <c r="F1758" s="22"/>
      <c r="G1758" s="22"/>
      <c r="H1758" s="22"/>
      <c r="I1758" s="50"/>
      <c r="J1758" s="351"/>
      <c r="K1758" s="448"/>
      <c r="L1758" s="29"/>
      <c r="M1758" s="31"/>
      <c r="N1758" s="14"/>
      <c r="O1758" s="31"/>
      <c r="Q1758" s="36"/>
      <c r="R1758" s="36"/>
      <c r="S1758" s="36"/>
      <c r="T1758" s="36"/>
      <c r="V1758" s="31"/>
    </row>
    <row r="1759">
      <c r="A1759" s="14"/>
      <c r="B1759" s="460"/>
      <c r="C1759" s="302"/>
      <c r="D1759" s="50"/>
      <c r="E1759" s="348"/>
      <c r="F1759" s="22"/>
      <c r="G1759" s="22"/>
      <c r="H1759" s="22"/>
      <c r="I1759" s="50"/>
      <c r="J1759" s="351"/>
      <c r="K1759" s="448"/>
      <c r="L1759" s="29"/>
      <c r="M1759" s="31"/>
      <c r="N1759" s="14"/>
      <c r="O1759" s="31"/>
      <c r="Q1759" s="36"/>
      <c r="R1759" s="36"/>
      <c r="S1759" s="36"/>
      <c r="T1759" s="36"/>
      <c r="V1759" s="31"/>
    </row>
    <row r="1760">
      <c r="A1760" s="14"/>
      <c r="B1760" s="460"/>
      <c r="C1760" s="302"/>
      <c r="D1760" s="50"/>
      <c r="E1760" s="348"/>
      <c r="F1760" s="22"/>
      <c r="G1760" s="22"/>
      <c r="H1760" s="22"/>
      <c r="I1760" s="50"/>
      <c r="J1760" s="351"/>
      <c r="K1760" s="448"/>
      <c r="L1760" s="29"/>
      <c r="M1760" s="31"/>
      <c r="N1760" s="14"/>
      <c r="O1760" s="31"/>
      <c r="Q1760" s="36"/>
      <c r="R1760" s="36"/>
      <c r="S1760" s="36"/>
      <c r="T1760" s="36"/>
      <c r="V1760" s="31"/>
    </row>
    <row r="1761">
      <c r="A1761" s="14"/>
      <c r="B1761" s="460"/>
      <c r="C1761" s="302"/>
      <c r="D1761" s="50"/>
      <c r="E1761" s="348"/>
      <c r="F1761" s="22"/>
      <c r="G1761" s="22"/>
      <c r="H1761" s="22"/>
      <c r="I1761" s="50"/>
      <c r="J1761" s="351"/>
      <c r="K1761" s="448"/>
      <c r="L1761" s="29"/>
      <c r="M1761" s="31"/>
      <c r="N1761" s="14"/>
      <c r="O1761" s="31"/>
      <c r="Q1761" s="36"/>
      <c r="R1761" s="36"/>
      <c r="S1761" s="36"/>
      <c r="T1761" s="36"/>
      <c r="V1761" s="31"/>
    </row>
    <row r="1762">
      <c r="A1762" s="14"/>
      <c r="B1762" s="460"/>
      <c r="C1762" s="302"/>
      <c r="D1762" s="50"/>
      <c r="E1762" s="348"/>
      <c r="F1762" s="22"/>
      <c r="G1762" s="22"/>
      <c r="H1762" s="22"/>
      <c r="I1762" s="50"/>
      <c r="J1762" s="351"/>
      <c r="K1762" s="448"/>
      <c r="L1762" s="29"/>
      <c r="M1762" s="31"/>
      <c r="N1762" s="14"/>
      <c r="O1762" s="31"/>
      <c r="Q1762" s="36"/>
      <c r="R1762" s="36"/>
      <c r="S1762" s="36"/>
      <c r="T1762" s="36"/>
      <c r="V1762" s="31"/>
    </row>
    <row r="1763">
      <c r="A1763" s="14"/>
      <c r="B1763" s="460"/>
      <c r="C1763" s="302"/>
      <c r="D1763" s="50"/>
      <c r="E1763" s="348"/>
      <c r="F1763" s="22"/>
      <c r="G1763" s="22"/>
      <c r="H1763" s="22"/>
      <c r="I1763" s="50"/>
      <c r="J1763" s="351"/>
      <c r="K1763" s="448"/>
      <c r="L1763" s="29"/>
      <c r="M1763" s="31"/>
      <c r="N1763" s="14"/>
      <c r="O1763" s="31"/>
      <c r="Q1763" s="36"/>
      <c r="R1763" s="36"/>
      <c r="S1763" s="36"/>
      <c r="T1763" s="36"/>
      <c r="V1763" s="31"/>
    </row>
    <row r="1764">
      <c r="A1764" s="14"/>
      <c r="B1764" s="460"/>
      <c r="C1764" s="302"/>
      <c r="D1764" s="50"/>
      <c r="E1764" s="348"/>
      <c r="F1764" s="22"/>
      <c r="G1764" s="22"/>
      <c r="H1764" s="22"/>
      <c r="I1764" s="50"/>
      <c r="J1764" s="351"/>
      <c r="K1764" s="448"/>
      <c r="L1764" s="29"/>
      <c r="M1764" s="31"/>
      <c r="N1764" s="14"/>
      <c r="O1764" s="31"/>
      <c r="Q1764" s="36"/>
      <c r="R1764" s="36"/>
      <c r="S1764" s="36"/>
      <c r="T1764" s="36"/>
      <c r="V1764" s="31"/>
    </row>
    <row r="1765">
      <c r="A1765" s="14"/>
      <c r="B1765" s="460"/>
      <c r="C1765" s="302"/>
      <c r="D1765" s="50"/>
      <c r="E1765" s="348"/>
      <c r="F1765" s="22"/>
      <c r="G1765" s="22"/>
      <c r="H1765" s="22"/>
      <c r="I1765" s="50"/>
      <c r="J1765" s="351"/>
      <c r="K1765" s="448"/>
      <c r="L1765" s="29"/>
      <c r="M1765" s="31"/>
      <c r="N1765" s="14"/>
      <c r="O1765" s="31"/>
      <c r="Q1765" s="36"/>
      <c r="R1765" s="36"/>
      <c r="S1765" s="36"/>
      <c r="T1765" s="36"/>
      <c r="V1765" s="31"/>
    </row>
    <row r="1766">
      <c r="A1766" s="14"/>
      <c r="B1766" s="460"/>
      <c r="C1766" s="302"/>
      <c r="D1766" s="50"/>
      <c r="E1766" s="348"/>
      <c r="F1766" s="22"/>
      <c r="G1766" s="22"/>
      <c r="H1766" s="22"/>
      <c r="I1766" s="50"/>
      <c r="J1766" s="351"/>
      <c r="K1766" s="448"/>
      <c r="L1766" s="29"/>
      <c r="M1766" s="31"/>
      <c r="N1766" s="14"/>
      <c r="O1766" s="31"/>
      <c r="Q1766" s="36"/>
      <c r="R1766" s="36"/>
      <c r="S1766" s="36"/>
      <c r="T1766" s="36"/>
      <c r="V1766" s="31"/>
    </row>
    <row r="1767">
      <c r="A1767" s="14"/>
      <c r="B1767" s="460"/>
      <c r="C1767" s="302"/>
      <c r="D1767" s="50"/>
      <c r="E1767" s="348"/>
      <c r="F1767" s="22"/>
      <c r="G1767" s="22"/>
      <c r="H1767" s="22"/>
      <c r="I1767" s="50"/>
      <c r="J1767" s="351"/>
      <c r="K1767" s="448"/>
      <c r="L1767" s="29"/>
      <c r="M1767" s="31"/>
      <c r="N1767" s="14"/>
      <c r="O1767" s="31"/>
      <c r="Q1767" s="36"/>
      <c r="R1767" s="36"/>
      <c r="S1767" s="36"/>
      <c r="T1767" s="36"/>
      <c r="V1767" s="31"/>
    </row>
    <row r="1768">
      <c r="A1768" s="14"/>
      <c r="B1768" s="460"/>
      <c r="C1768" s="302"/>
      <c r="D1768" s="50"/>
      <c r="E1768" s="348"/>
      <c r="F1768" s="22"/>
      <c r="G1768" s="22"/>
      <c r="H1768" s="22"/>
      <c r="I1768" s="50"/>
      <c r="J1768" s="351"/>
      <c r="K1768" s="448"/>
      <c r="L1768" s="29"/>
      <c r="M1768" s="31"/>
      <c r="N1768" s="14"/>
      <c r="O1768" s="31"/>
      <c r="Q1768" s="36"/>
      <c r="R1768" s="36"/>
      <c r="S1768" s="36"/>
      <c r="T1768" s="36"/>
      <c r="V1768" s="31"/>
    </row>
    <row r="1769">
      <c r="A1769" s="14"/>
      <c r="B1769" s="460"/>
      <c r="C1769" s="302"/>
      <c r="D1769" s="50"/>
      <c r="E1769" s="348"/>
      <c r="F1769" s="22"/>
      <c r="G1769" s="22"/>
      <c r="H1769" s="22"/>
      <c r="I1769" s="50"/>
      <c r="J1769" s="351"/>
      <c r="K1769" s="448"/>
      <c r="L1769" s="29"/>
      <c r="M1769" s="31"/>
      <c r="N1769" s="14"/>
      <c r="O1769" s="31"/>
      <c r="Q1769" s="36"/>
      <c r="R1769" s="36"/>
      <c r="S1769" s="36"/>
      <c r="T1769" s="36"/>
      <c r="V1769" s="31"/>
    </row>
    <row r="1770">
      <c r="A1770" s="14"/>
      <c r="B1770" s="460"/>
      <c r="C1770" s="302"/>
      <c r="D1770" s="50"/>
      <c r="E1770" s="348"/>
      <c r="F1770" s="22"/>
      <c r="G1770" s="22"/>
      <c r="H1770" s="22"/>
      <c r="I1770" s="50"/>
      <c r="J1770" s="351"/>
      <c r="K1770" s="448"/>
      <c r="L1770" s="29"/>
      <c r="M1770" s="31"/>
      <c r="N1770" s="14"/>
      <c r="O1770" s="31"/>
      <c r="Q1770" s="36"/>
      <c r="R1770" s="36"/>
      <c r="S1770" s="36"/>
      <c r="T1770" s="36"/>
      <c r="V1770" s="31"/>
    </row>
    <row r="1771">
      <c r="A1771" s="14"/>
      <c r="B1771" s="460"/>
      <c r="C1771" s="302"/>
      <c r="D1771" s="50"/>
      <c r="E1771" s="348"/>
      <c r="F1771" s="22"/>
      <c r="G1771" s="22"/>
      <c r="H1771" s="22"/>
      <c r="I1771" s="50"/>
      <c r="J1771" s="351"/>
      <c r="K1771" s="448"/>
      <c r="L1771" s="29"/>
      <c r="M1771" s="31"/>
      <c r="N1771" s="14"/>
      <c r="O1771" s="31"/>
      <c r="Q1771" s="36"/>
      <c r="R1771" s="36"/>
      <c r="S1771" s="36"/>
      <c r="T1771" s="36"/>
      <c r="V1771" s="31"/>
    </row>
    <row r="1772">
      <c r="A1772" s="14"/>
      <c r="B1772" s="460"/>
      <c r="C1772" s="302"/>
      <c r="D1772" s="50"/>
      <c r="E1772" s="348"/>
      <c r="F1772" s="22"/>
      <c r="G1772" s="22"/>
      <c r="H1772" s="22"/>
      <c r="I1772" s="50"/>
      <c r="J1772" s="351"/>
      <c r="K1772" s="448"/>
      <c r="L1772" s="29"/>
      <c r="M1772" s="31"/>
      <c r="N1772" s="14"/>
      <c r="O1772" s="31"/>
      <c r="Q1772" s="36"/>
      <c r="R1772" s="36"/>
      <c r="S1772" s="36"/>
      <c r="T1772" s="36"/>
      <c r="V1772" s="31"/>
    </row>
    <row r="1773">
      <c r="A1773" s="14"/>
      <c r="B1773" s="460"/>
      <c r="C1773" s="302"/>
      <c r="D1773" s="50"/>
      <c r="E1773" s="348"/>
      <c r="F1773" s="22"/>
      <c r="G1773" s="22"/>
      <c r="H1773" s="22"/>
      <c r="I1773" s="50"/>
      <c r="J1773" s="351"/>
      <c r="K1773" s="448"/>
      <c r="L1773" s="29"/>
      <c r="M1773" s="31"/>
      <c r="N1773" s="14"/>
      <c r="O1773" s="31"/>
      <c r="Q1773" s="36"/>
      <c r="R1773" s="36"/>
      <c r="S1773" s="36"/>
      <c r="T1773" s="36"/>
      <c r="V1773" s="31"/>
    </row>
    <row r="1774">
      <c r="A1774" s="14"/>
      <c r="B1774" s="460"/>
      <c r="C1774" s="302"/>
      <c r="D1774" s="50"/>
      <c r="E1774" s="348"/>
      <c r="F1774" s="22"/>
      <c r="G1774" s="22"/>
      <c r="H1774" s="22"/>
      <c r="I1774" s="50"/>
      <c r="J1774" s="351"/>
      <c r="K1774" s="448"/>
      <c r="L1774" s="29"/>
      <c r="M1774" s="31"/>
      <c r="N1774" s="14"/>
      <c r="O1774" s="31"/>
      <c r="Q1774" s="36"/>
      <c r="R1774" s="36"/>
      <c r="S1774" s="36"/>
      <c r="T1774" s="36"/>
      <c r="V1774" s="31"/>
    </row>
    <row r="1775">
      <c r="A1775" s="14"/>
      <c r="B1775" s="460"/>
      <c r="C1775" s="302"/>
      <c r="D1775" s="50"/>
      <c r="E1775" s="348"/>
      <c r="F1775" s="22"/>
      <c r="G1775" s="22"/>
      <c r="H1775" s="22"/>
      <c r="I1775" s="50"/>
      <c r="J1775" s="351"/>
      <c r="K1775" s="448"/>
      <c r="L1775" s="29"/>
      <c r="M1775" s="31"/>
      <c r="N1775" s="14"/>
      <c r="O1775" s="31"/>
      <c r="Q1775" s="36"/>
      <c r="R1775" s="36"/>
      <c r="S1775" s="36"/>
      <c r="T1775" s="36"/>
      <c r="V1775" s="31"/>
    </row>
    <row r="1776">
      <c r="A1776" s="14"/>
      <c r="B1776" s="460"/>
      <c r="C1776" s="302"/>
      <c r="D1776" s="50"/>
      <c r="E1776" s="348"/>
      <c r="F1776" s="22"/>
      <c r="G1776" s="22"/>
      <c r="H1776" s="22"/>
      <c r="I1776" s="50"/>
      <c r="J1776" s="351"/>
      <c r="K1776" s="448"/>
      <c r="L1776" s="29"/>
      <c r="M1776" s="31"/>
      <c r="N1776" s="14"/>
      <c r="O1776" s="31"/>
      <c r="Q1776" s="36"/>
      <c r="R1776" s="36"/>
      <c r="S1776" s="36"/>
      <c r="T1776" s="36"/>
      <c r="V1776" s="31"/>
    </row>
    <row r="1777">
      <c r="A1777" s="14"/>
      <c r="B1777" s="460"/>
      <c r="C1777" s="302"/>
      <c r="D1777" s="50"/>
      <c r="E1777" s="348"/>
      <c r="F1777" s="22"/>
      <c r="G1777" s="22"/>
      <c r="H1777" s="22"/>
      <c r="I1777" s="50"/>
      <c r="J1777" s="351"/>
      <c r="K1777" s="448"/>
      <c r="L1777" s="29"/>
      <c r="M1777" s="31"/>
      <c r="N1777" s="14"/>
      <c r="O1777" s="31"/>
      <c r="Q1777" s="36"/>
      <c r="R1777" s="36"/>
      <c r="S1777" s="36"/>
      <c r="T1777" s="36"/>
      <c r="V1777" s="31"/>
    </row>
    <row r="1778">
      <c r="A1778" s="14"/>
      <c r="B1778" s="460"/>
      <c r="C1778" s="302"/>
      <c r="D1778" s="50"/>
      <c r="E1778" s="348"/>
      <c r="F1778" s="22"/>
      <c r="G1778" s="22"/>
      <c r="H1778" s="22"/>
      <c r="I1778" s="50"/>
      <c r="J1778" s="351"/>
      <c r="K1778" s="448"/>
      <c r="L1778" s="29"/>
      <c r="M1778" s="31"/>
      <c r="N1778" s="14"/>
      <c r="O1778" s="31"/>
      <c r="Q1778" s="36"/>
      <c r="R1778" s="36"/>
      <c r="S1778" s="36"/>
      <c r="T1778" s="36"/>
      <c r="V1778" s="31"/>
    </row>
    <row r="1779">
      <c r="A1779" s="14"/>
      <c r="B1779" s="460"/>
      <c r="C1779" s="302"/>
      <c r="D1779" s="50"/>
      <c r="E1779" s="348"/>
      <c r="F1779" s="22"/>
      <c r="G1779" s="22"/>
      <c r="H1779" s="22"/>
      <c r="I1779" s="50"/>
      <c r="J1779" s="351"/>
      <c r="K1779" s="448"/>
      <c r="L1779" s="29"/>
      <c r="M1779" s="31"/>
      <c r="N1779" s="14"/>
      <c r="O1779" s="31"/>
      <c r="Q1779" s="36"/>
      <c r="R1779" s="36"/>
      <c r="S1779" s="36"/>
      <c r="T1779" s="36"/>
      <c r="V1779" s="31"/>
    </row>
    <row r="1780">
      <c r="A1780" s="14"/>
      <c r="B1780" s="460"/>
      <c r="C1780" s="302"/>
      <c r="D1780" s="50"/>
      <c r="E1780" s="348"/>
      <c r="F1780" s="22"/>
      <c r="G1780" s="22"/>
      <c r="H1780" s="22"/>
      <c r="I1780" s="50"/>
      <c r="J1780" s="351"/>
      <c r="K1780" s="448"/>
      <c r="L1780" s="29"/>
      <c r="M1780" s="31"/>
      <c r="N1780" s="14"/>
      <c r="O1780" s="31"/>
      <c r="Q1780" s="36"/>
      <c r="R1780" s="36"/>
      <c r="S1780" s="36"/>
      <c r="T1780" s="36"/>
      <c r="V1780" s="31"/>
    </row>
    <row r="1781">
      <c r="A1781" s="14"/>
      <c r="B1781" s="460"/>
      <c r="C1781" s="302"/>
      <c r="D1781" s="50"/>
      <c r="E1781" s="348"/>
      <c r="F1781" s="22"/>
      <c r="G1781" s="22"/>
      <c r="H1781" s="22"/>
      <c r="I1781" s="50"/>
      <c r="J1781" s="351"/>
      <c r="K1781" s="448"/>
      <c r="L1781" s="29"/>
      <c r="M1781" s="31"/>
      <c r="N1781" s="14"/>
      <c r="O1781" s="31"/>
      <c r="Q1781" s="36"/>
      <c r="R1781" s="36"/>
      <c r="S1781" s="36"/>
      <c r="T1781" s="36"/>
      <c r="V1781" s="31"/>
    </row>
    <row r="1782">
      <c r="A1782" s="14"/>
      <c r="B1782" s="460"/>
      <c r="C1782" s="302"/>
      <c r="D1782" s="50"/>
      <c r="E1782" s="348"/>
      <c r="F1782" s="22"/>
      <c r="G1782" s="22"/>
      <c r="H1782" s="22"/>
      <c r="I1782" s="50"/>
      <c r="J1782" s="351"/>
      <c r="K1782" s="448"/>
      <c r="L1782" s="29"/>
      <c r="M1782" s="31"/>
      <c r="N1782" s="14"/>
      <c r="O1782" s="31"/>
      <c r="Q1782" s="36"/>
      <c r="R1782" s="36"/>
      <c r="S1782" s="36"/>
      <c r="T1782" s="36"/>
      <c r="V1782" s="31"/>
    </row>
    <row r="1783">
      <c r="A1783" s="14"/>
      <c r="B1783" s="460"/>
      <c r="C1783" s="302"/>
      <c r="D1783" s="50"/>
      <c r="E1783" s="348"/>
      <c r="F1783" s="22"/>
      <c r="G1783" s="22"/>
      <c r="H1783" s="22"/>
      <c r="I1783" s="50"/>
      <c r="J1783" s="351"/>
      <c r="K1783" s="448"/>
      <c r="L1783" s="29"/>
      <c r="M1783" s="31"/>
      <c r="N1783" s="14"/>
      <c r="O1783" s="31"/>
      <c r="Q1783" s="36"/>
      <c r="R1783" s="36"/>
      <c r="S1783" s="36"/>
      <c r="T1783" s="36"/>
      <c r="V1783" s="31"/>
    </row>
    <row r="1784">
      <c r="A1784" s="14"/>
      <c r="B1784" s="460"/>
      <c r="C1784" s="302"/>
      <c r="D1784" s="50"/>
      <c r="E1784" s="348"/>
      <c r="F1784" s="22"/>
      <c r="G1784" s="22"/>
      <c r="H1784" s="22"/>
      <c r="I1784" s="50"/>
      <c r="J1784" s="351"/>
      <c r="K1784" s="448"/>
      <c r="L1784" s="29"/>
      <c r="M1784" s="31"/>
      <c r="N1784" s="14"/>
      <c r="O1784" s="31"/>
      <c r="Q1784" s="36"/>
      <c r="R1784" s="36"/>
      <c r="S1784" s="36"/>
      <c r="T1784" s="36"/>
      <c r="V1784" s="31"/>
    </row>
    <row r="1785">
      <c r="A1785" s="14"/>
      <c r="B1785" s="460"/>
      <c r="C1785" s="302"/>
      <c r="D1785" s="50"/>
      <c r="E1785" s="348"/>
      <c r="F1785" s="22"/>
      <c r="G1785" s="22"/>
      <c r="H1785" s="22"/>
      <c r="I1785" s="50"/>
      <c r="J1785" s="351"/>
      <c r="K1785" s="448"/>
      <c r="L1785" s="29"/>
      <c r="M1785" s="31"/>
      <c r="N1785" s="14"/>
      <c r="O1785" s="31"/>
      <c r="Q1785" s="36"/>
      <c r="R1785" s="36"/>
      <c r="S1785" s="36"/>
      <c r="T1785" s="36"/>
      <c r="V1785" s="31"/>
    </row>
    <row r="1786">
      <c r="A1786" s="14"/>
      <c r="B1786" s="460"/>
      <c r="C1786" s="302"/>
      <c r="D1786" s="50"/>
      <c r="E1786" s="348"/>
      <c r="F1786" s="22"/>
      <c r="G1786" s="22"/>
      <c r="H1786" s="22"/>
      <c r="I1786" s="50"/>
      <c r="J1786" s="351"/>
      <c r="K1786" s="448"/>
      <c r="L1786" s="29"/>
      <c r="M1786" s="31"/>
      <c r="N1786" s="14"/>
      <c r="O1786" s="31"/>
      <c r="Q1786" s="36"/>
      <c r="R1786" s="36"/>
      <c r="S1786" s="36"/>
      <c r="T1786" s="36"/>
      <c r="V1786" s="31"/>
    </row>
    <row r="1787">
      <c r="A1787" s="14"/>
      <c r="B1787" s="460"/>
      <c r="C1787" s="302"/>
      <c r="D1787" s="50"/>
      <c r="E1787" s="348"/>
      <c r="F1787" s="22"/>
      <c r="G1787" s="22"/>
      <c r="H1787" s="22"/>
      <c r="I1787" s="50"/>
      <c r="J1787" s="351"/>
      <c r="K1787" s="448"/>
      <c r="L1787" s="29"/>
      <c r="M1787" s="31"/>
      <c r="N1787" s="14"/>
      <c r="O1787" s="31"/>
      <c r="Q1787" s="36"/>
      <c r="R1787" s="36"/>
      <c r="S1787" s="36"/>
      <c r="T1787" s="36"/>
      <c r="V1787" s="31"/>
    </row>
    <row r="1788">
      <c r="A1788" s="14"/>
      <c r="B1788" s="460"/>
      <c r="C1788" s="302"/>
      <c r="D1788" s="50"/>
      <c r="E1788" s="348"/>
      <c r="F1788" s="22"/>
      <c r="G1788" s="22"/>
      <c r="H1788" s="22"/>
      <c r="I1788" s="50"/>
      <c r="J1788" s="351"/>
      <c r="K1788" s="448"/>
      <c r="L1788" s="29"/>
      <c r="M1788" s="31"/>
      <c r="N1788" s="14"/>
      <c r="O1788" s="31"/>
      <c r="Q1788" s="36"/>
      <c r="R1788" s="36"/>
      <c r="S1788" s="36"/>
      <c r="T1788" s="36"/>
      <c r="V1788" s="31"/>
    </row>
    <row r="1789">
      <c r="A1789" s="14"/>
      <c r="B1789" s="460"/>
      <c r="C1789" s="302"/>
      <c r="D1789" s="50"/>
      <c r="E1789" s="348"/>
      <c r="F1789" s="22"/>
      <c r="G1789" s="22"/>
      <c r="H1789" s="22"/>
      <c r="I1789" s="50"/>
      <c r="J1789" s="351"/>
      <c r="K1789" s="448"/>
      <c r="L1789" s="29"/>
      <c r="M1789" s="31"/>
      <c r="N1789" s="14"/>
      <c r="O1789" s="31"/>
      <c r="Q1789" s="36"/>
      <c r="R1789" s="36"/>
      <c r="S1789" s="36"/>
      <c r="T1789" s="36"/>
      <c r="V1789" s="31"/>
    </row>
    <row r="1790">
      <c r="A1790" s="14"/>
      <c r="B1790" s="460"/>
      <c r="C1790" s="302"/>
      <c r="D1790" s="50"/>
      <c r="E1790" s="348"/>
      <c r="F1790" s="22"/>
      <c r="G1790" s="22"/>
      <c r="H1790" s="22"/>
      <c r="I1790" s="50"/>
      <c r="J1790" s="351"/>
      <c r="K1790" s="448"/>
      <c r="L1790" s="29"/>
      <c r="M1790" s="31"/>
      <c r="N1790" s="14"/>
      <c r="O1790" s="31"/>
      <c r="Q1790" s="36"/>
      <c r="R1790" s="36"/>
      <c r="S1790" s="36"/>
      <c r="T1790" s="36"/>
      <c r="V1790" s="31"/>
    </row>
    <row r="1791">
      <c r="A1791" s="14"/>
      <c r="B1791" s="460"/>
      <c r="C1791" s="302"/>
      <c r="D1791" s="50"/>
      <c r="E1791" s="348"/>
      <c r="F1791" s="22"/>
      <c r="G1791" s="22"/>
      <c r="H1791" s="22"/>
      <c r="I1791" s="50"/>
      <c r="J1791" s="351"/>
      <c r="K1791" s="448"/>
      <c r="L1791" s="29"/>
      <c r="M1791" s="31"/>
      <c r="N1791" s="14"/>
      <c r="O1791" s="31"/>
      <c r="Q1791" s="36"/>
      <c r="R1791" s="36"/>
      <c r="S1791" s="36"/>
      <c r="T1791" s="36"/>
      <c r="V1791" s="31"/>
    </row>
    <row r="1792">
      <c r="A1792" s="14"/>
      <c r="B1792" s="460"/>
      <c r="C1792" s="302"/>
      <c r="D1792" s="50"/>
      <c r="E1792" s="348"/>
      <c r="F1792" s="22"/>
      <c r="G1792" s="22"/>
      <c r="H1792" s="22"/>
      <c r="I1792" s="50"/>
      <c r="J1792" s="351"/>
      <c r="K1792" s="448"/>
      <c r="L1792" s="29"/>
      <c r="M1792" s="31"/>
      <c r="N1792" s="14"/>
      <c r="O1792" s="31"/>
      <c r="Q1792" s="36"/>
      <c r="R1792" s="36"/>
      <c r="S1792" s="36"/>
      <c r="T1792" s="36"/>
      <c r="V1792" s="31"/>
    </row>
    <row r="1793">
      <c r="A1793" s="14"/>
      <c r="B1793" s="460"/>
      <c r="C1793" s="302"/>
      <c r="D1793" s="50"/>
      <c r="E1793" s="348"/>
      <c r="F1793" s="22"/>
      <c r="G1793" s="22"/>
      <c r="H1793" s="22"/>
      <c r="I1793" s="50"/>
      <c r="J1793" s="351"/>
      <c r="K1793" s="448"/>
      <c r="L1793" s="29"/>
      <c r="M1793" s="31"/>
      <c r="N1793" s="14"/>
      <c r="O1793" s="31"/>
      <c r="Q1793" s="36"/>
      <c r="R1793" s="36"/>
      <c r="S1793" s="36"/>
      <c r="T1793" s="36"/>
      <c r="V1793" s="31"/>
    </row>
    <row r="1794">
      <c r="A1794" s="14"/>
      <c r="B1794" s="460"/>
      <c r="C1794" s="302"/>
      <c r="D1794" s="50"/>
      <c r="E1794" s="348"/>
      <c r="F1794" s="22"/>
      <c r="G1794" s="22"/>
      <c r="H1794" s="22"/>
      <c r="I1794" s="50"/>
      <c r="J1794" s="351"/>
      <c r="K1794" s="448"/>
      <c r="L1794" s="29"/>
      <c r="M1794" s="31"/>
      <c r="N1794" s="14"/>
      <c r="O1794" s="31"/>
      <c r="Q1794" s="36"/>
      <c r="R1794" s="36"/>
      <c r="S1794" s="36"/>
      <c r="T1794" s="36"/>
      <c r="V1794" s="31"/>
    </row>
    <row r="1795">
      <c r="A1795" s="14"/>
      <c r="B1795" s="460"/>
      <c r="C1795" s="302"/>
      <c r="D1795" s="50"/>
      <c r="E1795" s="348"/>
      <c r="F1795" s="22"/>
      <c r="G1795" s="22"/>
      <c r="H1795" s="22"/>
      <c r="I1795" s="50"/>
      <c r="J1795" s="351"/>
      <c r="K1795" s="448"/>
      <c r="L1795" s="29"/>
      <c r="M1795" s="31"/>
      <c r="N1795" s="14"/>
      <c r="O1795" s="31"/>
      <c r="Q1795" s="36"/>
      <c r="R1795" s="36"/>
      <c r="S1795" s="36"/>
      <c r="T1795" s="36"/>
      <c r="V1795" s="31"/>
    </row>
    <row r="1796">
      <c r="A1796" s="14"/>
      <c r="B1796" s="460"/>
      <c r="C1796" s="302"/>
      <c r="D1796" s="50"/>
      <c r="E1796" s="348"/>
      <c r="F1796" s="22"/>
      <c r="G1796" s="22"/>
      <c r="H1796" s="22"/>
      <c r="I1796" s="50"/>
      <c r="J1796" s="351"/>
      <c r="K1796" s="448"/>
      <c r="L1796" s="29"/>
      <c r="M1796" s="31"/>
      <c r="N1796" s="14"/>
      <c r="O1796" s="31"/>
      <c r="Q1796" s="36"/>
      <c r="R1796" s="36"/>
      <c r="S1796" s="36"/>
      <c r="T1796" s="36"/>
      <c r="V1796" s="31"/>
    </row>
    <row r="1797">
      <c r="A1797" s="14"/>
      <c r="B1797" s="460"/>
      <c r="C1797" s="302"/>
      <c r="D1797" s="50"/>
      <c r="E1797" s="348"/>
      <c r="F1797" s="22"/>
      <c r="G1797" s="22"/>
      <c r="H1797" s="22"/>
      <c r="I1797" s="50"/>
      <c r="J1797" s="351"/>
      <c r="K1797" s="448"/>
      <c r="L1797" s="29"/>
      <c r="M1797" s="31"/>
      <c r="N1797" s="14"/>
      <c r="O1797" s="31"/>
      <c r="Q1797" s="36"/>
      <c r="R1797" s="36"/>
      <c r="S1797" s="36"/>
      <c r="T1797" s="36"/>
      <c r="V1797" s="31"/>
    </row>
    <row r="1798">
      <c r="A1798" s="14"/>
      <c r="B1798" s="460"/>
      <c r="C1798" s="302"/>
      <c r="D1798" s="50"/>
      <c r="E1798" s="348"/>
      <c r="F1798" s="22"/>
      <c r="G1798" s="22"/>
      <c r="H1798" s="22"/>
      <c r="I1798" s="50"/>
      <c r="J1798" s="351"/>
      <c r="K1798" s="448"/>
      <c r="L1798" s="29"/>
      <c r="M1798" s="31"/>
      <c r="N1798" s="14"/>
      <c r="O1798" s="31"/>
      <c r="Q1798" s="36"/>
      <c r="R1798" s="36"/>
      <c r="S1798" s="36"/>
      <c r="T1798" s="36"/>
      <c r="V1798" s="31"/>
    </row>
    <row r="1799">
      <c r="A1799" s="14"/>
      <c r="B1799" s="460"/>
      <c r="C1799" s="302"/>
      <c r="D1799" s="50"/>
      <c r="E1799" s="348"/>
      <c r="F1799" s="22"/>
      <c r="G1799" s="22"/>
      <c r="H1799" s="22"/>
      <c r="I1799" s="50"/>
      <c r="J1799" s="351"/>
      <c r="K1799" s="448"/>
      <c r="L1799" s="29"/>
      <c r="M1799" s="31"/>
      <c r="N1799" s="14"/>
      <c r="O1799" s="31"/>
      <c r="Q1799" s="36"/>
      <c r="R1799" s="36"/>
      <c r="S1799" s="36"/>
      <c r="T1799" s="36"/>
      <c r="V1799" s="31"/>
    </row>
    <row r="1800">
      <c r="A1800" s="14"/>
      <c r="B1800" s="460"/>
      <c r="C1800" s="302"/>
      <c r="D1800" s="50"/>
      <c r="E1800" s="348"/>
      <c r="F1800" s="22"/>
      <c r="G1800" s="22"/>
      <c r="H1800" s="22"/>
      <c r="I1800" s="50"/>
      <c r="J1800" s="351"/>
      <c r="K1800" s="448"/>
      <c r="L1800" s="29"/>
      <c r="M1800" s="31"/>
      <c r="N1800" s="14"/>
      <c r="O1800" s="31"/>
      <c r="Q1800" s="36"/>
      <c r="R1800" s="36"/>
      <c r="S1800" s="36"/>
      <c r="T1800" s="36"/>
      <c r="V1800" s="31"/>
    </row>
    <row r="1801">
      <c r="A1801" s="14"/>
      <c r="B1801" s="460"/>
      <c r="C1801" s="302"/>
      <c r="D1801" s="50"/>
      <c r="E1801" s="348"/>
      <c r="F1801" s="22"/>
      <c r="G1801" s="22"/>
      <c r="H1801" s="22"/>
      <c r="I1801" s="50"/>
      <c r="J1801" s="351"/>
      <c r="K1801" s="448"/>
      <c r="L1801" s="29"/>
      <c r="M1801" s="31"/>
      <c r="N1801" s="14"/>
      <c r="O1801" s="31"/>
      <c r="Q1801" s="36"/>
      <c r="R1801" s="36"/>
      <c r="S1801" s="36"/>
      <c r="T1801" s="36"/>
      <c r="V1801" s="31"/>
    </row>
    <row r="1802">
      <c r="A1802" s="14"/>
      <c r="B1802" s="460"/>
      <c r="C1802" s="302"/>
      <c r="D1802" s="50"/>
      <c r="E1802" s="348"/>
      <c r="F1802" s="22"/>
      <c r="G1802" s="22"/>
      <c r="H1802" s="22"/>
      <c r="I1802" s="50"/>
      <c r="J1802" s="351"/>
      <c r="K1802" s="448"/>
      <c r="L1802" s="29"/>
      <c r="M1802" s="31"/>
      <c r="N1802" s="14"/>
      <c r="O1802" s="31"/>
      <c r="Q1802" s="36"/>
      <c r="R1802" s="36"/>
      <c r="S1802" s="36"/>
      <c r="T1802" s="36"/>
      <c r="V1802" s="31"/>
    </row>
    <row r="1803">
      <c r="A1803" s="14"/>
      <c r="B1803" s="460"/>
      <c r="C1803" s="302"/>
      <c r="D1803" s="50"/>
      <c r="E1803" s="348"/>
      <c r="F1803" s="22"/>
      <c r="G1803" s="22"/>
      <c r="H1803" s="22"/>
      <c r="I1803" s="50"/>
      <c r="J1803" s="351"/>
      <c r="K1803" s="448"/>
      <c r="L1803" s="29"/>
      <c r="M1803" s="31"/>
      <c r="N1803" s="14"/>
      <c r="O1803" s="31"/>
      <c r="Q1803" s="36"/>
      <c r="R1803" s="36"/>
      <c r="S1803" s="36"/>
      <c r="T1803" s="36"/>
      <c r="V1803" s="31"/>
    </row>
    <row r="1804">
      <c r="A1804" s="14"/>
      <c r="B1804" s="460"/>
      <c r="C1804" s="302"/>
      <c r="D1804" s="50"/>
      <c r="E1804" s="348"/>
      <c r="F1804" s="22"/>
      <c r="G1804" s="22"/>
      <c r="H1804" s="22"/>
      <c r="I1804" s="50"/>
      <c r="J1804" s="351"/>
      <c r="K1804" s="448"/>
      <c r="L1804" s="29"/>
      <c r="M1804" s="31"/>
      <c r="N1804" s="14"/>
      <c r="O1804" s="31"/>
      <c r="Q1804" s="36"/>
      <c r="R1804" s="36"/>
      <c r="S1804" s="36"/>
      <c r="T1804" s="36"/>
      <c r="V1804" s="31"/>
    </row>
    <row r="1805">
      <c r="A1805" s="14"/>
      <c r="B1805" s="460"/>
      <c r="C1805" s="302"/>
      <c r="D1805" s="50"/>
      <c r="E1805" s="348"/>
      <c r="F1805" s="22"/>
      <c r="G1805" s="22"/>
      <c r="H1805" s="22"/>
      <c r="I1805" s="50"/>
      <c r="J1805" s="351"/>
      <c r="K1805" s="448"/>
      <c r="L1805" s="29"/>
      <c r="M1805" s="31"/>
      <c r="N1805" s="14"/>
      <c r="O1805" s="31"/>
      <c r="Q1805" s="36"/>
      <c r="R1805" s="36"/>
      <c r="S1805" s="36"/>
      <c r="T1805" s="36"/>
      <c r="V1805" s="31"/>
    </row>
    <row r="1806">
      <c r="A1806" s="14"/>
      <c r="B1806" s="460"/>
      <c r="C1806" s="302"/>
      <c r="D1806" s="50"/>
      <c r="E1806" s="348"/>
      <c r="F1806" s="22"/>
      <c r="G1806" s="22"/>
      <c r="H1806" s="22"/>
      <c r="I1806" s="50"/>
      <c r="J1806" s="351"/>
      <c r="K1806" s="448"/>
      <c r="L1806" s="29"/>
      <c r="M1806" s="31"/>
      <c r="N1806" s="14"/>
      <c r="O1806" s="31"/>
      <c r="Q1806" s="36"/>
      <c r="R1806" s="36"/>
      <c r="S1806" s="36"/>
      <c r="T1806" s="36"/>
      <c r="V1806" s="31"/>
    </row>
    <row r="1807">
      <c r="A1807" s="14"/>
      <c r="B1807" s="460"/>
      <c r="C1807" s="302"/>
      <c r="D1807" s="50"/>
      <c r="E1807" s="348"/>
      <c r="F1807" s="22"/>
      <c r="G1807" s="22"/>
      <c r="H1807" s="22"/>
      <c r="I1807" s="50"/>
      <c r="J1807" s="351"/>
      <c r="K1807" s="448"/>
      <c r="L1807" s="29"/>
      <c r="M1807" s="31"/>
      <c r="N1807" s="14"/>
      <c r="O1807" s="31"/>
      <c r="Q1807" s="36"/>
      <c r="R1807" s="36"/>
      <c r="S1807" s="36"/>
      <c r="T1807" s="36"/>
      <c r="V1807" s="31"/>
    </row>
    <row r="1808">
      <c r="A1808" s="14"/>
      <c r="B1808" s="460"/>
      <c r="C1808" s="302"/>
      <c r="D1808" s="50"/>
      <c r="E1808" s="348"/>
      <c r="F1808" s="22"/>
      <c r="G1808" s="22"/>
      <c r="H1808" s="22"/>
      <c r="I1808" s="50"/>
      <c r="J1808" s="351"/>
      <c r="K1808" s="448"/>
      <c r="L1808" s="29"/>
      <c r="M1808" s="31"/>
      <c r="N1808" s="14"/>
      <c r="O1808" s="31"/>
      <c r="Q1808" s="36"/>
      <c r="R1808" s="36"/>
      <c r="S1808" s="36"/>
      <c r="T1808" s="36"/>
      <c r="V1808" s="31"/>
    </row>
    <row r="1809">
      <c r="A1809" s="14"/>
      <c r="B1809" s="460"/>
      <c r="C1809" s="302"/>
      <c r="D1809" s="50"/>
      <c r="E1809" s="348"/>
      <c r="F1809" s="22"/>
      <c r="G1809" s="22"/>
      <c r="H1809" s="22"/>
      <c r="I1809" s="50"/>
      <c r="J1809" s="351"/>
      <c r="K1809" s="448"/>
      <c r="L1809" s="29"/>
      <c r="M1809" s="31"/>
      <c r="N1809" s="14"/>
      <c r="O1809" s="31"/>
      <c r="Q1809" s="36"/>
      <c r="R1809" s="36"/>
      <c r="S1809" s="36"/>
      <c r="T1809" s="36"/>
      <c r="V1809" s="31"/>
    </row>
    <row r="1810">
      <c r="A1810" s="14"/>
      <c r="B1810" s="460"/>
      <c r="C1810" s="302"/>
      <c r="D1810" s="50"/>
      <c r="E1810" s="348"/>
      <c r="F1810" s="22"/>
      <c r="G1810" s="22"/>
      <c r="H1810" s="22"/>
      <c r="I1810" s="50"/>
      <c r="J1810" s="351"/>
      <c r="K1810" s="448"/>
      <c r="L1810" s="29"/>
      <c r="M1810" s="31"/>
      <c r="N1810" s="14"/>
      <c r="O1810" s="31"/>
      <c r="Q1810" s="36"/>
      <c r="R1810" s="36"/>
      <c r="S1810" s="36"/>
      <c r="T1810" s="36"/>
      <c r="V1810" s="31"/>
    </row>
    <row r="1811">
      <c r="A1811" s="14"/>
      <c r="B1811" s="460"/>
      <c r="C1811" s="302"/>
      <c r="D1811" s="50"/>
      <c r="E1811" s="348"/>
      <c r="F1811" s="22"/>
      <c r="G1811" s="22"/>
      <c r="H1811" s="22"/>
      <c r="I1811" s="50"/>
      <c r="J1811" s="351"/>
      <c r="K1811" s="448"/>
      <c r="L1811" s="29"/>
      <c r="M1811" s="31"/>
      <c r="N1811" s="14"/>
      <c r="O1811" s="31"/>
      <c r="Q1811" s="36"/>
      <c r="R1811" s="36"/>
      <c r="S1811" s="36"/>
      <c r="T1811" s="36"/>
      <c r="V1811" s="31"/>
    </row>
    <row r="1812">
      <c r="A1812" s="14"/>
      <c r="B1812" s="460"/>
      <c r="C1812" s="302"/>
      <c r="D1812" s="50"/>
      <c r="E1812" s="348"/>
      <c r="F1812" s="22"/>
      <c r="G1812" s="22"/>
      <c r="H1812" s="22"/>
      <c r="I1812" s="50"/>
      <c r="J1812" s="351"/>
      <c r="K1812" s="448"/>
      <c r="L1812" s="29"/>
      <c r="M1812" s="31"/>
      <c r="N1812" s="14"/>
      <c r="O1812" s="31"/>
      <c r="Q1812" s="36"/>
      <c r="R1812" s="36"/>
      <c r="S1812" s="36"/>
      <c r="T1812" s="36"/>
      <c r="V1812" s="31"/>
    </row>
    <row r="1813">
      <c r="A1813" s="14"/>
      <c r="B1813" s="460"/>
      <c r="C1813" s="302"/>
      <c r="D1813" s="50"/>
      <c r="E1813" s="348"/>
      <c r="F1813" s="22"/>
      <c r="G1813" s="22"/>
      <c r="H1813" s="22"/>
      <c r="I1813" s="50"/>
      <c r="J1813" s="351"/>
      <c r="K1813" s="448"/>
      <c r="L1813" s="29"/>
      <c r="M1813" s="31"/>
      <c r="N1813" s="14"/>
      <c r="O1813" s="31"/>
      <c r="Q1813" s="36"/>
      <c r="R1813" s="36"/>
      <c r="S1813" s="36"/>
      <c r="T1813" s="36"/>
      <c r="V1813" s="31"/>
    </row>
    <row r="1814">
      <c r="A1814" s="14"/>
      <c r="B1814" s="460"/>
      <c r="C1814" s="302"/>
      <c r="D1814" s="50"/>
      <c r="E1814" s="348"/>
      <c r="F1814" s="22"/>
      <c r="G1814" s="22"/>
      <c r="H1814" s="22"/>
      <c r="I1814" s="50"/>
      <c r="J1814" s="351"/>
      <c r="K1814" s="448"/>
      <c r="L1814" s="29"/>
      <c r="M1814" s="31"/>
      <c r="N1814" s="14"/>
      <c r="O1814" s="31"/>
      <c r="Q1814" s="36"/>
      <c r="R1814" s="36"/>
      <c r="S1814" s="36"/>
      <c r="T1814" s="36"/>
      <c r="V1814" s="31"/>
    </row>
    <row r="1815">
      <c r="A1815" s="14"/>
      <c r="B1815" s="460"/>
      <c r="C1815" s="302"/>
      <c r="D1815" s="50"/>
      <c r="E1815" s="348"/>
      <c r="F1815" s="22"/>
      <c r="G1815" s="22"/>
      <c r="H1815" s="22"/>
      <c r="I1815" s="50"/>
      <c r="J1815" s="351"/>
      <c r="K1815" s="448"/>
      <c r="L1815" s="29"/>
      <c r="M1815" s="31"/>
      <c r="N1815" s="14"/>
      <c r="O1815" s="31"/>
      <c r="Q1815" s="36"/>
      <c r="R1815" s="36"/>
      <c r="S1815" s="36"/>
      <c r="T1815" s="36"/>
      <c r="V1815" s="31"/>
    </row>
    <row r="1816">
      <c r="A1816" s="14"/>
      <c r="B1816" s="460"/>
      <c r="C1816" s="302"/>
      <c r="D1816" s="50"/>
      <c r="E1816" s="348"/>
      <c r="F1816" s="22"/>
      <c r="G1816" s="22"/>
      <c r="H1816" s="22"/>
      <c r="I1816" s="50"/>
      <c r="J1816" s="351"/>
      <c r="K1816" s="448"/>
      <c r="L1816" s="29"/>
      <c r="M1816" s="31"/>
      <c r="N1816" s="14"/>
      <c r="O1816" s="31"/>
      <c r="Q1816" s="36"/>
      <c r="R1816" s="36"/>
      <c r="S1816" s="36"/>
      <c r="T1816" s="36"/>
      <c r="V1816" s="31"/>
    </row>
    <row r="1817">
      <c r="A1817" s="14"/>
      <c r="B1817" s="460"/>
      <c r="C1817" s="302"/>
      <c r="D1817" s="50"/>
      <c r="E1817" s="348"/>
      <c r="F1817" s="22"/>
      <c r="G1817" s="22"/>
      <c r="H1817" s="22"/>
      <c r="I1817" s="50"/>
      <c r="J1817" s="351"/>
      <c r="K1817" s="448"/>
      <c r="L1817" s="29"/>
      <c r="M1817" s="31"/>
      <c r="N1817" s="14"/>
      <c r="O1817" s="31"/>
      <c r="Q1817" s="36"/>
      <c r="R1817" s="36"/>
      <c r="S1817" s="36"/>
      <c r="T1817" s="36"/>
      <c r="V1817" s="31"/>
    </row>
    <row r="1818">
      <c r="A1818" s="14"/>
      <c r="B1818" s="460"/>
      <c r="C1818" s="302"/>
      <c r="D1818" s="50"/>
      <c r="E1818" s="348"/>
      <c r="F1818" s="22"/>
      <c r="G1818" s="22"/>
      <c r="H1818" s="22"/>
      <c r="I1818" s="50"/>
      <c r="J1818" s="351"/>
      <c r="K1818" s="448"/>
      <c r="L1818" s="29"/>
      <c r="M1818" s="31"/>
      <c r="N1818" s="14"/>
      <c r="O1818" s="31"/>
      <c r="Q1818" s="36"/>
      <c r="R1818" s="36"/>
      <c r="S1818" s="36"/>
      <c r="T1818" s="36"/>
      <c r="V1818" s="31"/>
    </row>
    <row r="1819">
      <c r="A1819" s="14"/>
      <c r="B1819" s="460"/>
      <c r="C1819" s="302"/>
      <c r="D1819" s="50"/>
      <c r="E1819" s="348"/>
      <c r="F1819" s="22"/>
      <c r="G1819" s="22"/>
      <c r="H1819" s="22"/>
      <c r="I1819" s="50"/>
      <c r="J1819" s="351"/>
      <c r="K1819" s="448"/>
      <c r="L1819" s="29"/>
      <c r="M1819" s="31"/>
      <c r="N1819" s="14"/>
      <c r="O1819" s="31"/>
      <c r="Q1819" s="36"/>
      <c r="R1819" s="36"/>
      <c r="S1819" s="36"/>
      <c r="T1819" s="36"/>
      <c r="V1819" s="31"/>
    </row>
    <row r="1820">
      <c r="A1820" s="14"/>
      <c r="B1820" s="460"/>
      <c r="C1820" s="302"/>
      <c r="D1820" s="50"/>
      <c r="E1820" s="348"/>
      <c r="F1820" s="22"/>
      <c r="G1820" s="22"/>
      <c r="H1820" s="22"/>
      <c r="I1820" s="50"/>
      <c r="J1820" s="351"/>
      <c r="K1820" s="448"/>
      <c r="L1820" s="29"/>
      <c r="M1820" s="31"/>
      <c r="N1820" s="14"/>
      <c r="O1820" s="31"/>
      <c r="Q1820" s="36"/>
      <c r="R1820" s="36"/>
      <c r="S1820" s="36"/>
      <c r="T1820" s="36"/>
      <c r="V1820" s="31"/>
    </row>
    <row r="1821">
      <c r="A1821" s="14"/>
      <c r="B1821" s="460"/>
      <c r="C1821" s="302"/>
      <c r="D1821" s="50"/>
      <c r="E1821" s="348"/>
      <c r="F1821" s="22"/>
      <c r="G1821" s="22"/>
      <c r="H1821" s="22"/>
      <c r="I1821" s="50"/>
      <c r="J1821" s="351"/>
      <c r="K1821" s="448"/>
      <c r="L1821" s="29"/>
      <c r="M1821" s="31"/>
      <c r="N1821" s="14"/>
      <c r="O1821" s="31"/>
      <c r="Q1821" s="36"/>
      <c r="R1821" s="36"/>
      <c r="S1821" s="36"/>
      <c r="T1821" s="36"/>
      <c r="V1821" s="31"/>
    </row>
    <row r="1822">
      <c r="A1822" s="14"/>
      <c r="B1822" s="460"/>
      <c r="C1822" s="302"/>
      <c r="D1822" s="50"/>
      <c r="E1822" s="348"/>
      <c r="F1822" s="22"/>
      <c r="G1822" s="22"/>
      <c r="H1822" s="22"/>
      <c r="I1822" s="50"/>
      <c r="J1822" s="351"/>
      <c r="K1822" s="448"/>
      <c r="L1822" s="29"/>
      <c r="M1822" s="31"/>
      <c r="N1822" s="14"/>
      <c r="O1822" s="31"/>
      <c r="Q1822" s="36"/>
      <c r="R1822" s="36"/>
      <c r="S1822" s="36"/>
      <c r="T1822" s="36"/>
      <c r="V1822" s="31"/>
    </row>
    <row r="1823">
      <c r="A1823" s="14"/>
      <c r="B1823" s="460"/>
      <c r="C1823" s="302"/>
      <c r="D1823" s="50"/>
      <c r="E1823" s="348"/>
      <c r="F1823" s="22"/>
      <c r="G1823" s="22"/>
      <c r="H1823" s="22"/>
      <c r="I1823" s="50"/>
      <c r="J1823" s="351"/>
      <c r="K1823" s="448"/>
      <c r="L1823" s="29"/>
      <c r="M1823" s="31"/>
      <c r="N1823" s="14"/>
      <c r="O1823" s="31"/>
      <c r="Q1823" s="36"/>
      <c r="R1823" s="36"/>
      <c r="S1823" s="36"/>
      <c r="T1823" s="36"/>
      <c r="V1823" s="31"/>
    </row>
    <row r="1824">
      <c r="A1824" s="14"/>
      <c r="B1824" s="460"/>
      <c r="C1824" s="302"/>
      <c r="D1824" s="50"/>
      <c r="E1824" s="348"/>
      <c r="F1824" s="22"/>
      <c r="G1824" s="22"/>
      <c r="H1824" s="22"/>
      <c r="I1824" s="50"/>
      <c r="J1824" s="351"/>
      <c r="K1824" s="448"/>
      <c r="L1824" s="29"/>
      <c r="M1824" s="31"/>
      <c r="N1824" s="14"/>
      <c r="O1824" s="31"/>
      <c r="Q1824" s="36"/>
      <c r="R1824" s="36"/>
      <c r="S1824" s="36"/>
      <c r="T1824" s="36"/>
      <c r="V1824" s="31"/>
    </row>
    <row r="1825">
      <c r="A1825" s="14"/>
      <c r="B1825" s="460"/>
      <c r="C1825" s="302"/>
      <c r="D1825" s="50"/>
      <c r="E1825" s="348"/>
      <c r="F1825" s="22"/>
      <c r="G1825" s="22"/>
      <c r="H1825" s="22"/>
      <c r="I1825" s="50"/>
      <c r="J1825" s="351"/>
      <c r="K1825" s="448"/>
      <c r="L1825" s="29"/>
      <c r="M1825" s="31"/>
      <c r="N1825" s="14"/>
      <c r="O1825" s="31"/>
      <c r="Q1825" s="36"/>
      <c r="R1825" s="36"/>
      <c r="S1825" s="36"/>
      <c r="T1825" s="36"/>
      <c r="V1825" s="31"/>
    </row>
    <row r="1826">
      <c r="A1826" s="14"/>
      <c r="B1826" s="460"/>
      <c r="C1826" s="302"/>
      <c r="D1826" s="50"/>
      <c r="E1826" s="348"/>
      <c r="F1826" s="22"/>
      <c r="G1826" s="22"/>
      <c r="H1826" s="22"/>
      <c r="I1826" s="50"/>
      <c r="J1826" s="351"/>
      <c r="K1826" s="448"/>
      <c r="L1826" s="29"/>
      <c r="M1826" s="31"/>
      <c r="N1826" s="14"/>
      <c r="O1826" s="31"/>
      <c r="Q1826" s="36"/>
      <c r="R1826" s="36"/>
      <c r="S1826" s="36"/>
      <c r="T1826" s="36"/>
      <c r="V1826" s="31"/>
    </row>
    <row r="1827">
      <c r="A1827" s="14"/>
      <c r="B1827" s="460"/>
      <c r="C1827" s="302"/>
      <c r="D1827" s="50"/>
      <c r="E1827" s="348"/>
      <c r="F1827" s="22"/>
      <c r="G1827" s="22"/>
      <c r="H1827" s="22"/>
      <c r="I1827" s="50"/>
      <c r="J1827" s="351"/>
      <c r="K1827" s="448"/>
      <c r="L1827" s="29"/>
      <c r="M1827" s="31"/>
      <c r="N1827" s="14"/>
      <c r="O1827" s="31"/>
      <c r="Q1827" s="36"/>
      <c r="R1827" s="36"/>
      <c r="S1827" s="36"/>
      <c r="T1827" s="36"/>
      <c r="V1827" s="31"/>
    </row>
    <row r="1828">
      <c r="A1828" s="14"/>
      <c r="B1828" s="460"/>
      <c r="C1828" s="302"/>
      <c r="D1828" s="50"/>
      <c r="E1828" s="348"/>
      <c r="F1828" s="22"/>
      <c r="G1828" s="22"/>
      <c r="H1828" s="22"/>
      <c r="I1828" s="50"/>
      <c r="J1828" s="351"/>
      <c r="K1828" s="448"/>
      <c r="L1828" s="29"/>
      <c r="M1828" s="31"/>
      <c r="N1828" s="14"/>
      <c r="O1828" s="31"/>
      <c r="Q1828" s="36"/>
      <c r="R1828" s="36"/>
      <c r="S1828" s="36"/>
      <c r="T1828" s="36"/>
      <c r="V1828" s="31"/>
    </row>
    <row r="1829">
      <c r="A1829" s="14"/>
      <c r="B1829" s="460"/>
      <c r="C1829" s="302"/>
      <c r="D1829" s="50"/>
      <c r="E1829" s="348"/>
      <c r="F1829" s="22"/>
      <c r="G1829" s="22"/>
      <c r="H1829" s="22"/>
      <c r="I1829" s="50"/>
      <c r="J1829" s="351"/>
      <c r="K1829" s="448"/>
      <c r="L1829" s="29"/>
      <c r="M1829" s="31"/>
      <c r="N1829" s="14"/>
      <c r="O1829" s="31"/>
      <c r="Q1829" s="36"/>
      <c r="R1829" s="36"/>
      <c r="S1829" s="36"/>
      <c r="T1829" s="36"/>
      <c r="V1829" s="31"/>
    </row>
    <row r="1830">
      <c r="A1830" s="14"/>
      <c r="B1830" s="460"/>
      <c r="C1830" s="302"/>
      <c r="D1830" s="50"/>
      <c r="E1830" s="348"/>
      <c r="F1830" s="22"/>
      <c r="G1830" s="22"/>
      <c r="H1830" s="22"/>
      <c r="I1830" s="50"/>
      <c r="J1830" s="351"/>
      <c r="K1830" s="448"/>
      <c r="L1830" s="29"/>
      <c r="M1830" s="31"/>
      <c r="N1830" s="14"/>
      <c r="O1830" s="31"/>
      <c r="Q1830" s="36"/>
      <c r="R1830" s="36"/>
      <c r="S1830" s="36"/>
      <c r="T1830" s="36"/>
      <c r="V1830" s="31"/>
    </row>
    <row r="1831">
      <c r="A1831" s="14"/>
      <c r="B1831" s="460"/>
      <c r="C1831" s="302"/>
      <c r="D1831" s="50"/>
      <c r="E1831" s="348"/>
      <c r="F1831" s="22"/>
      <c r="G1831" s="22"/>
      <c r="H1831" s="22"/>
      <c r="I1831" s="50"/>
      <c r="J1831" s="351"/>
      <c r="K1831" s="448"/>
      <c r="L1831" s="29"/>
      <c r="M1831" s="31"/>
      <c r="N1831" s="14"/>
      <c r="O1831" s="31"/>
      <c r="Q1831" s="36"/>
      <c r="R1831" s="36"/>
      <c r="S1831" s="36"/>
      <c r="T1831" s="36"/>
      <c r="V1831" s="31"/>
    </row>
    <row r="1832">
      <c r="A1832" s="14"/>
      <c r="B1832" s="460"/>
      <c r="C1832" s="302"/>
      <c r="D1832" s="50"/>
      <c r="E1832" s="348"/>
      <c r="F1832" s="22"/>
      <c r="G1832" s="22"/>
      <c r="H1832" s="22"/>
      <c r="I1832" s="50"/>
      <c r="J1832" s="351"/>
      <c r="K1832" s="448"/>
      <c r="L1832" s="29"/>
      <c r="M1832" s="31"/>
      <c r="N1832" s="14"/>
      <c r="O1832" s="31"/>
      <c r="Q1832" s="36"/>
      <c r="R1832" s="36"/>
      <c r="S1832" s="36"/>
      <c r="T1832" s="36"/>
      <c r="V1832" s="31"/>
    </row>
    <row r="1833">
      <c r="A1833" s="14"/>
      <c r="B1833" s="460"/>
      <c r="C1833" s="302"/>
      <c r="D1833" s="50"/>
      <c r="E1833" s="348"/>
      <c r="F1833" s="22"/>
      <c r="G1833" s="22"/>
      <c r="H1833" s="22"/>
      <c r="I1833" s="50"/>
      <c r="J1833" s="351"/>
      <c r="K1833" s="448"/>
      <c r="L1833" s="29"/>
      <c r="M1833" s="31"/>
      <c r="N1833" s="14"/>
      <c r="O1833" s="31"/>
      <c r="Q1833" s="36"/>
      <c r="R1833" s="36"/>
      <c r="S1833" s="36"/>
      <c r="T1833" s="36"/>
      <c r="V1833" s="31"/>
    </row>
    <row r="1834">
      <c r="A1834" s="14"/>
      <c r="B1834" s="460"/>
      <c r="C1834" s="302"/>
      <c r="D1834" s="50"/>
      <c r="E1834" s="348"/>
      <c r="F1834" s="22"/>
      <c r="G1834" s="22"/>
      <c r="H1834" s="22"/>
      <c r="I1834" s="50"/>
      <c r="J1834" s="351"/>
      <c r="K1834" s="448"/>
      <c r="L1834" s="29"/>
      <c r="M1834" s="31"/>
      <c r="N1834" s="14"/>
      <c r="O1834" s="31"/>
      <c r="Q1834" s="36"/>
      <c r="R1834" s="36"/>
      <c r="S1834" s="36"/>
      <c r="T1834" s="36"/>
      <c r="V1834" s="31"/>
    </row>
    <row r="1835">
      <c r="A1835" s="14"/>
      <c r="B1835" s="460"/>
      <c r="C1835" s="302"/>
      <c r="D1835" s="50"/>
      <c r="E1835" s="348"/>
      <c r="F1835" s="22"/>
      <c r="G1835" s="22"/>
      <c r="H1835" s="22"/>
      <c r="I1835" s="50"/>
      <c r="J1835" s="351"/>
      <c r="K1835" s="448"/>
      <c r="L1835" s="29"/>
      <c r="M1835" s="31"/>
      <c r="N1835" s="14"/>
      <c r="O1835" s="31"/>
      <c r="Q1835" s="36"/>
      <c r="R1835" s="36"/>
      <c r="S1835" s="36"/>
      <c r="T1835" s="36"/>
      <c r="V1835" s="31"/>
    </row>
    <row r="1836">
      <c r="A1836" s="14"/>
      <c r="B1836" s="460"/>
      <c r="C1836" s="302"/>
      <c r="D1836" s="50"/>
      <c r="E1836" s="348"/>
      <c r="F1836" s="22"/>
      <c r="G1836" s="22"/>
      <c r="H1836" s="22"/>
      <c r="I1836" s="50"/>
      <c r="J1836" s="351"/>
      <c r="K1836" s="448"/>
      <c r="L1836" s="29"/>
      <c r="M1836" s="31"/>
      <c r="N1836" s="14"/>
      <c r="O1836" s="31"/>
      <c r="Q1836" s="36"/>
      <c r="R1836" s="36"/>
      <c r="S1836" s="36"/>
      <c r="T1836" s="36"/>
      <c r="V1836" s="31"/>
    </row>
    <row r="1837">
      <c r="A1837" s="14"/>
      <c r="B1837" s="460"/>
      <c r="C1837" s="302"/>
      <c r="D1837" s="50"/>
      <c r="E1837" s="348"/>
      <c r="F1837" s="22"/>
      <c r="G1837" s="22"/>
      <c r="H1837" s="22"/>
      <c r="I1837" s="50"/>
      <c r="J1837" s="351"/>
      <c r="K1837" s="448"/>
      <c r="L1837" s="29"/>
      <c r="M1837" s="31"/>
      <c r="N1837" s="14"/>
      <c r="O1837" s="31"/>
      <c r="Q1837" s="36"/>
      <c r="R1837" s="36"/>
      <c r="S1837" s="36"/>
      <c r="T1837" s="36"/>
      <c r="V1837" s="31"/>
    </row>
    <row r="1838">
      <c r="A1838" s="14"/>
      <c r="B1838" s="460"/>
      <c r="C1838" s="302"/>
      <c r="D1838" s="50"/>
      <c r="E1838" s="348"/>
      <c r="F1838" s="22"/>
      <c r="G1838" s="22"/>
      <c r="H1838" s="22"/>
      <c r="I1838" s="50"/>
      <c r="J1838" s="351"/>
      <c r="K1838" s="448"/>
      <c r="L1838" s="29"/>
      <c r="M1838" s="31"/>
      <c r="N1838" s="14"/>
      <c r="O1838" s="31"/>
      <c r="Q1838" s="36"/>
      <c r="R1838" s="36"/>
      <c r="S1838" s="36"/>
      <c r="T1838" s="36"/>
      <c r="V1838" s="31"/>
    </row>
    <row r="1839">
      <c r="A1839" s="14"/>
      <c r="B1839" s="460"/>
      <c r="C1839" s="302"/>
      <c r="D1839" s="50"/>
      <c r="E1839" s="348"/>
      <c r="F1839" s="22"/>
      <c r="G1839" s="22"/>
      <c r="H1839" s="22"/>
      <c r="I1839" s="50"/>
      <c r="J1839" s="351"/>
      <c r="K1839" s="448"/>
      <c r="L1839" s="29"/>
      <c r="M1839" s="31"/>
      <c r="N1839" s="14"/>
      <c r="O1839" s="31"/>
      <c r="Q1839" s="36"/>
      <c r="R1839" s="36"/>
      <c r="S1839" s="36"/>
      <c r="T1839" s="36"/>
      <c r="V1839" s="31"/>
    </row>
    <row r="1840">
      <c r="A1840" s="14"/>
      <c r="B1840" s="460"/>
      <c r="C1840" s="302"/>
      <c r="D1840" s="50"/>
      <c r="E1840" s="348"/>
      <c r="F1840" s="22"/>
      <c r="G1840" s="22"/>
      <c r="H1840" s="22"/>
      <c r="I1840" s="50"/>
      <c r="J1840" s="351"/>
      <c r="K1840" s="448"/>
      <c r="L1840" s="29"/>
      <c r="M1840" s="31"/>
      <c r="N1840" s="14"/>
      <c r="O1840" s="31"/>
      <c r="Q1840" s="36"/>
      <c r="R1840" s="36"/>
      <c r="S1840" s="36"/>
      <c r="T1840" s="36"/>
      <c r="V1840" s="31"/>
    </row>
    <row r="1841">
      <c r="A1841" s="14"/>
      <c r="B1841" s="460"/>
      <c r="C1841" s="302"/>
      <c r="D1841" s="50"/>
      <c r="E1841" s="348"/>
      <c r="F1841" s="22"/>
      <c r="G1841" s="22"/>
      <c r="H1841" s="22"/>
      <c r="I1841" s="50"/>
      <c r="J1841" s="351"/>
      <c r="K1841" s="448"/>
      <c r="L1841" s="29"/>
      <c r="M1841" s="31"/>
      <c r="N1841" s="14"/>
      <c r="O1841" s="31"/>
      <c r="Q1841" s="36"/>
      <c r="R1841" s="36"/>
      <c r="S1841" s="36"/>
      <c r="T1841" s="36"/>
      <c r="V1841" s="31"/>
    </row>
    <row r="1842">
      <c r="A1842" s="14"/>
      <c r="B1842" s="460"/>
      <c r="C1842" s="302"/>
      <c r="D1842" s="50"/>
      <c r="E1842" s="348"/>
      <c r="F1842" s="22"/>
      <c r="G1842" s="22"/>
      <c r="H1842" s="22"/>
      <c r="I1842" s="50"/>
      <c r="J1842" s="351"/>
      <c r="K1842" s="448"/>
      <c r="L1842" s="29"/>
      <c r="M1842" s="31"/>
      <c r="N1842" s="14"/>
      <c r="O1842" s="31"/>
      <c r="Q1842" s="36"/>
      <c r="R1842" s="36"/>
      <c r="S1842" s="36"/>
      <c r="T1842" s="36"/>
      <c r="V1842" s="31"/>
    </row>
    <row r="1843">
      <c r="A1843" s="14"/>
      <c r="B1843" s="460"/>
      <c r="C1843" s="302"/>
      <c r="D1843" s="50"/>
      <c r="E1843" s="348"/>
      <c r="F1843" s="22"/>
      <c r="G1843" s="22"/>
      <c r="H1843" s="22"/>
      <c r="I1843" s="50"/>
      <c r="J1843" s="351"/>
      <c r="K1843" s="448"/>
      <c r="L1843" s="29"/>
      <c r="M1843" s="31"/>
      <c r="N1843" s="14"/>
      <c r="O1843" s="31"/>
      <c r="Q1843" s="36"/>
      <c r="R1843" s="36"/>
      <c r="S1843" s="36"/>
      <c r="T1843" s="36"/>
      <c r="V1843" s="31"/>
    </row>
    <row r="1844">
      <c r="A1844" s="14"/>
      <c r="B1844" s="460"/>
      <c r="C1844" s="302"/>
      <c r="D1844" s="50"/>
      <c r="E1844" s="348"/>
      <c r="F1844" s="22"/>
      <c r="G1844" s="22"/>
      <c r="H1844" s="22"/>
      <c r="I1844" s="50"/>
      <c r="J1844" s="351"/>
      <c r="K1844" s="448"/>
      <c r="L1844" s="29"/>
      <c r="M1844" s="31"/>
      <c r="N1844" s="14"/>
      <c r="O1844" s="31"/>
      <c r="Q1844" s="36"/>
      <c r="R1844" s="36"/>
      <c r="S1844" s="36"/>
      <c r="T1844" s="36"/>
      <c r="V1844" s="31"/>
    </row>
    <row r="1845">
      <c r="A1845" s="14"/>
      <c r="B1845" s="460"/>
      <c r="C1845" s="302"/>
      <c r="D1845" s="50"/>
      <c r="E1845" s="348"/>
      <c r="F1845" s="22"/>
      <c r="G1845" s="22"/>
      <c r="H1845" s="22"/>
      <c r="I1845" s="50"/>
      <c r="J1845" s="351"/>
      <c r="K1845" s="448"/>
      <c r="L1845" s="29"/>
      <c r="M1845" s="31"/>
      <c r="N1845" s="14"/>
      <c r="O1845" s="31"/>
      <c r="Q1845" s="36"/>
      <c r="R1845" s="36"/>
      <c r="S1845" s="36"/>
      <c r="T1845" s="36"/>
      <c r="V1845" s="31"/>
    </row>
    <row r="1846">
      <c r="A1846" s="14"/>
      <c r="B1846" s="460"/>
      <c r="C1846" s="302"/>
      <c r="D1846" s="50"/>
      <c r="E1846" s="348"/>
      <c r="F1846" s="22"/>
      <c r="G1846" s="22"/>
      <c r="H1846" s="22"/>
      <c r="I1846" s="50"/>
      <c r="J1846" s="351"/>
      <c r="K1846" s="448"/>
      <c r="L1846" s="29"/>
      <c r="M1846" s="31"/>
      <c r="N1846" s="14"/>
      <c r="O1846" s="31"/>
      <c r="Q1846" s="36"/>
      <c r="R1846" s="36"/>
      <c r="S1846" s="36"/>
      <c r="T1846" s="36"/>
      <c r="V1846" s="31"/>
    </row>
    <row r="1847">
      <c r="A1847" s="14"/>
      <c r="B1847" s="460"/>
      <c r="C1847" s="302"/>
      <c r="D1847" s="50"/>
      <c r="E1847" s="348"/>
      <c r="F1847" s="22"/>
      <c r="G1847" s="22"/>
      <c r="H1847" s="22"/>
      <c r="I1847" s="50"/>
      <c r="J1847" s="351"/>
      <c r="K1847" s="448"/>
      <c r="L1847" s="29"/>
      <c r="M1847" s="31"/>
      <c r="N1847" s="14"/>
      <c r="O1847" s="31"/>
      <c r="Q1847" s="36"/>
      <c r="R1847" s="36"/>
      <c r="S1847" s="36"/>
      <c r="T1847" s="36"/>
      <c r="V1847" s="31"/>
    </row>
    <row r="1848">
      <c r="A1848" s="14"/>
      <c r="B1848" s="460"/>
      <c r="C1848" s="302"/>
      <c r="D1848" s="50"/>
      <c r="E1848" s="348"/>
      <c r="F1848" s="22"/>
      <c r="G1848" s="22"/>
      <c r="H1848" s="22"/>
      <c r="I1848" s="50"/>
      <c r="J1848" s="351"/>
      <c r="K1848" s="448"/>
      <c r="L1848" s="29"/>
      <c r="M1848" s="31"/>
      <c r="N1848" s="14"/>
      <c r="O1848" s="31"/>
      <c r="Q1848" s="36"/>
      <c r="R1848" s="36"/>
      <c r="S1848" s="36"/>
      <c r="T1848" s="36"/>
      <c r="V1848" s="31"/>
    </row>
    <row r="1849">
      <c r="A1849" s="14"/>
      <c r="B1849" s="460"/>
      <c r="C1849" s="302"/>
      <c r="D1849" s="50"/>
      <c r="E1849" s="348"/>
      <c r="F1849" s="22"/>
      <c r="G1849" s="22"/>
      <c r="H1849" s="22"/>
      <c r="I1849" s="50"/>
      <c r="J1849" s="351"/>
      <c r="K1849" s="448"/>
      <c r="L1849" s="29"/>
      <c r="M1849" s="31"/>
      <c r="N1849" s="14"/>
      <c r="O1849" s="31"/>
      <c r="Q1849" s="36"/>
      <c r="R1849" s="36"/>
      <c r="S1849" s="36"/>
      <c r="T1849" s="36"/>
      <c r="V1849" s="31"/>
    </row>
    <row r="1850">
      <c r="A1850" s="14"/>
      <c r="B1850" s="460"/>
      <c r="C1850" s="302"/>
      <c r="D1850" s="50"/>
      <c r="E1850" s="348"/>
      <c r="F1850" s="22"/>
      <c r="G1850" s="22"/>
      <c r="H1850" s="22"/>
      <c r="I1850" s="50"/>
      <c r="J1850" s="351"/>
      <c r="K1850" s="448"/>
      <c r="L1850" s="29"/>
      <c r="M1850" s="31"/>
      <c r="N1850" s="14"/>
      <c r="O1850" s="31"/>
      <c r="Q1850" s="36"/>
      <c r="R1850" s="36"/>
      <c r="S1850" s="36"/>
      <c r="T1850" s="36"/>
      <c r="V1850" s="31"/>
    </row>
    <row r="1851">
      <c r="A1851" s="14"/>
      <c r="B1851" s="460"/>
      <c r="C1851" s="302"/>
      <c r="D1851" s="50"/>
      <c r="E1851" s="348"/>
      <c r="F1851" s="22"/>
      <c r="G1851" s="22"/>
      <c r="H1851" s="22"/>
      <c r="I1851" s="50"/>
      <c r="J1851" s="351"/>
      <c r="K1851" s="448"/>
      <c r="L1851" s="29"/>
      <c r="M1851" s="31"/>
      <c r="N1851" s="14"/>
      <c r="O1851" s="31"/>
      <c r="Q1851" s="36"/>
      <c r="R1851" s="36"/>
      <c r="S1851" s="36"/>
      <c r="T1851" s="36"/>
      <c r="V1851" s="31"/>
    </row>
    <row r="1852">
      <c r="A1852" s="14"/>
      <c r="B1852" s="460"/>
      <c r="C1852" s="302"/>
      <c r="D1852" s="50"/>
      <c r="E1852" s="348"/>
      <c r="F1852" s="22"/>
      <c r="G1852" s="22"/>
      <c r="H1852" s="22"/>
      <c r="I1852" s="50"/>
      <c r="J1852" s="351"/>
      <c r="K1852" s="448"/>
      <c r="L1852" s="29"/>
      <c r="M1852" s="31"/>
      <c r="N1852" s="14"/>
      <c r="O1852" s="31"/>
      <c r="Q1852" s="36"/>
      <c r="R1852" s="36"/>
      <c r="S1852" s="36"/>
      <c r="T1852" s="36"/>
      <c r="V1852" s="31"/>
    </row>
    <row r="1853">
      <c r="A1853" s="14"/>
      <c r="B1853" s="460"/>
      <c r="C1853" s="302"/>
      <c r="D1853" s="50"/>
      <c r="E1853" s="348"/>
      <c r="F1853" s="22"/>
      <c r="G1853" s="22"/>
      <c r="H1853" s="22"/>
      <c r="I1853" s="50"/>
      <c r="J1853" s="351"/>
      <c r="K1853" s="448"/>
      <c r="L1853" s="29"/>
      <c r="M1853" s="31"/>
      <c r="N1853" s="14"/>
      <c r="O1853" s="31"/>
      <c r="Q1853" s="36"/>
      <c r="R1853" s="36"/>
      <c r="S1853" s="36"/>
      <c r="T1853" s="36"/>
      <c r="V1853" s="31"/>
    </row>
    <row r="1854">
      <c r="A1854" s="14"/>
      <c r="B1854" s="460"/>
      <c r="C1854" s="302"/>
      <c r="D1854" s="50"/>
      <c r="E1854" s="348"/>
      <c r="F1854" s="22"/>
      <c r="G1854" s="22"/>
      <c r="H1854" s="22"/>
      <c r="I1854" s="50"/>
      <c r="J1854" s="351"/>
      <c r="K1854" s="448"/>
      <c r="L1854" s="29"/>
      <c r="M1854" s="31"/>
      <c r="N1854" s="14"/>
      <c r="O1854" s="31"/>
      <c r="Q1854" s="36"/>
      <c r="R1854" s="36"/>
      <c r="S1854" s="36"/>
      <c r="T1854" s="36"/>
      <c r="V1854" s="31"/>
    </row>
    <row r="1855">
      <c r="A1855" s="14"/>
      <c r="B1855" s="460"/>
      <c r="C1855" s="302"/>
      <c r="D1855" s="50"/>
      <c r="E1855" s="348"/>
      <c r="F1855" s="22"/>
      <c r="G1855" s="22"/>
      <c r="H1855" s="22"/>
      <c r="I1855" s="50"/>
      <c r="J1855" s="351"/>
      <c r="K1855" s="448"/>
      <c r="L1855" s="29"/>
      <c r="M1855" s="31"/>
      <c r="N1855" s="14"/>
      <c r="O1855" s="31"/>
      <c r="Q1855" s="36"/>
      <c r="R1855" s="36"/>
      <c r="S1855" s="36"/>
      <c r="T1855" s="36"/>
      <c r="V1855" s="31"/>
    </row>
    <row r="1856">
      <c r="A1856" s="14"/>
      <c r="B1856" s="460"/>
      <c r="C1856" s="302"/>
      <c r="D1856" s="50"/>
      <c r="E1856" s="348"/>
      <c r="F1856" s="22"/>
      <c r="G1856" s="22"/>
      <c r="H1856" s="22"/>
      <c r="I1856" s="50"/>
      <c r="J1856" s="351"/>
      <c r="K1856" s="448"/>
      <c r="L1856" s="29"/>
      <c r="M1856" s="31"/>
      <c r="N1856" s="14"/>
      <c r="O1856" s="31"/>
      <c r="Q1856" s="36"/>
      <c r="R1856" s="36"/>
      <c r="S1856" s="36"/>
      <c r="T1856" s="36"/>
      <c r="V1856" s="31"/>
    </row>
    <row r="1857">
      <c r="A1857" s="14"/>
      <c r="B1857" s="460"/>
      <c r="C1857" s="302"/>
      <c r="D1857" s="50"/>
      <c r="E1857" s="348"/>
      <c r="F1857" s="22"/>
      <c r="G1857" s="22"/>
      <c r="H1857" s="22"/>
      <c r="I1857" s="50"/>
      <c r="J1857" s="351"/>
      <c r="K1857" s="448"/>
      <c r="L1857" s="29"/>
      <c r="M1857" s="31"/>
      <c r="N1857" s="14"/>
      <c r="O1857" s="31"/>
      <c r="Q1857" s="36"/>
      <c r="R1857" s="36"/>
      <c r="S1857" s="36"/>
      <c r="T1857" s="36"/>
      <c r="V1857" s="31"/>
    </row>
    <row r="1858">
      <c r="A1858" s="14"/>
      <c r="B1858" s="460"/>
      <c r="C1858" s="302"/>
      <c r="D1858" s="50"/>
      <c r="E1858" s="348"/>
      <c r="F1858" s="22"/>
      <c r="G1858" s="22"/>
      <c r="H1858" s="22"/>
      <c r="I1858" s="50"/>
      <c r="J1858" s="351"/>
      <c r="K1858" s="448"/>
      <c r="L1858" s="29"/>
      <c r="M1858" s="31"/>
      <c r="N1858" s="14"/>
      <c r="O1858" s="31"/>
      <c r="Q1858" s="36"/>
      <c r="R1858" s="36"/>
      <c r="S1858" s="36"/>
      <c r="T1858" s="36"/>
      <c r="V1858" s="31"/>
    </row>
    <row r="1859">
      <c r="A1859" s="14"/>
      <c r="B1859" s="460"/>
      <c r="C1859" s="302"/>
      <c r="D1859" s="50"/>
      <c r="E1859" s="348"/>
      <c r="F1859" s="22"/>
      <c r="G1859" s="22"/>
      <c r="H1859" s="22"/>
      <c r="I1859" s="50"/>
      <c r="J1859" s="351"/>
      <c r="K1859" s="448"/>
      <c r="L1859" s="29"/>
      <c r="M1859" s="31"/>
      <c r="N1859" s="14"/>
      <c r="O1859" s="31"/>
      <c r="Q1859" s="36"/>
      <c r="R1859" s="36"/>
      <c r="S1859" s="36"/>
      <c r="T1859" s="36"/>
      <c r="V1859" s="31"/>
    </row>
    <row r="1860">
      <c r="A1860" s="14"/>
      <c r="B1860" s="460"/>
      <c r="C1860" s="302"/>
      <c r="D1860" s="50"/>
      <c r="E1860" s="348"/>
      <c r="F1860" s="22"/>
      <c r="G1860" s="22"/>
      <c r="H1860" s="22"/>
      <c r="I1860" s="50"/>
      <c r="J1860" s="351"/>
      <c r="K1860" s="448"/>
      <c r="L1860" s="29"/>
      <c r="M1860" s="31"/>
      <c r="N1860" s="14"/>
      <c r="O1860" s="31"/>
      <c r="Q1860" s="36"/>
      <c r="R1860" s="36"/>
      <c r="S1860" s="36"/>
      <c r="T1860" s="36"/>
      <c r="V1860" s="31"/>
    </row>
    <row r="1861">
      <c r="A1861" s="14"/>
      <c r="B1861" s="460"/>
      <c r="C1861" s="302"/>
      <c r="D1861" s="50"/>
      <c r="E1861" s="348"/>
      <c r="F1861" s="22"/>
      <c r="G1861" s="22"/>
      <c r="H1861" s="22"/>
      <c r="I1861" s="50"/>
      <c r="J1861" s="351"/>
      <c r="K1861" s="448"/>
      <c r="L1861" s="29"/>
      <c r="M1861" s="31"/>
      <c r="N1861" s="14"/>
      <c r="O1861" s="31"/>
      <c r="Q1861" s="36"/>
      <c r="R1861" s="36"/>
      <c r="S1861" s="36"/>
      <c r="T1861" s="36"/>
      <c r="V1861" s="31"/>
    </row>
    <row r="1862">
      <c r="A1862" s="14"/>
      <c r="B1862" s="460"/>
      <c r="C1862" s="302"/>
      <c r="D1862" s="50"/>
      <c r="E1862" s="348"/>
      <c r="F1862" s="22"/>
      <c r="G1862" s="22"/>
      <c r="H1862" s="22"/>
      <c r="I1862" s="50"/>
      <c r="J1862" s="351"/>
      <c r="K1862" s="448"/>
      <c r="L1862" s="29"/>
      <c r="M1862" s="31"/>
      <c r="N1862" s="14"/>
      <c r="O1862" s="31"/>
      <c r="Q1862" s="36"/>
      <c r="R1862" s="36"/>
      <c r="S1862" s="36"/>
      <c r="T1862" s="36"/>
      <c r="V1862" s="31"/>
    </row>
    <row r="1863">
      <c r="A1863" s="14"/>
      <c r="B1863" s="460"/>
      <c r="C1863" s="302"/>
      <c r="D1863" s="50"/>
      <c r="E1863" s="348"/>
      <c r="F1863" s="22"/>
      <c r="G1863" s="22"/>
      <c r="H1863" s="22"/>
      <c r="I1863" s="50"/>
      <c r="J1863" s="351"/>
      <c r="K1863" s="448"/>
      <c r="L1863" s="29"/>
      <c r="M1863" s="31"/>
      <c r="N1863" s="14"/>
      <c r="O1863" s="31"/>
      <c r="Q1863" s="36"/>
      <c r="R1863" s="36"/>
      <c r="S1863" s="36"/>
      <c r="T1863" s="36"/>
      <c r="V1863" s="31"/>
    </row>
    <row r="1864">
      <c r="A1864" s="14"/>
      <c r="B1864" s="460"/>
      <c r="C1864" s="302"/>
      <c r="D1864" s="50"/>
      <c r="E1864" s="348"/>
      <c r="F1864" s="22"/>
      <c r="G1864" s="22"/>
      <c r="H1864" s="22"/>
      <c r="I1864" s="50"/>
      <c r="J1864" s="351"/>
      <c r="K1864" s="448"/>
      <c r="L1864" s="29"/>
      <c r="M1864" s="31"/>
      <c r="N1864" s="14"/>
      <c r="O1864" s="31"/>
      <c r="Q1864" s="36"/>
      <c r="R1864" s="36"/>
      <c r="S1864" s="36"/>
      <c r="T1864" s="36"/>
      <c r="V1864" s="31"/>
    </row>
    <row r="1865">
      <c r="A1865" s="14"/>
      <c r="B1865" s="460"/>
      <c r="C1865" s="302"/>
      <c r="D1865" s="50"/>
      <c r="E1865" s="348"/>
      <c r="F1865" s="22"/>
      <c r="G1865" s="22"/>
      <c r="H1865" s="22"/>
      <c r="I1865" s="50"/>
      <c r="J1865" s="351"/>
      <c r="K1865" s="448"/>
      <c r="L1865" s="29"/>
      <c r="M1865" s="31"/>
      <c r="N1865" s="14"/>
      <c r="O1865" s="31"/>
      <c r="Q1865" s="36"/>
      <c r="R1865" s="36"/>
      <c r="S1865" s="36"/>
      <c r="T1865" s="36"/>
      <c r="V1865" s="31"/>
    </row>
    <row r="1866">
      <c r="A1866" s="14"/>
      <c r="B1866" s="460"/>
      <c r="C1866" s="302"/>
      <c r="D1866" s="50"/>
      <c r="E1866" s="348"/>
      <c r="F1866" s="22"/>
      <c r="G1866" s="22"/>
      <c r="H1866" s="22"/>
      <c r="I1866" s="50"/>
      <c r="J1866" s="351"/>
      <c r="K1866" s="448"/>
      <c r="L1866" s="29"/>
      <c r="M1866" s="31"/>
      <c r="N1866" s="14"/>
      <c r="O1866" s="31"/>
      <c r="Q1866" s="36"/>
      <c r="R1866" s="36"/>
      <c r="S1866" s="36"/>
      <c r="T1866" s="36"/>
      <c r="V1866" s="31"/>
    </row>
    <row r="1867">
      <c r="A1867" s="14"/>
      <c r="B1867" s="460"/>
      <c r="C1867" s="302"/>
      <c r="D1867" s="50"/>
      <c r="E1867" s="348"/>
      <c r="F1867" s="22"/>
      <c r="G1867" s="22"/>
      <c r="H1867" s="22"/>
      <c r="I1867" s="50"/>
      <c r="J1867" s="351"/>
      <c r="K1867" s="448"/>
      <c r="L1867" s="29"/>
      <c r="M1867" s="31"/>
      <c r="N1867" s="14"/>
      <c r="O1867" s="31"/>
      <c r="Q1867" s="36"/>
      <c r="R1867" s="36"/>
      <c r="S1867" s="36"/>
      <c r="T1867" s="36"/>
      <c r="V1867" s="31"/>
    </row>
    <row r="1868">
      <c r="A1868" s="14"/>
      <c r="B1868" s="460"/>
      <c r="C1868" s="302"/>
      <c r="D1868" s="50"/>
      <c r="E1868" s="348"/>
      <c r="F1868" s="22"/>
      <c r="G1868" s="22"/>
      <c r="H1868" s="22"/>
      <c r="I1868" s="50"/>
      <c r="J1868" s="351"/>
      <c r="K1868" s="448"/>
      <c r="L1868" s="29"/>
      <c r="M1868" s="31"/>
      <c r="N1868" s="14"/>
      <c r="O1868" s="31"/>
      <c r="Q1868" s="36"/>
      <c r="R1868" s="36"/>
      <c r="S1868" s="36"/>
      <c r="T1868" s="36"/>
      <c r="V1868" s="31"/>
    </row>
    <row r="1869">
      <c r="A1869" s="14"/>
      <c r="B1869" s="460"/>
      <c r="C1869" s="302"/>
      <c r="D1869" s="50"/>
      <c r="E1869" s="348"/>
      <c r="F1869" s="22"/>
      <c r="G1869" s="22"/>
      <c r="H1869" s="22"/>
      <c r="I1869" s="50"/>
      <c r="J1869" s="351"/>
      <c r="K1869" s="448"/>
      <c r="L1869" s="29"/>
      <c r="M1869" s="31"/>
      <c r="N1869" s="14"/>
      <c r="O1869" s="31"/>
      <c r="Q1869" s="36"/>
      <c r="R1869" s="36"/>
      <c r="S1869" s="36"/>
      <c r="T1869" s="36"/>
      <c r="V1869" s="31"/>
    </row>
    <row r="1870">
      <c r="A1870" s="14"/>
      <c r="B1870" s="460"/>
      <c r="C1870" s="302"/>
      <c r="D1870" s="50"/>
      <c r="E1870" s="348"/>
      <c r="F1870" s="22"/>
      <c r="G1870" s="22"/>
      <c r="H1870" s="22"/>
      <c r="I1870" s="50"/>
      <c r="J1870" s="351"/>
      <c r="K1870" s="448"/>
      <c r="L1870" s="29"/>
      <c r="M1870" s="31"/>
      <c r="N1870" s="14"/>
      <c r="O1870" s="31"/>
      <c r="Q1870" s="36"/>
      <c r="R1870" s="36"/>
      <c r="S1870" s="36"/>
      <c r="T1870" s="36"/>
      <c r="V1870" s="31"/>
    </row>
    <row r="1871">
      <c r="A1871" s="14"/>
      <c r="B1871" s="460"/>
      <c r="C1871" s="302"/>
      <c r="D1871" s="50"/>
      <c r="E1871" s="348"/>
      <c r="F1871" s="22"/>
      <c r="G1871" s="22"/>
      <c r="H1871" s="22"/>
      <c r="I1871" s="50"/>
      <c r="J1871" s="351"/>
      <c r="K1871" s="448"/>
      <c r="L1871" s="29"/>
      <c r="M1871" s="31"/>
      <c r="N1871" s="14"/>
      <c r="O1871" s="31"/>
      <c r="Q1871" s="36"/>
      <c r="R1871" s="36"/>
      <c r="S1871" s="36"/>
      <c r="T1871" s="36"/>
      <c r="V1871" s="31"/>
    </row>
    <row r="1872">
      <c r="A1872" s="14"/>
      <c r="B1872" s="460"/>
      <c r="C1872" s="302"/>
      <c r="D1872" s="50"/>
      <c r="E1872" s="348"/>
      <c r="F1872" s="22"/>
      <c r="G1872" s="22"/>
      <c r="H1872" s="22"/>
      <c r="I1872" s="50"/>
      <c r="J1872" s="351"/>
      <c r="K1872" s="448"/>
      <c r="L1872" s="29"/>
      <c r="M1872" s="31"/>
      <c r="N1872" s="14"/>
      <c r="O1872" s="31"/>
      <c r="Q1872" s="36"/>
      <c r="R1872" s="36"/>
      <c r="S1872" s="36"/>
      <c r="T1872" s="36"/>
      <c r="V1872" s="31"/>
    </row>
    <row r="1873">
      <c r="A1873" s="14"/>
      <c r="B1873" s="460"/>
      <c r="C1873" s="302"/>
      <c r="D1873" s="50"/>
      <c r="E1873" s="348"/>
      <c r="F1873" s="22"/>
      <c r="G1873" s="22"/>
      <c r="H1873" s="22"/>
      <c r="I1873" s="50"/>
      <c r="J1873" s="351"/>
      <c r="K1873" s="448"/>
      <c r="L1873" s="29"/>
      <c r="M1873" s="31"/>
      <c r="N1873" s="14"/>
      <c r="O1873" s="31"/>
      <c r="Q1873" s="36"/>
      <c r="R1873" s="36"/>
      <c r="S1873" s="36"/>
      <c r="T1873" s="36"/>
      <c r="V1873" s="31"/>
    </row>
    <row r="1874">
      <c r="A1874" s="14"/>
      <c r="B1874" s="460"/>
      <c r="C1874" s="302"/>
      <c r="D1874" s="50"/>
      <c r="E1874" s="348"/>
      <c r="F1874" s="22"/>
      <c r="G1874" s="22"/>
      <c r="H1874" s="22"/>
      <c r="I1874" s="50"/>
      <c r="J1874" s="351"/>
      <c r="K1874" s="448"/>
      <c r="L1874" s="29"/>
      <c r="M1874" s="31"/>
      <c r="N1874" s="14"/>
      <c r="O1874" s="31"/>
      <c r="Q1874" s="36"/>
      <c r="R1874" s="36"/>
      <c r="S1874" s="36"/>
      <c r="T1874" s="36"/>
      <c r="V1874" s="31"/>
    </row>
    <row r="1875">
      <c r="A1875" s="14"/>
      <c r="B1875" s="460"/>
      <c r="C1875" s="302"/>
      <c r="D1875" s="50"/>
      <c r="E1875" s="348"/>
      <c r="F1875" s="22"/>
      <c r="G1875" s="22"/>
      <c r="H1875" s="22"/>
      <c r="I1875" s="50"/>
      <c r="J1875" s="351"/>
      <c r="K1875" s="448"/>
      <c r="L1875" s="29"/>
      <c r="M1875" s="31"/>
      <c r="N1875" s="14"/>
      <c r="O1875" s="31"/>
      <c r="Q1875" s="36"/>
      <c r="R1875" s="36"/>
      <c r="S1875" s="36"/>
      <c r="T1875" s="36"/>
      <c r="V1875" s="31"/>
    </row>
    <row r="1876">
      <c r="A1876" s="14"/>
      <c r="B1876" s="460"/>
      <c r="C1876" s="302"/>
      <c r="D1876" s="50"/>
      <c r="E1876" s="348"/>
      <c r="F1876" s="22"/>
      <c r="G1876" s="22"/>
      <c r="H1876" s="22"/>
      <c r="I1876" s="50"/>
      <c r="J1876" s="351"/>
      <c r="K1876" s="448"/>
      <c r="L1876" s="29"/>
      <c r="M1876" s="31"/>
      <c r="N1876" s="14"/>
      <c r="O1876" s="31"/>
      <c r="Q1876" s="36"/>
      <c r="R1876" s="36"/>
      <c r="S1876" s="36"/>
      <c r="T1876" s="36"/>
      <c r="V1876" s="31"/>
    </row>
    <row r="1877">
      <c r="A1877" s="14"/>
      <c r="B1877" s="460"/>
      <c r="C1877" s="302"/>
      <c r="D1877" s="50"/>
      <c r="E1877" s="348"/>
      <c r="F1877" s="22"/>
      <c r="G1877" s="22"/>
      <c r="H1877" s="22"/>
      <c r="I1877" s="50"/>
      <c r="J1877" s="351"/>
      <c r="K1877" s="448"/>
      <c r="L1877" s="29"/>
      <c r="M1877" s="31"/>
      <c r="N1877" s="14"/>
      <c r="O1877" s="31"/>
      <c r="Q1877" s="36"/>
      <c r="R1877" s="36"/>
      <c r="S1877" s="36"/>
      <c r="T1877" s="36"/>
      <c r="V1877" s="31"/>
    </row>
    <row r="1878">
      <c r="A1878" s="14"/>
      <c r="B1878" s="460"/>
      <c r="C1878" s="302"/>
      <c r="D1878" s="50"/>
      <c r="E1878" s="348"/>
      <c r="F1878" s="22"/>
      <c r="G1878" s="22"/>
      <c r="H1878" s="22"/>
      <c r="I1878" s="50"/>
      <c r="J1878" s="351"/>
      <c r="K1878" s="448"/>
      <c r="L1878" s="29"/>
      <c r="M1878" s="31"/>
      <c r="N1878" s="14"/>
      <c r="O1878" s="31"/>
      <c r="Q1878" s="36"/>
      <c r="R1878" s="36"/>
      <c r="S1878" s="36"/>
      <c r="T1878" s="36"/>
      <c r="V1878" s="31"/>
    </row>
    <row r="1879">
      <c r="A1879" s="14"/>
      <c r="B1879" s="460"/>
      <c r="C1879" s="302"/>
      <c r="D1879" s="50"/>
      <c r="E1879" s="348"/>
      <c r="F1879" s="22"/>
      <c r="G1879" s="22"/>
      <c r="H1879" s="22"/>
      <c r="I1879" s="50"/>
      <c r="J1879" s="351"/>
      <c r="K1879" s="448"/>
      <c r="L1879" s="29"/>
      <c r="M1879" s="31"/>
      <c r="N1879" s="14"/>
      <c r="O1879" s="31"/>
      <c r="Q1879" s="36"/>
      <c r="R1879" s="36"/>
      <c r="S1879" s="36"/>
      <c r="T1879" s="36"/>
      <c r="V1879" s="31"/>
    </row>
    <row r="1880">
      <c r="A1880" s="14"/>
      <c r="B1880" s="460"/>
      <c r="C1880" s="302"/>
      <c r="D1880" s="50"/>
      <c r="E1880" s="348"/>
      <c r="F1880" s="22"/>
      <c r="G1880" s="22"/>
      <c r="H1880" s="22"/>
      <c r="I1880" s="50"/>
      <c r="J1880" s="351"/>
      <c r="K1880" s="448"/>
      <c r="L1880" s="29"/>
      <c r="M1880" s="31"/>
      <c r="N1880" s="14"/>
      <c r="O1880" s="31"/>
      <c r="Q1880" s="36"/>
      <c r="R1880" s="36"/>
      <c r="S1880" s="36"/>
      <c r="T1880" s="36"/>
      <c r="V1880" s="31"/>
    </row>
    <row r="1881">
      <c r="A1881" s="14"/>
      <c r="B1881" s="460"/>
      <c r="C1881" s="302"/>
      <c r="D1881" s="50"/>
      <c r="E1881" s="348"/>
      <c r="F1881" s="22"/>
      <c r="G1881" s="22"/>
      <c r="H1881" s="22"/>
      <c r="I1881" s="50"/>
      <c r="J1881" s="351"/>
      <c r="K1881" s="448"/>
      <c r="L1881" s="29"/>
      <c r="M1881" s="31"/>
      <c r="N1881" s="14"/>
      <c r="O1881" s="31"/>
      <c r="Q1881" s="36"/>
      <c r="R1881" s="36"/>
      <c r="S1881" s="36"/>
      <c r="T1881" s="36"/>
      <c r="V1881" s="31"/>
    </row>
    <row r="1882">
      <c r="A1882" s="14"/>
      <c r="B1882" s="460"/>
      <c r="C1882" s="302"/>
      <c r="D1882" s="50"/>
      <c r="E1882" s="348"/>
      <c r="F1882" s="22"/>
      <c r="G1882" s="22"/>
      <c r="H1882" s="22"/>
      <c r="I1882" s="50"/>
      <c r="J1882" s="351"/>
      <c r="K1882" s="448"/>
      <c r="L1882" s="29"/>
      <c r="M1882" s="31"/>
      <c r="N1882" s="14"/>
      <c r="O1882" s="31"/>
      <c r="Q1882" s="36"/>
      <c r="R1882" s="36"/>
      <c r="S1882" s="36"/>
      <c r="T1882" s="36"/>
      <c r="V1882" s="31"/>
    </row>
    <row r="1883">
      <c r="A1883" s="14"/>
      <c r="B1883" s="460"/>
      <c r="C1883" s="302"/>
      <c r="D1883" s="50"/>
      <c r="E1883" s="348"/>
      <c r="F1883" s="22"/>
      <c r="G1883" s="22"/>
      <c r="H1883" s="22"/>
      <c r="I1883" s="50"/>
      <c r="J1883" s="351"/>
      <c r="K1883" s="448"/>
      <c r="L1883" s="29"/>
      <c r="M1883" s="31"/>
      <c r="N1883" s="14"/>
      <c r="O1883" s="31"/>
      <c r="Q1883" s="36"/>
      <c r="R1883" s="36"/>
      <c r="S1883" s="36"/>
      <c r="T1883" s="36"/>
      <c r="V1883" s="31"/>
    </row>
    <row r="1884">
      <c r="A1884" s="14"/>
      <c r="B1884" s="460"/>
      <c r="C1884" s="302"/>
      <c r="D1884" s="50"/>
      <c r="E1884" s="348"/>
      <c r="F1884" s="22"/>
      <c r="G1884" s="22"/>
      <c r="H1884" s="22"/>
      <c r="I1884" s="50"/>
      <c r="J1884" s="351"/>
      <c r="K1884" s="448"/>
      <c r="L1884" s="29"/>
      <c r="M1884" s="31"/>
      <c r="N1884" s="14"/>
      <c r="O1884" s="31"/>
      <c r="Q1884" s="36"/>
      <c r="R1884" s="36"/>
      <c r="S1884" s="36"/>
      <c r="T1884" s="36"/>
      <c r="V1884" s="31"/>
    </row>
    <row r="1885">
      <c r="A1885" s="14"/>
      <c r="B1885" s="460"/>
      <c r="C1885" s="302"/>
      <c r="D1885" s="50"/>
      <c r="E1885" s="348"/>
      <c r="F1885" s="22"/>
      <c r="G1885" s="22"/>
      <c r="H1885" s="22"/>
      <c r="I1885" s="50"/>
      <c r="J1885" s="351"/>
      <c r="K1885" s="448"/>
      <c r="L1885" s="29"/>
      <c r="M1885" s="31"/>
      <c r="N1885" s="14"/>
      <c r="O1885" s="31"/>
      <c r="Q1885" s="36"/>
      <c r="R1885" s="36"/>
      <c r="S1885" s="36"/>
      <c r="T1885" s="36"/>
      <c r="V1885" s="31"/>
    </row>
    <row r="1886">
      <c r="A1886" s="14"/>
      <c r="B1886" s="460"/>
      <c r="C1886" s="302"/>
      <c r="D1886" s="50"/>
      <c r="E1886" s="348"/>
      <c r="F1886" s="22"/>
      <c r="G1886" s="22"/>
      <c r="H1886" s="22"/>
      <c r="I1886" s="50"/>
      <c r="J1886" s="351"/>
      <c r="K1886" s="448"/>
      <c r="L1886" s="29"/>
      <c r="M1886" s="31"/>
      <c r="N1886" s="14"/>
      <c r="O1886" s="31"/>
      <c r="Q1886" s="36"/>
      <c r="R1886" s="36"/>
      <c r="S1886" s="36"/>
      <c r="T1886" s="36"/>
      <c r="V1886" s="31"/>
    </row>
    <row r="1887">
      <c r="A1887" s="14"/>
      <c r="B1887" s="460"/>
      <c r="C1887" s="302"/>
      <c r="D1887" s="50"/>
      <c r="E1887" s="348"/>
      <c r="F1887" s="22"/>
      <c r="G1887" s="22"/>
      <c r="H1887" s="22"/>
      <c r="I1887" s="50"/>
      <c r="J1887" s="351"/>
      <c r="K1887" s="448"/>
      <c r="L1887" s="29"/>
      <c r="M1887" s="31"/>
      <c r="N1887" s="14"/>
      <c r="O1887" s="31"/>
      <c r="Q1887" s="36"/>
      <c r="R1887" s="36"/>
      <c r="S1887" s="36"/>
      <c r="T1887" s="36"/>
      <c r="V1887" s="31"/>
    </row>
    <row r="1888">
      <c r="A1888" s="14"/>
      <c r="B1888" s="460"/>
      <c r="C1888" s="302"/>
      <c r="D1888" s="50"/>
      <c r="E1888" s="348"/>
      <c r="F1888" s="22"/>
      <c r="G1888" s="22"/>
      <c r="H1888" s="22"/>
      <c r="I1888" s="50"/>
      <c r="J1888" s="351"/>
      <c r="K1888" s="448"/>
      <c r="L1888" s="29"/>
      <c r="M1888" s="31"/>
      <c r="N1888" s="14"/>
      <c r="O1888" s="31"/>
      <c r="Q1888" s="36"/>
      <c r="R1888" s="36"/>
      <c r="S1888" s="36"/>
      <c r="T1888" s="36"/>
      <c r="V1888" s="31"/>
    </row>
    <row r="1889">
      <c r="A1889" s="14"/>
      <c r="B1889" s="460"/>
      <c r="C1889" s="302"/>
      <c r="D1889" s="50"/>
      <c r="E1889" s="348"/>
      <c r="F1889" s="22"/>
      <c r="G1889" s="22"/>
      <c r="H1889" s="22"/>
      <c r="I1889" s="50"/>
      <c r="J1889" s="351"/>
      <c r="K1889" s="448"/>
      <c r="L1889" s="29"/>
      <c r="M1889" s="31"/>
      <c r="N1889" s="14"/>
      <c r="O1889" s="31"/>
      <c r="Q1889" s="36"/>
      <c r="R1889" s="36"/>
      <c r="S1889" s="36"/>
      <c r="T1889" s="36"/>
      <c r="V1889" s="31"/>
    </row>
    <row r="1890">
      <c r="A1890" s="14"/>
      <c r="B1890" s="460"/>
      <c r="C1890" s="302"/>
      <c r="D1890" s="50"/>
      <c r="E1890" s="348"/>
      <c r="F1890" s="22"/>
      <c r="G1890" s="22"/>
      <c r="H1890" s="22"/>
      <c r="I1890" s="50"/>
      <c r="J1890" s="351"/>
      <c r="K1890" s="448"/>
      <c r="L1890" s="29"/>
      <c r="M1890" s="31"/>
      <c r="N1890" s="14"/>
      <c r="O1890" s="31"/>
      <c r="Q1890" s="36"/>
      <c r="R1890" s="36"/>
      <c r="S1890" s="36"/>
      <c r="T1890" s="36"/>
      <c r="V1890" s="31"/>
    </row>
    <row r="1891">
      <c r="A1891" s="14"/>
      <c r="B1891" s="460"/>
      <c r="C1891" s="302"/>
      <c r="D1891" s="50"/>
      <c r="E1891" s="348"/>
      <c r="F1891" s="22"/>
      <c r="G1891" s="22"/>
      <c r="H1891" s="22"/>
      <c r="I1891" s="50"/>
      <c r="J1891" s="351"/>
      <c r="K1891" s="448"/>
      <c r="L1891" s="29"/>
      <c r="M1891" s="31"/>
      <c r="N1891" s="14"/>
      <c r="O1891" s="31"/>
      <c r="Q1891" s="36"/>
      <c r="R1891" s="36"/>
      <c r="S1891" s="36"/>
      <c r="T1891" s="36"/>
      <c r="V1891" s="31"/>
    </row>
    <row r="1892">
      <c r="A1892" s="14"/>
      <c r="B1892" s="460"/>
      <c r="C1892" s="302"/>
      <c r="D1892" s="50"/>
      <c r="E1892" s="348"/>
      <c r="F1892" s="22"/>
      <c r="G1892" s="22"/>
      <c r="H1892" s="22"/>
      <c r="I1892" s="50"/>
      <c r="J1892" s="351"/>
      <c r="K1892" s="448"/>
      <c r="L1892" s="29"/>
      <c r="M1892" s="31"/>
      <c r="N1892" s="14"/>
      <c r="O1892" s="31"/>
      <c r="Q1892" s="36"/>
      <c r="R1892" s="36"/>
      <c r="S1892" s="36"/>
      <c r="T1892" s="36"/>
      <c r="V1892" s="31"/>
    </row>
    <row r="1893">
      <c r="A1893" s="14"/>
      <c r="B1893" s="460"/>
      <c r="C1893" s="302"/>
      <c r="D1893" s="50"/>
      <c r="E1893" s="348"/>
      <c r="F1893" s="22"/>
      <c r="G1893" s="22"/>
      <c r="H1893" s="22"/>
      <c r="I1893" s="50"/>
      <c r="J1893" s="351"/>
      <c r="K1893" s="448"/>
      <c r="L1893" s="29"/>
      <c r="M1893" s="31"/>
      <c r="N1893" s="14"/>
      <c r="O1893" s="31"/>
      <c r="Q1893" s="36"/>
      <c r="R1893" s="36"/>
      <c r="S1893" s="36"/>
      <c r="T1893" s="36"/>
      <c r="V1893" s="31"/>
    </row>
    <row r="1894">
      <c r="A1894" s="14"/>
      <c r="B1894" s="460"/>
      <c r="C1894" s="302"/>
      <c r="D1894" s="50"/>
      <c r="E1894" s="348"/>
      <c r="F1894" s="22"/>
      <c r="G1894" s="22"/>
      <c r="H1894" s="22"/>
      <c r="I1894" s="50"/>
      <c r="J1894" s="351"/>
      <c r="K1894" s="448"/>
      <c r="L1894" s="29"/>
      <c r="M1894" s="31"/>
      <c r="N1894" s="14"/>
      <c r="O1894" s="31"/>
      <c r="Q1894" s="36"/>
      <c r="R1894" s="36"/>
      <c r="S1894" s="36"/>
      <c r="T1894" s="36"/>
      <c r="V1894" s="31"/>
    </row>
    <row r="1895">
      <c r="A1895" s="14"/>
      <c r="B1895" s="460"/>
      <c r="C1895" s="302"/>
      <c r="D1895" s="50"/>
      <c r="E1895" s="348"/>
      <c r="F1895" s="22"/>
      <c r="G1895" s="22"/>
      <c r="H1895" s="22"/>
      <c r="I1895" s="50"/>
      <c r="J1895" s="351"/>
      <c r="K1895" s="448"/>
      <c r="L1895" s="29"/>
      <c r="M1895" s="31"/>
      <c r="N1895" s="14"/>
      <c r="O1895" s="31"/>
      <c r="Q1895" s="36"/>
      <c r="R1895" s="36"/>
      <c r="S1895" s="36"/>
      <c r="T1895" s="36"/>
      <c r="V1895" s="31"/>
    </row>
    <row r="1896">
      <c r="A1896" s="14"/>
      <c r="B1896" s="460"/>
      <c r="C1896" s="302"/>
      <c r="D1896" s="50"/>
      <c r="E1896" s="348"/>
      <c r="F1896" s="22"/>
      <c r="G1896" s="22"/>
      <c r="H1896" s="22"/>
      <c r="I1896" s="50"/>
      <c r="J1896" s="351"/>
      <c r="K1896" s="448"/>
      <c r="L1896" s="29"/>
      <c r="M1896" s="31"/>
      <c r="N1896" s="14"/>
      <c r="O1896" s="31"/>
      <c r="Q1896" s="36"/>
      <c r="R1896" s="36"/>
      <c r="S1896" s="36"/>
      <c r="T1896" s="36"/>
      <c r="V1896" s="31"/>
    </row>
    <row r="1897">
      <c r="A1897" s="14"/>
      <c r="B1897" s="460"/>
      <c r="C1897" s="302"/>
      <c r="D1897" s="50"/>
      <c r="E1897" s="348"/>
      <c r="F1897" s="22"/>
      <c r="G1897" s="22"/>
      <c r="H1897" s="22"/>
      <c r="I1897" s="50"/>
      <c r="J1897" s="351"/>
      <c r="K1897" s="448"/>
      <c r="L1897" s="29"/>
      <c r="M1897" s="31"/>
      <c r="N1897" s="14"/>
      <c r="O1897" s="31"/>
      <c r="Q1897" s="36"/>
      <c r="R1897" s="36"/>
      <c r="S1897" s="36"/>
      <c r="T1897" s="36"/>
      <c r="V1897" s="31"/>
    </row>
    <row r="1898">
      <c r="A1898" s="14"/>
      <c r="B1898" s="460"/>
      <c r="C1898" s="302"/>
      <c r="D1898" s="50"/>
      <c r="E1898" s="348"/>
      <c r="F1898" s="22"/>
      <c r="G1898" s="22"/>
      <c r="H1898" s="22"/>
      <c r="I1898" s="50"/>
      <c r="J1898" s="351"/>
      <c r="K1898" s="448"/>
      <c r="L1898" s="29"/>
      <c r="M1898" s="31"/>
      <c r="N1898" s="14"/>
      <c r="O1898" s="31"/>
      <c r="Q1898" s="36"/>
      <c r="R1898" s="36"/>
      <c r="S1898" s="36"/>
      <c r="T1898" s="36"/>
      <c r="V1898" s="31"/>
    </row>
    <row r="1899">
      <c r="A1899" s="14"/>
      <c r="B1899" s="460"/>
      <c r="C1899" s="302"/>
      <c r="D1899" s="50"/>
      <c r="E1899" s="348"/>
      <c r="F1899" s="22"/>
      <c r="G1899" s="22"/>
      <c r="H1899" s="22"/>
      <c r="I1899" s="50"/>
      <c r="J1899" s="351"/>
      <c r="K1899" s="448"/>
      <c r="L1899" s="29"/>
      <c r="M1899" s="31"/>
      <c r="N1899" s="14"/>
      <c r="O1899" s="31"/>
      <c r="Q1899" s="36"/>
      <c r="R1899" s="36"/>
      <c r="S1899" s="36"/>
      <c r="T1899" s="36"/>
      <c r="V1899" s="31"/>
    </row>
    <row r="1900">
      <c r="A1900" s="14"/>
      <c r="B1900" s="460"/>
      <c r="C1900" s="302"/>
      <c r="D1900" s="50"/>
      <c r="E1900" s="348"/>
      <c r="F1900" s="22"/>
      <c r="G1900" s="22"/>
      <c r="H1900" s="22"/>
      <c r="I1900" s="50"/>
      <c r="J1900" s="351"/>
      <c r="K1900" s="448"/>
      <c r="L1900" s="29"/>
      <c r="M1900" s="31"/>
      <c r="N1900" s="14"/>
      <c r="O1900" s="31"/>
      <c r="Q1900" s="36"/>
      <c r="R1900" s="36"/>
      <c r="S1900" s="36"/>
      <c r="T1900" s="36"/>
      <c r="V1900" s="31"/>
    </row>
    <row r="1901">
      <c r="A1901" s="14"/>
      <c r="B1901" s="460"/>
      <c r="C1901" s="302"/>
      <c r="D1901" s="50"/>
      <c r="E1901" s="348"/>
      <c r="F1901" s="22"/>
      <c r="G1901" s="22"/>
      <c r="H1901" s="22"/>
      <c r="I1901" s="50"/>
      <c r="J1901" s="351"/>
      <c r="K1901" s="448"/>
      <c r="L1901" s="29"/>
      <c r="M1901" s="31"/>
      <c r="N1901" s="14"/>
      <c r="O1901" s="31"/>
      <c r="Q1901" s="36"/>
      <c r="R1901" s="36"/>
      <c r="S1901" s="36"/>
      <c r="T1901" s="36"/>
      <c r="V1901" s="31"/>
    </row>
    <row r="1902">
      <c r="A1902" s="14"/>
      <c r="B1902" s="460"/>
      <c r="C1902" s="302"/>
      <c r="D1902" s="50"/>
      <c r="E1902" s="348"/>
      <c r="F1902" s="22"/>
      <c r="G1902" s="22"/>
      <c r="H1902" s="22"/>
      <c r="I1902" s="50"/>
      <c r="J1902" s="351"/>
      <c r="K1902" s="448"/>
      <c r="L1902" s="29"/>
      <c r="M1902" s="31"/>
      <c r="N1902" s="14"/>
      <c r="O1902" s="31"/>
      <c r="Q1902" s="36"/>
      <c r="R1902" s="36"/>
      <c r="S1902" s="36"/>
      <c r="T1902" s="36"/>
      <c r="V1902" s="31"/>
    </row>
    <row r="1903">
      <c r="A1903" s="14"/>
      <c r="B1903" s="460"/>
      <c r="C1903" s="302"/>
      <c r="D1903" s="50"/>
      <c r="E1903" s="348"/>
      <c r="F1903" s="22"/>
      <c r="G1903" s="22"/>
      <c r="H1903" s="22"/>
      <c r="I1903" s="50"/>
      <c r="J1903" s="351"/>
      <c r="K1903" s="448"/>
      <c r="L1903" s="29"/>
      <c r="M1903" s="31"/>
      <c r="N1903" s="14"/>
      <c r="O1903" s="31"/>
      <c r="Q1903" s="36"/>
      <c r="R1903" s="36"/>
      <c r="S1903" s="36"/>
      <c r="T1903" s="36"/>
      <c r="V1903" s="31"/>
    </row>
    <row r="1904">
      <c r="A1904" s="14"/>
      <c r="B1904" s="460"/>
      <c r="C1904" s="302"/>
      <c r="D1904" s="50"/>
      <c r="E1904" s="348"/>
      <c r="F1904" s="22"/>
      <c r="G1904" s="22"/>
      <c r="H1904" s="22"/>
      <c r="I1904" s="50"/>
      <c r="J1904" s="351"/>
      <c r="K1904" s="448"/>
      <c r="L1904" s="29"/>
      <c r="M1904" s="31"/>
      <c r="N1904" s="14"/>
      <c r="O1904" s="31"/>
      <c r="Q1904" s="36"/>
      <c r="R1904" s="36"/>
      <c r="S1904" s="36"/>
      <c r="T1904" s="36"/>
      <c r="V1904" s="31"/>
    </row>
    <row r="1905">
      <c r="A1905" s="14"/>
      <c r="B1905" s="460"/>
      <c r="C1905" s="302"/>
      <c r="D1905" s="50"/>
      <c r="E1905" s="348"/>
      <c r="F1905" s="22"/>
      <c r="G1905" s="22"/>
      <c r="H1905" s="22"/>
      <c r="I1905" s="50"/>
      <c r="J1905" s="351"/>
      <c r="K1905" s="448"/>
      <c r="L1905" s="29"/>
      <c r="M1905" s="31"/>
      <c r="N1905" s="14"/>
      <c r="O1905" s="31"/>
      <c r="Q1905" s="36"/>
      <c r="R1905" s="36"/>
      <c r="S1905" s="36"/>
      <c r="T1905" s="36"/>
      <c r="V1905" s="31"/>
    </row>
    <row r="1906">
      <c r="A1906" s="14"/>
      <c r="B1906" s="460"/>
      <c r="C1906" s="302"/>
      <c r="D1906" s="50"/>
      <c r="E1906" s="348"/>
      <c r="F1906" s="22"/>
      <c r="G1906" s="22"/>
      <c r="H1906" s="22"/>
      <c r="I1906" s="50"/>
      <c r="J1906" s="351"/>
      <c r="K1906" s="448"/>
      <c r="L1906" s="29"/>
      <c r="M1906" s="31"/>
      <c r="N1906" s="14"/>
      <c r="O1906" s="31"/>
      <c r="Q1906" s="36"/>
      <c r="R1906" s="36"/>
      <c r="S1906" s="36"/>
      <c r="T1906" s="36"/>
      <c r="V1906" s="31"/>
    </row>
    <row r="1907">
      <c r="A1907" s="14"/>
      <c r="B1907" s="460"/>
      <c r="C1907" s="302"/>
      <c r="D1907" s="50"/>
      <c r="E1907" s="348"/>
      <c r="F1907" s="22"/>
      <c r="G1907" s="22"/>
      <c r="H1907" s="22"/>
      <c r="I1907" s="50"/>
      <c r="J1907" s="351"/>
      <c r="K1907" s="448"/>
      <c r="L1907" s="29"/>
      <c r="M1907" s="31"/>
      <c r="N1907" s="14"/>
      <c r="O1907" s="31"/>
      <c r="Q1907" s="36"/>
      <c r="R1907" s="36"/>
      <c r="S1907" s="36"/>
      <c r="T1907" s="36"/>
      <c r="V1907" s="31"/>
    </row>
    <row r="1908">
      <c r="A1908" s="14"/>
      <c r="B1908" s="460"/>
      <c r="C1908" s="302"/>
      <c r="D1908" s="50"/>
      <c r="E1908" s="348"/>
      <c r="F1908" s="22"/>
      <c r="G1908" s="22"/>
      <c r="H1908" s="22"/>
      <c r="I1908" s="50"/>
      <c r="J1908" s="351"/>
      <c r="K1908" s="448"/>
      <c r="L1908" s="29"/>
      <c r="M1908" s="31"/>
      <c r="N1908" s="14"/>
      <c r="O1908" s="31"/>
      <c r="Q1908" s="36"/>
      <c r="R1908" s="36"/>
      <c r="S1908" s="36"/>
      <c r="T1908" s="36"/>
      <c r="V1908" s="31"/>
    </row>
    <row r="1909">
      <c r="A1909" s="14"/>
      <c r="B1909" s="460"/>
      <c r="C1909" s="302"/>
      <c r="D1909" s="50"/>
      <c r="E1909" s="348"/>
      <c r="F1909" s="22"/>
      <c r="G1909" s="22"/>
      <c r="H1909" s="22"/>
      <c r="I1909" s="50"/>
      <c r="J1909" s="351"/>
      <c r="K1909" s="448"/>
      <c r="L1909" s="29"/>
      <c r="M1909" s="31"/>
      <c r="N1909" s="14"/>
      <c r="O1909" s="31"/>
      <c r="Q1909" s="36"/>
      <c r="R1909" s="36"/>
      <c r="S1909" s="36"/>
      <c r="T1909" s="36"/>
      <c r="V1909" s="31"/>
    </row>
    <row r="1910">
      <c r="A1910" s="14"/>
      <c r="B1910" s="460"/>
      <c r="C1910" s="302"/>
      <c r="D1910" s="50"/>
      <c r="E1910" s="348"/>
      <c r="F1910" s="22"/>
      <c r="G1910" s="22"/>
      <c r="H1910" s="22"/>
      <c r="I1910" s="50"/>
      <c r="J1910" s="351"/>
      <c r="K1910" s="448"/>
      <c r="L1910" s="29"/>
      <c r="M1910" s="31"/>
      <c r="N1910" s="14"/>
      <c r="O1910" s="31"/>
      <c r="Q1910" s="36"/>
      <c r="R1910" s="36"/>
      <c r="S1910" s="36"/>
      <c r="T1910" s="36"/>
      <c r="V1910" s="31"/>
    </row>
    <row r="1911">
      <c r="A1911" s="14"/>
      <c r="B1911" s="460"/>
      <c r="C1911" s="302"/>
      <c r="D1911" s="50"/>
      <c r="E1911" s="348"/>
      <c r="F1911" s="22"/>
      <c r="G1911" s="22"/>
      <c r="H1911" s="22"/>
      <c r="I1911" s="50"/>
      <c r="J1911" s="351"/>
      <c r="K1911" s="448"/>
      <c r="L1911" s="29"/>
      <c r="M1911" s="31"/>
      <c r="N1911" s="14"/>
      <c r="O1911" s="31"/>
      <c r="Q1911" s="36"/>
      <c r="R1911" s="36"/>
      <c r="S1911" s="36"/>
      <c r="T1911" s="36"/>
      <c r="V1911" s="31"/>
    </row>
    <row r="1912">
      <c r="A1912" s="14"/>
      <c r="B1912" s="460"/>
      <c r="C1912" s="302"/>
      <c r="D1912" s="50"/>
      <c r="E1912" s="348"/>
      <c r="F1912" s="22"/>
      <c r="G1912" s="22"/>
      <c r="H1912" s="22"/>
      <c r="I1912" s="50"/>
      <c r="J1912" s="351"/>
      <c r="K1912" s="448"/>
      <c r="L1912" s="29"/>
      <c r="M1912" s="31"/>
      <c r="N1912" s="14"/>
      <c r="O1912" s="31"/>
      <c r="Q1912" s="36"/>
      <c r="R1912" s="36"/>
      <c r="S1912" s="36"/>
      <c r="T1912" s="36"/>
      <c r="V1912" s="31"/>
    </row>
    <row r="1913">
      <c r="A1913" s="14"/>
      <c r="B1913" s="460"/>
      <c r="C1913" s="302"/>
      <c r="D1913" s="50"/>
      <c r="E1913" s="348"/>
      <c r="F1913" s="22"/>
      <c r="G1913" s="22"/>
      <c r="H1913" s="22"/>
      <c r="I1913" s="50"/>
      <c r="J1913" s="351"/>
      <c r="K1913" s="448"/>
      <c r="L1913" s="29"/>
      <c r="M1913" s="31"/>
      <c r="N1913" s="14"/>
      <c r="O1913" s="31"/>
      <c r="Q1913" s="36"/>
      <c r="R1913" s="36"/>
      <c r="S1913" s="36"/>
      <c r="T1913" s="36"/>
      <c r="V1913" s="31"/>
    </row>
    <row r="1914">
      <c r="A1914" s="14"/>
      <c r="B1914" s="460"/>
      <c r="C1914" s="302"/>
      <c r="D1914" s="50"/>
      <c r="E1914" s="348"/>
      <c r="F1914" s="22"/>
      <c r="G1914" s="22"/>
      <c r="H1914" s="22"/>
      <c r="I1914" s="50"/>
      <c r="J1914" s="351"/>
      <c r="K1914" s="448"/>
      <c r="L1914" s="29"/>
      <c r="M1914" s="31"/>
      <c r="N1914" s="14"/>
      <c r="O1914" s="31"/>
      <c r="Q1914" s="36"/>
      <c r="R1914" s="36"/>
      <c r="S1914" s="36"/>
      <c r="T1914" s="36"/>
      <c r="V1914" s="31"/>
    </row>
    <row r="1915">
      <c r="A1915" s="14"/>
      <c r="B1915" s="460"/>
      <c r="C1915" s="302"/>
      <c r="D1915" s="50"/>
      <c r="E1915" s="348"/>
      <c r="F1915" s="22"/>
      <c r="G1915" s="22"/>
      <c r="H1915" s="22"/>
      <c r="I1915" s="50"/>
      <c r="J1915" s="351"/>
      <c r="K1915" s="448"/>
      <c r="L1915" s="29"/>
      <c r="M1915" s="31"/>
      <c r="N1915" s="14"/>
      <c r="O1915" s="31"/>
      <c r="Q1915" s="36"/>
      <c r="R1915" s="36"/>
      <c r="S1915" s="36"/>
      <c r="T1915" s="36"/>
      <c r="V1915" s="31"/>
    </row>
    <row r="1916">
      <c r="A1916" s="14"/>
      <c r="B1916" s="460"/>
      <c r="C1916" s="302"/>
      <c r="D1916" s="50"/>
      <c r="E1916" s="348"/>
      <c r="F1916" s="22"/>
      <c r="G1916" s="22"/>
      <c r="H1916" s="22"/>
      <c r="I1916" s="50"/>
      <c r="J1916" s="351"/>
      <c r="K1916" s="448"/>
      <c r="L1916" s="29"/>
      <c r="M1916" s="31"/>
      <c r="N1916" s="14"/>
      <c r="O1916" s="31"/>
      <c r="Q1916" s="36"/>
      <c r="R1916" s="36"/>
      <c r="S1916" s="36"/>
      <c r="T1916" s="36"/>
      <c r="V1916" s="31"/>
    </row>
    <row r="1917">
      <c r="A1917" s="14"/>
      <c r="B1917" s="460"/>
      <c r="C1917" s="302"/>
      <c r="D1917" s="50"/>
      <c r="E1917" s="348"/>
      <c r="F1917" s="22"/>
      <c r="G1917" s="22"/>
      <c r="H1917" s="22"/>
      <c r="I1917" s="50"/>
      <c r="J1917" s="351"/>
      <c r="K1917" s="448"/>
      <c r="L1917" s="29"/>
      <c r="M1917" s="31"/>
      <c r="N1917" s="14"/>
      <c r="O1917" s="31"/>
      <c r="Q1917" s="36"/>
      <c r="R1917" s="36"/>
      <c r="S1917" s="36"/>
      <c r="T1917" s="36"/>
      <c r="V1917" s="31"/>
    </row>
    <row r="1918">
      <c r="A1918" s="14"/>
      <c r="B1918" s="460"/>
      <c r="C1918" s="302"/>
      <c r="D1918" s="50"/>
      <c r="E1918" s="348"/>
      <c r="F1918" s="22"/>
      <c r="G1918" s="22"/>
      <c r="H1918" s="22"/>
      <c r="I1918" s="50"/>
      <c r="J1918" s="351"/>
      <c r="K1918" s="448"/>
      <c r="L1918" s="29"/>
      <c r="M1918" s="31"/>
      <c r="N1918" s="14"/>
      <c r="O1918" s="31"/>
      <c r="Q1918" s="36"/>
      <c r="R1918" s="36"/>
      <c r="S1918" s="36"/>
      <c r="T1918" s="36"/>
      <c r="V1918" s="31"/>
    </row>
    <row r="1919">
      <c r="A1919" s="14"/>
      <c r="B1919" s="460"/>
      <c r="C1919" s="302"/>
      <c r="D1919" s="50"/>
      <c r="E1919" s="348"/>
      <c r="F1919" s="22"/>
      <c r="G1919" s="22"/>
      <c r="H1919" s="22"/>
      <c r="I1919" s="50"/>
      <c r="J1919" s="351"/>
      <c r="K1919" s="448"/>
      <c r="L1919" s="29"/>
      <c r="M1919" s="31"/>
      <c r="N1919" s="14"/>
      <c r="O1919" s="31"/>
      <c r="Q1919" s="36"/>
      <c r="R1919" s="36"/>
      <c r="S1919" s="36"/>
      <c r="T1919" s="36"/>
      <c r="V1919" s="31"/>
    </row>
    <row r="1920">
      <c r="A1920" s="14"/>
      <c r="B1920" s="460"/>
      <c r="C1920" s="302"/>
      <c r="D1920" s="50"/>
      <c r="E1920" s="348"/>
      <c r="F1920" s="22"/>
      <c r="G1920" s="22"/>
      <c r="H1920" s="22"/>
      <c r="I1920" s="50"/>
      <c r="J1920" s="351"/>
      <c r="K1920" s="448"/>
      <c r="L1920" s="29"/>
      <c r="M1920" s="31"/>
      <c r="N1920" s="14"/>
      <c r="O1920" s="31"/>
      <c r="Q1920" s="36"/>
      <c r="R1920" s="36"/>
      <c r="S1920" s="36"/>
      <c r="T1920" s="36"/>
      <c r="V1920" s="31"/>
    </row>
    <row r="1921">
      <c r="A1921" s="14"/>
      <c r="B1921" s="460"/>
      <c r="C1921" s="302"/>
      <c r="D1921" s="50"/>
      <c r="E1921" s="348"/>
      <c r="F1921" s="22"/>
      <c r="G1921" s="22"/>
      <c r="H1921" s="22"/>
      <c r="I1921" s="50"/>
      <c r="J1921" s="351"/>
      <c r="K1921" s="448"/>
      <c r="L1921" s="29"/>
      <c r="M1921" s="31"/>
      <c r="N1921" s="14"/>
      <c r="O1921" s="31"/>
      <c r="Q1921" s="36"/>
      <c r="R1921" s="36"/>
      <c r="S1921" s="36"/>
      <c r="T1921" s="36"/>
      <c r="V1921" s="31"/>
    </row>
    <row r="1922">
      <c r="A1922" s="14"/>
      <c r="B1922" s="460"/>
      <c r="C1922" s="302"/>
      <c r="D1922" s="50"/>
      <c r="E1922" s="348"/>
      <c r="F1922" s="22"/>
      <c r="G1922" s="22"/>
      <c r="H1922" s="22"/>
      <c r="I1922" s="50"/>
      <c r="J1922" s="351"/>
      <c r="K1922" s="448"/>
      <c r="L1922" s="29"/>
      <c r="M1922" s="31"/>
      <c r="N1922" s="14"/>
      <c r="O1922" s="31"/>
      <c r="Q1922" s="36"/>
      <c r="R1922" s="36"/>
      <c r="S1922" s="36"/>
      <c r="T1922" s="36"/>
      <c r="V1922" s="31"/>
    </row>
    <row r="1923">
      <c r="A1923" s="14"/>
      <c r="B1923" s="460"/>
      <c r="C1923" s="302"/>
      <c r="D1923" s="50"/>
      <c r="E1923" s="348"/>
      <c r="F1923" s="22"/>
      <c r="G1923" s="22"/>
      <c r="H1923" s="22"/>
      <c r="I1923" s="50"/>
      <c r="J1923" s="351"/>
      <c r="K1923" s="448"/>
      <c r="L1923" s="29"/>
      <c r="M1923" s="31"/>
      <c r="N1923" s="14"/>
      <c r="O1923" s="31"/>
      <c r="Q1923" s="36"/>
      <c r="R1923" s="36"/>
      <c r="S1923" s="36"/>
      <c r="T1923" s="36"/>
      <c r="V1923" s="31"/>
    </row>
    <row r="1924">
      <c r="A1924" s="14"/>
      <c r="B1924" s="460"/>
      <c r="C1924" s="302"/>
      <c r="D1924" s="50"/>
      <c r="E1924" s="348"/>
      <c r="F1924" s="22"/>
      <c r="G1924" s="22"/>
      <c r="H1924" s="22"/>
      <c r="I1924" s="50"/>
      <c r="J1924" s="351"/>
      <c r="K1924" s="448"/>
      <c r="L1924" s="29"/>
      <c r="M1924" s="31"/>
      <c r="N1924" s="14"/>
      <c r="O1924" s="31"/>
      <c r="Q1924" s="36"/>
      <c r="R1924" s="36"/>
      <c r="S1924" s="36"/>
      <c r="T1924" s="36"/>
      <c r="V1924" s="31"/>
    </row>
    <row r="1925">
      <c r="A1925" s="14"/>
      <c r="B1925" s="460"/>
      <c r="C1925" s="302"/>
      <c r="D1925" s="50"/>
      <c r="E1925" s="348"/>
      <c r="F1925" s="22"/>
      <c r="G1925" s="22"/>
      <c r="H1925" s="22"/>
      <c r="I1925" s="50"/>
      <c r="J1925" s="351"/>
      <c r="K1925" s="448"/>
      <c r="L1925" s="29"/>
      <c r="M1925" s="31"/>
      <c r="N1925" s="14"/>
      <c r="O1925" s="31"/>
      <c r="Q1925" s="36"/>
      <c r="R1925" s="36"/>
      <c r="S1925" s="36"/>
      <c r="T1925" s="36"/>
      <c r="V1925" s="31"/>
    </row>
    <row r="1926">
      <c r="A1926" s="14"/>
      <c r="B1926" s="460"/>
      <c r="C1926" s="302"/>
      <c r="D1926" s="50"/>
      <c r="E1926" s="348"/>
      <c r="F1926" s="22"/>
      <c r="G1926" s="22"/>
      <c r="H1926" s="22"/>
      <c r="I1926" s="50"/>
      <c r="J1926" s="351"/>
      <c r="K1926" s="448"/>
      <c r="L1926" s="29"/>
      <c r="M1926" s="31"/>
      <c r="N1926" s="14"/>
      <c r="O1926" s="31"/>
      <c r="Q1926" s="36"/>
      <c r="R1926" s="36"/>
      <c r="S1926" s="36"/>
      <c r="T1926" s="36"/>
      <c r="V1926" s="31"/>
    </row>
    <row r="1927">
      <c r="A1927" s="14"/>
      <c r="B1927" s="460"/>
      <c r="C1927" s="302"/>
      <c r="D1927" s="50"/>
      <c r="E1927" s="348"/>
      <c r="F1927" s="22"/>
      <c r="G1927" s="22"/>
      <c r="H1927" s="22"/>
      <c r="I1927" s="50"/>
      <c r="J1927" s="351"/>
      <c r="K1927" s="448"/>
      <c r="L1927" s="29"/>
      <c r="M1927" s="31"/>
      <c r="N1927" s="14"/>
      <c r="O1927" s="31"/>
      <c r="Q1927" s="36"/>
      <c r="R1927" s="36"/>
      <c r="S1927" s="36"/>
      <c r="T1927" s="36"/>
      <c r="V1927" s="31"/>
    </row>
    <row r="1928">
      <c r="A1928" s="14"/>
      <c r="B1928" s="460"/>
      <c r="C1928" s="302"/>
      <c r="D1928" s="50"/>
      <c r="E1928" s="348"/>
      <c r="F1928" s="22"/>
      <c r="G1928" s="22"/>
      <c r="H1928" s="22"/>
      <c r="I1928" s="50"/>
      <c r="J1928" s="351"/>
      <c r="K1928" s="448"/>
      <c r="L1928" s="29"/>
      <c r="M1928" s="31"/>
      <c r="N1928" s="14"/>
      <c r="O1928" s="31"/>
      <c r="Q1928" s="36"/>
      <c r="R1928" s="36"/>
      <c r="S1928" s="36"/>
      <c r="T1928" s="36"/>
      <c r="V1928" s="31"/>
    </row>
    <row r="1929">
      <c r="A1929" s="14"/>
      <c r="B1929" s="460"/>
      <c r="C1929" s="302"/>
      <c r="D1929" s="50"/>
      <c r="E1929" s="348"/>
      <c r="F1929" s="22"/>
      <c r="G1929" s="22"/>
      <c r="H1929" s="22"/>
      <c r="I1929" s="50"/>
      <c r="J1929" s="351"/>
      <c r="K1929" s="448"/>
      <c r="L1929" s="29"/>
      <c r="M1929" s="31"/>
      <c r="N1929" s="14"/>
      <c r="O1929" s="31"/>
      <c r="Q1929" s="36"/>
      <c r="R1929" s="36"/>
      <c r="S1929" s="36"/>
      <c r="T1929" s="36"/>
      <c r="V1929" s="31"/>
    </row>
    <row r="1930">
      <c r="A1930" s="14"/>
      <c r="B1930" s="460"/>
      <c r="C1930" s="302"/>
      <c r="D1930" s="50"/>
      <c r="E1930" s="348"/>
      <c r="F1930" s="22"/>
      <c r="G1930" s="22"/>
      <c r="H1930" s="22"/>
      <c r="I1930" s="50"/>
      <c r="J1930" s="351"/>
      <c r="K1930" s="448"/>
      <c r="L1930" s="29"/>
      <c r="M1930" s="31"/>
      <c r="N1930" s="14"/>
      <c r="O1930" s="31"/>
      <c r="Q1930" s="36"/>
      <c r="R1930" s="36"/>
      <c r="S1930" s="36"/>
      <c r="T1930" s="36"/>
      <c r="V1930" s="31"/>
    </row>
    <row r="1931">
      <c r="A1931" s="14"/>
      <c r="B1931" s="460"/>
      <c r="C1931" s="302"/>
      <c r="D1931" s="50"/>
      <c r="E1931" s="348"/>
      <c r="F1931" s="22"/>
      <c r="G1931" s="22"/>
      <c r="H1931" s="22"/>
      <c r="I1931" s="50"/>
      <c r="J1931" s="351"/>
      <c r="K1931" s="448"/>
      <c r="L1931" s="29"/>
      <c r="M1931" s="31"/>
      <c r="N1931" s="14"/>
      <c r="O1931" s="31"/>
      <c r="Q1931" s="36"/>
      <c r="R1931" s="36"/>
      <c r="S1931" s="36"/>
      <c r="T1931" s="36"/>
      <c r="V1931" s="31"/>
    </row>
    <row r="1932">
      <c r="A1932" s="14"/>
      <c r="B1932" s="460"/>
      <c r="C1932" s="302"/>
      <c r="D1932" s="50"/>
      <c r="E1932" s="348"/>
      <c r="F1932" s="22"/>
      <c r="G1932" s="22"/>
      <c r="H1932" s="22"/>
      <c r="I1932" s="50"/>
      <c r="J1932" s="351"/>
      <c r="K1932" s="448"/>
      <c r="L1932" s="29"/>
      <c r="M1932" s="31"/>
      <c r="N1932" s="14"/>
      <c r="O1932" s="31"/>
      <c r="Q1932" s="36"/>
      <c r="R1932" s="36"/>
      <c r="S1932" s="36"/>
      <c r="T1932" s="36"/>
      <c r="V1932" s="31"/>
    </row>
    <row r="1933">
      <c r="A1933" s="14"/>
      <c r="B1933" s="460"/>
      <c r="C1933" s="302"/>
      <c r="D1933" s="50"/>
      <c r="E1933" s="348"/>
      <c r="F1933" s="22"/>
      <c r="G1933" s="22"/>
      <c r="H1933" s="22"/>
      <c r="I1933" s="50"/>
      <c r="J1933" s="351"/>
      <c r="K1933" s="448"/>
      <c r="L1933" s="29"/>
      <c r="M1933" s="31"/>
      <c r="N1933" s="14"/>
      <c r="O1933" s="31"/>
      <c r="Q1933" s="36"/>
      <c r="R1933" s="36"/>
      <c r="S1933" s="36"/>
      <c r="T1933" s="36"/>
      <c r="V1933" s="31"/>
    </row>
    <row r="1934">
      <c r="A1934" s="14"/>
      <c r="B1934" s="460"/>
      <c r="C1934" s="302"/>
      <c r="D1934" s="50"/>
      <c r="E1934" s="348"/>
      <c r="F1934" s="22"/>
      <c r="G1934" s="22"/>
      <c r="H1934" s="22"/>
      <c r="I1934" s="50"/>
      <c r="J1934" s="351"/>
      <c r="K1934" s="448"/>
      <c r="L1934" s="29"/>
      <c r="M1934" s="31"/>
      <c r="N1934" s="14"/>
      <c r="O1934" s="31"/>
      <c r="Q1934" s="36"/>
      <c r="R1934" s="36"/>
      <c r="S1934" s="36"/>
      <c r="T1934" s="36"/>
      <c r="V1934" s="31"/>
    </row>
    <row r="1935">
      <c r="A1935" s="14"/>
      <c r="B1935" s="460"/>
      <c r="C1935" s="302"/>
      <c r="D1935" s="50"/>
      <c r="E1935" s="348"/>
      <c r="F1935" s="22"/>
      <c r="G1935" s="22"/>
      <c r="H1935" s="22"/>
      <c r="I1935" s="50"/>
      <c r="J1935" s="351"/>
      <c r="K1935" s="448"/>
      <c r="L1935" s="29"/>
      <c r="M1935" s="31"/>
      <c r="N1935" s="14"/>
      <c r="O1935" s="31"/>
      <c r="Q1935" s="36"/>
      <c r="R1935" s="36"/>
      <c r="S1935" s="36"/>
      <c r="T1935" s="36"/>
      <c r="V1935" s="31"/>
    </row>
    <row r="1936">
      <c r="A1936" s="14"/>
      <c r="B1936" s="460"/>
      <c r="C1936" s="302"/>
      <c r="D1936" s="50"/>
      <c r="E1936" s="348"/>
      <c r="F1936" s="22"/>
      <c r="G1936" s="22"/>
      <c r="H1936" s="22"/>
      <c r="I1936" s="50"/>
      <c r="J1936" s="351"/>
      <c r="K1936" s="448"/>
      <c r="L1936" s="29"/>
      <c r="M1936" s="31"/>
      <c r="N1936" s="14"/>
      <c r="O1936" s="31"/>
      <c r="Q1936" s="36"/>
      <c r="R1936" s="36"/>
      <c r="S1936" s="36"/>
      <c r="T1936" s="36"/>
      <c r="V1936" s="31"/>
    </row>
    <row r="1937">
      <c r="A1937" s="14"/>
      <c r="B1937" s="460"/>
      <c r="C1937" s="302"/>
      <c r="D1937" s="50"/>
      <c r="E1937" s="348"/>
      <c r="F1937" s="22"/>
      <c r="G1937" s="22"/>
      <c r="H1937" s="22"/>
      <c r="I1937" s="50"/>
      <c r="J1937" s="351"/>
      <c r="K1937" s="448"/>
      <c r="L1937" s="29"/>
      <c r="M1937" s="31"/>
      <c r="N1937" s="14"/>
      <c r="O1937" s="31"/>
      <c r="Q1937" s="36"/>
      <c r="R1937" s="36"/>
      <c r="S1937" s="36"/>
      <c r="T1937" s="36"/>
      <c r="V1937" s="31"/>
    </row>
    <row r="1938">
      <c r="A1938" s="14"/>
      <c r="B1938" s="460"/>
      <c r="C1938" s="302"/>
      <c r="D1938" s="50"/>
      <c r="E1938" s="348"/>
      <c r="F1938" s="22"/>
      <c r="G1938" s="22"/>
      <c r="H1938" s="22"/>
      <c r="I1938" s="50"/>
      <c r="J1938" s="351"/>
      <c r="K1938" s="448"/>
      <c r="L1938" s="29"/>
      <c r="M1938" s="31"/>
      <c r="N1938" s="14"/>
      <c r="O1938" s="31"/>
      <c r="Q1938" s="36"/>
      <c r="R1938" s="36"/>
      <c r="S1938" s="36"/>
      <c r="T1938" s="36"/>
      <c r="V1938" s="31"/>
    </row>
    <row r="1939">
      <c r="A1939" s="14"/>
      <c r="B1939" s="460"/>
      <c r="C1939" s="302"/>
      <c r="D1939" s="50"/>
      <c r="E1939" s="348"/>
      <c r="F1939" s="22"/>
      <c r="G1939" s="22"/>
      <c r="H1939" s="22"/>
      <c r="I1939" s="50"/>
      <c r="J1939" s="351"/>
      <c r="K1939" s="448"/>
      <c r="L1939" s="29"/>
      <c r="M1939" s="31"/>
      <c r="N1939" s="14"/>
      <c r="O1939" s="31"/>
      <c r="Q1939" s="36"/>
      <c r="R1939" s="36"/>
      <c r="S1939" s="36"/>
      <c r="T1939" s="36"/>
      <c r="V1939" s="31"/>
    </row>
    <row r="1940">
      <c r="A1940" s="14"/>
      <c r="B1940" s="460"/>
      <c r="C1940" s="302"/>
      <c r="D1940" s="50"/>
      <c r="E1940" s="348"/>
      <c r="F1940" s="22"/>
      <c r="G1940" s="22"/>
      <c r="H1940" s="22"/>
      <c r="I1940" s="50"/>
      <c r="J1940" s="351"/>
      <c r="K1940" s="448"/>
      <c r="L1940" s="29"/>
      <c r="M1940" s="31"/>
      <c r="N1940" s="14"/>
      <c r="O1940" s="31"/>
      <c r="Q1940" s="36"/>
      <c r="R1940" s="36"/>
      <c r="S1940" s="36"/>
      <c r="T1940" s="36"/>
      <c r="V1940" s="31"/>
    </row>
    <row r="1941">
      <c r="A1941" s="14"/>
      <c r="B1941" s="460"/>
      <c r="C1941" s="302"/>
      <c r="D1941" s="50"/>
      <c r="E1941" s="348"/>
      <c r="F1941" s="22"/>
      <c r="G1941" s="22"/>
      <c r="H1941" s="22"/>
      <c r="I1941" s="50"/>
      <c r="J1941" s="351"/>
      <c r="K1941" s="448"/>
      <c r="L1941" s="29"/>
      <c r="M1941" s="31"/>
      <c r="N1941" s="14"/>
      <c r="O1941" s="31"/>
      <c r="Q1941" s="36"/>
      <c r="R1941" s="36"/>
      <c r="S1941" s="36"/>
      <c r="T1941" s="36"/>
      <c r="V1941" s="31"/>
    </row>
    <row r="1942">
      <c r="A1942" s="14"/>
      <c r="B1942" s="460"/>
      <c r="C1942" s="302"/>
      <c r="D1942" s="50"/>
      <c r="E1942" s="348"/>
      <c r="F1942" s="22"/>
      <c r="G1942" s="22"/>
      <c r="H1942" s="22"/>
      <c r="I1942" s="50"/>
      <c r="J1942" s="351"/>
      <c r="K1942" s="448"/>
      <c r="L1942" s="29"/>
      <c r="M1942" s="31"/>
      <c r="N1942" s="14"/>
      <c r="O1942" s="31"/>
      <c r="Q1942" s="36"/>
      <c r="R1942" s="36"/>
      <c r="S1942" s="36"/>
      <c r="T1942" s="36"/>
      <c r="V1942" s="31"/>
    </row>
    <row r="1943">
      <c r="A1943" s="14"/>
      <c r="B1943" s="460"/>
      <c r="C1943" s="302"/>
      <c r="D1943" s="50"/>
      <c r="E1943" s="348"/>
      <c r="F1943" s="22"/>
      <c r="G1943" s="22"/>
      <c r="H1943" s="22"/>
      <c r="I1943" s="50"/>
      <c r="J1943" s="351"/>
      <c r="K1943" s="448"/>
      <c r="L1943" s="29"/>
      <c r="M1943" s="31"/>
      <c r="N1943" s="14"/>
      <c r="O1943" s="31"/>
      <c r="Q1943" s="36"/>
      <c r="R1943" s="36"/>
      <c r="S1943" s="36"/>
      <c r="T1943" s="36"/>
      <c r="V1943" s="31"/>
    </row>
    <row r="1944">
      <c r="A1944" s="14"/>
      <c r="B1944" s="460"/>
      <c r="C1944" s="302"/>
      <c r="D1944" s="50"/>
      <c r="E1944" s="348"/>
      <c r="F1944" s="22"/>
      <c r="G1944" s="22"/>
      <c r="H1944" s="22"/>
      <c r="I1944" s="50"/>
      <c r="J1944" s="351"/>
      <c r="K1944" s="448"/>
      <c r="L1944" s="29"/>
      <c r="M1944" s="31"/>
      <c r="N1944" s="14"/>
      <c r="O1944" s="31"/>
      <c r="Q1944" s="36"/>
      <c r="R1944" s="36"/>
      <c r="S1944" s="36"/>
      <c r="T1944" s="36"/>
      <c r="V1944" s="31"/>
    </row>
    <row r="1945">
      <c r="A1945" s="14"/>
      <c r="B1945" s="460"/>
      <c r="C1945" s="302"/>
      <c r="D1945" s="50"/>
      <c r="E1945" s="348"/>
      <c r="F1945" s="22"/>
      <c r="G1945" s="22"/>
      <c r="H1945" s="22"/>
      <c r="I1945" s="50"/>
      <c r="J1945" s="351"/>
      <c r="K1945" s="448"/>
      <c r="L1945" s="29"/>
      <c r="M1945" s="31"/>
      <c r="N1945" s="14"/>
      <c r="O1945" s="31"/>
      <c r="Q1945" s="36"/>
      <c r="R1945" s="36"/>
      <c r="S1945" s="36"/>
      <c r="T1945" s="36"/>
      <c r="V1945" s="31"/>
    </row>
    <row r="1946">
      <c r="A1946" s="14"/>
      <c r="B1946" s="460"/>
      <c r="C1946" s="302"/>
      <c r="D1946" s="50"/>
      <c r="E1946" s="348"/>
      <c r="F1946" s="22"/>
      <c r="G1946" s="22"/>
      <c r="H1946" s="22"/>
      <c r="I1946" s="50"/>
      <c r="J1946" s="351"/>
      <c r="K1946" s="448"/>
      <c r="L1946" s="29"/>
      <c r="M1946" s="31"/>
      <c r="N1946" s="14"/>
      <c r="O1946" s="31"/>
      <c r="Q1946" s="36"/>
      <c r="R1946" s="36"/>
      <c r="S1946" s="36"/>
      <c r="T1946" s="36"/>
      <c r="V1946" s="31"/>
    </row>
    <row r="1947">
      <c r="A1947" s="14"/>
      <c r="B1947" s="460"/>
      <c r="C1947" s="302"/>
      <c r="D1947" s="50"/>
      <c r="E1947" s="348"/>
      <c r="F1947" s="22"/>
      <c r="G1947" s="22"/>
      <c r="H1947" s="22"/>
      <c r="I1947" s="50"/>
      <c r="J1947" s="351"/>
      <c r="K1947" s="448"/>
      <c r="L1947" s="29"/>
      <c r="M1947" s="31"/>
      <c r="N1947" s="14"/>
      <c r="O1947" s="31"/>
      <c r="Q1947" s="36"/>
      <c r="R1947" s="36"/>
      <c r="S1947" s="36"/>
      <c r="T1947" s="36"/>
      <c r="V1947" s="31"/>
    </row>
    <row r="1948">
      <c r="A1948" s="14"/>
      <c r="B1948" s="460"/>
      <c r="C1948" s="302"/>
      <c r="D1948" s="50"/>
      <c r="E1948" s="348"/>
      <c r="F1948" s="22"/>
      <c r="G1948" s="22"/>
      <c r="H1948" s="22"/>
      <c r="I1948" s="50"/>
      <c r="J1948" s="351"/>
      <c r="K1948" s="448"/>
      <c r="L1948" s="29"/>
      <c r="M1948" s="31"/>
      <c r="N1948" s="14"/>
      <c r="O1948" s="31"/>
      <c r="Q1948" s="36"/>
      <c r="R1948" s="36"/>
      <c r="S1948" s="36"/>
      <c r="T1948" s="36"/>
      <c r="V1948" s="31"/>
    </row>
    <row r="1949">
      <c r="A1949" s="14"/>
      <c r="B1949" s="460"/>
      <c r="C1949" s="302"/>
      <c r="D1949" s="50"/>
      <c r="E1949" s="348"/>
      <c r="F1949" s="22"/>
      <c r="G1949" s="22"/>
      <c r="H1949" s="22"/>
      <c r="I1949" s="50"/>
      <c r="J1949" s="351"/>
      <c r="K1949" s="448"/>
      <c r="L1949" s="29"/>
      <c r="M1949" s="31"/>
      <c r="N1949" s="14"/>
      <c r="O1949" s="31"/>
      <c r="Q1949" s="36"/>
      <c r="R1949" s="36"/>
      <c r="S1949" s="36"/>
      <c r="T1949" s="36"/>
      <c r="V1949" s="31"/>
    </row>
    <row r="1950">
      <c r="A1950" s="14"/>
      <c r="B1950" s="460"/>
      <c r="C1950" s="302"/>
      <c r="D1950" s="50"/>
      <c r="E1950" s="348"/>
      <c r="F1950" s="22"/>
      <c r="G1950" s="22"/>
      <c r="H1950" s="22"/>
      <c r="I1950" s="50"/>
      <c r="J1950" s="351"/>
      <c r="K1950" s="448"/>
      <c r="L1950" s="29"/>
      <c r="M1950" s="31"/>
      <c r="N1950" s="14"/>
      <c r="O1950" s="31"/>
      <c r="Q1950" s="36"/>
      <c r="R1950" s="36"/>
      <c r="S1950" s="36"/>
      <c r="T1950" s="36"/>
      <c r="V1950" s="31"/>
    </row>
    <row r="1951">
      <c r="A1951" s="14"/>
      <c r="B1951" s="460"/>
      <c r="C1951" s="302"/>
      <c r="D1951" s="50"/>
      <c r="E1951" s="348"/>
      <c r="F1951" s="22"/>
      <c r="G1951" s="22"/>
      <c r="H1951" s="22"/>
      <c r="I1951" s="50"/>
      <c r="J1951" s="351"/>
      <c r="K1951" s="448"/>
      <c r="L1951" s="29"/>
      <c r="M1951" s="31"/>
      <c r="N1951" s="14"/>
      <c r="O1951" s="31"/>
      <c r="Q1951" s="36"/>
      <c r="R1951" s="36"/>
      <c r="S1951" s="36"/>
      <c r="T1951" s="36"/>
      <c r="V1951" s="31"/>
    </row>
    <row r="1952">
      <c r="A1952" s="14"/>
      <c r="B1952" s="460"/>
      <c r="C1952" s="302"/>
      <c r="D1952" s="50"/>
      <c r="E1952" s="348"/>
      <c r="F1952" s="22"/>
      <c r="G1952" s="22"/>
      <c r="H1952" s="22"/>
      <c r="I1952" s="50"/>
      <c r="J1952" s="351"/>
      <c r="K1952" s="448"/>
      <c r="L1952" s="29"/>
      <c r="M1952" s="31"/>
      <c r="N1952" s="14"/>
      <c r="O1952" s="31"/>
      <c r="Q1952" s="36"/>
      <c r="R1952" s="36"/>
      <c r="S1952" s="36"/>
      <c r="T1952" s="36"/>
      <c r="V1952" s="31"/>
    </row>
    <row r="1953">
      <c r="A1953" s="14"/>
      <c r="B1953" s="460"/>
      <c r="C1953" s="302"/>
      <c r="D1953" s="50"/>
      <c r="E1953" s="348"/>
      <c r="F1953" s="22"/>
      <c r="G1953" s="22"/>
      <c r="H1953" s="22"/>
      <c r="I1953" s="50"/>
      <c r="J1953" s="351"/>
      <c r="K1953" s="448"/>
      <c r="L1953" s="29"/>
      <c r="M1953" s="31"/>
      <c r="N1953" s="14"/>
      <c r="O1953" s="31"/>
      <c r="Q1953" s="36"/>
      <c r="R1953" s="36"/>
      <c r="S1953" s="36"/>
      <c r="T1953" s="36"/>
      <c r="V1953" s="31"/>
    </row>
    <row r="1954">
      <c r="A1954" s="14"/>
      <c r="B1954" s="460"/>
      <c r="C1954" s="302"/>
      <c r="D1954" s="50"/>
      <c r="E1954" s="348"/>
      <c r="F1954" s="22"/>
      <c r="G1954" s="22"/>
      <c r="H1954" s="22"/>
      <c r="I1954" s="50"/>
      <c r="J1954" s="351"/>
      <c r="K1954" s="448"/>
      <c r="L1954" s="29"/>
      <c r="M1954" s="31"/>
      <c r="N1954" s="14"/>
      <c r="O1954" s="31"/>
      <c r="Q1954" s="36"/>
      <c r="R1954" s="36"/>
      <c r="S1954" s="36"/>
      <c r="T1954" s="36"/>
      <c r="V1954" s="31"/>
    </row>
    <row r="1955">
      <c r="A1955" s="14"/>
      <c r="B1955" s="460"/>
      <c r="C1955" s="302"/>
      <c r="D1955" s="50"/>
      <c r="E1955" s="348"/>
      <c r="F1955" s="22"/>
      <c r="G1955" s="22"/>
      <c r="H1955" s="22"/>
      <c r="I1955" s="50"/>
      <c r="J1955" s="351"/>
      <c r="K1955" s="448"/>
      <c r="L1955" s="29"/>
      <c r="M1955" s="31"/>
      <c r="N1955" s="14"/>
      <c r="O1955" s="31"/>
      <c r="Q1955" s="36"/>
      <c r="R1955" s="36"/>
      <c r="S1955" s="36"/>
      <c r="T1955" s="36"/>
      <c r="V1955" s="31"/>
    </row>
    <row r="1956">
      <c r="A1956" s="14"/>
      <c r="B1956" s="460"/>
      <c r="C1956" s="302"/>
      <c r="D1956" s="50"/>
      <c r="E1956" s="348"/>
      <c r="F1956" s="22"/>
      <c r="G1956" s="22"/>
      <c r="H1956" s="22"/>
      <c r="I1956" s="50"/>
      <c r="J1956" s="351"/>
      <c r="K1956" s="448"/>
      <c r="L1956" s="29"/>
      <c r="M1956" s="31"/>
      <c r="N1956" s="14"/>
      <c r="O1956" s="31"/>
      <c r="Q1956" s="36"/>
      <c r="R1956" s="36"/>
      <c r="S1956" s="36"/>
      <c r="T1956" s="36"/>
      <c r="V1956" s="31"/>
    </row>
    <row r="1957">
      <c r="A1957" s="14"/>
      <c r="B1957" s="460"/>
      <c r="C1957" s="302"/>
      <c r="D1957" s="50"/>
      <c r="E1957" s="348"/>
      <c r="F1957" s="22"/>
      <c r="G1957" s="22"/>
      <c r="H1957" s="22"/>
      <c r="I1957" s="50"/>
      <c r="J1957" s="351"/>
      <c r="K1957" s="448"/>
      <c r="L1957" s="29"/>
      <c r="M1957" s="31"/>
      <c r="N1957" s="14"/>
      <c r="O1957" s="31"/>
      <c r="Q1957" s="36"/>
      <c r="R1957" s="36"/>
      <c r="S1957" s="36"/>
      <c r="T1957" s="36"/>
      <c r="V1957" s="31"/>
    </row>
    <row r="1958">
      <c r="A1958" s="14"/>
      <c r="B1958" s="460"/>
      <c r="C1958" s="302"/>
      <c r="D1958" s="50"/>
      <c r="E1958" s="348"/>
      <c r="F1958" s="22"/>
      <c r="G1958" s="22"/>
      <c r="H1958" s="22"/>
      <c r="I1958" s="50"/>
      <c r="J1958" s="351"/>
      <c r="K1958" s="448"/>
      <c r="L1958" s="29"/>
      <c r="M1958" s="31"/>
      <c r="N1958" s="14"/>
      <c r="O1958" s="31"/>
      <c r="Q1958" s="36"/>
      <c r="R1958" s="36"/>
      <c r="S1958" s="36"/>
      <c r="T1958" s="36"/>
      <c r="V1958" s="31"/>
    </row>
    <row r="1959">
      <c r="A1959" s="14"/>
      <c r="B1959" s="460"/>
      <c r="C1959" s="302"/>
      <c r="D1959" s="50"/>
      <c r="E1959" s="348"/>
      <c r="F1959" s="22"/>
      <c r="G1959" s="22"/>
      <c r="H1959" s="22"/>
      <c r="I1959" s="50"/>
      <c r="J1959" s="351"/>
      <c r="K1959" s="448"/>
      <c r="L1959" s="29"/>
      <c r="M1959" s="31"/>
      <c r="N1959" s="14"/>
      <c r="O1959" s="31"/>
      <c r="Q1959" s="36"/>
      <c r="R1959" s="36"/>
      <c r="S1959" s="36"/>
      <c r="T1959" s="36"/>
      <c r="V1959" s="31"/>
    </row>
    <row r="1960">
      <c r="A1960" s="14"/>
      <c r="B1960" s="460"/>
      <c r="C1960" s="302"/>
      <c r="D1960" s="50"/>
      <c r="E1960" s="348"/>
      <c r="F1960" s="22"/>
      <c r="G1960" s="22"/>
      <c r="H1960" s="22"/>
      <c r="I1960" s="50"/>
      <c r="J1960" s="351"/>
      <c r="K1960" s="448"/>
      <c r="L1960" s="29"/>
      <c r="M1960" s="31"/>
      <c r="N1960" s="14"/>
      <c r="O1960" s="31"/>
      <c r="Q1960" s="36"/>
      <c r="R1960" s="36"/>
      <c r="S1960" s="36"/>
      <c r="T1960" s="36"/>
      <c r="V1960" s="31"/>
    </row>
    <row r="1961">
      <c r="A1961" s="14"/>
      <c r="B1961" s="460"/>
      <c r="C1961" s="302"/>
      <c r="D1961" s="50"/>
      <c r="E1961" s="348"/>
      <c r="F1961" s="22"/>
      <c r="G1961" s="22"/>
      <c r="H1961" s="22"/>
      <c r="I1961" s="50"/>
      <c r="J1961" s="351"/>
      <c r="K1961" s="448"/>
      <c r="L1961" s="29"/>
      <c r="M1961" s="31"/>
      <c r="N1961" s="14"/>
      <c r="O1961" s="31"/>
      <c r="Q1961" s="36"/>
      <c r="R1961" s="36"/>
      <c r="S1961" s="36"/>
      <c r="T1961" s="36"/>
      <c r="V1961" s="31"/>
    </row>
    <row r="1962">
      <c r="A1962" s="14"/>
      <c r="B1962" s="460"/>
      <c r="C1962" s="302"/>
      <c r="D1962" s="50"/>
      <c r="E1962" s="348"/>
      <c r="F1962" s="22"/>
      <c r="G1962" s="22"/>
      <c r="H1962" s="22"/>
      <c r="I1962" s="50"/>
      <c r="J1962" s="351"/>
      <c r="K1962" s="448"/>
      <c r="L1962" s="29"/>
      <c r="M1962" s="31"/>
      <c r="N1962" s="14"/>
      <c r="O1962" s="31"/>
      <c r="Q1962" s="36"/>
      <c r="R1962" s="36"/>
      <c r="S1962" s="36"/>
      <c r="T1962" s="36"/>
      <c r="V1962" s="31"/>
    </row>
    <row r="1963">
      <c r="A1963" s="14"/>
      <c r="B1963" s="460"/>
      <c r="C1963" s="302"/>
      <c r="D1963" s="50"/>
      <c r="E1963" s="348"/>
      <c r="F1963" s="22"/>
      <c r="G1963" s="22"/>
      <c r="H1963" s="22"/>
      <c r="I1963" s="50"/>
      <c r="J1963" s="351"/>
      <c r="K1963" s="448"/>
      <c r="L1963" s="29"/>
      <c r="M1963" s="31"/>
      <c r="N1963" s="14"/>
      <c r="O1963" s="31"/>
      <c r="Q1963" s="36"/>
      <c r="R1963" s="36"/>
      <c r="S1963" s="36"/>
      <c r="T1963" s="36"/>
      <c r="V1963" s="31"/>
    </row>
    <row r="1964">
      <c r="A1964" s="14"/>
      <c r="B1964" s="460"/>
      <c r="C1964" s="302"/>
      <c r="D1964" s="50"/>
      <c r="E1964" s="348"/>
      <c r="F1964" s="22"/>
      <c r="G1964" s="22"/>
      <c r="H1964" s="22"/>
      <c r="I1964" s="50"/>
      <c r="J1964" s="351"/>
      <c r="K1964" s="448"/>
      <c r="L1964" s="29"/>
      <c r="M1964" s="31"/>
      <c r="N1964" s="14"/>
      <c r="O1964" s="31"/>
      <c r="Q1964" s="36"/>
      <c r="R1964" s="36"/>
      <c r="S1964" s="36"/>
      <c r="T1964" s="36"/>
      <c r="V1964" s="31"/>
    </row>
    <row r="1965">
      <c r="A1965" s="14"/>
      <c r="B1965" s="460"/>
      <c r="C1965" s="302"/>
      <c r="D1965" s="50"/>
      <c r="E1965" s="348"/>
      <c r="F1965" s="22"/>
      <c r="G1965" s="22"/>
      <c r="H1965" s="22"/>
      <c r="I1965" s="50"/>
      <c r="J1965" s="351"/>
      <c r="K1965" s="448"/>
      <c r="L1965" s="29"/>
      <c r="M1965" s="31"/>
      <c r="N1965" s="14"/>
      <c r="O1965" s="31"/>
      <c r="Q1965" s="36"/>
      <c r="R1965" s="36"/>
      <c r="S1965" s="36"/>
      <c r="T1965" s="36"/>
      <c r="V1965" s="31"/>
    </row>
    <row r="1966">
      <c r="A1966" s="14"/>
      <c r="B1966" s="460"/>
      <c r="C1966" s="302"/>
      <c r="D1966" s="50"/>
      <c r="E1966" s="348"/>
      <c r="F1966" s="22"/>
      <c r="G1966" s="22"/>
      <c r="H1966" s="22"/>
      <c r="I1966" s="50"/>
      <c r="J1966" s="351"/>
      <c r="K1966" s="448"/>
      <c r="L1966" s="29"/>
      <c r="M1966" s="31"/>
      <c r="N1966" s="14"/>
      <c r="O1966" s="31"/>
      <c r="Q1966" s="36"/>
      <c r="R1966" s="36"/>
      <c r="S1966" s="36"/>
      <c r="T1966" s="36"/>
      <c r="V1966" s="31"/>
    </row>
    <row r="1967">
      <c r="A1967" s="14"/>
      <c r="B1967" s="460"/>
      <c r="C1967" s="302"/>
      <c r="D1967" s="50"/>
      <c r="E1967" s="348"/>
      <c r="F1967" s="22"/>
      <c r="G1967" s="22"/>
      <c r="H1967" s="22"/>
      <c r="I1967" s="50"/>
      <c r="J1967" s="351"/>
      <c r="K1967" s="448"/>
      <c r="L1967" s="29"/>
      <c r="M1967" s="31"/>
      <c r="N1967" s="14"/>
      <c r="O1967" s="31"/>
      <c r="Q1967" s="36"/>
      <c r="R1967" s="36"/>
      <c r="S1967" s="36"/>
      <c r="T1967" s="36"/>
      <c r="V1967" s="31"/>
    </row>
    <row r="1968">
      <c r="A1968" s="14"/>
      <c r="B1968" s="460"/>
      <c r="C1968" s="302"/>
      <c r="D1968" s="50"/>
      <c r="E1968" s="348"/>
      <c r="F1968" s="22"/>
      <c r="G1968" s="22"/>
      <c r="H1968" s="22"/>
      <c r="I1968" s="50"/>
      <c r="J1968" s="351"/>
      <c r="K1968" s="448"/>
      <c r="L1968" s="29"/>
      <c r="M1968" s="31"/>
      <c r="N1968" s="14"/>
      <c r="O1968" s="31"/>
      <c r="Q1968" s="36"/>
      <c r="R1968" s="36"/>
      <c r="S1968" s="36"/>
      <c r="T1968" s="36"/>
      <c r="V1968" s="31"/>
    </row>
    <row r="1969">
      <c r="A1969" s="14"/>
      <c r="B1969" s="460"/>
      <c r="C1969" s="302"/>
      <c r="D1969" s="50"/>
      <c r="E1969" s="348"/>
      <c r="F1969" s="22"/>
      <c r="G1969" s="22"/>
      <c r="H1969" s="22"/>
      <c r="I1969" s="50"/>
      <c r="J1969" s="351"/>
      <c r="K1969" s="448"/>
      <c r="L1969" s="29"/>
      <c r="M1969" s="31"/>
      <c r="N1969" s="14"/>
      <c r="O1969" s="31"/>
      <c r="Q1969" s="36"/>
      <c r="R1969" s="36"/>
      <c r="S1969" s="36"/>
      <c r="T1969" s="36"/>
      <c r="V1969" s="31"/>
    </row>
    <row r="1970">
      <c r="A1970" s="14"/>
      <c r="B1970" s="460"/>
      <c r="C1970" s="302"/>
      <c r="D1970" s="50"/>
      <c r="E1970" s="348"/>
      <c r="F1970" s="22"/>
      <c r="G1970" s="22"/>
      <c r="H1970" s="22"/>
      <c r="I1970" s="50"/>
      <c r="J1970" s="351"/>
      <c r="K1970" s="448"/>
      <c r="L1970" s="29"/>
      <c r="M1970" s="31"/>
      <c r="N1970" s="14"/>
      <c r="O1970" s="31"/>
      <c r="Q1970" s="36"/>
      <c r="R1970" s="36"/>
      <c r="S1970" s="36"/>
      <c r="T1970" s="36"/>
      <c r="V1970" s="31"/>
    </row>
    <row r="1971">
      <c r="A1971" s="14"/>
      <c r="B1971" s="460"/>
      <c r="C1971" s="302"/>
      <c r="D1971" s="50"/>
      <c r="E1971" s="348"/>
      <c r="F1971" s="22"/>
      <c r="G1971" s="22"/>
      <c r="H1971" s="22"/>
      <c r="I1971" s="50"/>
      <c r="J1971" s="351"/>
      <c r="K1971" s="448"/>
      <c r="L1971" s="29"/>
      <c r="M1971" s="31"/>
      <c r="N1971" s="14"/>
      <c r="O1971" s="31"/>
      <c r="Q1971" s="36"/>
      <c r="R1971" s="36"/>
      <c r="S1971" s="36"/>
      <c r="T1971" s="36"/>
      <c r="V1971" s="31"/>
    </row>
    <row r="1972">
      <c r="A1972" s="14"/>
      <c r="B1972" s="460"/>
      <c r="C1972" s="302"/>
      <c r="D1972" s="50"/>
      <c r="E1972" s="348"/>
      <c r="F1972" s="22"/>
      <c r="G1972" s="22"/>
      <c r="H1972" s="22"/>
      <c r="I1972" s="50"/>
      <c r="J1972" s="351"/>
      <c r="K1972" s="448"/>
      <c r="L1972" s="29"/>
      <c r="M1972" s="31"/>
      <c r="N1972" s="14"/>
      <c r="O1972" s="31"/>
      <c r="Q1972" s="36"/>
      <c r="R1972" s="36"/>
      <c r="S1972" s="36"/>
      <c r="T1972" s="36"/>
      <c r="V1972" s="31"/>
    </row>
    <row r="1973">
      <c r="A1973" s="14"/>
      <c r="B1973" s="460"/>
      <c r="C1973" s="302"/>
      <c r="D1973" s="50"/>
      <c r="E1973" s="348"/>
      <c r="F1973" s="22"/>
      <c r="G1973" s="22"/>
      <c r="H1973" s="22"/>
      <c r="I1973" s="50"/>
      <c r="J1973" s="351"/>
      <c r="K1973" s="448"/>
      <c r="L1973" s="29"/>
      <c r="M1973" s="31"/>
      <c r="N1973" s="14"/>
      <c r="O1973" s="31"/>
      <c r="Q1973" s="36"/>
      <c r="R1973" s="36"/>
      <c r="S1973" s="36"/>
      <c r="T1973" s="36"/>
      <c r="V1973" s="31"/>
    </row>
    <row r="1974">
      <c r="A1974" s="14"/>
      <c r="B1974" s="460"/>
      <c r="C1974" s="302"/>
      <c r="D1974" s="50"/>
      <c r="E1974" s="348"/>
      <c r="F1974" s="22"/>
      <c r="G1974" s="22"/>
      <c r="H1974" s="22"/>
      <c r="I1974" s="50"/>
      <c r="J1974" s="351"/>
      <c r="K1974" s="448"/>
      <c r="L1974" s="29"/>
      <c r="M1974" s="31"/>
      <c r="N1974" s="14"/>
      <c r="O1974" s="31"/>
      <c r="Q1974" s="36"/>
      <c r="R1974" s="36"/>
      <c r="S1974" s="36"/>
      <c r="T1974" s="36"/>
      <c r="V1974" s="31"/>
    </row>
    <row r="1975">
      <c r="A1975" s="14"/>
      <c r="B1975" s="460"/>
      <c r="C1975" s="302"/>
      <c r="D1975" s="50"/>
      <c r="E1975" s="348"/>
      <c r="F1975" s="22"/>
      <c r="G1975" s="22"/>
      <c r="H1975" s="22"/>
      <c r="I1975" s="50"/>
      <c r="J1975" s="351"/>
      <c r="K1975" s="448"/>
      <c r="L1975" s="29"/>
      <c r="M1975" s="31"/>
      <c r="N1975" s="14"/>
      <c r="O1975" s="31"/>
      <c r="Q1975" s="36"/>
      <c r="R1975" s="36"/>
      <c r="S1975" s="36"/>
      <c r="T1975" s="36"/>
      <c r="V1975" s="31"/>
    </row>
    <row r="1976">
      <c r="A1976" s="14"/>
      <c r="B1976" s="460"/>
      <c r="C1976" s="302"/>
      <c r="D1976" s="50"/>
      <c r="E1976" s="348"/>
      <c r="F1976" s="22"/>
      <c r="G1976" s="22"/>
      <c r="H1976" s="22"/>
      <c r="I1976" s="50"/>
      <c r="J1976" s="351"/>
      <c r="K1976" s="448"/>
      <c r="L1976" s="29"/>
      <c r="M1976" s="31"/>
      <c r="N1976" s="14"/>
      <c r="O1976" s="31"/>
      <c r="Q1976" s="36"/>
      <c r="R1976" s="36"/>
      <c r="S1976" s="36"/>
      <c r="T1976" s="36"/>
      <c r="V1976" s="31"/>
    </row>
    <row r="1977">
      <c r="A1977" s="14"/>
      <c r="B1977" s="460"/>
      <c r="C1977" s="302"/>
      <c r="D1977" s="50"/>
      <c r="E1977" s="348"/>
      <c r="F1977" s="22"/>
      <c r="G1977" s="22"/>
      <c r="H1977" s="22"/>
      <c r="I1977" s="50"/>
      <c r="J1977" s="351"/>
      <c r="K1977" s="448"/>
      <c r="L1977" s="29"/>
      <c r="M1977" s="31"/>
      <c r="N1977" s="14"/>
      <c r="O1977" s="31"/>
      <c r="Q1977" s="36"/>
      <c r="R1977" s="36"/>
      <c r="S1977" s="36"/>
      <c r="T1977" s="36"/>
      <c r="V1977" s="31"/>
    </row>
    <row r="1978">
      <c r="A1978" s="14"/>
      <c r="B1978" s="460"/>
      <c r="C1978" s="302"/>
      <c r="D1978" s="50"/>
      <c r="E1978" s="348"/>
      <c r="F1978" s="22"/>
      <c r="G1978" s="22"/>
      <c r="H1978" s="22"/>
      <c r="I1978" s="50"/>
      <c r="J1978" s="351"/>
      <c r="K1978" s="448"/>
      <c r="L1978" s="29"/>
      <c r="M1978" s="31"/>
      <c r="N1978" s="14"/>
      <c r="O1978" s="31"/>
      <c r="Q1978" s="36"/>
      <c r="R1978" s="36"/>
      <c r="S1978" s="36"/>
      <c r="T1978" s="36"/>
      <c r="V1978" s="31"/>
    </row>
    <row r="1979">
      <c r="A1979" s="14"/>
      <c r="B1979" s="460"/>
      <c r="C1979" s="302"/>
      <c r="D1979" s="50"/>
      <c r="E1979" s="348"/>
      <c r="F1979" s="22"/>
      <c r="G1979" s="22"/>
      <c r="H1979" s="22"/>
      <c r="I1979" s="50"/>
      <c r="J1979" s="351"/>
      <c r="K1979" s="448"/>
      <c r="L1979" s="29"/>
      <c r="M1979" s="31"/>
      <c r="N1979" s="14"/>
      <c r="O1979" s="31"/>
      <c r="Q1979" s="36"/>
      <c r="R1979" s="36"/>
      <c r="S1979" s="36"/>
      <c r="T1979" s="36"/>
      <c r="V1979" s="31"/>
    </row>
    <row r="1980">
      <c r="A1980" s="14"/>
      <c r="B1980" s="460"/>
      <c r="C1980" s="302"/>
      <c r="D1980" s="50"/>
      <c r="E1980" s="348"/>
      <c r="F1980" s="22"/>
      <c r="G1980" s="22"/>
      <c r="H1980" s="22"/>
      <c r="I1980" s="50"/>
      <c r="J1980" s="351"/>
      <c r="K1980" s="448"/>
      <c r="L1980" s="29"/>
      <c r="M1980" s="31"/>
      <c r="N1980" s="14"/>
      <c r="O1980" s="31"/>
      <c r="Q1980" s="36"/>
      <c r="R1980" s="36"/>
      <c r="S1980" s="36"/>
      <c r="T1980" s="36"/>
      <c r="V1980" s="31"/>
    </row>
    <row r="1981">
      <c r="A1981" s="14"/>
      <c r="B1981" s="460"/>
      <c r="C1981" s="302"/>
      <c r="D1981" s="50"/>
      <c r="E1981" s="348"/>
      <c r="F1981" s="22"/>
      <c r="G1981" s="22"/>
      <c r="H1981" s="22"/>
      <c r="I1981" s="50"/>
      <c r="J1981" s="351"/>
      <c r="K1981" s="448"/>
      <c r="L1981" s="29"/>
      <c r="M1981" s="31"/>
      <c r="N1981" s="14"/>
      <c r="O1981" s="31"/>
      <c r="Q1981" s="36"/>
      <c r="R1981" s="36"/>
      <c r="S1981" s="36"/>
      <c r="T1981" s="36"/>
      <c r="V1981" s="31"/>
    </row>
    <row r="1982">
      <c r="A1982" s="14"/>
      <c r="B1982" s="460"/>
      <c r="C1982" s="302"/>
      <c r="D1982" s="50"/>
      <c r="E1982" s="348"/>
      <c r="F1982" s="22"/>
      <c r="G1982" s="22"/>
      <c r="H1982" s="22"/>
      <c r="I1982" s="50"/>
      <c r="J1982" s="351"/>
      <c r="K1982" s="448"/>
      <c r="L1982" s="29"/>
      <c r="M1982" s="31"/>
      <c r="N1982" s="14"/>
      <c r="O1982" s="31"/>
      <c r="Q1982" s="36"/>
      <c r="R1982" s="36"/>
      <c r="S1982" s="36"/>
      <c r="T1982" s="36"/>
      <c r="V1982" s="31"/>
    </row>
    <row r="1983">
      <c r="A1983" s="14"/>
      <c r="B1983" s="460"/>
      <c r="C1983" s="302"/>
      <c r="D1983" s="50"/>
      <c r="E1983" s="348"/>
      <c r="F1983" s="22"/>
      <c r="G1983" s="22"/>
      <c r="H1983" s="22"/>
      <c r="I1983" s="50"/>
      <c r="J1983" s="351"/>
      <c r="K1983" s="448"/>
      <c r="L1983" s="29"/>
      <c r="M1983" s="31"/>
      <c r="N1983" s="14"/>
      <c r="O1983" s="31"/>
      <c r="Q1983" s="36"/>
      <c r="R1983" s="36"/>
      <c r="S1983" s="36"/>
      <c r="T1983" s="36"/>
      <c r="V1983" s="31"/>
    </row>
    <row r="1984">
      <c r="A1984" s="14"/>
      <c r="B1984" s="460"/>
      <c r="C1984" s="302"/>
      <c r="D1984" s="50"/>
      <c r="E1984" s="348"/>
      <c r="F1984" s="22"/>
      <c r="G1984" s="22"/>
      <c r="H1984" s="22"/>
      <c r="I1984" s="50"/>
      <c r="J1984" s="351"/>
      <c r="K1984" s="448"/>
      <c r="L1984" s="29"/>
      <c r="M1984" s="31"/>
      <c r="N1984" s="14"/>
      <c r="O1984" s="31"/>
      <c r="Q1984" s="36"/>
      <c r="R1984" s="36"/>
      <c r="S1984" s="36"/>
      <c r="T1984" s="36"/>
      <c r="V1984" s="31"/>
    </row>
    <row r="1985">
      <c r="A1985" s="14"/>
      <c r="B1985" s="460"/>
      <c r="C1985" s="302"/>
      <c r="D1985" s="50"/>
      <c r="E1985" s="348"/>
      <c r="F1985" s="22"/>
      <c r="G1985" s="22"/>
      <c r="H1985" s="22"/>
      <c r="I1985" s="50"/>
      <c r="J1985" s="351"/>
      <c r="K1985" s="448"/>
      <c r="L1985" s="29"/>
      <c r="M1985" s="31"/>
      <c r="N1985" s="14"/>
      <c r="O1985" s="31"/>
      <c r="Q1985" s="36"/>
      <c r="R1985" s="36"/>
      <c r="S1985" s="36"/>
      <c r="T1985" s="36"/>
      <c r="V1985" s="31"/>
    </row>
    <row r="1986">
      <c r="A1986" s="14"/>
      <c r="B1986" s="460"/>
      <c r="C1986" s="302"/>
      <c r="D1986" s="50"/>
      <c r="E1986" s="348"/>
      <c r="F1986" s="22"/>
      <c r="G1986" s="22"/>
      <c r="H1986" s="22"/>
      <c r="I1986" s="50"/>
      <c r="J1986" s="351"/>
      <c r="K1986" s="448"/>
      <c r="L1986" s="29"/>
      <c r="M1986" s="31"/>
      <c r="N1986" s="14"/>
      <c r="O1986" s="31"/>
      <c r="Q1986" s="36"/>
      <c r="R1986" s="36"/>
      <c r="S1986" s="36"/>
      <c r="T1986" s="36"/>
      <c r="V1986" s="31"/>
    </row>
    <row r="1987">
      <c r="A1987" s="14"/>
      <c r="B1987" s="460"/>
      <c r="C1987" s="302"/>
      <c r="D1987" s="50"/>
      <c r="E1987" s="348"/>
      <c r="F1987" s="22"/>
      <c r="G1987" s="22"/>
      <c r="H1987" s="22"/>
      <c r="I1987" s="50"/>
      <c r="J1987" s="351"/>
      <c r="K1987" s="448"/>
      <c r="L1987" s="29"/>
      <c r="M1987" s="31"/>
      <c r="N1987" s="14"/>
      <c r="O1987" s="31"/>
      <c r="Q1987" s="36"/>
      <c r="R1987" s="36"/>
      <c r="S1987" s="36"/>
      <c r="T1987" s="36"/>
      <c r="V1987" s="31"/>
    </row>
    <row r="1988">
      <c r="A1988" s="14"/>
      <c r="B1988" s="460"/>
      <c r="C1988" s="302"/>
      <c r="D1988" s="50"/>
      <c r="E1988" s="348"/>
      <c r="F1988" s="22"/>
      <c r="G1988" s="22"/>
      <c r="H1988" s="22"/>
      <c r="I1988" s="50"/>
      <c r="J1988" s="351"/>
      <c r="K1988" s="448"/>
      <c r="L1988" s="29"/>
      <c r="M1988" s="31"/>
      <c r="N1988" s="14"/>
      <c r="O1988" s="31"/>
      <c r="Q1988" s="36"/>
      <c r="R1988" s="36"/>
      <c r="S1988" s="36"/>
      <c r="T1988" s="36"/>
      <c r="V1988" s="31"/>
    </row>
    <row r="1989">
      <c r="A1989" s="14"/>
      <c r="B1989" s="460"/>
      <c r="C1989" s="302"/>
      <c r="D1989" s="50"/>
      <c r="E1989" s="348"/>
      <c r="F1989" s="22"/>
      <c r="G1989" s="22"/>
      <c r="H1989" s="22"/>
      <c r="I1989" s="50"/>
      <c r="J1989" s="351"/>
      <c r="K1989" s="448"/>
      <c r="L1989" s="29"/>
      <c r="M1989" s="31"/>
      <c r="N1989" s="14"/>
      <c r="O1989" s="31"/>
      <c r="Q1989" s="36"/>
      <c r="R1989" s="36"/>
      <c r="S1989" s="36"/>
      <c r="T1989" s="36"/>
      <c r="V1989" s="31"/>
    </row>
    <row r="1990">
      <c r="A1990" s="14"/>
      <c r="B1990" s="460"/>
      <c r="C1990" s="302"/>
      <c r="D1990" s="50"/>
      <c r="E1990" s="348"/>
      <c r="F1990" s="22"/>
      <c r="G1990" s="22"/>
      <c r="H1990" s="22"/>
      <c r="I1990" s="50"/>
      <c r="J1990" s="351"/>
      <c r="K1990" s="448"/>
      <c r="L1990" s="29"/>
      <c r="M1990" s="31"/>
      <c r="N1990" s="14"/>
      <c r="O1990" s="31"/>
      <c r="Q1990" s="36"/>
      <c r="R1990" s="36"/>
      <c r="S1990" s="36"/>
      <c r="T1990" s="36"/>
      <c r="V1990" s="31"/>
    </row>
    <row r="1991">
      <c r="A1991" s="14"/>
      <c r="B1991" s="460"/>
      <c r="C1991" s="302"/>
      <c r="D1991" s="50"/>
      <c r="E1991" s="348"/>
      <c r="F1991" s="22"/>
      <c r="G1991" s="22"/>
      <c r="H1991" s="22"/>
      <c r="I1991" s="50"/>
      <c r="J1991" s="351"/>
      <c r="K1991" s="448"/>
      <c r="L1991" s="29"/>
      <c r="M1991" s="31"/>
      <c r="N1991" s="14"/>
      <c r="O1991" s="31"/>
      <c r="Q1991" s="36"/>
      <c r="R1991" s="36"/>
      <c r="S1991" s="36"/>
      <c r="T1991" s="36"/>
      <c r="V1991" s="31"/>
    </row>
    <row r="1992">
      <c r="A1992" s="14"/>
      <c r="B1992" s="460"/>
      <c r="C1992" s="302"/>
      <c r="D1992" s="50"/>
      <c r="E1992" s="348"/>
      <c r="F1992" s="22"/>
      <c r="G1992" s="22"/>
      <c r="H1992" s="22"/>
      <c r="I1992" s="50"/>
      <c r="J1992" s="351"/>
      <c r="K1992" s="448"/>
      <c r="L1992" s="29"/>
      <c r="M1992" s="31"/>
      <c r="N1992" s="14"/>
      <c r="O1992" s="31"/>
      <c r="Q1992" s="36"/>
      <c r="R1992" s="36"/>
      <c r="S1992" s="36"/>
      <c r="T1992" s="36"/>
      <c r="V1992" s="31"/>
    </row>
    <row r="1993">
      <c r="A1993" s="14"/>
      <c r="B1993" s="460"/>
      <c r="C1993" s="302"/>
      <c r="D1993" s="50"/>
      <c r="E1993" s="348"/>
      <c r="F1993" s="22"/>
      <c r="G1993" s="22"/>
      <c r="H1993" s="22"/>
      <c r="I1993" s="50"/>
      <c r="J1993" s="351"/>
      <c r="K1993" s="448"/>
      <c r="L1993" s="29"/>
      <c r="M1993" s="31"/>
      <c r="N1993" s="14"/>
      <c r="O1993" s="31"/>
      <c r="Q1993" s="36"/>
      <c r="R1993" s="36"/>
      <c r="S1993" s="36"/>
      <c r="T1993" s="36"/>
      <c r="V1993" s="31"/>
    </row>
    <row r="1994">
      <c r="A1994" s="14"/>
      <c r="B1994" s="460"/>
      <c r="C1994" s="302"/>
      <c r="D1994" s="50"/>
      <c r="E1994" s="348"/>
      <c r="F1994" s="22"/>
      <c r="G1994" s="22"/>
      <c r="H1994" s="22"/>
      <c r="I1994" s="50"/>
      <c r="J1994" s="351"/>
      <c r="K1994" s="448"/>
      <c r="L1994" s="29"/>
      <c r="M1994" s="31"/>
      <c r="N1994" s="14"/>
      <c r="O1994" s="31"/>
      <c r="Q1994" s="36"/>
      <c r="R1994" s="36"/>
      <c r="S1994" s="36"/>
      <c r="T1994" s="36"/>
      <c r="V1994" s="31"/>
    </row>
    <row r="1995">
      <c r="A1995" s="14"/>
      <c r="B1995" s="460"/>
      <c r="C1995" s="302"/>
      <c r="D1995" s="50"/>
      <c r="E1995" s="348"/>
      <c r="F1995" s="22"/>
      <c r="G1995" s="22"/>
      <c r="H1995" s="22"/>
      <c r="I1995" s="50"/>
      <c r="J1995" s="351"/>
      <c r="K1995" s="448"/>
      <c r="L1995" s="29"/>
      <c r="M1995" s="31"/>
      <c r="N1995" s="14"/>
      <c r="O1995" s="31"/>
      <c r="Q1995" s="36"/>
      <c r="R1995" s="36"/>
      <c r="S1995" s="36"/>
      <c r="T1995" s="36"/>
      <c r="V1995" s="31"/>
    </row>
    <row r="1996">
      <c r="A1996" s="14"/>
      <c r="B1996" s="460"/>
      <c r="C1996" s="302"/>
      <c r="D1996" s="50"/>
      <c r="E1996" s="348"/>
      <c r="F1996" s="22"/>
      <c r="G1996" s="22"/>
      <c r="H1996" s="22"/>
      <c r="I1996" s="50"/>
      <c r="J1996" s="351"/>
      <c r="K1996" s="448"/>
      <c r="L1996" s="29"/>
      <c r="M1996" s="31"/>
      <c r="N1996" s="14"/>
      <c r="O1996" s="31"/>
      <c r="Q1996" s="36"/>
      <c r="R1996" s="36"/>
      <c r="S1996" s="36"/>
      <c r="T1996" s="36"/>
      <c r="V1996" s="31"/>
    </row>
    <row r="1997">
      <c r="A1997" s="14"/>
      <c r="B1997" s="460"/>
      <c r="C1997" s="302"/>
      <c r="D1997" s="50"/>
      <c r="E1997" s="348"/>
      <c r="F1997" s="22"/>
      <c r="G1997" s="22"/>
      <c r="H1997" s="22"/>
      <c r="I1997" s="50"/>
      <c r="J1997" s="351"/>
      <c r="K1997" s="448"/>
      <c r="L1997" s="29"/>
      <c r="M1997" s="31"/>
      <c r="N1997" s="14"/>
      <c r="O1997" s="31"/>
      <c r="Q1997" s="36"/>
      <c r="R1997" s="36"/>
      <c r="S1997" s="36"/>
      <c r="T1997" s="36"/>
      <c r="V1997" s="31"/>
    </row>
    <row r="1998">
      <c r="A1998" s="14"/>
      <c r="B1998" s="460"/>
      <c r="C1998" s="302"/>
      <c r="D1998" s="50"/>
      <c r="E1998" s="348"/>
      <c r="F1998" s="22"/>
      <c r="G1998" s="22"/>
      <c r="H1998" s="22"/>
      <c r="I1998" s="50"/>
      <c r="J1998" s="351"/>
      <c r="K1998" s="448"/>
      <c r="L1998" s="29"/>
      <c r="M1998" s="31"/>
      <c r="N1998" s="14"/>
      <c r="O1998" s="31"/>
      <c r="Q1998" s="36"/>
      <c r="R1998" s="36"/>
      <c r="S1998" s="36"/>
      <c r="T1998" s="36"/>
      <c r="V1998" s="31"/>
    </row>
    <row r="1999">
      <c r="A1999" s="14"/>
      <c r="B1999" s="460"/>
      <c r="C1999" s="302"/>
      <c r="D1999" s="50"/>
      <c r="E1999" s="348"/>
      <c r="F1999" s="22"/>
      <c r="G1999" s="22"/>
      <c r="H1999" s="22"/>
      <c r="I1999" s="50"/>
      <c r="J1999" s="351"/>
      <c r="K1999" s="448"/>
      <c r="L1999" s="29"/>
      <c r="M1999" s="31"/>
      <c r="N1999" s="14"/>
      <c r="O1999" s="31"/>
      <c r="Q1999" s="36"/>
      <c r="R1999" s="36"/>
      <c r="S1999" s="36"/>
      <c r="T1999" s="36"/>
      <c r="V1999" s="31"/>
    </row>
    <row r="2000">
      <c r="A2000" s="14"/>
      <c r="B2000" s="460"/>
      <c r="C2000" s="302"/>
      <c r="D2000" s="50"/>
      <c r="E2000" s="348"/>
      <c r="F2000" s="22"/>
      <c r="G2000" s="22"/>
      <c r="H2000" s="22"/>
      <c r="I2000" s="50"/>
      <c r="J2000" s="351"/>
      <c r="K2000" s="448"/>
      <c r="L2000" s="29"/>
      <c r="M2000" s="31"/>
      <c r="N2000" s="14"/>
      <c r="O2000" s="31"/>
      <c r="Q2000" s="36"/>
      <c r="R2000" s="36"/>
      <c r="S2000" s="36"/>
      <c r="T2000" s="36"/>
      <c r="V2000" s="31"/>
    </row>
    <row r="2001">
      <c r="A2001" s="14"/>
      <c r="B2001" s="460"/>
      <c r="C2001" s="302"/>
      <c r="D2001" s="50"/>
      <c r="E2001" s="348"/>
      <c r="F2001" s="22"/>
      <c r="G2001" s="22"/>
      <c r="H2001" s="22"/>
      <c r="I2001" s="50"/>
      <c r="J2001" s="351"/>
      <c r="K2001" s="448"/>
      <c r="L2001" s="29"/>
      <c r="M2001" s="31"/>
      <c r="N2001" s="14"/>
      <c r="O2001" s="31"/>
      <c r="Q2001" s="36"/>
      <c r="R2001" s="36"/>
      <c r="S2001" s="36"/>
      <c r="T2001" s="36"/>
      <c r="V2001" s="31"/>
    </row>
    <row r="2002">
      <c r="A2002" s="14"/>
      <c r="B2002" s="460"/>
      <c r="C2002" s="302"/>
      <c r="D2002" s="50"/>
      <c r="E2002" s="348"/>
      <c r="F2002" s="22"/>
      <c r="G2002" s="22"/>
      <c r="H2002" s="22"/>
      <c r="I2002" s="50"/>
      <c r="J2002" s="351"/>
      <c r="K2002" s="448"/>
      <c r="L2002" s="29"/>
      <c r="M2002" s="31"/>
      <c r="N2002" s="14"/>
      <c r="O2002" s="31"/>
      <c r="Q2002" s="36"/>
      <c r="R2002" s="36"/>
      <c r="S2002" s="36"/>
      <c r="T2002" s="36"/>
      <c r="V2002" s="31"/>
    </row>
    <row r="2003">
      <c r="A2003" s="14"/>
      <c r="B2003" s="460"/>
      <c r="C2003" s="302"/>
      <c r="D2003" s="50"/>
      <c r="E2003" s="348"/>
      <c r="F2003" s="22"/>
      <c r="G2003" s="22"/>
      <c r="H2003" s="22"/>
      <c r="I2003" s="50"/>
      <c r="J2003" s="351"/>
      <c r="K2003" s="448"/>
      <c r="L2003" s="29"/>
      <c r="M2003" s="31"/>
      <c r="N2003" s="14"/>
      <c r="O2003" s="31"/>
      <c r="Q2003" s="36"/>
      <c r="R2003" s="36"/>
      <c r="S2003" s="36"/>
      <c r="T2003" s="36"/>
      <c r="V2003" s="31"/>
    </row>
    <row r="2004">
      <c r="A2004" s="14"/>
      <c r="B2004" s="460"/>
      <c r="C2004" s="302"/>
      <c r="D2004" s="50"/>
      <c r="E2004" s="348"/>
      <c r="F2004" s="22"/>
      <c r="G2004" s="22"/>
      <c r="H2004" s="22"/>
      <c r="I2004" s="50"/>
      <c r="J2004" s="351"/>
      <c r="K2004" s="448"/>
      <c r="L2004" s="29"/>
      <c r="M2004" s="31"/>
      <c r="N2004" s="14"/>
      <c r="O2004" s="31"/>
      <c r="Q2004" s="36"/>
      <c r="R2004" s="36"/>
      <c r="S2004" s="36"/>
      <c r="T2004" s="36"/>
      <c r="V2004" s="31"/>
    </row>
    <row r="2005">
      <c r="A2005" s="14"/>
      <c r="B2005" s="460"/>
      <c r="C2005" s="302"/>
      <c r="D2005" s="50"/>
      <c r="E2005" s="348"/>
      <c r="F2005" s="22"/>
      <c r="G2005" s="22"/>
      <c r="H2005" s="22"/>
      <c r="I2005" s="50"/>
      <c r="J2005" s="351"/>
      <c r="K2005" s="448"/>
      <c r="L2005" s="29"/>
      <c r="M2005" s="31"/>
      <c r="N2005" s="14"/>
      <c r="O2005" s="31"/>
      <c r="Q2005" s="36"/>
      <c r="R2005" s="36"/>
      <c r="S2005" s="36"/>
      <c r="T2005" s="36"/>
      <c r="V2005" s="31"/>
    </row>
    <row r="2006">
      <c r="A2006" s="14"/>
      <c r="B2006" s="460"/>
      <c r="C2006" s="302"/>
      <c r="D2006" s="50"/>
      <c r="E2006" s="348"/>
      <c r="F2006" s="22"/>
      <c r="G2006" s="22"/>
      <c r="H2006" s="22"/>
      <c r="I2006" s="50"/>
      <c r="J2006" s="351"/>
      <c r="K2006" s="448"/>
      <c r="L2006" s="29"/>
      <c r="M2006" s="31"/>
      <c r="N2006" s="14"/>
      <c r="O2006" s="31"/>
      <c r="Q2006" s="36"/>
      <c r="R2006" s="36"/>
      <c r="S2006" s="36"/>
      <c r="T2006" s="36"/>
      <c r="V2006" s="31"/>
    </row>
    <row r="2007">
      <c r="A2007" s="14"/>
      <c r="B2007" s="460"/>
      <c r="C2007" s="302"/>
      <c r="D2007" s="50"/>
      <c r="E2007" s="348"/>
      <c r="F2007" s="22"/>
      <c r="G2007" s="22"/>
      <c r="H2007" s="22"/>
      <c r="I2007" s="50"/>
      <c r="J2007" s="351"/>
      <c r="K2007" s="448"/>
      <c r="L2007" s="29"/>
      <c r="M2007" s="31"/>
      <c r="N2007" s="14"/>
      <c r="O2007" s="31"/>
      <c r="Q2007" s="36"/>
      <c r="R2007" s="36"/>
      <c r="S2007" s="36"/>
      <c r="T2007" s="36"/>
      <c r="V2007" s="31"/>
    </row>
    <row r="2008">
      <c r="A2008" s="14"/>
      <c r="B2008" s="460"/>
      <c r="C2008" s="302"/>
      <c r="D2008" s="50"/>
      <c r="E2008" s="348"/>
      <c r="F2008" s="22"/>
      <c r="G2008" s="22"/>
      <c r="H2008" s="22"/>
      <c r="I2008" s="50"/>
      <c r="J2008" s="351"/>
      <c r="K2008" s="448"/>
      <c r="L2008" s="29"/>
      <c r="M2008" s="31"/>
      <c r="N2008" s="14"/>
      <c r="O2008" s="31"/>
      <c r="Q2008" s="36"/>
      <c r="R2008" s="36"/>
      <c r="S2008" s="36"/>
      <c r="T2008" s="36"/>
      <c r="V2008" s="31"/>
    </row>
    <row r="2009">
      <c r="A2009" s="14"/>
      <c r="B2009" s="460"/>
      <c r="C2009" s="302"/>
      <c r="D2009" s="50"/>
      <c r="E2009" s="348"/>
      <c r="F2009" s="22"/>
      <c r="G2009" s="22"/>
      <c r="H2009" s="22"/>
      <c r="I2009" s="50"/>
      <c r="J2009" s="351"/>
      <c r="K2009" s="448"/>
      <c r="L2009" s="29"/>
      <c r="M2009" s="31"/>
      <c r="N2009" s="14"/>
      <c r="O2009" s="31"/>
      <c r="Q2009" s="36"/>
      <c r="R2009" s="36"/>
      <c r="S2009" s="36"/>
      <c r="T2009" s="36"/>
      <c r="V2009" s="31"/>
    </row>
    <row r="2010">
      <c r="A2010" s="14"/>
      <c r="B2010" s="460"/>
      <c r="C2010" s="302"/>
      <c r="D2010" s="50"/>
      <c r="E2010" s="348"/>
      <c r="F2010" s="22"/>
      <c r="G2010" s="22"/>
      <c r="H2010" s="22"/>
      <c r="I2010" s="50"/>
      <c r="J2010" s="351"/>
      <c r="K2010" s="448"/>
      <c r="L2010" s="29"/>
      <c r="M2010" s="31"/>
      <c r="N2010" s="14"/>
      <c r="O2010" s="31"/>
      <c r="Q2010" s="36"/>
      <c r="R2010" s="36"/>
      <c r="S2010" s="36"/>
      <c r="T2010" s="36"/>
      <c r="V2010" s="31"/>
    </row>
    <row r="2011">
      <c r="A2011" s="14"/>
      <c r="B2011" s="460"/>
      <c r="C2011" s="302"/>
      <c r="D2011" s="50"/>
      <c r="E2011" s="348"/>
      <c r="F2011" s="22"/>
      <c r="G2011" s="22"/>
      <c r="H2011" s="22"/>
      <c r="I2011" s="50"/>
      <c r="J2011" s="351"/>
      <c r="K2011" s="448"/>
      <c r="L2011" s="29"/>
      <c r="M2011" s="31"/>
      <c r="N2011" s="14"/>
      <c r="O2011" s="31"/>
      <c r="Q2011" s="36"/>
      <c r="R2011" s="36"/>
      <c r="S2011" s="36"/>
      <c r="T2011" s="36"/>
      <c r="V2011" s="31"/>
    </row>
    <row r="2012">
      <c r="A2012" s="14"/>
      <c r="B2012" s="460"/>
      <c r="C2012" s="302"/>
      <c r="D2012" s="50"/>
      <c r="E2012" s="348"/>
      <c r="F2012" s="22"/>
      <c r="G2012" s="22"/>
      <c r="H2012" s="22"/>
      <c r="I2012" s="50"/>
      <c r="J2012" s="351"/>
      <c r="K2012" s="448"/>
      <c r="L2012" s="29"/>
      <c r="M2012" s="31"/>
      <c r="N2012" s="14"/>
      <c r="O2012" s="31"/>
      <c r="Q2012" s="36"/>
      <c r="R2012" s="36"/>
      <c r="S2012" s="36"/>
      <c r="T2012" s="36"/>
      <c r="V2012" s="31"/>
    </row>
    <row r="2013">
      <c r="A2013" s="14"/>
      <c r="B2013" s="460"/>
      <c r="C2013" s="302"/>
      <c r="D2013" s="50"/>
      <c r="E2013" s="348"/>
      <c r="F2013" s="22"/>
      <c r="G2013" s="22"/>
      <c r="H2013" s="22"/>
      <c r="I2013" s="50"/>
      <c r="J2013" s="351"/>
      <c r="K2013" s="448"/>
      <c r="L2013" s="29"/>
      <c r="M2013" s="31"/>
      <c r="N2013" s="14"/>
      <c r="O2013" s="31"/>
      <c r="Q2013" s="36"/>
      <c r="R2013" s="36"/>
      <c r="S2013" s="36"/>
      <c r="T2013" s="36"/>
      <c r="V2013" s="31"/>
    </row>
    <row r="2014">
      <c r="A2014" s="14"/>
      <c r="B2014" s="460"/>
      <c r="C2014" s="302"/>
      <c r="D2014" s="50"/>
      <c r="E2014" s="348"/>
      <c r="F2014" s="22"/>
      <c r="G2014" s="22"/>
      <c r="H2014" s="22"/>
      <c r="I2014" s="50"/>
      <c r="J2014" s="351"/>
      <c r="K2014" s="448"/>
      <c r="L2014" s="29"/>
      <c r="M2014" s="31"/>
      <c r="N2014" s="14"/>
      <c r="O2014" s="31"/>
      <c r="Q2014" s="36"/>
      <c r="R2014" s="36"/>
      <c r="S2014" s="36"/>
      <c r="T2014" s="36"/>
      <c r="V2014" s="31"/>
    </row>
    <row r="2015">
      <c r="A2015" s="14"/>
      <c r="B2015" s="460"/>
      <c r="C2015" s="302"/>
      <c r="D2015" s="50"/>
      <c r="E2015" s="348"/>
      <c r="F2015" s="22"/>
      <c r="G2015" s="22"/>
      <c r="H2015" s="22"/>
      <c r="I2015" s="50"/>
      <c r="J2015" s="351"/>
      <c r="K2015" s="448"/>
      <c r="L2015" s="29"/>
      <c r="M2015" s="31"/>
      <c r="N2015" s="14"/>
      <c r="O2015" s="31"/>
      <c r="Q2015" s="36"/>
      <c r="R2015" s="36"/>
      <c r="S2015" s="36"/>
      <c r="T2015" s="36"/>
      <c r="V2015" s="31"/>
    </row>
    <row r="2016">
      <c r="A2016" s="14"/>
      <c r="B2016" s="460"/>
      <c r="C2016" s="302"/>
      <c r="D2016" s="50"/>
      <c r="E2016" s="348"/>
      <c r="F2016" s="22"/>
      <c r="G2016" s="22"/>
      <c r="H2016" s="22"/>
      <c r="I2016" s="50"/>
      <c r="J2016" s="351"/>
      <c r="K2016" s="448"/>
      <c r="L2016" s="29"/>
      <c r="M2016" s="31"/>
      <c r="N2016" s="14"/>
      <c r="O2016" s="31"/>
      <c r="Q2016" s="36"/>
      <c r="R2016" s="36"/>
      <c r="S2016" s="36"/>
      <c r="T2016" s="36"/>
      <c r="V2016" s="31"/>
    </row>
    <row r="2017">
      <c r="A2017" s="14"/>
      <c r="B2017" s="460"/>
      <c r="C2017" s="302"/>
      <c r="D2017" s="50"/>
      <c r="E2017" s="348"/>
      <c r="F2017" s="22"/>
      <c r="G2017" s="22"/>
      <c r="H2017" s="22"/>
      <c r="I2017" s="50"/>
      <c r="J2017" s="351"/>
      <c r="K2017" s="448"/>
      <c r="L2017" s="29"/>
      <c r="M2017" s="31"/>
      <c r="N2017" s="14"/>
      <c r="O2017" s="31"/>
      <c r="Q2017" s="36"/>
      <c r="R2017" s="36"/>
      <c r="S2017" s="36"/>
      <c r="T2017" s="36"/>
      <c r="V2017" s="31"/>
    </row>
    <row r="2018">
      <c r="A2018" s="14"/>
      <c r="B2018" s="460"/>
      <c r="C2018" s="302"/>
      <c r="D2018" s="50"/>
      <c r="E2018" s="348"/>
      <c r="F2018" s="22"/>
      <c r="G2018" s="22"/>
      <c r="H2018" s="22"/>
      <c r="I2018" s="50"/>
      <c r="J2018" s="351"/>
      <c r="K2018" s="448"/>
      <c r="L2018" s="29"/>
      <c r="M2018" s="31"/>
      <c r="N2018" s="14"/>
      <c r="O2018" s="31"/>
      <c r="Q2018" s="36"/>
      <c r="R2018" s="36"/>
      <c r="S2018" s="36"/>
      <c r="T2018" s="36"/>
      <c r="V2018" s="31"/>
    </row>
    <row r="2019">
      <c r="A2019" s="14"/>
      <c r="B2019" s="460"/>
      <c r="C2019" s="302"/>
      <c r="D2019" s="50"/>
      <c r="E2019" s="348"/>
      <c r="F2019" s="22"/>
      <c r="G2019" s="22"/>
      <c r="H2019" s="22"/>
      <c r="I2019" s="50"/>
      <c r="J2019" s="351"/>
      <c r="K2019" s="448"/>
      <c r="L2019" s="29"/>
      <c r="M2019" s="31"/>
      <c r="N2019" s="14"/>
      <c r="O2019" s="31"/>
      <c r="Q2019" s="36"/>
      <c r="R2019" s="36"/>
      <c r="S2019" s="36"/>
      <c r="T2019" s="36"/>
      <c r="V2019" s="31"/>
    </row>
    <row r="2020">
      <c r="A2020" s="14"/>
      <c r="B2020" s="460"/>
      <c r="C2020" s="302"/>
      <c r="D2020" s="50"/>
      <c r="E2020" s="348"/>
      <c r="F2020" s="22"/>
      <c r="G2020" s="22"/>
      <c r="H2020" s="22"/>
      <c r="I2020" s="50"/>
      <c r="J2020" s="351"/>
      <c r="K2020" s="448"/>
      <c r="L2020" s="29"/>
      <c r="M2020" s="31"/>
      <c r="N2020" s="14"/>
      <c r="O2020" s="31"/>
      <c r="Q2020" s="36"/>
      <c r="R2020" s="36"/>
      <c r="S2020" s="36"/>
      <c r="T2020" s="36"/>
      <c r="V2020" s="31"/>
    </row>
    <row r="2021">
      <c r="A2021" s="14"/>
      <c r="B2021" s="460"/>
      <c r="C2021" s="302"/>
      <c r="D2021" s="50"/>
      <c r="E2021" s="348"/>
      <c r="F2021" s="22"/>
      <c r="G2021" s="22"/>
      <c r="H2021" s="22"/>
      <c r="I2021" s="50"/>
      <c r="J2021" s="351"/>
      <c r="K2021" s="448"/>
      <c r="L2021" s="29"/>
      <c r="M2021" s="31"/>
      <c r="N2021" s="14"/>
      <c r="O2021" s="31"/>
      <c r="Q2021" s="36"/>
      <c r="R2021" s="36"/>
      <c r="S2021" s="36"/>
      <c r="T2021" s="36"/>
      <c r="V2021" s="31"/>
    </row>
    <row r="2022">
      <c r="A2022" s="14"/>
      <c r="B2022" s="460"/>
      <c r="C2022" s="302"/>
      <c r="D2022" s="50"/>
      <c r="E2022" s="348"/>
      <c r="F2022" s="22"/>
      <c r="G2022" s="22"/>
      <c r="H2022" s="22"/>
      <c r="I2022" s="50"/>
      <c r="J2022" s="351"/>
      <c r="K2022" s="448"/>
      <c r="L2022" s="29"/>
      <c r="M2022" s="31"/>
      <c r="N2022" s="14"/>
      <c r="O2022" s="31"/>
      <c r="Q2022" s="36"/>
      <c r="R2022" s="36"/>
      <c r="S2022" s="36"/>
      <c r="T2022" s="36"/>
      <c r="V2022" s="31"/>
    </row>
    <row r="2023">
      <c r="A2023" s="14"/>
      <c r="B2023" s="460"/>
      <c r="C2023" s="302"/>
      <c r="D2023" s="50"/>
      <c r="E2023" s="348"/>
      <c r="F2023" s="22"/>
      <c r="G2023" s="22"/>
      <c r="H2023" s="22"/>
      <c r="I2023" s="50"/>
      <c r="J2023" s="351"/>
      <c r="K2023" s="448"/>
      <c r="L2023" s="29"/>
      <c r="M2023" s="31"/>
      <c r="N2023" s="14"/>
      <c r="O2023" s="31"/>
      <c r="Q2023" s="36"/>
      <c r="R2023" s="36"/>
      <c r="S2023" s="36"/>
      <c r="T2023" s="36"/>
      <c r="V2023" s="31"/>
    </row>
    <row r="2024">
      <c r="A2024" s="14"/>
      <c r="B2024" s="460"/>
      <c r="C2024" s="302"/>
      <c r="D2024" s="50"/>
      <c r="E2024" s="348"/>
      <c r="F2024" s="22"/>
      <c r="G2024" s="22"/>
      <c r="H2024" s="22"/>
      <c r="I2024" s="50"/>
      <c r="J2024" s="351"/>
      <c r="K2024" s="448"/>
      <c r="L2024" s="29"/>
      <c r="M2024" s="31"/>
      <c r="N2024" s="14"/>
      <c r="O2024" s="31"/>
      <c r="Q2024" s="36"/>
      <c r="R2024" s="36"/>
      <c r="S2024" s="36"/>
      <c r="T2024" s="36"/>
      <c r="V2024" s="31"/>
    </row>
    <row r="2025">
      <c r="A2025" s="14"/>
      <c r="B2025" s="460"/>
      <c r="C2025" s="302"/>
      <c r="D2025" s="50"/>
      <c r="E2025" s="348"/>
      <c r="F2025" s="22"/>
      <c r="G2025" s="22"/>
      <c r="H2025" s="22"/>
      <c r="I2025" s="50"/>
      <c r="J2025" s="351"/>
      <c r="K2025" s="448"/>
      <c r="L2025" s="29"/>
      <c r="M2025" s="31"/>
      <c r="N2025" s="14"/>
      <c r="O2025" s="31"/>
      <c r="Q2025" s="36"/>
      <c r="R2025" s="36"/>
      <c r="S2025" s="36"/>
      <c r="T2025" s="36"/>
      <c r="V2025" s="31"/>
    </row>
    <row r="2026">
      <c r="A2026" s="14"/>
      <c r="B2026" s="460"/>
      <c r="C2026" s="302"/>
      <c r="D2026" s="50"/>
      <c r="E2026" s="348"/>
      <c r="F2026" s="22"/>
      <c r="G2026" s="22"/>
      <c r="H2026" s="22"/>
      <c r="I2026" s="50"/>
      <c r="J2026" s="351"/>
      <c r="K2026" s="448"/>
      <c r="L2026" s="29"/>
      <c r="M2026" s="31"/>
      <c r="N2026" s="14"/>
      <c r="O2026" s="31"/>
      <c r="Q2026" s="36"/>
      <c r="R2026" s="36"/>
      <c r="S2026" s="36"/>
      <c r="T2026" s="36"/>
      <c r="V2026" s="31"/>
    </row>
    <row r="2027">
      <c r="A2027" s="14"/>
      <c r="B2027" s="460"/>
      <c r="C2027" s="302"/>
      <c r="D2027" s="50"/>
      <c r="E2027" s="348"/>
      <c r="F2027" s="22"/>
      <c r="G2027" s="22"/>
      <c r="H2027" s="22"/>
      <c r="I2027" s="50"/>
      <c r="J2027" s="351"/>
      <c r="K2027" s="448"/>
      <c r="L2027" s="29"/>
      <c r="M2027" s="31"/>
      <c r="N2027" s="14"/>
      <c r="O2027" s="31"/>
      <c r="Q2027" s="36"/>
      <c r="R2027" s="36"/>
      <c r="S2027" s="36"/>
      <c r="T2027" s="36"/>
      <c r="V2027" s="31"/>
    </row>
    <row r="2028">
      <c r="A2028" s="14"/>
      <c r="B2028" s="460"/>
      <c r="C2028" s="302"/>
      <c r="D2028" s="50"/>
      <c r="E2028" s="348"/>
      <c r="F2028" s="22"/>
      <c r="G2028" s="22"/>
      <c r="H2028" s="22"/>
      <c r="I2028" s="50"/>
      <c r="J2028" s="351"/>
      <c r="K2028" s="448"/>
      <c r="L2028" s="29"/>
      <c r="M2028" s="31"/>
      <c r="N2028" s="14"/>
      <c r="O2028" s="31"/>
      <c r="Q2028" s="36"/>
      <c r="R2028" s="36"/>
      <c r="S2028" s="36"/>
      <c r="T2028" s="36"/>
      <c r="V2028" s="31"/>
    </row>
    <row r="2029">
      <c r="A2029" s="14"/>
      <c r="B2029" s="460"/>
      <c r="C2029" s="302"/>
      <c r="D2029" s="50"/>
      <c r="E2029" s="348"/>
      <c r="F2029" s="22"/>
      <c r="G2029" s="22"/>
      <c r="H2029" s="22"/>
      <c r="I2029" s="50"/>
      <c r="J2029" s="351"/>
      <c r="K2029" s="448"/>
      <c r="L2029" s="29"/>
      <c r="M2029" s="31"/>
      <c r="N2029" s="14"/>
      <c r="O2029" s="31"/>
      <c r="Q2029" s="36"/>
      <c r="R2029" s="36"/>
      <c r="S2029" s="36"/>
      <c r="T2029" s="36"/>
      <c r="V2029" s="31"/>
    </row>
    <row r="2030">
      <c r="A2030" s="14"/>
      <c r="B2030" s="460"/>
      <c r="C2030" s="302"/>
      <c r="D2030" s="50"/>
      <c r="E2030" s="348"/>
      <c r="F2030" s="22"/>
      <c r="G2030" s="22"/>
      <c r="H2030" s="22"/>
      <c r="I2030" s="50"/>
      <c r="J2030" s="351"/>
      <c r="K2030" s="448"/>
      <c r="L2030" s="29"/>
      <c r="M2030" s="31"/>
      <c r="N2030" s="14"/>
      <c r="O2030" s="31"/>
      <c r="Q2030" s="36"/>
      <c r="R2030" s="36"/>
      <c r="S2030" s="36"/>
      <c r="T2030" s="36"/>
      <c r="V2030" s="31"/>
    </row>
    <row r="2031">
      <c r="A2031" s="14"/>
      <c r="B2031" s="460"/>
      <c r="C2031" s="302"/>
      <c r="D2031" s="50"/>
      <c r="E2031" s="348"/>
      <c r="F2031" s="22"/>
      <c r="G2031" s="22"/>
      <c r="H2031" s="22"/>
      <c r="I2031" s="50"/>
      <c r="J2031" s="351"/>
      <c r="K2031" s="448"/>
      <c r="L2031" s="29"/>
      <c r="M2031" s="31"/>
      <c r="N2031" s="14"/>
      <c r="O2031" s="31"/>
      <c r="Q2031" s="36"/>
      <c r="R2031" s="36"/>
      <c r="S2031" s="36"/>
      <c r="T2031" s="36"/>
      <c r="V2031" s="31"/>
    </row>
    <row r="2032">
      <c r="A2032" s="14"/>
      <c r="B2032" s="460"/>
      <c r="C2032" s="302"/>
      <c r="D2032" s="50"/>
      <c r="E2032" s="348"/>
      <c r="F2032" s="22"/>
      <c r="G2032" s="22"/>
      <c r="H2032" s="22"/>
      <c r="I2032" s="50"/>
      <c r="J2032" s="351"/>
      <c r="K2032" s="448"/>
      <c r="L2032" s="29"/>
      <c r="M2032" s="31"/>
      <c r="N2032" s="14"/>
      <c r="O2032" s="31"/>
      <c r="Q2032" s="36"/>
      <c r="R2032" s="36"/>
      <c r="S2032" s="36"/>
      <c r="T2032" s="36"/>
      <c r="V2032" s="31"/>
    </row>
    <row r="2033">
      <c r="A2033" s="14"/>
      <c r="B2033" s="460"/>
      <c r="C2033" s="302"/>
      <c r="D2033" s="50"/>
      <c r="E2033" s="348"/>
      <c r="F2033" s="22"/>
      <c r="G2033" s="22"/>
      <c r="H2033" s="22"/>
      <c r="I2033" s="50"/>
      <c r="J2033" s="351"/>
      <c r="K2033" s="448"/>
      <c r="L2033" s="29"/>
      <c r="M2033" s="31"/>
      <c r="N2033" s="14"/>
      <c r="O2033" s="31"/>
      <c r="Q2033" s="36"/>
      <c r="R2033" s="36"/>
      <c r="S2033" s="36"/>
      <c r="T2033" s="36"/>
      <c r="V2033" s="31"/>
    </row>
    <row r="2034">
      <c r="A2034" s="14"/>
      <c r="B2034" s="460"/>
      <c r="C2034" s="302"/>
      <c r="D2034" s="50"/>
      <c r="E2034" s="348"/>
      <c r="F2034" s="22"/>
      <c r="G2034" s="22"/>
      <c r="H2034" s="22"/>
      <c r="I2034" s="50"/>
      <c r="J2034" s="351"/>
      <c r="K2034" s="448"/>
      <c r="L2034" s="29"/>
      <c r="M2034" s="31"/>
      <c r="N2034" s="14"/>
      <c r="O2034" s="31"/>
      <c r="Q2034" s="36"/>
      <c r="R2034" s="36"/>
      <c r="S2034" s="36"/>
      <c r="T2034" s="36"/>
      <c r="V2034" s="31"/>
    </row>
    <row r="2035">
      <c r="A2035" s="14"/>
      <c r="B2035" s="460"/>
      <c r="C2035" s="302"/>
      <c r="D2035" s="50"/>
      <c r="E2035" s="348"/>
      <c r="F2035" s="22"/>
      <c r="G2035" s="22"/>
      <c r="H2035" s="22"/>
      <c r="I2035" s="50"/>
      <c r="J2035" s="351"/>
      <c r="K2035" s="448"/>
      <c r="L2035" s="29"/>
      <c r="M2035" s="31"/>
      <c r="N2035" s="14"/>
      <c r="O2035" s="31"/>
      <c r="Q2035" s="36"/>
      <c r="R2035" s="36"/>
      <c r="S2035" s="36"/>
      <c r="T2035" s="36"/>
      <c r="V2035" s="31"/>
    </row>
    <row r="2036">
      <c r="A2036" s="14"/>
      <c r="B2036" s="460"/>
      <c r="C2036" s="302"/>
      <c r="D2036" s="50"/>
      <c r="E2036" s="348"/>
      <c r="F2036" s="22"/>
      <c r="G2036" s="22"/>
      <c r="H2036" s="22"/>
      <c r="I2036" s="50"/>
      <c r="J2036" s="351"/>
      <c r="K2036" s="448"/>
      <c r="L2036" s="29"/>
      <c r="M2036" s="31"/>
      <c r="N2036" s="14"/>
      <c r="O2036" s="31"/>
      <c r="Q2036" s="36"/>
      <c r="R2036" s="36"/>
      <c r="S2036" s="36"/>
      <c r="T2036" s="36"/>
      <c r="V2036" s="31"/>
    </row>
    <row r="2037">
      <c r="A2037" s="14"/>
      <c r="B2037" s="460"/>
      <c r="C2037" s="302"/>
      <c r="D2037" s="50"/>
      <c r="E2037" s="348"/>
      <c r="F2037" s="22"/>
      <c r="G2037" s="22"/>
      <c r="H2037" s="22"/>
      <c r="I2037" s="50"/>
      <c r="J2037" s="351"/>
      <c r="K2037" s="448"/>
      <c r="L2037" s="29"/>
      <c r="M2037" s="31"/>
      <c r="N2037" s="14"/>
      <c r="O2037" s="31"/>
      <c r="Q2037" s="36"/>
      <c r="R2037" s="36"/>
      <c r="S2037" s="36"/>
      <c r="T2037" s="36"/>
      <c r="V2037" s="31"/>
    </row>
    <row r="2038">
      <c r="A2038" s="14"/>
      <c r="B2038" s="460"/>
      <c r="C2038" s="302"/>
      <c r="D2038" s="50"/>
      <c r="E2038" s="348"/>
      <c r="F2038" s="22"/>
      <c r="G2038" s="22"/>
      <c r="H2038" s="22"/>
      <c r="I2038" s="50"/>
      <c r="J2038" s="351"/>
      <c r="K2038" s="448"/>
      <c r="L2038" s="29"/>
      <c r="M2038" s="31"/>
      <c r="N2038" s="14"/>
      <c r="O2038" s="31"/>
      <c r="Q2038" s="36"/>
      <c r="R2038" s="36"/>
      <c r="S2038" s="36"/>
      <c r="T2038" s="36"/>
      <c r="V2038" s="31"/>
    </row>
    <row r="2039">
      <c r="A2039" s="14"/>
      <c r="B2039" s="460"/>
      <c r="C2039" s="302"/>
      <c r="D2039" s="50"/>
      <c r="E2039" s="348"/>
      <c r="F2039" s="22"/>
      <c r="G2039" s="22"/>
      <c r="H2039" s="22"/>
      <c r="I2039" s="50"/>
      <c r="J2039" s="351"/>
      <c r="K2039" s="448"/>
      <c r="L2039" s="29"/>
      <c r="M2039" s="31"/>
      <c r="N2039" s="14"/>
      <c r="O2039" s="31"/>
      <c r="Q2039" s="36"/>
      <c r="R2039" s="36"/>
      <c r="S2039" s="36"/>
      <c r="T2039" s="36"/>
      <c r="V2039" s="31"/>
    </row>
    <row r="2040">
      <c r="A2040" s="14"/>
      <c r="B2040" s="460"/>
      <c r="C2040" s="302"/>
      <c r="D2040" s="50"/>
      <c r="E2040" s="348"/>
      <c r="F2040" s="22"/>
      <c r="G2040" s="22"/>
      <c r="H2040" s="22"/>
      <c r="I2040" s="50"/>
      <c r="J2040" s="351"/>
      <c r="K2040" s="448"/>
      <c r="L2040" s="29"/>
      <c r="M2040" s="31"/>
      <c r="N2040" s="14"/>
      <c r="O2040" s="31"/>
      <c r="Q2040" s="36"/>
      <c r="R2040" s="36"/>
      <c r="S2040" s="36"/>
      <c r="T2040" s="36"/>
      <c r="V2040" s="31"/>
    </row>
    <row r="2041">
      <c r="A2041" s="14"/>
      <c r="B2041" s="460"/>
      <c r="C2041" s="302"/>
      <c r="D2041" s="50"/>
      <c r="E2041" s="348"/>
      <c r="F2041" s="22"/>
      <c r="G2041" s="22"/>
      <c r="H2041" s="22"/>
      <c r="I2041" s="50"/>
      <c r="J2041" s="351"/>
      <c r="K2041" s="448"/>
      <c r="L2041" s="29"/>
      <c r="M2041" s="31"/>
      <c r="N2041" s="14"/>
      <c r="O2041" s="31"/>
      <c r="Q2041" s="36"/>
      <c r="R2041" s="36"/>
      <c r="S2041" s="36"/>
      <c r="T2041" s="36"/>
      <c r="V2041" s="31"/>
    </row>
    <row r="2042">
      <c r="A2042" s="14"/>
      <c r="B2042" s="460"/>
      <c r="C2042" s="302"/>
      <c r="D2042" s="50"/>
      <c r="E2042" s="348"/>
      <c r="F2042" s="22"/>
      <c r="G2042" s="22"/>
      <c r="H2042" s="22"/>
      <c r="I2042" s="50"/>
      <c r="J2042" s="351"/>
      <c r="K2042" s="448"/>
      <c r="L2042" s="29"/>
      <c r="M2042" s="31"/>
      <c r="N2042" s="14"/>
      <c r="O2042" s="31"/>
      <c r="Q2042" s="36"/>
      <c r="R2042" s="36"/>
      <c r="S2042" s="36"/>
      <c r="T2042" s="36"/>
      <c r="V2042" s="31"/>
    </row>
    <row r="2043">
      <c r="A2043" s="14"/>
      <c r="B2043" s="460"/>
      <c r="C2043" s="302"/>
      <c r="D2043" s="50"/>
      <c r="E2043" s="348"/>
      <c r="F2043" s="22"/>
      <c r="G2043" s="22"/>
      <c r="H2043" s="22"/>
      <c r="I2043" s="50"/>
      <c r="J2043" s="351"/>
      <c r="K2043" s="448"/>
      <c r="L2043" s="29"/>
      <c r="M2043" s="31"/>
      <c r="N2043" s="14"/>
      <c r="O2043" s="31"/>
      <c r="Q2043" s="36"/>
      <c r="R2043" s="36"/>
      <c r="S2043" s="36"/>
      <c r="T2043" s="36"/>
      <c r="V2043" s="31"/>
    </row>
    <row r="2044">
      <c r="A2044" s="14"/>
      <c r="B2044" s="460"/>
      <c r="C2044" s="302"/>
      <c r="D2044" s="50"/>
      <c r="E2044" s="348"/>
      <c r="F2044" s="22"/>
      <c r="G2044" s="22"/>
      <c r="H2044" s="22"/>
      <c r="I2044" s="50"/>
      <c r="J2044" s="351"/>
      <c r="K2044" s="448"/>
      <c r="L2044" s="29"/>
      <c r="M2044" s="31"/>
      <c r="N2044" s="14"/>
      <c r="O2044" s="31"/>
      <c r="Q2044" s="36"/>
      <c r="R2044" s="36"/>
      <c r="S2044" s="36"/>
      <c r="T2044" s="36"/>
      <c r="V2044" s="31"/>
    </row>
    <row r="2045">
      <c r="A2045" s="14"/>
      <c r="B2045" s="460"/>
      <c r="C2045" s="302"/>
      <c r="D2045" s="50"/>
      <c r="E2045" s="348"/>
      <c r="F2045" s="22"/>
      <c r="G2045" s="22"/>
      <c r="H2045" s="22"/>
      <c r="I2045" s="50"/>
      <c r="J2045" s="351"/>
      <c r="K2045" s="448"/>
      <c r="L2045" s="29"/>
      <c r="M2045" s="31"/>
      <c r="N2045" s="14"/>
      <c r="O2045" s="31"/>
      <c r="Q2045" s="36"/>
      <c r="R2045" s="36"/>
      <c r="S2045" s="36"/>
      <c r="T2045" s="36"/>
      <c r="V2045" s="31"/>
    </row>
    <row r="2046">
      <c r="A2046" s="14"/>
      <c r="B2046" s="460"/>
      <c r="C2046" s="302"/>
      <c r="D2046" s="50"/>
      <c r="E2046" s="348"/>
      <c r="F2046" s="22"/>
      <c r="G2046" s="22"/>
      <c r="H2046" s="22"/>
      <c r="I2046" s="50"/>
      <c r="J2046" s="351"/>
      <c r="K2046" s="448"/>
      <c r="L2046" s="29"/>
      <c r="M2046" s="31"/>
      <c r="N2046" s="14"/>
      <c r="O2046" s="31"/>
      <c r="Q2046" s="36"/>
      <c r="R2046" s="36"/>
      <c r="S2046" s="36"/>
      <c r="T2046" s="36"/>
      <c r="V2046" s="31"/>
    </row>
    <row r="2047">
      <c r="A2047" s="14"/>
      <c r="B2047" s="460"/>
      <c r="C2047" s="302"/>
      <c r="D2047" s="50"/>
      <c r="E2047" s="348"/>
      <c r="F2047" s="22"/>
      <c r="G2047" s="22"/>
      <c r="H2047" s="22"/>
      <c r="I2047" s="50"/>
      <c r="J2047" s="351"/>
      <c r="K2047" s="448"/>
      <c r="L2047" s="29"/>
      <c r="M2047" s="31"/>
      <c r="N2047" s="14"/>
      <c r="O2047" s="31"/>
      <c r="Q2047" s="36"/>
      <c r="R2047" s="36"/>
      <c r="S2047" s="36"/>
      <c r="T2047" s="36"/>
      <c r="V2047" s="31"/>
    </row>
    <row r="2048">
      <c r="A2048" s="14"/>
      <c r="B2048" s="460"/>
      <c r="C2048" s="302"/>
      <c r="D2048" s="50"/>
      <c r="E2048" s="348"/>
      <c r="F2048" s="22"/>
      <c r="G2048" s="22"/>
      <c r="H2048" s="22"/>
      <c r="I2048" s="50"/>
      <c r="J2048" s="351"/>
      <c r="K2048" s="448"/>
      <c r="L2048" s="29"/>
      <c r="M2048" s="31"/>
      <c r="N2048" s="14"/>
      <c r="O2048" s="31"/>
      <c r="Q2048" s="36"/>
      <c r="R2048" s="36"/>
      <c r="S2048" s="36"/>
      <c r="T2048" s="36"/>
      <c r="V2048" s="31"/>
    </row>
    <row r="2049">
      <c r="A2049" s="14"/>
      <c r="B2049" s="460"/>
      <c r="C2049" s="302"/>
      <c r="D2049" s="50"/>
      <c r="E2049" s="348"/>
      <c r="F2049" s="22"/>
      <c r="G2049" s="22"/>
      <c r="H2049" s="22"/>
      <c r="I2049" s="50"/>
      <c r="J2049" s="351"/>
      <c r="K2049" s="448"/>
      <c r="L2049" s="29"/>
      <c r="M2049" s="31"/>
      <c r="N2049" s="14"/>
      <c r="O2049" s="31"/>
      <c r="Q2049" s="36"/>
      <c r="R2049" s="36"/>
      <c r="S2049" s="36"/>
      <c r="T2049" s="36"/>
      <c r="V2049" s="31"/>
    </row>
    <row r="2050">
      <c r="A2050" s="14"/>
      <c r="B2050" s="460"/>
      <c r="C2050" s="302"/>
      <c r="D2050" s="50"/>
      <c r="E2050" s="348"/>
      <c r="F2050" s="22"/>
      <c r="G2050" s="22"/>
      <c r="H2050" s="22"/>
      <c r="I2050" s="50"/>
      <c r="J2050" s="351"/>
      <c r="K2050" s="448"/>
      <c r="L2050" s="29"/>
      <c r="M2050" s="31"/>
      <c r="N2050" s="14"/>
      <c r="O2050" s="31"/>
      <c r="Q2050" s="36"/>
      <c r="R2050" s="36"/>
      <c r="S2050" s="36"/>
      <c r="T2050" s="36"/>
      <c r="V2050" s="31"/>
    </row>
    <row r="2051">
      <c r="A2051" s="14"/>
      <c r="B2051" s="460"/>
      <c r="C2051" s="302"/>
      <c r="D2051" s="50"/>
      <c r="E2051" s="348"/>
      <c r="F2051" s="22"/>
      <c r="G2051" s="22"/>
      <c r="H2051" s="22"/>
      <c r="I2051" s="50"/>
      <c r="J2051" s="351"/>
      <c r="K2051" s="448"/>
      <c r="L2051" s="29"/>
      <c r="M2051" s="31"/>
      <c r="N2051" s="14"/>
      <c r="O2051" s="31"/>
      <c r="Q2051" s="36"/>
      <c r="R2051" s="36"/>
      <c r="S2051" s="36"/>
      <c r="T2051" s="36"/>
      <c r="V2051" s="31"/>
    </row>
    <row r="2052">
      <c r="A2052" s="14"/>
      <c r="B2052" s="460"/>
      <c r="C2052" s="302"/>
      <c r="D2052" s="50"/>
      <c r="E2052" s="348"/>
      <c r="F2052" s="22"/>
      <c r="G2052" s="22"/>
      <c r="H2052" s="22"/>
      <c r="I2052" s="50"/>
      <c r="J2052" s="351"/>
      <c r="K2052" s="448"/>
      <c r="L2052" s="29"/>
      <c r="M2052" s="31"/>
      <c r="N2052" s="14"/>
      <c r="O2052" s="31"/>
      <c r="Q2052" s="36"/>
      <c r="R2052" s="36"/>
      <c r="S2052" s="36"/>
      <c r="T2052" s="36"/>
      <c r="V2052" s="31"/>
    </row>
    <row r="2053">
      <c r="A2053" s="14"/>
      <c r="B2053" s="460"/>
      <c r="C2053" s="302"/>
      <c r="D2053" s="50"/>
      <c r="E2053" s="348"/>
      <c r="F2053" s="22"/>
      <c r="G2053" s="22"/>
      <c r="H2053" s="22"/>
      <c r="I2053" s="50"/>
      <c r="J2053" s="351"/>
      <c r="K2053" s="448"/>
      <c r="L2053" s="29"/>
      <c r="M2053" s="31"/>
      <c r="N2053" s="14"/>
      <c r="O2053" s="31"/>
      <c r="Q2053" s="36"/>
      <c r="R2053" s="36"/>
      <c r="S2053" s="36"/>
      <c r="T2053" s="36"/>
      <c r="V2053" s="31"/>
    </row>
    <row r="2054">
      <c r="A2054" s="14"/>
      <c r="B2054" s="460"/>
      <c r="C2054" s="302"/>
      <c r="D2054" s="50"/>
      <c r="E2054" s="348"/>
      <c r="F2054" s="22"/>
      <c r="G2054" s="22"/>
      <c r="H2054" s="22"/>
      <c r="I2054" s="50"/>
      <c r="J2054" s="351"/>
      <c r="K2054" s="448"/>
      <c r="L2054" s="29"/>
      <c r="M2054" s="31"/>
      <c r="N2054" s="14"/>
      <c r="O2054" s="31"/>
      <c r="Q2054" s="36"/>
      <c r="R2054" s="36"/>
      <c r="S2054" s="36"/>
      <c r="T2054" s="36"/>
      <c r="V2054" s="31"/>
    </row>
    <row r="2055">
      <c r="A2055" s="14"/>
      <c r="B2055" s="460"/>
      <c r="C2055" s="302"/>
      <c r="D2055" s="50"/>
      <c r="E2055" s="348"/>
      <c r="F2055" s="22"/>
      <c r="G2055" s="22"/>
      <c r="H2055" s="22"/>
      <c r="I2055" s="50"/>
      <c r="J2055" s="351"/>
      <c r="K2055" s="448"/>
      <c r="L2055" s="29"/>
      <c r="M2055" s="31"/>
      <c r="N2055" s="14"/>
      <c r="O2055" s="31"/>
      <c r="Q2055" s="36"/>
      <c r="R2055" s="36"/>
      <c r="S2055" s="36"/>
      <c r="T2055" s="36"/>
      <c r="V2055" s="31"/>
    </row>
    <row r="2056">
      <c r="A2056" s="14"/>
      <c r="B2056" s="460"/>
      <c r="C2056" s="302"/>
      <c r="D2056" s="50"/>
      <c r="E2056" s="348"/>
      <c r="F2056" s="22"/>
      <c r="G2056" s="22"/>
      <c r="H2056" s="22"/>
      <c r="I2056" s="50"/>
      <c r="J2056" s="351"/>
      <c r="K2056" s="448"/>
      <c r="L2056" s="29"/>
      <c r="M2056" s="31"/>
      <c r="N2056" s="14"/>
      <c r="O2056" s="31"/>
      <c r="Q2056" s="36"/>
      <c r="R2056" s="36"/>
      <c r="S2056" s="36"/>
      <c r="T2056" s="36"/>
      <c r="V2056" s="31"/>
    </row>
    <row r="2057">
      <c r="A2057" s="14"/>
      <c r="B2057" s="460"/>
      <c r="C2057" s="302"/>
      <c r="D2057" s="50"/>
      <c r="E2057" s="348"/>
      <c r="F2057" s="22"/>
      <c r="G2057" s="22"/>
      <c r="H2057" s="22"/>
      <c r="I2057" s="50"/>
      <c r="J2057" s="351"/>
      <c r="K2057" s="448"/>
      <c r="L2057" s="29"/>
      <c r="M2057" s="31"/>
      <c r="N2057" s="14"/>
      <c r="O2057" s="31"/>
      <c r="Q2057" s="36"/>
      <c r="R2057" s="36"/>
      <c r="S2057" s="36"/>
      <c r="T2057" s="36"/>
      <c r="V2057" s="31"/>
    </row>
    <row r="2058">
      <c r="A2058" s="14"/>
      <c r="B2058" s="460"/>
      <c r="C2058" s="302"/>
      <c r="D2058" s="50"/>
      <c r="E2058" s="348"/>
      <c r="F2058" s="22"/>
      <c r="G2058" s="22"/>
      <c r="H2058" s="22"/>
      <c r="I2058" s="50"/>
      <c r="J2058" s="351"/>
      <c r="K2058" s="448"/>
      <c r="L2058" s="29"/>
      <c r="M2058" s="31"/>
      <c r="N2058" s="14"/>
      <c r="O2058" s="31"/>
      <c r="Q2058" s="36"/>
      <c r="R2058" s="36"/>
      <c r="S2058" s="36"/>
      <c r="T2058" s="36"/>
      <c r="V2058" s="31"/>
    </row>
    <row r="2059">
      <c r="A2059" s="14"/>
      <c r="B2059" s="460"/>
      <c r="C2059" s="302"/>
      <c r="D2059" s="50"/>
      <c r="E2059" s="348"/>
      <c r="F2059" s="22"/>
      <c r="G2059" s="22"/>
      <c r="H2059" s="22"/>
      <c r="I2059" s="50"/>
      <c r="J2059" s="351"/>
      <c r="K2059" s="448"/>
      <c r="L2059" s="29"/>
      <c r="M2059" s="31"/>
      <c r="N2059" s="14"/>
      <c r="O2059" s="31"/>
      <c r="Q2059" s="36"/>
      <c r="R2059" s="36"/>
      <c r="S2059" s="36"/>
      <c r="T2059" s="36"/>
      <c r="V2059" s="31"/>
    </row>
    <row r="2060">
      <c r="A2060" s="14"/>
      <c r="B2060" s="460"/>
      <c r="C2060" s="302"/>
      <c r="D2060" s="50"/>
      <c r="E2060" s="348"/>
      <c r="F2060" s="22"/>
      <c r="G2060" s="22"/>
      <c r="H2060" s="22"/>
      <c r="I2060" s="50"/>
      <c r="J2060" s="351"/>
      <c r="K2060" s="448"/>
      <c r="L2060" s="29"/>
      <c r="M2060" s="31"/>
      <c r="N2060" s="14"/>
      <c r="O2060" s="31"/>
      <c r="Q2060" s="36"/>
      <c r="R2060" s="36"/>
      <c r="S2060" s="36"/>
      <c r="T2060" s="36"/>
      <c r="V2060" s="31"/>
    </row>
    <row r="2061">
      <c r="A2061" s="14"/>
      <c r="B2061" s="460"/>
      <c r="C2061" s="302"/>
      <c r="D2061" s="50"/>
      <c r="E2061" s="348"/>
      <c r="F2061" s="22"/>
      <c r="G2061" s="22"/>
      <c r="H2061" s="22"/>
      <c r="I2061" s="50"/>
      <c r="J2061" s="351"/>
      <c r="K2061" s="448"/>
      <c r="L2061" s="29"/>
      <c r="M2061" s="31"/>
      <c r="N2061" s="14"/>
      <c r="O2061" s="31"/>
      <c r="Q2061" s="36"/>
      <c r="R2061" s="36"/>
      <c r="S2061" s="36"/>
      <c r="T2061" s="36"/>
      <c r="V2061" s="31"/>
    </row>
    <row r="2062">
      <c r="A2062" s="14"/>
      <c r="B2062" s="460"/>
      <c r="C2062" s="302"/>
      <c r="D2062" s="50"/>
      <c r="E2062" s="348"/>
      <c r="F2062" s="22"/>
      <c r="G2062" s="22"/>
      <c r="H2062" s="22"/>
      <c r="I2062" s="50"/>
      <c r="J2062" s="351"/>
      <c r="K2062" s="448"/>
      <c r="L2062" s="29"/>
      <c r="M2062" s="31"/>
      <c r="N2062" s="14"/>
      <c r="O2062" s="31"/>
      <c r="Q2062" s="36"/>
      <c r="R2062" s="36"/>
      <c r="S2062" s="36"/>
      <c r="T2062" s="36"/>
      <c r="V2062" s="31"/>
    </row>
    <row r="2063">
      <c r="A2063" s="14"/>
      <c r="B2063" s="460"/>
      <c r="C2063" s="302"/>
      <c r="D2063" s="50"/>
      <c r="E2063" s="348"/>
      <c r="F2063" s="22"/>
      <c r="G2063" s="22"/>
      <c r="H2063" s="22"/>
      <c r="I2063" s="50"/>
      <c r="J2063" s="351"/>
      <c r="K2063" s="448"/>
      <c r="L2063" s="29"/>
      <c r="M2063" s="31"/>
      <c r="N2063" s="14"/>
      <c r="O2063" s="31"/>
      <c r="Q2063" s="36"/>
      <c r="R2063" s="36"/>
      <c r="S2063" s="36"/>
      <c r="T2063" s="36"/>
      <c r="V2063" s="31"/>
    </row>
    <row r="2064">
      <c r="A2064" s="14"/>
      <c r="B2064" s="460"/>
      <c r="C2064" s="302"/>
      <c r="D2064" s="50"/>
      <c r="E2064" s="348"/>
      <c r="F2064" s="22"/>
      <c r="G2064" s="22"/>
      <c r="H2064" s="22"/>
      <c r="I2064" s="50"/>
      <c r="J2064" s="351"/>
      <c r="K2064" s="448"/>
      <c r="L2064" s="29"/>
      <c r="M2064" s="31"/>
      <c r="N2064" s="14"/>
      <c r="O2064" s="31"/>
      <c r="Q2064" s="36"/>
      <c r="R2064" s="36"/>
      <c r="S2064" s="36"/>
      <c r="T2064" s="36"/>
      <c r="V2064" s="31"/>
    </row>
    <row r="2065">
      <c r="A2065" s="14"/>
      <c r="B2065" s="460"/>
      <c r="C2065" s="302"/>
      <c r="D2065" s="50"/>
      <c r="E2065" s="348"/>
      <c r="F2065" s="22"/>
      <c r="G2065" s="22"/>
      <c r="H2065" s="22"/>
      <c r="I2065" s="50"/>
      <c r="J2065" s="351"/>
      <c r="K2065" s="448"/>
      <c r="L2065" s="29"/>
      <c r="M2065" s="31"/>
      <c r="N2065" s="14"/>
      <c r="O2065" s="31"/>
      <c r="Q2065" s="36"/>
      <c r="R2065" s="36"/>
      <c r="S2065" s="36"/>
      <c r="T2065" s="36"/>
      <c r="V2065" s="31"/>
    </row>
    <row r="2066">
      <c r="A2066" s="14"/>
      <c r="B2066" s="460"/>
      <c r="C2066" s="302"/>
      <c r="D2066" s="50"/>
      <c r="E2066" s="348"/>
      <c r="F2066" s="22"/>
      <c r="G2066" s="22"/>
      <c r="H2066" s="22"/>
      <c r="I2066" s="50"/>
      <c r="J2066" s="351"/>
      <c r="K2066" s="448"/>
      <c r="L2066" s="29"/>
      <c r="M2066" s="31"/>
      <c r="N2066" s="14"/>
      <c r="O2066" s="31"/>
      <c r="Q2066" s="36"/>
      <c r="R2066" s="36"/>
      <c r="S2066" s="36"/>
      <c r="T2066" s="36"/>
      <c r="V2066" s="31"/>
    </row>
    <row r="2067">
      <c r="A2067" s="14"/>
      <c r="B2067" s="460"/>
      <c r="C2067" s="302"/>
      <c r="D2067" s="50"/>
      <c r="E2067" s="348"/>
      <c r="F2067" s="22"/>
      <c r="G2067" s="22"/>
      <c r="H2067" s="22"/>
      <c r="I2067" s="50"/>
      <c r="J2067" s="351"/>
      <c r="K2067" s="448"/>
      <c r="L2067" s="29"/>
      <c r="M2067" s="31"/>
      <c r="N2067" s="14"/>
      <c r="O2067" s="31"/>
      <c r="Q2067" s="36"/>
      <c r="R2067" s="36"/>
      <c r="S2067" s="36"/>
      <c r="T2067" s="36"/>
      <c r="V2067" s="31"/>
    </row>
    <row r="2068">
      <c r="A2068" s="14"/>
      <c r="B2068" s="460"/>
      <c r="C2068" s="302"/>
      <c r="D2068" s="50"/>
      <c r="E2068" s="348"/>
      <c r="F2068" s="22"/>
      <c r="G2068" s="22"/>
      <c r="H2068" s="22"/>
      <c r="I2068" s="50"/>
      <c r="J2068" s="351"/>
      <c r="K2068" s="448"/>
      <c r="L2068" s="29"/>
      <c r="M2068" s="31"/>
      <c r="N2068" s="14"/>
      <c r="O2068" s="31"/>
      <c r="Q2068" s="36"/>
      <c r="R2068" s="36"/>
      <c r="S2068" s="36"/>
      <c r="T2068" s="36"/>
      <c r="V2068" s="31"/>
    </row>
    <row r="2069">
      <c r="A2069" s="14"/>
      <c r="B2069" s="460"/>
      <c r="C2069" s="302"/>
      <c r="D2069" s="50"/>
      <c r="E2069" s="348"/>
      <c r="F2069" s="22"/>
      <c r="G2069" s="22"/>
      <c r="H2069" s="22"/>
      <c r="I2069" s="50"/>
      <c r="J2069" s="351"/>
      <c r="K2069" s="448"/>
      <c r="L2069" s="29"/>
      <c r="M2069" s="31"/>
      <c r="N2069" s="14"/>
      <c r="O2069" s="31"/>
      <c r="Q2069" s="36"/>
      <c r="R2069" s="36"/>
      <c r="S2069" s="36"/>
      <c r="T2069" s="36"/>
      <c r="V2069" s="31"/>
    </row>
    <row r="2070">
      <c r="A2070" s="14"/>
      <c r="B2070" s="460"/>
      <c r="C2070" s="302"/>
      <c r="D2070" s="50"/>
      <c r="E2070" s="348"/>
      <c r="F2070" s="22"/>
      <c r="G2070" s="22"/>
      <c r="H2070" s="22"/>
      <c r="I2070" s="50"/>
      <c r="J2070" s="351"/>
      <c r="K2070" s="448"/>
      <c r="L2070" s="29"/>
      <c r="M2070" s="31"/>
      <c r="N2070" s="14"/>
      <c r="O2070" s="31"/>
      <c r="Q2070" s="36"/>
      <c r="R2070" s="36"/>
      <c r="S2070" s="36"/>
      <c r="T2070" s="36"/>
      <c r="V2070" s="31"/>
    </row>
    <row r="2071">
      <c r="A2071" s="14"/>
      <c r="B2071" s="460"/>
      <c r="C2071" s="302"/>
      <c r="D2071" s="50"/>
      <c r="E2071" s="348"/>
      <c r="F2071" s="22"/>
      <c r="G2071" s="22"/>
      <c r="H2071" s="22"/>
      <c r="I2071" s="50"/>
      <c r="J2071" s="351"/>
      <c r="K2071" s="448"/>
      <c r="L2071" s="29"/>
      <c r="M2071" s="31"/>
      <c r="N2071" s="14"/>
      <c r="O2071" s="31"/>
      <c r="Q2071" s="36"/>
      <c r="R2071" s="36"/>
      <c r="S2071" s="36"/>
      <c r="T2071" s="36"/>
      <c r="V2071" s="31"/>
    </row>
    <row r="2072">
      <c r="A2072" s="14"/>
      <c r="B2072" s="460"/>
      <c r="C2072" s="302"/>
      <c r="D2072" s="50"/>
      <c r="E2072" s="348"/>
      <c r="F2072" s="22"/>
      <c r="G2072" s="22"/>
      <c r="H2072" s="22"/>
      <c r="I2072" s="50"/>
      <c r="J2072" s="351"/>
      <c r="K2072" s="448"/>
      <c r="L2072" s="29"/>
      <c r="M2072" s="31"/>
      <c r="N2072" s="14"/>
      <c r="O2072" s="31"/>
      <c r="Q2072" s="36"/>
      <c r="R2072" s="36"/>
      <c r="S2072" s="36"/>
      <c r="T2072" s="36"/>
      <c r="V2072" s="31"/>
    </row>
    <row r="2073">
      <c r="A2073" s="14"/>
      <c r="B2073" s="460"/>
      <c r="C2073" s="302"/>
      <c r="D2073" s="50"/>
      <c r="E2073" s="348"/>
      <c r="F2073" s="22"/>
      <c r="G2073" s="22"/>
      <c r="H2073" s="22"/>
      <c r="I2073" s="50"/>
      <c r="J2073" s="351"/>
      <c r="K2073" s="448"/>
      <c r="L2073" s="29"/>
      <c r="M2073" s="31"/>
      <c r="N2073" s="14"/>
      <c r="O2073" s="31"/>
      <c r="Q2073" s="36"/>
      <c r="R2073" s="36"/>
      <c r="S2073" s="36"/>
      <c r="T2073" s="36"/>
      <c r="V2073" s="31"/>
    </row>
    <row r="2074">
      <c r="A2074" s="14"/>
      <c r="B2074" s="460"/>
      <c r="C2074" s="302"/>
      <c r="D2074" s="50"/>
      <c r="E2074" s="348"/>
      <c r="F2074" s="22"/>
      <c r="G2074" s="22"/>
      <c r="H2074" s="22"/>
      <c r="I2074" s="50"/>
      <c r="J2074" s="351"/>
      <c r="K2074" s="448"/>
      <c r="L2074" s="29"/>
      <c r="M2074" s="31"/>
      <c r="N2074" s="14"/>
      <c r="O2074" s="31"/>
      <c r="Q2074" s="36"/>
      <c r="R2074" s="36"/>
      <c r="S2074" s="36"/>
      <c r="T2074" s="36"/>
      <c r="V2074" s="31"/>
    </row>
    <row r="2075">
      <c r="A2075" s="14"/>
      <c r="B2075" s="460"/>
      <c r="C2075" s="302"/>
      <c r="D2075" s="50"/>
      <c r="E2075" s="348"/>
      <c r="F2075" s="22"/>
      <c r="G2075" s="22"/>
      <c r="H2075" s="22"/>
      <c r="I2075" s="50"/>
      <c r="J2075" s="351"/>
      <c r="K2075" s="448"/>
      <c r="L2075" s="29"/>
      <c r="M2075" s="31"/>
      <c r="N2075" s="14"/>
      <c r="O2075" s="31"/>
      <c r="Q2075" s="36"/>
      <c r="R2075" s="36"/>
      <c r="S2075" s="36"/>
      <c r="T2075" s="36"/>
      <c r="V2075" s="31"/>
    </row>
    <row r="2076">
      <c r="A2076" s="14"/>
      <c r="B2076" s="460"/>
      <c r="C2076" s="302"/>
      <c r="D2076" s="50"/>
      <c r="E2076" s="348"/>
      <c r="F2076" s="22"/>
      <c r="G2076" s="22"/>
      <c r="H2076" s="22"/>
      <c r="I2076" s="50"/>
      <c r="J2076" s="351"/>
      <c r="K2076" s="448"/>
      <c r="L2076" s="29"/>
      <c r="M2076" s="31"/>
      <c r="N2076" s="14"/>
      <c r="O2076" s="31"/>
      <c r="Q2076" s="36"/>
      <c r="R2076" s="36"/>
      <c r="S2076" s="36"/>
      <c r="T2076" s="36"/>
      <c r="V2076" s="31"/>
    </row>
    <row r="2077">
      <c r="A2077" s="14"/>
      <c r="B2077" s="460"/>
      <c r="C2077" s="302"/>
      <c r="D2077" s="50"/>
      <c r="E2077" s="348"/>
      <c r="F2077" s="22"/>
      <c r="G2077" s="22"/>
      <c r="H2077" s="22"/>
      <c r="I2077" s="50"/>
      <c r="J2077" s="351"/>
      <c r="K2077" s="448"/>
      <c r="L2077" s="29"/>
      <c r="M2077" s="31"/>
      <c r="N2077" s="14"/>
      <c r="O2077" s="31"/>
      <c r="Q2077" s="36"/>
      <c r="R2077" s="36"/>
      <c r="S2077" s="36"/>
      <c r="T2077" s="36"/>
      <c r="V2077" s="31"/>
    </row>
    <row r="2078">
      <c r="A2078" s="14"/>
      <c r="B2078" s="460"/>
      <c r="C2078" s="302"/>
      <c r="D2078" s="50"/>
      <c r="E2078" s="348"/>
      <c r="F2078" s="22"/>
      <c r="G2078" s="22"/>
      <c r="H2078" s="22"/>
      <c r="I2078" s="50"/>
      <c r="J2078" s="351"/>
      <c r="K2078" s="448"/>
      <c r="L2078" s="29"/>
      <c r="M2078" s="31"/>
      <c r="N2078" s="14"/>
      <c r="O2078" s="31"/>
      <c r="Q2078" s="36"/>
      <c r="R2078" s="36"/>
      <c r="S2078" s="36"/>
      <c r="T2078" s="36"/>
      <c r="V2078" s="31"/>
    </row>
    <row r="2079">
      <c r="A2079" s="14"/>
      <c r="B2079" s="460"/>
      <c r="C2079" s="302"/>
      <c r="D2079" s="50"/>
      <c r="E2079" s="348"/>
      <c r="F2079" s="22"/>
      <c r="G2079" s="22"/>
      <c r="H2079" s="22"/>
      <c r="I2079" s="50"/>
      <c r="J2079" s="351"/>
      <c r="K2079" s="448"/>
      <c r="L2079" s="29"/>
      <c r="M2079" s="31"/>
      <c r="N2079" s="14"/>
      <c r="O2079" s="31"/>
      <c r="Q2079" s="36"/>
      <c r="R2079" s="36"/>
      <c r="S2079" s="36"/>
      <c r="T2079" s="36"/>
      <c r="V2079" s="31"/>
    </row>
    <row r="2080">
      <c r="A2080" s="14"/>
      <c r="B2080" s="460"/>
      <c r="C2080" s="302"/>
      <c r="D2080" s="50"/>
      <c r="E2080" s="348"/>
      <c r="F2080" s="22"/>
      <c r="G2080" s="22"/>
      <c r="H2080" s="22"/>
      <c r="I2080" s="50"/>
      <c r="J2080" s="351"/>
      <c r="K2080" s="448"/>
      <c r="L2080" s="29"/>
      <c r="M2080" s="31"/>
      <c r="N2080" s="14"/>
      <c r="O2080" s="31"/>
      <c r="Q2080" s="36"/>
      <c r="R2080" s="36"/>
      <c r="S2080" s="36"/>
      <c r="T2080" s="36"/>
      <c r="V2080" s="31"/>
    </row>
    <row r="2081">
      <c r="A2081" s="14"/>
      <c r="B2081" s="460"/>
      <c r="C2081" s="302"/>
      <c r="D2081" s="50"/>
      <c r="E2081" s="348"/>
      <c r="F2081" s="22"/>
      <c r="G2081" s="22"/>
      <c r="H2081" s="22"/>
      <c r="I2081" s="50"/>
      <c r="J2081" s="351"/>
      <c r="K2081" s="448"/>
      <c r="L2081" s="29"/>
      <c r="M2081" s="31"/>
      <c r="N2081" s="14"/>
      <c r="O2081" s="31"/>
      <c r="Q2081" s="36"/>
      <c r="R2081" s="36"/>
      <c r="S2081" s="36"/>
      <c r="T2081" s="36"/>
      <c r="V2081" s="31"/>
    </row>
    <row r="2082">
      <c r="A2082" s="14"/>
      <c r="B2082" s="460"/>
      <c r="C2082" s="302"/>
      <c r="D2082" s="50"/>
      <c r="E2082" s="348"/>
      <c r="F2082" s="22"/>
      <c r="G2082" s="22"/>
      <c r="H2082" s="22"/>
      <c r="I2082" s="50"/>
      <c r="J2082" s="351"/>
      <c r="K2082" s="448"/>
      <c r="L2082" s="29"/>
      <c r="M2082" s="31"/>
      <c r="N2082" s="14"/>
      <c r="O2082" s="31"/>
      <c r="Q2082" s="36"/>
      <c r="R2082" s="36"/>
      <c r="S2082" s="36"/>
      <c r="T2082" s="36"/>
      <c r="V2082" s="31"/>
    </row>
    <row r="2083">
      <c r="A2083" s="14"/>
      <c r="B2083" s="460"/>
      <c r="C2083" s="302"/>
      <c r="D2083" s="50"/>
      <c r="E2083" s="348"/>
      <c r="F2083" s="22"/>
      <c r="G2083" s="22"/>
      <c r="H2083" s="22"/>
      <c r="I2083" s="50"/>
      <c r="J2083" s="351"/>
      <c r="K2083" s="448"/>
      <c r="L2083" s="29"/>
      <c r="M2083" s="31"/>
      <c r="N2083" s="14"/>
      <c r="O2083" s="31"/>
      <c r="Q2083" s="36"/>
      <c r="R2083" s="36"/>
      <c r="S2083" s="36"/>
      <c r="T2083" s="36"/>
      <c r="V2083" s="31"/>
    </row>
    <row r="2084">
      <c r="A2084" s="14"/>
      <c r="B2084" s="460"/>
      <c r="C2084" s="302"/>
      <c r="D2084" s="50"/>
      <c r="E2084" s="348"/>
      <c r="F2084" s="22"/>
      <c r="G2084" s="22"/>
      <c r="H2084" s="22"/>
      <c r="I2084" s="50"/>
      <c r="J2084" s="351"/>
      <c r="K2084" s="448"/>
      <c r="L2084" s="29"/>
      <c r="M2084" s="31"/>
      <c r="N2084" s="14"/>
      <c r="O2084" s="31"/>
      <c r="Q2084" s="36"/>
      <c r="R2084" s="36"/>
      <c r="S2084" s="36"/>
      <c r="T2084" s="36"/>
      <c r="V2084" s="31"/>
    </row>
    <row r="2085">
      <c r="A2085" s="14"/>
      <c r="B2085" s="460"/>
      <c r="C2085" s="302"/>
      <c r="D2085" s="50"/>
      <c r="E2085" s="348"/>
      <c r="F2085" s="22"/>
      <c r="G2085" s="22"/>
      <c r="H2085" s="22"/>
      <c r="I2085" s="50"/>
      <c r="J2085" s="351"/>
      <c r="K2085" s="448"/>
      <c r="L2085" s="29"/>
      <c r="M2085" s="31"/>
      <c r="N2085" s="14"/>
      <c r="O2085" s="31"/>
      <c r="Q2085" s="36"/>
      <c r="R2085" s="36"/>
      <c r="S2085" s="36"/>
      <c r="T2085" s="36"/>
      <c r="V2085" s="31"/>
    </row>
    <row r="2086">
      <c r="A2086" s="14"/>
      <c r="B2086" s="460"/>
      <c r="C2086" s="302"/>
      <c r="D2086" s="50"/>
      <c r="E2086" s="348"/>
      <c r="F2086" s="22"/>
      <c r="G2086" s="22"/>
      <c r="H2086" s="22"/>
      <c r="I2086" s="50"/>
      <c r="J2086" s="351"/>
      <c r="K2086" s="448"/>
      <c r="L2086" s="29"/>
      <c r="M2086" s="31"/>
      <c r="N2086" s="14"/>
      <c r="O2086" s="31"/>
      <c r="Q2086" s="36"/>
      <c r="R2086" s="36"/>
      <c r="S2086" s="36"/>
      <c r="T2086" s="36"/>
      <c r="V2086" s="31"/>
    </row>
    <row r="2087">
      <c r="A2087" s="14"/>
      <c r="B2087" s="460"/>
      <c r="C2087" s="302"/>
      <c r="D2087" s="50"/>
      <c r="E2087" s="348"/>
      <c r="F2087" s="22"/>
      <c r="G2087" s="22"/>
      <c r="H2087" s="22"/>
      <c r="I2087" s="50"/>
      <c r="J2087" s="351"/>
      <c r="K2087" s="448"/>
      <c r="L2087" s="29"/>
      <c r="M2087" s="31"/>
      <c r="N2087" s="14"/>
      <c r="O2087" s="31"/>
      <c r="Q2087" s="36"/>
      <c r="R2087" s="36"/>
      <c r="S2087" s="36"/>
      <c r="T2087" s="36"/>
      <c r="V2087" s="31"/>
    </row>
    <row r="2088">
      <c r="A2088" s="14"/>
      <c r="B2088" s="460"/>
      <c r="C2088" s="302"/>
      <c r="D2088" s="50"/>
      <c r="E2088" s="348"/>
      <c r="F2088" s="22"/>
      <c r="G2088" s="22"/>
      <c r="H2088" s="22"/>
      <c r="I2088" s="50"/>
      <c r="J2088" s="351"/>
      <c r="K2088" s="448"/>
      <c r="L2088" s="29"/>
      <c r="M2088" s="31"/>
      <c r="N2088" s="14"/>
      <c r="O2088" s="31"/>
      <c r="Q2088" s="36"/>
      <c r="R2088" s="36"/>
      <c r="S2088" s="36"/>
      <c r="T2088" s="36"/>
      <c r="V2088" s="31"/>
    </row>
    <row r="2089">
      <c r="A2089" s="14"/>
      <c r="B2089" s="460"/>
      <c r="C2089" s="302"/>
      <c r="D2089" s="50"/>
      <c r="E2089" s="348"/>
      <c r="F2089" s="22"/>
      <c r="G2089" s="22"/>
      <c r="H2089" s="22"/>
      <c r="I2089" s="50"/>
      <c r="J2089" s="351"/>
      <c r="K2089" s="448"/>
      <c r="L2089" s="29"/>
      <c r="M2089" s="31"/>
      <c r="N2089" s="14"/>
      <c r="O2089" s="31"/>
      <c r="Q2089" s="36"/>
      <c r="R2089" s="36"/>
      <c r="S2089" s="36"/>
      <c r="T2089" s="36"/>
      <c r="V2089" s="31"/>
    </row>
    <row r="2090">
      <c r="A2090" s="14"/>
      <c r="B2090" s="460"/>
      <c r="C2090" s="302"/>
      <c r="D2090" s="50"/>
      <c r="E2090" s="348"/>
      <c r="F2090" s="22"/>
      <c r="G2090" s="22"/>
      <c r="H2090" s="22"/>
      <c r="I2090" s="50"/>
      <c r="J2090" s="351"/>
      <c r="K2090" s="448"/>
      <c r="L2090" s="29"/>
      <c r="M2090" s="31"/>
      <c r="N2090" s="14"/>
      <c r="O2090" s="31"/>
      <c r="Q2090" s="36"/>
      <c r="R2090" s="36"/>
      <c r="S2090" s="36"/>
      <c r="T2090" s="36"/>
      <c r="V2090" s="31"/>
    </row>
    <row r="2091">
      <c r="A2091" s="14"/>
      <c r="B2091" s="460"/>
      <c r="C2091" s="302"/>
      <c r="D2091" s="50"/>
      <c r="E2091" s="348"/>
      <c r="F2091" s="22"/>
      <c r="G2091" s="22"/>
      <c r="H2091" s="22"/>
      <c r="I2091" s="50"/>
      <c r="J2091" s="351"/>
      <c r="K2091" s="448"/>
      <c r="L2091" s="29"/>
      <c r="M2091" s="31"/>
      <c r="N2091" s="14"/>
      <c r="O2091" s="31"/>
      <c r="Q2091" s="36"/>
      <c r="R2091" s="36"/>
      <c r="S2091" s="36"/>
      <c r="T2091" s="36"/>
      <c r="V2091" s="31"/>
    </row>
    <row r="2092">
      <c r="A2092" s="14"/>
      <c r="B2092" s="460"/>
      <c r="C2092" s="302"/>
      <c r="D2092" s="50"/>
      <c r="E2092" s="348"/>
      <c r="F2092" s="22"/>
      <c r="G2092" s="22"/>
      <c r="H2092" s="22"/>
      <c r="I2092" s="50"/>
      <c r="J2092" s="351"/>
      <c r="K2092" s="448"/>
      <c r="L2092" s="29"/>
      <c r="M2092" s="31"/>
      <c r="N2092" s="14"/>
      <c r="O2092" s="31"/>
      <c r="Q2092" s="36"/>
      <c r="R2092" s="36"/>
      <c r="S2092" s="36"/>
      <c r="T2092" s="36"/>
      <c r="V2092" s="31"/>
    </row>
    <row r="2093">
      <c r="A2093" s="14"/>
      <c r="B2093" s="460"/>
      <c r="C2093" s="302"/>
      <c r="D2093" s="50"/>
      <c r="E2093" s="348"/>
      <c r="F2093" s="22"/>
      <c r="G2093" s="22"/>
      <c r="H2093" s="22"/>
      <c r="I2093" s="50"/>
      <c r="J2093" s="351"/>
      <c r="K2093" s="448"/>
      <c r="L2093" s="29"/>
      <c r="M2093" s="31"/>
      <c r="N2093" s="14"/>
      <c r="O2093" s="31"/>
      <c r="Q2093" s="36"/>
      <c r="R2093" s="36"/>
      <c r="S2093" s="36"/>
      <c r="T2093" s="36"/>
      <c r="V2093" s="31"/>
    </row>
    <row r="2094">
      <c r="A2094" s="14"/>
      <c r="B2094" s="460"/>
      <c r="C2094" s="302"/>
      <c r="D2094" s="50"/>
      <c r="E2094" s="348"/>
      <c r="F2094" s="22"/>
      <c r="G2094" s="22"/>
      <c r="H2094" s="22"/>
      <c r="I2094" s="50"/>
      <c r="J2094" s="351"/>
      <c r="K2094" s="448"/>
      <c r="L2094" s="29"/>
      <c r="M2094" s="31"/>
      <c r="N2094" s="14"/>
      <c r="O2094" s="31"/>
      <c r="Q2094" s="36"/>
      <c r="R2094" s="36"/>
      <c r="S2094" s="36"/>
      <c r="T2094" s="36"/>
      <c r="V2094" s="31"/>
    </row>
    <row r="2095">
      <c r="A2095" s="14"/>
      <c r="B2095" s="460"/>
      <c r="C2095" s="302"/>
      <c r="D2095" s="50"/>
      <c r="E2095" s="348"/>
      <c r="F2095" s="22"/>
      <c r="G2095" s="22"/>
      <c r="H2095" s="22"/>
      <c r="I2095" s="50"/>
      <c r="J2095" s="351"/>
      <c r="K2095" s="448"/>
      <c r="L2095" s="29"/>
      <c r="M2095" s="31"/>
      <c r="N2095" s="14"/>
      <c r="O2095" s="31"/>
      <c r="Q2095" s="36"/>
      <c r="R2095" s="36"/>
      <c r="S2095" s="36"/>
      <c r="T2095" s="36"/>
      <c r="V2095" s="31"/>
    </row>
    <row r="2096">
      <c r="A2096" s="14"/>
      <c r="B2096" s="460"/>
      <c r="C2096" s="302"/>
      <c r="D2096" s="50"/>
      <c r="E2096" s="348"/>
      <c r="F2096" s="22"/>
      <c r="G2096" s="22"/>
      <c r="H2096" s="22"/>
      <c r="I2096" s="50"/>
      <c r="J2096" s="351"/>
      <c r="K2096" s="448"/>
      <c r="L2096" s="29"/>
      <c r="M2096" s="31"/>
      <c r="N2096" s="14"/>
      <c r="O2096" s="31"/>
      <c r="Q2096" s="36"/>
      <c r="R2096" s="36"/>
      <c r="S2096" s="36"/>
      <c r="T2096" s="36"/>
      <c r="V2096" s="31"/>
    </row>
  </sheetData>
  <autoFilter ref="$A$1:$W$1291"/>
  <customSheetViews>
    <customSheetView guid="{D70BEF0D-5FD9-4706-8B67-F16959E26C2D}" filter="1" showAutoFilter="1">
      <autoFilter ref="$A$1:$W$1373">
        <filterColumn colId="0">
          <filters>
            <filter val="jhonatan.torres@bold.co"/>
            <filter val="Sergio.londono@bold.co"/>
            <filter val="juan.salgado@bold.co"/>
            <filter val="luis.corredor@bold.co"/>
            <filter val="Jhonatan.moreno@bold.co"/>
          </filters>
        </filterColumn>
      </autoFilter>
    </customSheetView>
    <customSheetView guid="{57BDE3D8-3301-41A3-9AF5-D6EECF3386D1}" filter="1" showAutoFilter="1">
      <autoFilter ref="$A$1:$W$184">
        <filterColumn colId="8">
          <filters blank="1">
            <filter val="No"/>
            <filter val="Referido Inbound"/>
            <filter val="SI"/>
            <filter val="Referido Spiders"/>
          </filters>
        </filterColumn>
      </autoFilter>
    </customSheetView>
    <customSheetView guid="{155AD284-E958-47A7-8DBD-81D62394346E}" filter="1" showAutoFilter="1">
      <autoFilter ref="$A$1:$W$49">
        <filterColumn colId="0">
          <filters>
            <filter val="jhonatan.torres@bold.co"/>
            <filter val="juan.salgado@bold.co"/>
            <filter val="angel.lesmes@bold.co"/>
          </filters>
        </filterColumn>
      </autoFilter>
    </customSheetView>
    <customSheetView guid="{5D9E7831-1ABD-41AE-957B-68888FF3675C}" filter="1" showAutoFilter="1">
      <autoFilter ref="$A$1:$AE$1373"/>
    </customSheetView>
  </customSheetViews>
  <mergeCells count="13">
    <mergeCell ref="L425:L446"/>
    <mergeCell ref="P425:P446"/>
    <mergeCell ref="K451:K452"/>
    <mergeCell ref="K606:K607"/>
    <mergeCell ref="K639:K642"/>
    <mergeCell ref="L639:L642"/>
    <mergeCell ref="K359:K366"/>
    <mergeCell ref="L359:L366"/>
    <mergeCell ref="K371:K374"/>
    <mergeCell ref="L371:L374"/>
    <mergeCell ref="K378:K407"/>
    <mergeCell ref="L378:L407"/>
    <mergeCell ref="K425:K446"/>
  </mergeCells>
  <conditionalFormatting sqref="K1:K879 L425:L446 K881:K990 K993 K1015 K1021 K1023 K1031 K1036 K1055:K1056 K1059:K2096">
    <cfRule type="colorScale" priority="1">
      <colorScale>
        <cfvo type="min"/>
        <cfvo type="max"/>
        <color rgb="FF57BB8A"/>
        <color rgb="FFFFFFFF"/>
      </colorScale>
    </cfRule>
  </conditionalFormatting>
  <conditionalFormatting sqref="I2:I2096">
    <cfRule type="notContainsBlanks" dxfId="3" priority="2">
      <formula>LEN(TRIM(I2))&gt;0</formula>
    </cfRule>
  </conditionalFormatting>
  <dataValidations>
    <dataValidation type="list" allowBlank="1" showErrorMessage="1" sqref="I2:I351 I353:I366 V2:V459 V461:V573 V575:V580 I368:I2096 V582:V2096">
      <formula1>"SI,No"</formula1>
    </dataValidation>
    <dataValidation type="list" allowBlank="1" showErrorMessage="1" sqref="N2:N580 N582:N2096">
      <formula1>"Si ,No"</formula1>
    </dataValidation>
    <dataValidation type="list" allowBlank="1" showErrorMessage="1" sqref="M2:M2096">
      <formula1>"Pagos,Comodato,Paga a Plazos"</formula1>
    </dataValidation>
    <dataValidation type="list" allowBlank="1" showErrorMessage="1" sqref="I352 I367">
      <formula1>"Cliente Propio,Referido Spiders,Referido Outbound,Referido Inbound"</formula1>
    </dataValidation>
    <dataValidation type="list" allowBlank="1" showErrorMessage="1" sqref="O2:O2096">
      <formula1>"Si,No"</formula1>
    </dataValidation>
    <dataValidation type="list" allowBlank="1" showErrorMessage="1" sqref="D2:D2096">
      <formula1>"No,Si"</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58.0"/>
    <col customWidth="1" min="3" max="3" width="20.5"/>
    <col customWidth="1" min="5" max="8" width="13.88"/>
    <col customWidth="1" min="9" max="9" width="19.5"/>
    <col customWidth="1" min="10" max="10" width="44.25"/>
    <col customWidth="1" min="11" max="11" width="13.75"/>
    <col customWidth="1" min="12" max="12" width="22.75"/>
    <col customWidth="1" min="13" max="16" width="16.25"/>
    <col customWidth="1" min="17" max="20" width="16.38"/>
    <col customWidth="1" min="22" max="22" width="17.75"/>
    <col customWidth="1" min="23" max="23" width="25.25"/>
    <col customWidth="1" min="24" max="24" width="21.88"/>
  </cols>
  <sheetData>
    <row r="1">
      <c r="A1" s="1" t="s">
        <v>0</v>
      </c>
      <c r="B1" s="1" t="s">
        <v>1</v>
      </c>
      <c r="C1" s="1" t="s">
        <v>2</v>
      </c>
      <c r="D1" s="1" t="s">
        <v>3</v>
      </c>
      <c r="E1" s="1" t="s">
        <v>5</v>
      </c>
      <c r="F1" s="3" t="s">
        <v>6</v>
      </c>
      <c r="G1" s="4" t="s">
        <v>7</v>
      </c>
      <c r="H1" s="1" t="s">
        <v>8</v>
      </c>
      <c r="I1" s="1" t="s">
        <v>9</v>
      </c>
      <c r="J1" s="1" t="s">
        <v>10</v>
      </c>
      <c r="K1" s="6" t="s">
        <v>13</v>
      </c>
      <c r="L1" s="8" t="s">
        <v>14</v>
      </c>
      <c r="M1" s="1" t="s">
        <v>15</v>
      </c>
      <c r="N1" s="1" t="s">
        <v>16</v>
      </c>
      <c r="O1" s="1" t="s">
        <v>18</v>
      </c>
      <c r="P1" s="1" t="s">
        <v>20</v>
      </c>
      <c r="Q1" s="10" t="s">
        <v>21</v>
      </c>
      <c r="R1" s="10" t="s">
        <v>23</v>
      </c>
      <c r="S1" s="10" t="s">
        <v>24</v>
      </c>
      <c r="T1" s="10" t="s">
        <v>25</v>
      </c>
      <c r="U1" s="1" t="s">
        <v>27</v>
      </c>
      <c r="V1" s="1" t="s">
        <v>30</v>
      </c>
      <c r="W1" s="1" t="s">
        <v>31</v>
      </c>
      <c r="X1" s="12"/>
      <c r="Y1" s="12"/>
      <c r="Z1" s="12"/>
      <c r="AA1" s="12"/>
      <c r="AB1" s="12"/>
      <c r="AC1" s="12"/>
      <c r="AD1" s="12"/>
      <c r="AE1" s="12"/>
    </row>
    <row r="2">
      <c r="A2" s="14" t="s">
        <v>36</v>
      </c>
      <c r="B2" s="14" t="s">
        <v>37</v>
      </c>
      <c r="C2" s="15" t="s">
        <v>38</v>
      </c>
      <c r="D2" s="14" t="s">
        <v>40</v>
      </c>
      <c r="E2" s="20" t="str">
        <f t="shared" ref="E2:E731" si="2">TEXT(F2, "mmmm yyyy")
</f>
        <v>enero 2024</v>
      </c>
      <c r="F2" s="22">
        <v>45296.0</v>
      </c>
      <c r="G2" s="24">
        <f t="shared" ref="G2:H2" si="1">F2</f>
        <v>45296</v>
      </c>
      <c r="H2" s="26">
        <f t="shared" si="1"/>
        <v>45296</v>
      </c>
      <c r="I2" s="14" t="s">
        <v>47</v>
      </c>
      <c r="J2" s="14" t="s">
        <v>48</v>
      </c>
      <c r="K2" s="27">
        <v>5.0E7</v>
      </c>
      <c r="L2" s="29" t="s">
        <v>49</v>
      </c>
      <c r="M2" s="31"/>
      <c r="N2" s="31"/>
      <c r="O2" s="31"/>
      <c r="Q2" s="35" t="str">
        <f t="shared" ref="Q2:Q21" si="4">VLOOKUP(C2,QS!E:AB,21,0)</f>
        <v>#REF!</v>
      </c>
      <c r="R2" s="36" t="str">
        <f t="shared" ref="R2:R26" si="5">VLOOKUP(C2,QS!E:AB,22,0)</f>
        <v>#REF!</v>
      </c>
      <c r="S2" s="36" t="str">
        <f t="shared" ref="S2:S26" si="6">VLOOKUP(C2,QS!E:AB,23,0)</f>
        <v>#REF!</v>
      </c>
      <c r="T2" s="36" t="str">
        <f t="shared" ref="T2:T26" si="7">VLOOKUP(C2,QS!E:AB,24,0)</f>
        <v>#REF!</v>
      </c>
      <c r="V2" s="31"/>
    </row>
    <row r="3">
      <c r="A3" s="37" t="s">
        <v>66</v>
      </c>
      <c r="B3" s="14" t="s">
        <v>67</v>
      </c>
      <c r="C3" s="15" t="s">
        <v>68</v>
      </c>
      <c r="D3" s="14" t="s">
        <v>40</v>
      </c>
      <c r="E3" s="20" t="str">
        <f t="shared" si="2"/>
        <v>enero 2024</v>
      </c>
      <c r="F3" s="22">
        <v>45303.0</v>
      </c>
      <c r="G3" s="24">
        <f t="shared" ref="G3:H3" si="3">F3</f>
        <v>45303</v>
      </c>
      <c r="H3" s="26">
        <f t="shared" si="3"/>
        <v>45303</v>
      </c>
      <c r="I3" s="14" t="s">
        <v>47</v>
      </c>
      <c r="J3" s="14" t="s">
        <v>71</v>
      </c>
      <c r="K3" s="27">
        <v>5.0E7</v>
      </c>
      <c r="L3" s="29" t="s">
        <v>72</v>
      </c>
      <c r="M3" s="14"/>
      <c r="N3" s="14"/>
      <c r="O3" s="14"/>
      <c r="P3" s="14" t="s">
        <v>75</v>
      </c>
      <c r="Q3" s="35" t="str">
        <f t="shared" si="4"/>
        <v>#REF!</v>
      </c>
      <c r="R3" s="36" t="str">
        <f t="shared" si="5"/>
        <v>#REF!</v>
      </c>
      <c r="S3" s="36" t="str">
        <f t="shared" si="6"/>
        <v>#REF!</v>
      </c>
      <c r="T3" s="36" t="str">
        <f t="shared" si="7"/>
        <v>#REF!</v>
      </c>
      <c r="V3" s="31"/>
    </row>
    <row r="4">
      <c r="A4" s="14" t="s">
        <v>76</v>
      </c>
      <c r="B4" s="14" t="s">
        <v>77</v>
      </c>
      <c r="C4" s="15" t="s">
        <v>78</v>
      </c>
      <c r="D4" s="14" t="s">
        <v>40</v>
      </c>
      <c r="E4" s="20" t="str">
        <f t="shared" si="2"/>
        <v>enero 2024</v>
      </c>
      <c r="F4" s="22">
        <v>45306.0</v>
      </c>
      <c r="G4" s="24">
        <f t="shared" ref="G4:H4" si="8">F4</f>
        <v>45306</v>
      </c>
      <c r="H4" s="26">
        <f t="shared" si="8"/>
        <v>45306</v>
      </c>
      <c r="I4" s="14" t="s">
        <v>82</v>
      </c>
      <c r="J4" s="14" t="s">
        <v>83</v>
      </c>
      <c r="K4" s="27">
        <v>1.5E8</v>
      </c>
      <c r="L4" s="29" t="s">
        <v>72</v>
      </c>
      <c r="M4" s="14"/>
      <c r="N4" s="14"/>
      <c r="O4" s="14"/>
      <c r="P4" s="14" t="s">
        <v>84</v>
      </c>
      <c r="Q4" s="35" t="str">
        <f t="shared" si="4"/>
        <v>#REF!</v>
      </c>
      <c r="R4" s="36" t="str">
        <f t="shared" si="5"/>
        <v>#REF!</v>
      </c>
      <c r="S4" s="36" t="str">
        <f t="shared" si="6"/>
        <v>#REF!</v>
      </c>
      <c r="T4" s="36" t="str">
        <f t="shared" si="7"/>
        <v>#REF!</v>
      </c>
      <c r="V4" s="31"/>
    </row>
    <row r="5">
      <c r="A5" s="14" t="s">
        <v>76</v>
      </c>
      <c r="B5" s="14" t="s">
        <v>85</v>
      </c>
      <c r="C5" s="15" t="s">
        <v>86</v>
      </c>
      <c r="D5" s="14" t="s">
        <v>40</v>
      </c>
      <c r="E5" s="20" t="str">
        <f t="shared" si="2"/>
        <v>enero 2024</v>
      </c>
      <c r="F5" s="22">
        <v>45308.0</v>
      </c>
      <c r="G5" s="24">
        <f t="shared" ref="G5:H5" si="9">F5</f>
        <v>45308</v>
      </c>
      <c r="H5" s="26">
        <f t="shared" si="9"/>
        <v>45308</v>
      </c>
      <c r="I5" s="14" t="s">
        <v>82</v>
      </c>
      <c r="J5" s="14" t="s">
        <v>83</v>
      </c>
      <c r="K5" s="27"/>
      <c r="L5" s="29" t="s">
        <v>72</v>
      </c>
      <c r="M5" s="14"/>
      <c r="N5" s="14"/>
      <c r="O5" s="14"/>
      <c r="P5" s="14" t="s">
        <v>84</v>
      </c>
      <c r="Q5" s="35" t="str">
        <f t="shared" si="4"/>
        <v>#REF!</v>
      </c>
      <c r="R5" s="36" t="str">
        <f t="shared" si="5"/>
        <v>#REF!</v>
      </c>
      <c r="S5" s="36" t="str">
        <f t="shared" si="6"/>
        <v>#REF!</v>
      </c>
      <c r="T5" s="36" t="str">
        <f t="shared" si="7"/>
        <v>#REF!</v>
      </c>
      <c r="V5" s="31"/>
    </row>
    <row r="6">
      <c r="A6" s="14" t="s">
        <v>76</v>
      </c>
      <c r="B6" s="14" t="s">
        <v>88</v>
      </c>
      <c r="C6" s="15" t="s">
        <v>89</v>
      </c>
      <c r="D6" s="14" t="s">
        <v>40</v>
      </c>
      <c r="E6" s="20" t="str">
        <f t="shared" si="2"/>
        <v>enero 2024</v>
      </c>
      <c r="F6" s="22">
        <v>45308.0</v>
      </c>
      <c r="G6" s="24">
        <f t="shared" ref="G6:H6" si="10">F6</f>
        <v>45308</v>
      </c>
      <c r="H6" s="26">
        <f t="shared" si="10"/>
        <v>45308</v>
      </c>
      <c r="I6" s="14" t="s">
        <v>90</v>
      </c>
      <c r="K6" s="27">
        <v>4.0E7</v>
      </c>
      <c r="L6" s="29" t="s">
        <v>91</v>
      </c>
      <c r="M6" s="31"/>
      <c r="N6" s="31"/>
      <c r="O6" s="31"/>
      <c r="Q6" s="35" t="str">
        <f t="shared" si="4"/>
        <v>#REF!</v>
      </c>
      <c r="R6" s="36" t="str">
        <f t="shared" si="5"/>
        <v>#REF!</v>
      </c>
      <c r="S6" s="36" t="str">
        <f t="shared" si="6"/>
        <v>#REF!</v>
      </c>
      <c r="T6" s="36" t="str">
        <f t="shared" si="7"/>
        <v>#REF!</v>
      </c>
      <c r="V6" s="31"/>
    </row>
    <row r="7">
      <c r="A7" s="14" t="s">
        <v>93</v>
      </c>
      <c r="B7" s="14" t="s">
        <v>97</v>
      </c>
      <c r="C7" s="15" t="s">
        <v>99</v>
      </c>
      <c r="D7" s="14" t="s">
        <v>40</v>
      </c>
      <c r="E7" s="20" t="str">
        <f t="shared" si="2"/>
        <v>enero 2024</v>
      </c>
      <c r="F7" s="22">
        <v>45309.0</v>
      </c>
      <c r="G7" s="24">
        <f t="shared" ref="G7:H7" si="11">F7</f>
        <v>45309</v>
      </c>
      <c r="H7" s="26">
        <f t="shared" si="11"/>
        <v>45309</v>
      </c>
      <c r="I7" s="31"/>
      <c r="K7" s="27">
        <v>3.0E7</v>
      </c>
      <c r="L7" s="29" t="s">
        <v>104</v>
      </c>
      <c r="M7" s="31"/>
      <c r="N7" s="31"/>
      <c r="O7" s="31"/>
      <c r="Q7" s="35" t="str">
        <f t="shared" si="4"/>
        <v>#REF!</v>
      </c>
      <c r="R7" s="36" t="str">
        <f t="shared" si="5"/>
        <v>#REF!</v>
      </c>
      <c r="S7" s="36" t="str">
        <f t="shared" si="6"/>
        <v>#REF!</v>
      </c>
      <c r="T7" s="36" t="str">
        <f t="shared" si="7"/>
        <v>#REF!</v>
      </c>
      <c r="V7" s="31"/>
    </row>
    <row r="8">
      <c r="A8" s="14" t="s">
        <v>76</v>
      </c>
      <c r="B8" s="14" t="s">
        <v>112</v>
      </c>
      <c r="C8" s="15" t="s">
        <v>113</v>
      </c>
      <c r="D8" s="14" t="s">
        <v>40</v>
      </c>
      <c r="E8" s="20" t="str">
        <f t="shared" si="2"/>
        <v>enero 2024</v>
      </c>
      <c r="F8" s="22">
        <v>45316.0</v>
      </c>
      <c r="G8" s="24">
        <f t="shared" ref="G8:H8" si="12">F8</f>
        <v>45316</v>
      </c>
      <c r="H8" s="26">
        <f t="shared" si="12"/>
        <v>45316</v>
      </c>
      <c r="I8" s="14" t="s">
        <v>82</v>
      </c>
      <c r="J8" s="14" t="s">
        <v>114</v>
      </c>
      <c r="K8" s="27">
        <v>2.0E7</v>
      </c>
      <c r="L8" s="29" t="s">
        <v>115</v>
      </c>
      <c r="M8" s="14"/>
      <c r="N8" s="14"/>
      <c r="O8" s="14"/>
      <c r="P8" s="14" t="s">
        <v>84</v>
      </c>
      <c r="Q8" s="35" t="str">
        <f t="shared" si="4"/>
        <v>#REF!</v>
      </c>
      <c r="R8" s="36" t="str">
        <f t="shared" si="5"/>
        <v>#REF!</v>
      </c>
      <c r="S8" s="36" t="str">
        <f t="shared" si="6"/>
        <v>#REF!</v>
      </c>
      <c r="T8" s="36" t="str">
        <f t="shared" si="7"/>
        <v>#REF!</v>
      </c>
      <c r="V8" s="31"/>
    </row>
    <row r="9">
      <c r="A9" s="14" t="s">
        <v>117</v>
      </c>
      <c r="B9" s="14" t="s">
        <v>118</v>
      </c>
      <c r="C9" s="15" t="s">
        <v>119</v>
      </c>
      <c r="D9" s="14" t="s">
        <v>40</v>
      </c>
      <c r="E9" s="20" t="str">
        <f t="shared" si="2"/>
        <v>enero 2024</v>
      </c>
      <c r="F9" s="22">
        <v>45316.0</v>
      </c>
      <c r="G9" s="24">
        <f t="shared" ref="G9:H9" si="13">F9</f>
        <v>45316</v>
      </c>
      <c r="H9" s="26">
        <f t="shared" si="13"/>
        <v>45316</v>
      </c>
      <c r="I9" s="14" t="s">
        <v>90</v>
      </c>
      <c r="K9" s="27">
        <v>3.5E7</v>
      </c>
      <c r="L9" s="29" t="s">
        <v>49</v>
      </c>
      <c r="M9" s="31"/>
      <c r="N9" s="31"/>
      <c r="O9" s="31"/>
      <c r="Q9" s="35" t="str">
        <f t="shared" si="4"/>
        <v>#REF!</v>
      </c>
      <c r="R9" s="36" t="str">
        <f t="shared" si="5"/>
        <v>#REF!</v>
      </c>
      <c r="S9" s="36" t="str">
        <f t="shared" si="6"/>
        <v>#REF!</v>
      </c>
      <c r="T9" s="36" t="str">
        <f t="shared" si="7"/>
        <v>#REF!</v>
      </c>
      <c r="V9" s="31"/>
    </row>
    <row r="10">
      <c r="A10" s="14" t="s">
        <v>117</v>
      </c>
      <c r="B10" s="14" t="s">
        <v>125</v>
      </c>
      <c r="C10" s="15" t="s">
        <v>126</v>
      </c>
      <c r="D10" s="14" t="s">
        <v>40</v>
      </c>
      <c r="E10" s="20" t="str">
        <f t="shared" si="2"/>
        <v>enero 2024</v>
      </c>
      <c r="F10" s="22">
        <v>45316.0</v>
      </c>
      <c r="G10" s="24">
        <f t="shared" ref="G10:H10" si="14">F10</f>
        <v>45316</v>
      </c>
      <c r="H10" s="26">
        <f t="shared" si="14"/>
        <v>45316</v>
      </c>
      <c r="I10" s="14" t="s">
        <v>90</v>
      </c>
      <c r="J10" s="14" t="s">
        <v>128</v>
      </c>
      <c r="K10" s="27">
        <v>1.5E8</v>
      </c>
      <c r="L10" s="29">
        <v>2.19</v>
      </c>
      <c r="M10" s="14"/>
      <c r="N10" s="14"/>
      <c r="O10" s="14"/>
      <c r="P10" s="14" t="s">
        <v>75</v>
      </c>
      <c r="Q10" s="35" t="str">
        <f t="shared" si="4"/>
        <v>#REF!</v>
      </c>
      <c r="R10" s="36" t="str">
        <f t="shared" si="5"/>
        <v>#REF!</v>
      </c>
      <c r="S10" s="36" t="str">
        <f t="shared" si="6"/>
        <v>#REF!</v>
      </c>
      <c r="T10" s="36" t="str">
        <f t="shared" si="7"/>
        <v>#REF!</v>
      </c>
      <c r="V10" s="31"/>
    </row>
    <row r="11">
      <c r="A11" s="14" t="s">
        <v>36</v>
      </c>
      <c r="B11" s="14" t="s">
        <v>130</v>
      </c>
      <c r="C11" s="15" t="s">
        <v>132</v>
      </c>
      <c r="D11" s="14" t="s">
        <v>40</v>
      </c>
      <c r="E11" s="20" t="str">
        <f t="shared" si="2"/>
        <v>enero 2024</v>
      </c>
      <c r="F11" s="22">
        <v>45316.0</v>
      </c>
      <c r="G11" s="24">
        <f t="shared" ref="G11:H11" si="15">F11</f>
        <v>45316</v>
      </c>
      <c r="H11" s="26">
        <f t="shared" si="15"/>
        <v>45316</v>
      </c>
      <c r="I11" s="14" t="s">
        <v>133</v>
      </c>
      <c r="J11" s="14"/>
      <c r="K11" s="27">
        <v>2.0E8</v>
      </c>
      <c r="L11" s="29">
        <v>1.99</v>
      </c>
      <c r="M11" s="14"/>
      <c r="N11" s="14"/>
      <c r="O11" s="14"/>
      <c r="P11" s="14" t="s">
        <v>75</v>
      </c>
      <c r="Q11" s="35" t="str">
        <f t="shared" si="4"/>
        <v>#REF!</v>
      </c>
      <c r="R11" s="36" t="str">
        <f t="shared" si="5"/>
        <v>#REF!</v>
      </c>
      <c r="S11" s="36" t="str">
        <f t="shared" si="6"/>
        <v>#REF!</v>
      </c>
      <c r="T11" s="36" t="str">
        <f t="shared" si="7"/>
        <v>#REF!</v>
      </c>
      <c r="V11" s="31"/>
    </row>
    <row r="12">
      <c r="A12" s="14" t="s">
        <v>76</v>
      </c>
      <c r="B12" s="14" t="s">
        <v>135</v>
      </c>
      <c r="C12" s="15" t="s">
        <v>136</v>
      </c>
      <c r="D12" s="14" t="s">
        <v>40</v>
      </c>
      <c r="E12" s="20" t="str">
        <f t="shared" si="2"/>
        <v>enero 2024</v>
      </c>
      <c r="F12" s="22">
        <v>45317.0</v>
      </c>
      <c r="G12" s="24">
        <f t="shared" ref="G12:H12" si="16">F12</f>
        <v>45317</v>
      </c>
      <c r="H12" s="26">
        <f t="shared" si="16"/>
        <v>45317</v>
      </c>
      <c r="I12" s="14" t="s">
        <v>82</v>
      </c>
      <c r="J12" s="14" t="s">
        <v>137</v>
      </c>
      <c r="K12" s="27">
        <v>2.0E8</v>
      </c>
      <c r="L12" s="29">
        <v>2.05</v>
      </c>
      <c r="M12" s="31"/>
      <c r="N12" s="31"/>
      <c r="O12" s="31"/>
      <c r="Q12" s="35" t="str">
        <f t="shared" si="4"/>
        <v>#REF!</v>
      </c>
      <c r="R12" s="36" t="str">
        <f t="shared" si="5"/>
        <v>#REF!</v>
      </c>
      <c r="S12" s="36" t="str">
        <f t="shared" si="6"/>
        <v>#REF!</v>
      </c>
      <c r="T12" s="36" t="str">
        <f t="shared" si="7"/>
        <v>#REF!</v>
      </c>
      <c r="V12" s="31"/>
    </row>
    <row r="13">
      <c r="A13" s="14" t="s">
        <v>117</v>
      </c>
      <c r="B13" s="14" t="s">
        <v>139</v>
      </c>
      <c r="C13" s="14" t="s">
        <v>140</v>
      </c>
      <c r="D13" s="14" t="s">
        <v>40</v>
      </c>
      <c r="E13" s="20" t="str">
        <f t="shared" si="2"/>
        <v>enero 2024</v>
      </c>
      <c r="F13" s="22">
        <v>45318.0</v>
      </c>
      <c r="G13" s="24">
        <f t="shared" ref="G13:H13" si="17">F13</f>
        <v>45318</v>
      </c>
      <c r="H13" s="26">
        <f t="shared" si="17"/>
        <v>45318</v>
      </c>
      <c r="I13" s="14" t="s">
        <v>47</v>
      </c>
      <c r="J13" s="14" t="s">
        <v>114</v>
      </c>
      <c r="K13" s="27">
        <v>1.0E8</v>
      </c>
      <c r="L13" s="29" t="s">
        <v>142</v>
      </c>
      <c r="M13" s="14"/>
      <c r="N13" s="14"/>
      <c r="O13" s="14"/>
      <c r="P13" s="14" t="s">
        <v>84</v>
      </c>
      <c r="Q13" s="35" t="str">
        <f t="shared" si="4"/>
        <v>#REF!</v>
      </c>
      <c r="R13" s="36" t="str">
        <f t="shared" si="5"/>
        <v>#REF!</v>
      </c>
      <c r="S13" s="36" t="str">
        <f t="shared" si="6"/>
        <v>#REF!</v>
      </c>
      <c r="T13" s="36" t="str">
        <f t="shared" si="7"/>
        <v>#REF!</v>
      </c>
      <c r="V13" s="31"/>
    </row>
    <row r="14">
      <c r="A14" s="14" t="s">
        <v>76</v>
      </c>
      <c r="B14" s="14" t="s">
        <v>144</v>
      </c>
      <c r="C14" s="14" t="s">
        <v>145</v>
      </c>
      <c r="D14" s="14" t="s">
        <v>40</v>
      </c>
      <c r="E14" s="20" t="str">
        <f t="shared" si="2"/>
        <v>febrero 2024</v>
      </c>
      <c r="F14" s="22">
        <v>45323.0</v>
      </c>
      <c r="G14" s="24">
        <f t="shared" ref="G14:H14" si="18">F14</f>
        <v>45323</v>
      </c>
      <c r="H14" s="26">
        <f t="shared" si="18"/>
        <v>45323</v>
      </c>
      <c r="I14" s="14" t="s">
        <v>90</v>
      </c>
      <c r="K14" s="27">
        <v>2.5E8</v>
      </c>
      <c r="L14" s="29" t="s">
        <v>72</v>
      </c>
      <c r="M14" s="31"/>
      <c r="N14" s="31"/>
      <c r="O14" s="31"/>
      <c r="Q14" s="35" t="str">
        <f t="shared" si="4"/>
        <v>#REF!</v>
      </c>
      <c r="R14" s="36" t="str">
        <f t="shared" si="5"/>
        <v>#REF!</v>
      </c>
      <c r="S14" s="36" t="str">
        <f t="shared" si="6"/>
        <v>#REF!</v>
      </c>
      <c r="T14" s="36" t="str">
        <f t="shared" si="7"/>
        <v>#REF!</v>
      </c>
      <c r="V14" s="31"/>
    </row>
    <row r="15">
      <c r="A15" s="14" t="s">
        <v>76</v>
      </c>
      <c r="B15" s="14" t="s">
        <v>147</v>
      </c>
      <c r="C15" s="14" t="s">
        <v>149</v>
      </c>
      <c r="D15" s="14" t="s">
        <v>40</v>
      </c>
      <c r="E15" s="20" t="str">
        <f t="shared" si="2"/>
        <v>febrero 2024</v>
      </c>
      <c r="F15" s="22">
        <v>45324.0</v>
      </c>
      <c r="G15" s="24">
        <f t="shared" ref="G15:H15" si="19">F15</f>
        <v>45324</v>
      </c>
      <c r="H15" s="26">
        <f t="shared" si="19"/>
        <v>45324</v>
      </c>
      <c r="I15" s="14" t="s">
        <v>82</v>
      </c>
      <c r="J15" s="14" t="s">
        <v>83</v>
      </c>
      <c r="K15" s="27">
        <v>1.0E8</v>
      </c>
      <c r="L15" s="29" t="s">
        <v>72</v>
      </c>
      <c r="M15" s="14"/>
      <c r="N15" s="14"/>
      <c r="O15" s="14"/>
      <c r="P15" s="14" t="s">
        <v>84</v>
      </c>
      <c r="Q15" s="35" t="str">
        <f t="shared" si="4"/>
        <v>#REF!</v>
      </c>
      <c r="R15" s="36" t="str">
        <f t="shared" si="5"/>
        <v>#REF!</v>
      </c>
      <c r="S15" s="36" t="str">
        <f t="shared" si="6"/>
        <v>#REF!</v>
      </c>
      <c r="T15" s="36" t="str">
        <f t="shared" si="7"/>
        <v>#REF!</v>
      </c>
      <c r="V15" s="31"/>
    </row>
    <row r="16">
      <c r="A16" s="14" t="s">
        <v>117</v>
      </c>
      <c r="B16" s="14" t="s">
        <v>156</v>
      </c>
      <c r="C16" s="14" t="s">
        <v>158</v>
      </c>
      <c r="D16" s="14" t="s">
        <v>40</v>
      </c>
      <c r="E16" s="20" t="str">
        <f t="shared" si="2"/>
        <v>febrero 2024</v>
      </c>
      <c r="F16" s="22">
        <v>45324.0</v>
      </c>
      <c r="G16" s="24">
        <f t="shared" ref="G16:H16" si="20">F16</f>
        <v>45324</v>
      </c>
      <c r="H16" s="26">
        <f t="shared" si="20"/>
        <v>45324</v>
      </c>
      <c r="I16" s="14" t="s">
        <v>133</v>
      </c>
      <c r="K16" s="27">
        <v>1.6E8</v>
      </c>
      <c r="L16" s="29" t="s">
        <v>160</v>
      </c>
      <c r="M16" s="14"/>
      <c r="N16" s="14"/>
      <c r="O16" s="14"/>
      <c r="P16" s="14" t="s">
        <v>84</v>
      </c>
      <c r="Q16" s="35" t="str">
        <f t="shared" si="4"/>
        <v>#REF!</v>
      </c>
      <c r="R16" s="36" t="str">
        <f t="shared" si="5"/>
        <v>#REF!</v>
      </c>
      <c r="S16" s="36" t="str">
        <f t="shared" si="6"/>
        <v>#REF!</v>
      </c>
      <c r="T16" s="36" t="str">
        <f t="shared" si="7"/>
        <v>#REF!</v>
      </c>
      <c r="V16" s="31"/>
    </row>
    <row r="17">
      <c r="A17" s="14" t="s">
        <v>93</v>
      </c>
      <c r="B17" s="14" t="s">
        <v>165</v>
      </c>
      <c r="C17" s="14" t="s">
        <v>167</v>
      </c>
      <c r="D17" s="14" t="s">
        <v>40</v>
      </c>
      <c r="E17" s="20" t="str">
        <f t="shared" si="2"/>
        <v>febrero 2024</v>
      </c>
      <c r="F17" s="22">
        <v>45336.0</v>
      </c>
      <c r="G17" s="24">
        <f t="shared" ref="G17:H17" si="21">F17</f>
        <v>45336</v>
      </c>
      <c r="H17" s="26">
        <f t="shared" si="21"/>
        <v>45336</v>
      </c>
      <c r="I17" s="14" t="s">
        <v>133</v>
      </c>
      <c r="K17" s="27">
        <v>2.0E7</v>
      </c>
      <c r="L17" s="29" t="s">
        <v>176</v>
      </c>
      <c r="M17" s="14"/>
      <c r="N17" s="14"/>
      <c r="O17" s="14"/>
      <c r="P17" s="14" t="s">
        <v>75</v>
      </c>
      <c r="Q17" s="35" t="str">
        <f t="shared" si="4"/>
        <v>#REF!</v>
      </c>
      <c r="R17" s="36" t="str">
        <f t="shared" si="5"/>
        <v>#REF!</v>
      </c>
      <c r="S17" s="36" t="str">
        <f t="shared" si="6"/>
        <v>#REF!</v>
      </c>
      <c r="T17" s="36" t="str">
        <f t="shared" si="7"/>
        <v>#REF!</v>
      </c>
      <c r="V17" s="31"/>
    </row>
    <row r="18">
      <c r="A18" s="14" t="s">
        <v>93</v>
      </c>
      <c r="B18" s="14" t="s">
        <v>165</v>
      </c>
      <c r="C18" s="14" t="s">
        <v>181</v>
      </c>
      <c r="D18" s="14" t="s">
        <v>40</v>
      </c>
      <c r="E18" s="20" t="str">
        <f t="shared" si="2"/>
        <v>febrero 2024</v>
      </c>
      <c r="F18" s="22">
        <v>45336.0</v>
      </c>
      <c r="G18" s="24">
        <f t="shared" ref="G18:H18" si="22">F18</f>
        <v>45336</v>
      </c>
      <c r="H18" s="26">
        <f t="shared" si="22"/>
        <v>45336</v>
      </c>
      <c r="I18" s="14" t="s">
        <v>133</v>
      </c>
      <c r="K18" s="27">
        <v>2.0E7</v>
      </c>
      <c r="L18" s="29" t="s">
        <v>176</v>
      </c>
      <c r="M18" s="14"/>
      <c r="N18" s="14"/>
      <c r="O18" s="14"/>
      <c r="P18" s="14" t="s">
        <v>75</v>
      </c>
      <c r="Q18" s="35" t="str">
        <f t="shared" si="4"/>
        <v>#REF!</v>
      </c>
      <c r="R18" s="36" t="str">
        <f t="shared" si="5"/>
        <v>#REF!</v>
      </c>
      <c r="S18" s="36" t="str">
        <f t="shared" si="6"/>
        <v>#REF!</v>
      </c>
      <c r="T18" s="36" t="str">
        <f t="shared" si="7"/>
        <v>#REF!</v>
      </c>
      <c r="V18" s="31"/>
    </row>
    <row r="19">
      <c r="A19" s="14" t="s">
        <v>36</v>
      </c>
      <c r="B19" s="14" t="s">
        <v>187</v>
      </c>
      <c r="C19" s="14" t="s">
        <v>189</v>
      </c>
      <c r="D19" s="14" t="s">
        <v>40</v>
      </c>
      <c r="E19" s="20" t="str">
        <f t="shared" si="2"/>
        <v>febrero 2024</v>
      </c>
      <c r="F19" s="22">
        <v>45336.0</v>
      </c>
      <c r="G19" s="24">
        <f t="shared" ref="G19:H19" si="23">F19</f>
        <v>45336</v>
      </c>
      <c r="H19" s="26">
        <f t="shared" si="23"/>
        <v>45336</v>
      </c>
      <c r="I19" s="14" t="s">
        <v>82</v>
      </c>
      <c r="J19" s="14" t="s">
        <v>191</v>
      </c>
      <c r="K19" s="27">
        <v>1.0E8</v>
      </c>
      <c r="L19" s="29" t="s">
        <v>176</v>
      </c>
      <c r="M19" s="31"/>
      <c r="N19" s="31"/>
      <c r="O19" s="31"/>
      <c r="Q19" s="35" t="str">
        <f t="shared" si="4"/>
        <v>#REF!</v>
      </c>
      <c r="R19" s="36" t="str">
        <f t="shared" si="5"/>
        <v>#REF!</v>
      </c>
      <c r="S19" s="36" t="str">
        <f t="shared" si="6"/>
        <v>#REF!</v>
      </c>
      <c r="T19" s="36" t="str">
        <f t="shared" si="7"/>
        <v>#REF!</v>
      </c>
      <c r="V19" s="31"/>
    </row>
    <row r="20">
      <c r="A20" s="14" t="s">
        <v>93</v>
      </c>
      <c r="B20" s="14" t="s">
        <v>199</v>
      </c>
      <c r="C20" s="14" t="s">
        <v>200</v>
      </c>
      <c r="D20" s="14" t="s">
        <v>40</v>
      </c>
      <c r="E20" s="20" t="str">
        <f t="shared" si="2"/>
        <v>febrero 2024</v>
      </c>
      <c r="F20" s="22">
        <v>45337.0</v>
      </c>
      <c r="G20" s="24">
        <f t="shared" ref="G20:H20" si="24">F20</f>
        <v>45337</v>
      </c>
      <c r="H20" s="26">
        <f t="shared" si="24"/>
        <v>45337</v>
      </c>
      <c r="I20" s="14" t="s">
        <v>90</v>
      </c>
      <c r="K20" s="27">
        <v>5.0E7</v>
      </c>
      <c r="L20" s="29" t="s">
        <v>176</v>
      </c>
      <c r="M20" s="14"/>
      <c r="N20" s="14"/>
      <c r="O20" s="14"/>
      <c r="P20" s="14" t="s">
        <v>75</v>
      </c>
      <c r="Q20" s="35" t="str">
        <f t="shared" si="4"/>
        <v>#REF!</v>
      </c>
      <c r="R20" s="36" t="str">
        <f t="shared" si="5"/>
        <v>#REF!</v>
      </c>
      <c r="S20" s="36" t="str">
        <f t="shared" si="6"/>
        <v>#REF!</v>
      </c>
      <c r="T20" s="36" t="str">
        <f t="shared" si="7"/>
        <v>#REF!</v>
      </c>
      <c r="V20" s="31"/>
    </row>
    <row r="21">
      <c r="A21" s="14" t="s">
        <v>208</v>
      </c>
      <c r="B21" s="50" t="s">
        <v>209</v>
      </c>
      <c r="C21" s="50" t="s">
        <v>210</v>
      </c>
      <c r="D21" s="14" t="s">
        <v>40</v>
      </c>
      <c r="E21" s="20" t="str">
        <f t="shared" si="2"/>
        <v>febrero 2024</v>
      </c>
      <c r="F21" s="22">
        <v>45332.0</v>
      </c>
      <c r="G21" s="24">
        <f t="shared" ref="G21:H21" si="25">F21</f>
        <v>45332</v>
      </c>
      <c r="H21" s="26">
        <f t="shared" si="25"/>
        <v>45332</v>
      </c>
      <c r="I21" s="14" t="s">
        <v>90</v>
      </c>
      <c r="K21" s="27">
        <v>3.0E7</v>
      </c>
      <c r="L21" s="29" t="s">
        <v>176</v>
      </c>
      <c r="M21" s="31"/>
      <c r="N21" s="31"/>
      <c r="O21" s="31"/>
      <c r="Q21" s="35" t="str">
        <f t="shared" si="4"/>
        <v>#REF!</v>
      </c>
      <c r="R21" s="36" t="str">
        <f t="shared" si="5"/>
        <v>#REF!</v>
      </c>
      <c r="S21" s="36" t="str">
        <f t="shared" si="6"/>
        <v>#REF!</v>
      </c>
      <c r="T21" s="36" t="str">
        <f t="shared" si="7"/>
        <v>#REF!</v>
      </c>
      <c r="V21" s="31"/>
    </row>
    <row r="22">
      <c r="A22" s="14" t="s">
        <v>208</v>
      </c>
      <c r="B22" s="50" t="s">
        <v>215</v>
      </c>
      <c r="C22" s="51" t="s">
        <v>216</v>
      </c>
      <c r="D22" s="14" t="s">
        <v>40</v>
      </c>
      <c r="E22" s="20" t="str">
        <f t="shared" si="2"/>
        <v>febrero 2024</v>
      </c>
      <c r="F22" s="22">
        <v>45334.0</v>
      </c>
      <c r="G22" s="24">
        <f t="shared" ref="G22:H22" si="26">F22</f>
        <v>45334</v>
      </c>
      <c r="H22" s="26">
        <f t="shared" si="26"/>
        <v>45334</v>
      </c>
      <c r="I22" s="14" t="s">
        <v>90</v>
      </c>
      <c r="K22" s="27">
        <v>5.0E7</v>
      </c>
      <c r="L22" s="29" t="s">
        <v>221</v>
      </c>
      <c r="M22" s="31"/>
      <c r="N22" s="31"/>
      <c r="O22" s="31"/>
      <c r="Q22" s="35">
        <v>482000.0</v>
      </c>
      <c r="R22" s="36" t="str">
        <f t="shared" si="5"/>
        <v>#REF!</v>
      </c>
      <c r="S22" s="36" t="str">
        <f t="shared" si="6"/>
        <v>#REF!</v>
      </c>
      <c r="T22" s="36" t="str">
        <f t="shared" si="7"/>
        <v>#REF!</v>
      </c>
      <c r="V22" s="31"/>
    </row>
    <row r="23">
      <c r="A23" s="14" t="s">
        <v>208</v>
      </c>
      <c r="B23" s="50" t="s">
        <v>224</v>
      </c>
      <c r="C23" s="50" t="s">
        <v>225</v>
      </c>
      <c r="D23" s="14" t="s">
        <v>40</v>
      </c>
      <c r="E23" s="20" t="str">
        <f t="shared" si="2"/>
        <v>febrero 2024</v>
      </c>
      <c r="F23" s="22">
        <v>45336.0</v>
      </c>
      <c r="G23" s="24">
        <f t="shared" ref="G23:H23" si="27">F23</f>
        <v>45336</v>
      </c>
      <c r="H23" s="26">
        <f t="shared" si="27"/>
        <v>45336</v>
      </c>
      <c r="I23" s="14" t="s">
        <v>90</v>
      </c>
      <c r="K23" s="27">
        <v>5.0E7</v>
      </c>
      <c r="L23" s="29" t="s">
        <v>176</v>
      </c>
      <c r="M23" s="31"/>
      <c r="N23" s="31"/>
      <c r="O23" s="31"/>
      <c r="Q23" s="35" t="str">
        <f t="shared" ref="Q23:Q26" si="29">VLOOKUP(C23,QS!E:AB,21,0)</f>
        <v>#REF!</v>
      </c>
      <c r="R23" s="36" t="str">
        <f t="shared" si="5"/>
        <v>#REF!</v>
      </c>
      <c r="S23" s="36" t="str">
        <f t="shared" si="6"/>
        <v>#REF!</v>
      </c>
      <c r="T23" s="36" t="str">
        <f t="shared" si="7"/>
        <v>#REF!</v>
      </c>
      <c r="V23" s="31"/>
    </row>
    <row r="24">
      <c r="A24" s="14" t="s">
        <v>208</v>
      </c>
      <c r="B24" s="57" t="s">
        <v>238</v>
      </c>
      <c r="C24" s="57" t="s">
        <v>240</v>
      </c>
      <c r="D24" s="14" t="s">
        <v>40</v>
      </c>
      <c r="E24" s="20" t="str">
        <f t="shared" si="2"/>
        <v>febrero 2024</v>
      </c>
      <c r="F24" s="22">
        <v>45342.0</v>
      </c>
      <c r="G24" s="24">
        <f t="shared" ref="G24:H24" si="28">F24</f>
        <v>45342</v>
      </c>
      <c r="H24" s="26">
        <f t="shared" si="28"/>
        <v>45342</v>
      </c>
      <c r="I24" s="14" t="s">
        <v>82</v>
      </c>
      <c r="J24" s="14" t="s">
        <v>241</v>
      </c>
      <c r="K24" s="27">
        <v>6.0E8</v>
      </c>
      <c r="L24" s="62">
        <v>0.0199</v>
      </c>
      <c r="M24" s="14"/>
      <c r="N24" s="14"/>
      <c r="O24" s="14"/>
      <c r="P24" s="14" t="s">
        <v>75</v>
      </c>
      <c r="Q24" s="35" t="str">
        <f t="shared" si="29"/>
        <v>#REF!</v>
      </c>
      <c r="R24" s="36" t="str">
        <f t="shared" si="5"/>
        <v>#REF!</v>
      </c>
      <c r="S24" s="36" t="str">
        <f t="shared" si="6"/>
        <v>#REF!</v>
      </c>
      <c r="T24" s="36" t="str">
        <f t="shared" si="7"/>
        <v>#REF!</v>
      </c>
      <c r="V24" s="31"/>
    </row>
    <row r="25">
      <c r="A25" s="14" t="s">
        <v>93</v>
      </c>
      <c r="B25" s="14" t="s">
        <v>247</v>
      </c>
      <c r="C25" s="14" t="s">
        <v>248</v>
      </c>
      <c r="D25" s="14" t="s">
        <v>40</v>
      </c>
      <c r="E25" s="20" t="str">
        <f t="shared" si="2"/>
        <v>febrero 2024</v>
      </c>
      <c r="F25" s="22">
        <v>45345.0</v>
      </c>
      <c r="G25" s="24">
        <f t="shared" ref="G25:H25" si="30">F25</f>
        <v>45345</v>
      </c>
      <c r="H25" s="26">
        <f t="shared" si="30"/>
        <v>45345</v>
      </c>
      <c r="I25" s="14" t="s">
        <v>90</v>
      </c>
      <c r="K25" s="27">
        <v>1.0E8</v>
      </c>
      <c r="L25" s="29">
        <v>1.99</v>
      </c>
      <c r="M25" s="14"/>
      <c r="N25" s="14"/>
      <c r="O25" s="14"/>
      <c r="P25" s="14" t="s">
        <v>75</v>
      </c>
      <c r="Q25" s="35" t="str">
        <f t="shared" si="29"/>
        <v>#REF!</v>
      </c>
      <c r="R25" s="36" t="str">
        <f t="shared" si="5"/>
        <v>#REF!</v>
      </c>
      <c r="S25" s="36" t="str">
        <f t="shared" si="6"/>
        <v>#REF!</v>
      </c>
      <c r="T25" s="36" t="str">
        <f t="shared" si="7"/>
        <v>#REF!</v>
      </c>
      <c r="V25" s="31"/>
    </row>
    <row r="26">
      <c r="A26" s="14" t="s">
        <v>117</v>
      </c>
      <c r="B26" s="14" t="s">
        <v>255</v>
      </c>
      <c r="C26" s="14" t="s">
        <v>256</v>
      </c>
      <c r="D26" s="14" t="s">
        <v>40</v>
      </c>
      <c r="E26" s="20" t="str">
        <f t="shared" si="2"/>
        <v>febrero 2024</v>
      </c>
      <c r="F26" s="22">
        <v>45345.0</v>
      </c>
      <c r="G26" s="24">
        <f t="shared" ref="G26:H26" si="31">F26</f>
        <v>45345</v>
      </c>
      <c r="H26" s="26">
        <f t="shared" si="31"/>
        <v>45345</v>
      </c>
      <c r="I26" s="14" t="s">
        <v>259</v>
      </c>
      <c r="J26" s="14" t="s">
        <v>260</v>
      </c>
      <c r="K26" s="27">
        <v>1.5E8</v>
      </c>
      <c r="L26" s="29" t="s">
        <v>160</v>
      </c>
      <c r="M26" s="14"/>
      <c r="N26" s="14"/>
      <c r="O26" s="14"/>
      <c r="P26" s="14" t="s">
        <v>84</v>
      </c>
      <c r="Q26" s="35" t="str">
        <f t="shared" si="29"/>
        <v>#REF!</v>
      </c>
      <c r="R26" s="36" t="str">
        <f t="shared" si="5"/>
        <v>#REF!</v>
      </c>
      <c r="S26" s="36" t="str">
        <f t="shared" si="6"/>
        <v>#REF!</v>
      </c>
      <c r="T26" s="36" t="str">
        <f t="shared" si="7"/>
        <v>#REF!</v>
      </c>
      <c r="V26" s="31"/>
    </row>
    <row r="27">
      <c r="A27" s="14" t="s">
        <v>76</v>
      </c>
      <c r="B27" s="14" t="s">
        <v>268</v>
      </c>
      <c r="C27" s="14" t="s">
        <v>269</v>
      </c>
      <c r="D27" s="14" t="s">
        <v>40</v>
      </c>
      <c r="E27" s="20" t="str">
        <f t="shared" si="2"/>
        <v>marzo 2024</v>
      </c>
      <c r="F27" s="22">
        <v>45352.0</v>
      </c>
      <c r="G27" s="24">
        <f t="shared" ref="G27:H27" si="32">F27</f>
        <v>45352</v>
      </c>
      <c r="H27" s="26">
        <f t="shared" si="32"/>
        <v>45352</v>
      </c>
      <c r="I27" s="14" t="s">
        <v>259</v>
      </c>
      <c r="J27" s="14" t="s">
        <v>260</v>
      </c>
      <c r="K27" s="27">
        <v>2.0E8</v>
      </c>
      <c r="L27" s="78"/>
      <c r="M27" s="14"/>
      <c r="N27" s="14"/>
      <c r="O27" s="14"/>
      <c r="P27" s="14" t="s">
        <v>75</v>
      </c>
      <c r="Q27" s="36"/>
      <c r="R27" s="36"/>
      <c r="S27" s="36"/>
      <c r="T27" s="36"/>
      <c r="V27" s="31"/>
    </row>
    <row r="28">
      <c r="A28" s="14" t="s">
        <v>76</v>
      </c>
      <c r="B28" s="14" t="s">
        <v>278</v>
      </c>
      <c r="C28" s="14" t="s">
        <v>279</v>
      </c>
      <c r="D28" s="14" t="s">
        <v>40</v>
      </c>
      <c r="E28" s="20" t="str">
        <f t="shared" si="2"/>
        <v>marzo 2024</v>
      </c>
      <c r="F28" s="22">
        <v>45352.0</v>
      </c>
      <c r="G28" s="24">
        <f t="shared" ref="G28:H28" si="33">F28</f>
        <v>45352</v>
      </c>
      <c r="H28" s="26">
        <f t="shared" si="33"/>
        <v>45352</v>
      </c>
      <c r="I28" s="14" t="s">
        <v>259</v>
      </c>
      <c r="J28" s="14" t="s">
        <v>285</v>
      </c>
      <c r="K28" s="27">
        <v>2.0E8</v>
      </c>
      <c r="L28" s="78"/>
      <c r="M28" s="14"/>
      <c r="N28" s="14"/>
      <c r="O28" s="14"/>
      <c r="P28" s="14" t="s">
        <v>75</v>
      </c>
      <c r="Q28" s="36"/>
      <c r="R28" s="36"/>
      <c r="S28" s="36"/>
      <c r="T28" s="36"/>
      <c r="V28" s="31"/>
    </row>
    <row r="29">
      <c r="A29" s="14" t="s">
        <v>117</v>
      </c>
      <c r="B29" s="14" t="s">
        <v>288</v>
      </c>
      <c r="C29" s="14" t="s">
        <v>289</v>
      </c>
      <c r="D29" s="14" t="s">
        <v>40</v>
      </c>
      <c r="E29" s="20" t="str">
        <f t="shared" si="2"/>
        <v>marzo 2024</v>
      </c>
      <c r="F29" s="22">
        <v>45352.0</v>
      </c>
      <c r="G29" s="24">
        <f t="shared" ref="G29:H29" si="34">F29</f>
        <v>45352</v>
      </c>
      <c r="H29" s="26">
        <f t="shared" si="34"/>
        <v>45352</v>
      </c>
      <c r="I29" s="14" t="s">
        <v>259</v>
      </c>
      <c r="J29" s="14" t="s">
        <v>293</v>
      </c>
      <c r="K29" s="27">
        <v>4.0E7</v>
      </c>
      <c r="L29" s="29" t="s">
        <v>176</v>
      </c>
      <c r="M29" s="31"/>
      <c r="N29" s="31"/>
      <c r="O29" s="31"/>
      <c r="Q29" s="36"/>
      <c r="R29" s="36"/>
      <c r="S29" s="36"/>
      <c r="T29" s="36"/>
      <c r="V29" s="31"/>
    </row>
    <row r="30">
      <c r="A30" s="14" t="s">
        <v>93</v>
      </c>
      <c r="B30" s="14" t="s">
        <v>298</v>
      </c>
      <c r="C30" s="14" t="s">
        <v>300</v>
      </c>
      <c r="D30" s="14" t="s">
        <v>40</v>
      </c>
      <c r="E30" s="20" t="str">
        <f t="shared" si="2"/>
        <v>marzo 2024</v>
      </c>
      <c r="F30" s="22">
        <v>45352.0</v>
      </c>
      <c r="G30" s="24">
        <f t="shared" ref="G30:H30" si="35">F30</f>
        <v>45352</v>
      </c>
      <c r="H30" s="26">
        <f t="shared" si="35"/>
        <v>45352</v>
      </c>
      <c r="I30" s="14" t="s">
        <v>259</v>
      </c>
      <c r="J30" s="14" t="s">
        <v>304</v>
      </c>
      <c r="K30" s="27">
        <v>5.0E7</v>
      </c>
      <c r="L30" s="29" t="s">
        <v>176</v>
      </c>
      <c r="M30" s="31"/>
      <c r="N30" s="31"/>
      <c r="O30" s="31"/>
      <c r="Q30" s="36"/>
      <c r="R30" s="36"/>
      <c r="S30" s="36"/>
      <c r="T30" s="36"/>
      <c r="V30" s="31"/>
    </row>
    <row r="31">
      <c r="A31" s="14" t="s">
        <v>76</v>
      </c>
      <c r="B31" s="14" t="s">
        <v>310</v>
      </c>
      <c r="C31" s="14" t="s">
        <v>311</v>
      </c>
      <c r="D31" s="14" t="s">
        <v>40</v>
      </c>
      <c r="E31" s="20" t="str">
        <f t="shared" si="2"/>
        <v>marzo 2024</v>
      </c>
      <c r="F31" s="22">
        <v>45355.0</v>
      </c>
      <c r="G31" s="24">
        <f t="shared" ref="G31:H31" si="36">F31</f>
        <v>45355</v>
      </c>
      <c r="H31" s="26">
        <f t="shared" si="36"/>
        <v>45355</v>
      </c>
      <c r="I31" s="14" t="s">
        <v>90</v>
      </c>
      <c r="K31" s="27">
        <v>8.0E7</v>
      </c>
      <c r="L31" s="29">
        <v>2.19</v>
      </c>
      <c r="M31" s="31"/>
      <c r="N31" s="31"/>
      <c r="O31" s="31"/>
      <c r="Q31" s="36"/>
      <c r="R31" s="36"/>
      <c r="S31" s="36"/>
      <c r="T31" s="36"/>
      <c r="V31" s="31"/>
    </row>
    <row r="32">
      <c r="A32" s="14" t="s">
        <v>76</v>
      </c>
      <c r="B32" s="14" t="s">
        <v>318</v>
      </c>
      <c r="C32" s="85" t="s">
        <v>319</v>
      </c>
      <c r="D32" s="14" t="s">
        <v>40</v>
      </c>
      <c r="E32" s="20" t="str">
        <f t="shared" si="2"/>
        <v>marzo 2024</v>
      </c>
      <c r="F32" s="22">
        <v>45355.0</v>
      </c>
      <c r="G32" s="24">
        <f t="shared" ref="G32:H32" si="37">F32</f>
        <v>45355</v>
      </c>
      <c r="H32" s="26">
        <f t="shared" si="37"/>
        <v>45355</v>
      </c>
      <c r="I32" s="14" t="s">
        <v>90</v>
      </c>
      <c r="K32" s="88"/>
      <c r="L32" s="78"/>
      <c r="M32" s="14"/>
      <c r="N32" s="14"/>
      <c r="O32" s="14"/>
      <c r="P32" s="14" t="s">
        <v>75</v>
      </c>
      <c r="Q32" s="36"/>
      <c r="R32" s="36"/>
      <c r="S32" s="36"/>
      <c r="T32" s="36"/>
      <c r="V32" s="31"/>
    </row>
    <row r="33">
      <c r="A33" s="14" t="s">
        <v>117</v>
      </c>
      <c r="B33" s="14" t="s">
        <v>328</v>
      </c>
      <c r="C33" s="14" t="s">
        <v>329</v>
      </c>
      <c r="D33" s="14" t="s">
        <v>40</v>
      </c>
      <c r="E33" s="20" t="str">
        <f t="shared" si="2"/>
        <v>marzo 2024</v>
      </c>
      <c r="F33" s="22">
        <v>45355.0</v>
      </c>
      <c r="G33" s="24">
        <f t="shared" ref="G33:H33" si="38">F33</f>
        <v>45355</v>
      </c>
      <c r="H33" s="26">
        <f t="shared" si="38"/>
        <v>45355</v>
      </c>
      <c r="I33" s="14" t="s">
        <v>82</v>
      </c>
      <c r="J33" s="14" t="s">
        <v>333</v>
      </c>
      <c r="K33" s="27">
        <v>1.5E8</v>
      </c>
      <c r="L33" s="29">
        <v>2.19</v>
      </c>
      <c r="M33" s="14"/>
      <c r="N33" s="14"/>
      <c r="O33" s="14"/>
      <c r="P33" s="14" t="s">
        <v>339</v>
      </c>
      <c r="Q33" s="36"/>
      <c r="R33" s="36"/>
      <c r="S33" s="36"/>
      <c r="T33" s="36"/>
      <c r="V33" s="31"/>
    </row>
    <row r="34">
      <c r="A34" s="14" t="s">
        <v>208</v>
      </c>
      <c r="B34" s="14" t="s">
        <v>342</v>
      </c>
      <c r="C34" s="90" t="s">
        <v>346</v>
      </c>
      <c r="D34" s="14" t="s">
        <v>40</v>
      </c>
      <c r="E34" s="20" t="str">
        <f t="shared" si="2"/>
        <v>marzo 2024</v>
      </c>
      <c r="F34" s="22">
        <v>45356.0</v>
      </c>
      <c r="G34" s="24">
        <f t="shared" ref="G34:H34" si="39">F34</f>
        <v>45356</v>
      </c>
      <c r="H34" s="26">
        <f t="shared" si="39"/>
        <v>45356</v>
      </c>
      <c r="I34" s="14" t="s">
        <v>259</v>
      </c>
      <c r="J34" s="57" t="s">
        <v>260</v>
      </c>
      <c r="K34" s="27">
        <v>8.0E7</v>
      </c>
      <c r="L34" s="29" t="s">
        <v>351</v>
      </c>
      <c r="M34" s="14"/>
      <c r="N34" s="14"/>
      <c r="O34" s="14"/>
      <c r="P34" s="14" t="s">
        <v>75</v>
      </c>
      <c r="Q34" s="36"/>
      <c r="R34" s="36"/>
      <c r="S34" s="36"/>
      <c r="T34" s="36"/>
      <c r="V34" s="31"/>
    </row>
    <row r="35">
      <c r="A35" s="14" t="s">
        <v>208</v>
      </c>
      <c r="B35" s="14" t="s">
        <v>357</v>
      </c>
      <c r="C35" s="92" t="s">
        <v>359</v>
      </c>
      <c r="D35" s="14" t="s">
        <v>40</v>
      </c>
      <c r="E35" s="20" t="str">
        <f t="shared" si="2"/>
        <v>marzo 2024</v>
      </c>
      <c r="F35" s="22">
        <v>45356.0</v>
      </c>
      <c r="G35" s="24">
        <f t="shared" ref="G35:H35" si="40">F35</f>
        <v>45356</v>
      </c>
      <c r="H35" s="26">
        <f t="shared" si="40"/>
        <v>45356</v>
      </c>
      <c r="I35" s="14" t="s">
        <v>259</v>
      </c>
      <c r="J35" s="57" t="s">
        <v>304</v>
      </c>
      <c r="K35" s="27">
        <v>4.0E8</v>
      </c>
      <c r="L35" s="62">
        <v>0.0199</v>
      </c>
      <c r="M35" s="14"/>
      <c r="N35" s="14"/>
      <c r="O35" s="14"/>
      <c r="P35" s="14" t="s">
        <v>75</v>
      </c>
      <c r="Q35" s="36"/>
      <c r="R35" s="36"/>
      <c r="S35" s="36"/>
      <c r="T35" s="36"/>
      <c r="V35" s="31"/>
    </row>
    <row r="36">
      <c r="A36" s="14" t="s">
        <v>208</v>
      </c>
      <c r="B36" s="14" t="s">
        <v>357</v>
      </c>
      <c r="C36" s="92" t="s">
        <v>365</v>
      </c>
      <c r="D36" s="14" t="s">
        <v>40</v>
      </c>
      <c r="E36" s="20" t="str">
        <f t="shared" si="2"/>
        <v>marzo 2024</v>
      </c>
      <c r="F36" s="22">
        <v>45356.0</v>
      </c>
      <c r="G36" s="24">
        <f t="shared" ref="G36:H36" si="41">F36</f>
        <v>45356</v>
      </c>
      <c r="H36" s="26">
        <f t="shared" si="41"/>
        <v>45356</v>
      </c>
      <c r="I36" s="14" t="s">
        <v>259</v>
      </c>
      <c r="J36" s="57" t="s">
        <v>304</v>
      </c>
      <c r="K36" s="27">
        <v>4.0E8</v>
      </c>
      <c r="L36" s="62">
        <v>0.0199</v>
      </c>
      <c r="M36" s="14"/>
      <c r="N36" s="14"/>
      <c r="O36" s="14"/>
      <c r="P36" s="14" t="s">
        <v>75</v>
      </c>
      <c r="Q36" s="36"/>
      <c r="R36" s="36"/>
      <c r="S36" s="36"/>
      <c r="T36" s="36"/>
      <c r="V36" s="31"/>
    </row>
    <row r="37">
      <c r="A37" s="14" t="s">
        <v>208</v>
      </c>
      <c r="B37" s="14" t="s">
        <v>357</v>
      </c>
      <c r="C37" s="92" t="s">
        <v>370</v>
      </c>
      <c r="D37" s="14" t="s">
        <v>40</v>
      </c>
      <c r="E37" s="20" t="str">
        <f t="shared" si="2"/>
        <v>marzo 2024</v>
      </c>
      <c r="F37" s="22">
        <v>45356.0</v>
      </c>
      <c r="G37" s="24">
        <f t="shared" ref="G37:H37" si="42">F37</f>
        <v>45356</v>
      </c>
      <c r="H37" s="26">
        <f t="shared" si="42"/>
        <v>45356</v>
      </c>
      <c r="I37" s="14" t="s">
        <v>259</v>
      </c>
      <c r="J37" s="57" t="s">
        <v>304</v>
      </c>
      <c r="K37" s="27">
        <v>4.0E8</v>
      </c>
      <c r="L37" s="62">
        <v>0.0199</v>
      </c>
      <c r="M37" s="14"/>
      <c r="N37" s="14"/>
      <c r="O37" s="14"/>
      <c r="P37" s="14" t="s">
        <v>75</v>
      </c>
      <c r="Q37" s="36"/>
      <c r="R37" s="36"/>
      <c r="S37" s="36"/>
      <c r="T37" s="36"/>
      <c r="V37" s="31"/>
    </row>
    <row r="38">
      <c r="A38" s="14" t="s">
        <v>76</v>
      </c>
      <c r="B38" s="14" t="s">
        <v>376</v>
      </c>
      <c r="C38" s="15" t="s">
        <v>378</v>
      </c>
      <c r="D38" s="14" t="s">
        <v>40</v>
      </c>
      <c r="E38" s="20" t="str">
        <f t="shared" si="2"/>
        <v>marzo 2024</v>
      </c>
      <c r="F38" s="22">
        <v>45363.0</v>
      </c>
      <c r="G38" s="24">
        <f t="shared" ref="G38:H38" si="43">F38</f>
        <v>45363</v>
      </c>
      <c r="H38" s="26">
        <f t="shared" si="43"/>
        <v>45363</v>
      </c>
      <c r="I38" s="14" t="s">
        <v>90</v>
      </c>
      <c r="K38" s="27">
        <v>4.0E7</v>
      </c>
      <c r="L38" s="78"/>
      <c r="M38" s="31"/>
      <c r="N38" s="31"/>
      <c r="O38" s="31"/>
      <c r="Q38" s="36"/>
      <c r="R38" s="36"/>
      <c r="S38" s="36"/>
      <c r="T38" s="36"/>
      <c r="V38" s="31"/>
    </row>
    <row r="39">
      <c r="A39" s="14" t="s">
        <v>117</v>
      </c>
      <c r="B39" s="14" t="s">
        <v>385</v>
      </c>
      <c r="C39" s="14" t="s">
        <v>386</v>
      </c>
      <c r="D39" s="14" t="s">
        <v>40</v>
      </c>
      <c r="E39" s="20" t="str">
        <f t="shared" si="2"/>
        <v>marzo 2024</v>
      </c>
      <c r="F39" s="22">
        <v>45363.0</v>
      </c>
      <c r="G39" s="24">
        <f t="shared" ref="G39:H39" si="44">F39</f>
        <v>45363</v>
      </c>
      <c r="H39" s="26">
        <f t="shared" si="44"/>
        <v>45363</v>
      </c>
      <c r="I39" s="14" t="s">
        <v>90</v>
      </c>
      <c r="K39" s="27">
        <v>3.0E7</v>
      </c>
      <c r="L39" s="29" t="s">
        <v>351</v>
      </c>
      <c r="M39" s="31"/>
      <c r="N39" s="31"/>
      <c r="O39" s="31"/>
      <c r="Q39" s="36"/>
      <c r="R39" s="36"/>
      <c r="S39" s="36"/>
      <c r="T39" s="36"/>
      <c r="V39" s="31"/>
    </row>
    <row r="40">
      <c r="A40" s="14" t="s">
        <v>76</v>
      </c>
      <c r="B40" s="14" t="s">
        <v>393</v>
      </c>
      <c r="C40" s="14" t="s">
        <v>394</v>
      </c>
      <c r="D40" s="14" t="s">
        <v>40</v>
      </c>
      <c r="E40" s="20" t="str">
        <f t="shared" si="2"/>
        <v>marzo 2024</v>
      </c>
      <c r="F40" s="22">
        <v>45365.0</v>
      </c>
      <c r="G40" s="24">
        <f t="shared" ref="G40:H40" si="45">F40</f>
        <v>45365</v>
      </c>
      <c r="H40" s="26">
        <f t="shared" si="45"/>
        <v>45365</v>
      </c>
      <c r="I40" s="14" t="s">
        <v>90</v>
      </c>
      <c r="K40" s="27">
        <v>3.0E7</v>
      </c>
      <c r="L40" s="29" t="s">
        <v>351</v>
      </c>
      <c r="M40" s="31"/>
      <c r="N40" s="31"/>
      <c r="O40" s="31"/>
      <c r="Q40" s="36"/>
      <c r="R40" s="36"/>
      <c r="S40" s="36"/>
      <c r="T40" s="36"/>
      <c r="V40" s="31"/>
    </row>
    <row r="41">
      <c r="A41" s="14" t="s">
        <v>208</v>
      </c>
      <c r="B41" s="14" t="s">
        <v>398</v>
      </c>
      <c r="C41" s="14" t="s">
        <v>399</v>
      </c>
      <c r="D41" s="14" t="s">
        <v>40</v>
      </c>
      <c r="E41" s="20" t="str">
        <f t="shared" si="2"/>
        <v>marzo 2024</v>
      </c>
      <c r="F41" s="22">
        <v>45364.0</v>
      </c>
      <c r="G41" s="24">
        <f t="shared" ref="G41:H41" si="46">F41</f>
        <v>45364</v>
      </c>
      <c r="H41" s="26">
        <f t="shared" si="46"/>
        <v>45364</v>
      </c>
      <c r="I41" s="31"/>
      <c r="K41" s="27">
        <v>3.0E7</v>
      </c>
      <c r="L41" s="29" t="s">
        <v>403</v>
      </c>
      <c r="M41" s="31"/>
      <c r="N41" s="31"/>
      <c r="O41" s="31"/>
      <c r="Q41" s="36"/>
      <c r="R41" s="36"/>
      <c r="S41" s="36"/>
      <c r="T41" s="36"/>
      <c r="V41" s="31"/>
    </row>
    <row r="42">
      <c r="A42" s="14" t="s">
        <v>76</v>
      </c>
      <c r="B42" s="14" t="s">
        <v>405</v>
      </c>
      <c r="C42" s="14" t="s">
        <v>406</v>
      </c>
      <c r="D42" s="14" t="s">
        <v>40</v>
      </c>
      <c r="E42" s="20" t="str">
        <f t="shared" si="2"/>
        <v>marzo 2024</v>
      </c>
      <c r="F42" s="22">
        <v>45365.0</v>
      </c>
      <c r="G42" s="24">
        <f t="shared" ref="G42:H42" si="47">F42</f>
        <v>45365</v>
      </c>
      <c r="H42" s="26">
        <f t="shared" si="47"/>
        <v>45365</v>
      </c>
      <c r="I42" s="14" t="s">
        <v>259</v>
      </c>
      <c r="J42" s="57" t="s">
        <v>304</v>
      </c>
      <c r="K42" s="27">
        <v>3.0E7</v>
      </c>
      <c r="L42" s="29" t="s">
        <v>351</v>
      </c>
      <c r="M42" s="31"/>
      <c r="N42" s="31"/>
      <c r="O42" s="31"/>
      <c r="Q42" s="36"/>
      <c r="R42" s="36"/>
      <c r="S42" s="36"/>
      <c r="T42" s="36"/>
      <c r="V42" s="31"/>
    </row>
    <row r="43">
      <c r="A43" s="14" t="s">
        <v>76</v>
      </c>
      <c r="B43" s="14" t="s">
        <v>408</v>
      </c>
      <c r="C43" s="14" t="s">
        <v>410</v>
      </c>
      <c r="D43" s="14" t="s">
        <v>40</v>
      </c>
      <c r="E43" s="20" t="str">
        <f t="shared" si="2"/>
        <v>marzo 2024</v>
      </c>
      <c r="F43" s="22">
        <v>45366.0</v>
      </c>
      <c r="G43" s="24">
        <f t="shared" ref="G43:H43" si="48">F43</f>
        <v>45366</v>
      </c>
      <c r="H43" s="26">
        <f t="shared" si="48"/>
        <v>45366</v>
      </c>
      <c r="I43" s="14" t="s">
        <v>259</v>
      </c>
      <c r="J43" s="57" t="s">
        <v>304</v>
      </c>
      <c r="K43" s="27">
        <v>4.0E7</v>
      </c>
      <c r="L43" s="29" t="s">
        <v>351</v>
      </c>
      <c r="M43" s="31"/>
      <c r="N43" s="31"/>
      <c r="O43" s="31"/>
      <c r="Q43" s="36"/>
      <c r="R43" s="36"/>
      <c r="S43" s="36"/>
      <c r="T43" s="36"/>
      <c r="V43" s="31"/>
    </row>
    <row r="44">
      <c r="A44" s="14" t="s">
        <v>76</v>
      </c>
      <c r="B44" s="14" t="s">
        <v>412</v>
      </c>
      <c r="C44" s="14" t="s">
        <v>413</v>
      </c>
      <c r="D44" s="14" t="s">
        <v>40</v>
      </c>
      <c r="E44" s="20" t="str">
        <f t="shared" si="2"/>
        <v>marzo 2024</v>
      </c>
      <c r="F44" s="22">
        <v>45366.0</v>
      </c>
      <c r="G44" s="24">
        <f t="shared" ref="G44:H44" si="49">F44</f>
        <v>45366</v>
      </c>
      <c r="H44" s="26">
        <f t="shared" si="49"/>
        <v>45366</v>
      </c>
      <c r="I44" s="14" t="s">
        <v>259</v>
      </c>
      <c r="J44" s="57" t="s">
        <v>304</v>
      </c>
      <c r="K44" s="27">
        <v>0.0</v>
      </c>
      <c r="L44" s="29" t="s">
        <v>351</v>
      </c>
      <c r="M44" s="31"/>
      <c r="N44" s="31"/>
      <c r="O44" s="31"/>
      <c r="Q44" s="36"/>
      <c r="R44" s="36"/>
      <c r="S44" s="36"/>
      <c r="T44" s="36"/>
      <c r="V44" s="31"/>
    </row>
    <row r="45">
      <c r="A45" s="14" t="s">
        <v>76</v>
      </c>
      <c r="B45" s="14" t="s">
        <v>415</v>
      </c>
      <c r="C45" s="14" t="s">
        <v>416</v>
      </c>
      <c r="D45" s="14" t="s">
        <v>40</v>
      </c>
      <c r="E45" s="20" t="str">
        <f t="shared" si="2"/>
        <v>marzo 2024</v>
      </c>
      <c r="F45" s="22">
        <v>45366.0</v>
      </c>
      <c r="G45" s="24">
        <f t="shared" ref="G45:H45" si="50">F45</f>
        <v>45366</v>
      </c>
      <c r="H45" s="26">
        <f t="shared" si="50"/>
        <v>45366</v>
      </c>
      <c r="I45" s="14" t="s">
        <v>259</v>
      </c>
      <c r="J45" s="57" t="s">
        <v>304</v>
      </c>
      <c r="K45" s="27">
        <v>0.0</v>
      </c>
      <c r="L45" s="29" t="s">
        <v>351</v>
      </c>
      <c r="M45" s="31"/>
      <c r="N45" s="31"/>
      <c r="O45" s="31"/>
      <c r="Q45" s="36"/>
      <c r="R45" s="36"/>
      <c r="S45" s="36"/>
      <c r="T45" s="36"/>
      <c r="V45" s="31"/>
    </row>
    <row r="46">
      <c r="A46" s="14" t="s">
        <v>36</v>
      </c>
      <c r="B46" s="14" t="s">
        <v>419</v>
      </c>
      <c r="C46" s="14" t="s">
        <v>420</v>
      </c>
      <c r="D46" s="14" t="s">
        <v>40</v>
      </c>
      <c r="E46" s="20" t="str">
        <f t="shared" si="2"/>
        <v>marzo 2024</v>
      </c>
      <c r="F46" s="22">
        <v>45371.0</v>
      </c>
      <c r="G46" s="24">
        <f t="shared" ref="G46:H46" si="51">F46</f>
        <v>45371</v>
      </c>
      <c r="H46" s="26">
        <f t="shared" si="51"/>
        <v>45371</v>
      </c>
      <c r="I46" s="14" t="s">
        <v>259</v>
      </c>
      <c r="J46" s="57" t="s">
        <v>304</v>
      </c>
      <c r="K46" s="27">
        <v>8.0E7</v>
      </c>
      <c r="L46" s="62">
        <v>0.0219</v>
      </c>
      <c r="M46" s="14"/>
      <c r="N46" s="14"/>
      <c r="O46" s="14"/>
      <c r="P46" s="14"/>
      <c r="Q46" s="36"/>
      <c r="R46" s="36"/>
      <c r="S46" s="36"/>
      <c r="T46" s="36"/>
      <c r="V46" s="31"/>
    </row>
    <row r="47">
      <c r="A47" s="14" t="s">
        <v>93</v>
      </c>
      <c r="B47" s="14" t="s">
        <v>423</v>
      </c>
      <c r="C47" s="14" t="s">
        <v>424</v>
      </c>
      <c r="D47" s="14" t="s">
        <v>40</v>
      </c>
      <c r="E47" s="20" t="str">
        <f t="shared" si="2"/>
        <v>abril 2024</v>
      </c>
      <c r="F47" s="22">
        <v>45383.0</v>
      </c>
      <c r="G47" s="24">
        <f t="shared" ref="G47:H47" si="52">F47</f>
        <v>45383</v>
      </c>
      <c r="H47" s="26">
        <f t="shared" si="52"/>
        <v>45383</v>
      </c>
      <c r="I47" s="14" t="s">
        <v>425</v>
      </c>
      <c r="J47" s="14" t="s">
        <v>426</v>
      </c>
      <c r="K47" s="27">
        <v>7.0E8</v>
      </c>
      <c r="L47" s="62">
        <v>0.0169</v>
      </c>
      <c r="M47" s="14"/>
      <c r="N47" s="14"/>
      <c r="O47" s="14"/>
      <c r="P47" s="14" t="s">
        <v>84</v>
      </c>
      <c r="Q47" s="36"/>
      <c r="R47" s="36"/>
      <c r="S47" s="36"/>
      <c r="T47" s="36"/>
      <c r="V47" s="31"/>
    </row>
    <row r="48">
      <c r="A48" s="14" t="s">
        <v>76</v>
      </c>
      <c r="B48" s="14" t="s">
        <v>428</v>
      </c>
      <c r="C48" s="14" t="s">
        <v>429</v>
      </c>
      <c r="D48" s="14" t="s">
        <v>40</v>
      </c>
      <c r="E48" s="20" t="str">
        <f t="shared" si="2"/>
        <v>abril 2024</v>
      </c>
      <c r="F48" s="22">
        <v>45386.0</v>
      </c>
      <c r="G48" s="24">
        <f t="shared" ref="G48:H48" si="53">F48</f>
        <v>45386</v>
      </c>
      <c r="H48" s="26">
        <f t="shared" si="53"/>
        <v>45386</v>
      </c>
      <c r="I48" s="14" t="s">
        <v>90</v>
      </c>
      <c r="K48" s="27">
        <v>3.0E7</v>
      </c>
      <c r="L48" s="29" t="s">
        <v>351</v>
      </c>
      <c r="M48" s="31"/>
      <c r="N48" s="31"/>
      <c r="O48" s="31"/>
      <c r="Q48" s="36"/>
      <c r="R48" s="36"/>
      <c r="S48" s="36"/>
      <c r="T48" s="36"/>
      <c r="V48" s="31"/>
    </row>
    <row r="49" ht="17.25" customHeight="1">
      <c r="A49" s="14" t="s">
        <v>36</v>
      </c>
      <c r="B49" s="14" t="s">
        <v>430</v>
      </c>
      <c r="C49" s="14" t="s">
        <v>431</v>
      </c>
      <c r="D49" s="14" t="s">
        <v>40</v>
      </c>
      <c r="E49" s="20" t="str">
        <f t="shared" si="2"/>
        <v>abril 2024</v>
      </c>
      <c r="F49" s="22">
        <v>45386.0</v>
      </c>
      <c r="G49" s="24">
        <f t="shared" ref="G49:H49" si="54">F49</f>
        <v>45386</v>
      </c>
      <c r="H49" s="26">
        <f t="shared" si="54"/>
        <v>45386</v>
      </c>
      <c r="I49" s="14" t="s">
        <v>259</v>
      </c>
      <c r="J49" s="14" t="s">
        <v>304</v>
      </c>
      <c r="K49" s="27">
        <v>2.5E7</v>
      </c>
      <c r="L49" s="29" t="s">
        <v>433</v>
      </c>
      <c r="M49" s="31"/>
      <c r="N49" s="31"/>
      <c r="O49" s="31"/>
      <c r="Q49" s="36"/>
      <c r="R49" s="36"/>
      <c r="S49" s="36"/>
      <c r="T49" s="36"/>
      <c r="V49" s="31"/>
    </row>
    <row r="50">
      <c r="A50" s="14" t="s">
        <v>36</v>
      </c>
      <c r="B50" s="14" t="s">
        <v>430</v>
      </c>
      <c r="C50" s="14" t="s">
        <v>435</v>
      </c>
      <c r="D50" s="14" t="s">
        <v>40</v>
      </c>
      <c r="E50" s="20" t="str">
        <f t="shared" si="2"/>
        <v>abril 2024</v>
      </c>
      <c r="F50" s="22">
        <v>45386.0</v>
      </c>
      <c r="G50" s="24">
        <f t="shared" ref="G50:H50" si="55">F50</f>
        <v>45386</v>
      </c>
      <c r="H50" s="26">
        <f t="shared" si="55"/>
        <v>45386</v>
      </c>
      <c r="I50" s="14" t="s">
        <v>259</v>
      </c>
      <c r="J50" s="14" t="s">
        <v>304</v>
      </c>
      <c r="K50" s="27">
        <v>2.5E7</v>
      </c>
      <c r="L50" s="29" t="s">
        <v>433</v>
      </c>
      <c r="M50" s="31"/>
      <c r="N50" s="31"/>
      <c r="O50" s="31"/>
      <c r="Q50" s="36"/>
      <c r="R50" s="36"/>
      <c r="S50" s="36"/>
      <c r="T50" s="36"/>
      <c r="V50" s="31"/>
    </row>
    <row r="51">
      <c r="B51" s="14" t="s">
        <v>436</v>
      </c>
      <c r="C51" s="14" t="s">
        <v>437</v>
      </c>
      <c r="D51" s="14" t="s">
        <v>40</v>
      </c>
      <c r="E51" s="20" t="str">
        <f t="shared" si="2"/>
        <v>abril 2024</v>
      </c>
      <c r="F51" s="22">
        <v>45387.0</v>
      </c>
      <c r="G51" s="24">
        <f t="shared" ref="G51:H51" si="56">F51</f>
        <v>45387</v>
      </c>
      <c r="H51" s="26">
        <f t="shared" si="56"/>
        <v>45387</v>
      </c>
      <c r="I51" s="14" t="s">
        <v>90</v>
      </c>
      <c r="K51" s="27">
        <v>1.0E8</v>
      </c>
      <c r="L51" s="62">
        <v>0.0189</v>
      </c>
      <c r="M51" s="31"/>
      <c r="N51" s="31"/>
      <c r="O51" s="31"/>
      <c r="Q51" s="36"/>
      <c r="R51" s="36"/>
      <c r="S51" s="36"/>
      <c r="T51" s="36"/>
      <c r="V51" s="31"/>
    </row>
    <row r="52">
      <c r="A52" s="14" t="s">
        <v>93</v>
      </c>
      <c r="B52" s="14" t="s">
        <v>439</v>
      </c>
      <c r="C52" s="14" t="s">
        <v>440</v>
      </c>
      <c r="D52" s="14" t="s">
        <v>40</v>
      </c>
      <c r="E52" s="20" t="str">
        <f t="shared" si="2"/>
        <v>abril 2024</v>
      </c>
      <c r="F52" s="22">
        <v>45391.0</v>
      </c>
      <c r="G52" s="24">
        <f t="shared" ref="G52:H52" si="57">F52</f>
        <v>45391</v>
      </c>
      <c r="H52" s="26">
        <f t="shared" si="57"/>
        <v>45391</v>
      </c>
      <c r="I52" s="14" t="s">
        <v>259</v>
      </c>
      <c r="J52" s="57" t="s">
        <v>260</v>
      </c>
      <c r="K52" s="27">
        <v>5.0E7</v>
      </c>
      <c r="L52" s="29" t="s">
        <v>443</v>
      </c>
      <c r="M52" s="14"/>
      <c r="N52" s="14"/>
      <c r="O52" s="14"/>
      <c r="P52" s="14" t="s">
        <v>75</v>
      </c>
      <c r="Q52" s="36"/>
      <c r="R52" s="36"/>
      <c r="S52" s="36"/>
      <c r="T52" s="36"/>
      <c r="V52" s="31"/>
    </row>
    <row r="53">
      <c r="A53" s="14" t="s">
        <v>93</v>
      </c>
      <c r="B53" s="14" t="s">
        <v>439</v>
      </c>
      <c r="C53" s="14" t="s">
        <v>444</v>
      </c>
      <c r="D53" s="14" t="s">
        <v>40</v>
      </c>
      <c r="E53" s="20" t="str">
        <f t="shared" si="2"/>
        <v>abril 2024</v>
      </c>
      <c r="F53" s="22">
        <v>45391.0</v>
      </c>
      <c r="G53" s="24">
        <f t="shared" ref="G53:H53" si="58">F53</f>
        <v>45391</v>
      </c>
      <c r="H53" s="26">
        <f t="shared" si="58"/>
        <v>45391</v>
      </c>
      <c r="I53" s="14" t="s">
        <v>259</v>
      </c>
      <c r="J53" s="57" t="s">
        <v>260</v>
      </c>
      <c r="K53" s="27">
        <v>5.0E7</v>
      </c>
      <c r="L53" s="29" t="s">
        <v>443</v>
      </c>
      <c r="M53" s="14"/>
      <c r="N53" s="14"/>
      <c r="O53" s="14"/>
      <c r="P53" s="14" t="s">
        <v>75</v>
      </c>
      <c r="Q53" s="36"/>
      <c r="R53" s="36"/>
      <c r="S53" s="36"/>
      <c r="T53" s="36"/>
      <c r="V53" s="31"/>
    </row>
    <row r="54">
      <c r="A54" s="14" t="s">
        <v>93</v>
      </c>
      <c r="B54" s="14" t="s">
        <v>439</v>
      </c>
      <c r="C54" s="14" t="s">
        <v>447</v>
      </c>
      <c r="D54" s="14" t="s">
        <v>40</v>
      </c>
      <c r="E54" s="20" t="str">
        <f t="shared" si="2"/>
        <v>abril 2024</v>
      </c>
      <c r="F54" s="22">
        <v>45391.0</v>
      </c>
      <c r="G54" s="24">
        <f t="shared" ref="G54:H54" si="59">F54</f>
        <v>45391</v>
      </c>
      <c r="H54" s="26">
        <f t="shared" si="59"/>
        <v>45391</v>
      </c>
      <c r="I54" s="14" t="s">
        <v>259</v>
      </c>
      <c r="J54" s="57" t="s">
        <v>260</v>
      </c>
      <c r="K54" s="27">
        <v>5.0E7</v>
      </c>
      <c r="L54" s="29" t="s">
        <v>443</v>
      </c>
      <c r="M54" s="14"/>
      <c r="N54" s="14"/>
      <c r="O54" s="14"/>
      <c r="P54" s="14" t="s">
        <v>75</v>
      </c>
      <c r="Q54" s="36"/>
      <c r="R54" s="36"/>
      <c r="S54" s="36"/>
      <c r="T54" s="36"/>
      <c r="V54" s="31"/>
    </row>
    <row r="55">
      <c r="A55" s="14" t="s">
        <v>93</v>
      </c>
      <c r="B55" s="14" t="s">
        <v>439</v>
      </c>
      <c r="C55" s="14" t="s">
        <v>450</v>
      </c>
      <c r="D55" s="14" t="s">
        <v>40</v>
      </c>
      <c r="E55" s="20" t="str">
        <f t="shared" si="2"/>
        <v>abril 2024</v>
      </c>
      <c r="F55" s="22">
        <v>45391.0</v>
      </c>
      <c r="G55" s="24">
        <f t="shared" ref="G55:H55" si="60">F55</f>
        <v>45391</v>
      </c>
      <c r="H55" s="26">
        <f t="shared" si="60"/>
        <v>45391</v>
      </c>
      <c r="I55" s="14" t="s">
        <v>259</v>
      </c>
      <c r="J55" s="57" t="s">
        <v>260</v>
      </c>
      <c r="K55" s="27">
        <v>5.0E7</v>
      </c>
      <c r="L55" s="29" t="s">
        <v>443</v>
      </c>
      <c r="M55" s="14"/>
      <c r="N55" s="14"/>
      <c r="O55" s="14"/>
      <c r="P55" s="14" t="s">
        <v>75</v>
      </c>
      <c r="Q55" s="36"/>
      <c r="R55" s="36"/>
      <c r="S55" s="36"/>
      <c r="T55" s="36"/>
      <c r="V55" s="31"/>
    </row>
    <row r="56">
      <c r="A56" s="14" t="s">
        <v>208</v>
      </c>
      <c r="B56" s="14" t="s">
        <v>455</v>
      </c>
      <c r="C56" s="14" t="s">
        <v>456</v>
      </c>
      <c r="D56" s="14" t="s">
        <v>40</v>
      </c>
      <c r="E56" s="20" t="str">
        <f t="shared" si="2"/>
        <v>abril 2024</v>
      </c>
      <c r="F56" s="22">
        <v>45387.0</v>
      </c>
      <c r="G56" s="24">
        <f t="shared" ref="G56:H56" si="61">F56</f>
        <v>45387</v>
      </c>
      <c r="H56" s="26">
        <f t="shared" si="61"/>
        <v>45387</v>
      </c>
      <c r="I56" s="14" t="s">
        <v>90</v>
      </c>
      <c r="K56" s="27">
        <v>1.0E8</v>
      </c>
      <c r="L56" s="62">
        <v>0.0219</v>
      </c>
      <c r="M56" s="31"/>
      <c r="N56" s="31"/>
      <c r="O56" s="31"/>
      <c r="Q56" s="36"/>
      <c r="R56" s="36"/>
      <c r="S56" s="36"/>
      <c r="T56" s="36"/>
      <c r="V56" s="31"/>
    </row>
    <row r="57">
      <c r="A57" s="14" t="s">
        <v>76</v>
      </c>
      <c r="B57" s="14" t="s">
        <v>461</v>
      </c>
      <c r="C57" s="14" t="s">
        <v>462</v>
      </c>
      <c r="D57" s="14" t="s">
        <v>40</v>
      </c>
      <c r="E57" s="20" t="str">
        <f t="shared" si="2"/>
        <v>abril 2024</v>
      </c>
      <c r="F57" s="22">
        <v>45393.0</v>
      </c>
      <c r="G57" s="24">
        <f t="shared" ref="G57:H57" si="62">F57</f>
        <v>45393</v>
      </c>
      <c r="H57" s="26">
        <f t="shared" si="62"/>
        <v>45393</v>
      </c>
      <c r="I57" s="14" t="s">
        <v>90</v>
      </c>
      <c r="J57" s="14"/>
      <c r="K57" s="27">
        <v>5.0E7</v>
      </c>
      <c r="L57" s="29" t="s">
        <v>464</v>
      </c>
      <c r="M57" s="14"/>
      <c r="N57" s="14"/>
      <c r="O57" s="14"/>
      <c r="P57" s="14" t="s">
        <v>75</v>
      </c>
      <c r="Q57" s="36"/>
      <c r="R57" s="36"/>
      <c r="S57" s="36"/>
      <c r="T57" s="36"/>
      <c r="V57" s="31"/>
    </row>
    <row r="58">
      <c r="A58" s="14" t="s">
        <v>208</v>
      </c>
      <c r="B58" s="14" t="s">
        <v>465</v>
      </c>
      <c r="C58" s="14" t="s">
        <v>466</v>
      </c>
      <c r="D58" s="14" t="s">
        <v>40</v>
      </c>
      <c r="E58" s="20" t="str">
        <f t="shared" si="2"/>
        <v>abril 2024</v>
      </c>
      <c r="F58" s="22">
        <v>45394.0</v>
      </c>
      <c r="G58" s="24">
        <f t="shared" ref="G58:H58" si="63">F58</f>
        <v>45394</v>
      </c>
      <c r="H58" s="26">
        <f t="shared" si="63"/>
        <v>45394</v>
      </c>
      <c r="I58" s="14" t="s">
        <v>259</v>
      </c>
      <c r="J58" s="14" t="s">
        <v>293</v>
      </c>
      <c r="K58" s="27">
        <v>5.0E7</v>
      </c>
      <c r="L58" s="29" t="s">
        <v>469</v>
      </c>
      <c r="M58" s="31"/>
      <c r="N58" s="31"/>
      <c r="O58" s="31"/>
      <c r="Q58" s="36"/>
      <c r="R58" s="36"/>
      <c r="S58" s="36"/>
      <c r="T58" s="36"/>
      <c r="V58" s="31"/>
    </row>
    <row r="59">
      <c r="A59" s="14" t="s">
        <v>208</v>
      </c>
      <c r="B59" s="14" t="s">
        <v>470</v>
      </c>
      <c r="C59" s="14" t="s">
        <v>471</v>
      </c>
      <c r="D59" s="14" t="s">
        <v>40</v>
      </c>
      <c r="E59" s="20" t="str">
        <f t="shared" si="2"/>
        <v>abril 2024</v>
      </c>
      <c r="F59" s="22">
        <v>45394.0</v>
      </c>
      <c r="G59" s="24">
        <f t="shared" ref="G59:H59" si="64">F59</f>
        <v>45394</v>
      </c>
      <c r="H59" s="26">
        <f t="shared" si="64"/>
        <v>45394</v>
      </c>
      <c r="I59" s="14" t="s">
        <v>90</v>
      </c>
      <c r="K59" s="27">
        <v>1.0E8</v>
      </c>
      <c r="L59" s="29" t="s">
        <v>443</v>
      </c>
      <c r="M59" s="31"/>
      <c r="N59" s="31"/>
      <c r="O59" s="31"/>
      <c r="Q59" s="36"/>
      <c r="R59" s="36"/>
      <c r="S59" s="36"/>
      <c r="T59" s="36"/>
      <c r="V59" s="31"/>
    </row>
    <row r="60">
      <c r="A60" s="14" t="s">
        <v>93</v>
      </c>
      <c r="B60" s="14" t="s">
        <v>475</v>
      </c>
      <c r="C60" s="14" t="s">
        <v>476</v>
      </c>
      <c r="D60" s="14" t="s">
        <v>40</v>
      </c>
      <c r="E60" s="20" t="str">
        <f t="shared" si="2"/>
        <v>abril 2024</v>
      </c>
      <c r="F60" s="22">
        <v>45397.0</v>
      </c>
      <c r="G60" s="24">
        <f t="shared" ref="G60:H60" si="65">F60</f>
        <v>45397</v>
      </c>
      <c r="H60" s="26">
        <f t="shared" si="65"/>
        <v>45397</v>
      </c>
      <c r="I60" s="14" t="s">
        <v>259</v>
      </c>
      <c r="J60" s="14" t="s">
        <v>293</v>
      </c>
      <c r="K60" s="27">
        <v>5.0E7</v>
      </c>
      <c r="L60" s="29" t="s">
        <v>478</v>
      </c>
      <c r="M60" s="31"/>
      <c r="N60" s="31"/>
      <c r="O60" s="31"/>
      <c r="Q60" s="36"/>
      <c r="R60" s="36"/>
      <c r="S60" s="36"/>
      <c r="T60" s="36"/>
      <c r="V60" s="31"/>
    </row>
    <row r="61">
      <c r="A61" s="14" t="s">
        <v>76</v>
      </c>
      <c r="B61" s="14" t="s">
        <v>479</v>
      </c>
      <c r="C61" s="14" t="s">
        <v>480</v>
      </c>
      <c r="D61" s="14" t="s">
        <v>40</v>
      </c>
      <c r="E61" s="20" t="str">
        <f t="shared" si="2"/>
        <v>abril 2024</v>
      </c>
      <c r="F61" s="22">
        <v>45400.0</v>
      </c>
      <c r="G61" s="24">
        <f t="shared" ref="G61:H61" si="66">F61</f>
        <v>45400</v>
      </c>
      <c r="H61" s="26">
        <f t="shared" si="66"/>
        <v>45400</v>
      </c>
      <c r="I61" s="14" t="s">
        <v>90</v>
      </c>
      <c r="K61" s="27">
        <v>4.0E7</v>
      </c>
      <c r="L61" s="29">
        <v>2.29</v>
      </c>
      <c r="M61" s="31"/>
      <c r="N61" s="31"/>
      <c r="O61" s="31"/>
      <c r="Q61" s="36"/>
      <c r="R61" s="36"/>
      <c r="S61" s="36"/>
      <c r="T61" s="36"/>
      <c r="V61" s="31"/>
    </row>
    <row r="62">
      <c r="A62" s="14" t="s">
        <v>76</v>
      </c>
      <c r="B62" s="14" t="s">
        <v>482</v>
      </c>
      <c r="C62" s="14" t="s">
        <v>483</v>
      </c>
      <c r="D62" s="14" t="s">
        <v>40</v>
      </c>
      <c r="E62" s="20" t="str">
        <f t="shared" si="2"/>
        <v>abril 2024</v>
      </c>
      <c r="F62" s="22">
        <v>45411.0</v>
      </c>
      <c r="G62" s="24">
        <f t="shared" ref="G62:H62" si="67">F62</f>
        <v>45411</v>
      </c>
      <c r="H62" s="26">
        <f t="shared" si="67"/>
        <v>45411</v>
      </c>
      <c r="I62" s="14" t="s">
        <v>90</v>
      </c>
      <c r="K62" s="27">
        <v>1.0E8</v>
      </c>
      <c r="L62" s="62">
        <v>0.0189</v>
      </c>
      <c r="M62" s="14"/>
      <c r="N62" s="14"/>
      <c r="O62" s="14"/>
      <c r="P62" s="14" t="s">
        <v>75</v>
      </c>
      <c r="Q62" s="36"/>
      <c r="R62" s="36"/>
      <c r="S62" s="36"/>
      <c r="T62" s="36"/>
      <c r="V62" s="31"/>
    </row>
    <row r="63">
      <c r="A63" s="14" t="s">
        <v>76</v>
      </c>
      <c r="B63" s="14" t="s">
        <v>485</v>
      </c>
      <c r="C63" s="14" t="s">
        <v>486</v>
      </c>
      <c r="D63" s="14" t="s">
        <v>40</v>
      </c>
      <c r="E63" s="20" t="str">
        <f t="shared" si="2"/>
        <v>abril 2024</v>
      </c>
      <c r="F63" s="22">
        <v>45412.0</v>
      </c>
      <c r="G63" s="24">
        <f t="shared" ref="G63:H63" si="68">F63</f>
        <v>45412</v>
      </c>
      <c r="H63" s="26">
        <f t="shared" si="68"/>
        <v>45412</v>
      </c>
      <c r="I63" s="14" t="s">
        <v>90</v>
      </c>
      <c r="K63" s="27">
        <v>3.0E7</v>
      </c>
      <c r="L63" s="29" t="s">
        <v>464</v>
      </c>
      <c r="M63" s="31"/>
      <c r="N63" s="31"/>
      <c r="O63" s="31"/>
      <c r="Q63" s="36"/>
      <c r="R63" s="36"/>
      <c r="S63" s="36"/>
      <c r="T63" s="36"/>
      <c r="V63" s="31"/>
    </row>
    <row r="64">
      <c r="A64" s="14" t="s">
        <v>76</v>
      </c>
      <c r="B64" s="14" t="s">
        <v>489</v>
      </c>
      <c r="C64" s="14" t="s">
        <v>490</v>
      </c>
      <c r="D64" s="14" t="s">
        <v>40</v>
      </c>
      <c r="E64" s="20" t="str">
        <f t="shared" si="2"/>
        <v>abril 2024</v>
      </c>
      <c r="F64" s="22">
        <v>45412.0</v>
      </c>
      <c r="G64" s="24">
        <f t="shared" ref="G64:H64" si="69">F64</f>
        <v>45412</v>
      </c>
      <c r="H64" s="26">
        <f t="shared" si="69"/>
        <v>45412</v>
      </c>
      <c r="I64" s="14" t="s">
        <v>90</v>
      </c>
      <c r="K64" s="27">
        <v>3.0E7</v>
      </c>
      <c r="L64" s="29" t="s">
        <v>464</v>
      </c>
      <c r="M64" s="31"/>
      <c r="N64" s="31"/>
      <c r="O64" s="31"/>
      <c r="Q64" s="36"/>
      <c r="R64" s="36"/>
      <c r="S64" s="36"/>
      <c r="T64" s="36"/>
      <c r="V64" s="31"/>
    </row>
    <row r="65">
      <c r="A65" s="14" t="s">
        <v>76</v>
      </c>
      <c r="B65" s="14" t="s">
        <v>492</v>
      </c>
      <c r="C65" s="14" t="s">
        <v>493</v>
      </c>
      <c r="D65" s="14" t="s">
        <v>40</v>
      </c>
      <c r="E65" s="20" t="str">
        <f t="shared" si="2"/>
        <v>mayo 2024</v>
      </c>
      <c r="F65" s="22">
        <v>45414.0</v>
      </c>
      <c r="G65" s="24">
        <f t="shared" ref="G65:H65" si="70">F65</f>
        <v>45414</v>
      </c>
      <c r="H65" s="26">
        <f t="shared" si="70"/>
        <v>45414</v>
      </c>
      <c r="I65" s="14" t="s">
        <v>259</v>
      </c>
      <c r="J65" s="14" t="s">
        <v>293</v>
      </c>
      <c r="K65" s="27">
        <v>4.0E7</v>
      </c>
      <c r="L65" s="29">
        <v>2.19</v>
      </c>
      <c r="M65" s="31"/>
      <c r="N65" s="31"/>
      <c r="O65" s="31"/>
      <c r="Q65" s="36"/>
      <c r="R65" s="36"/>
      <c r="S65" s="36"/>
      <c r="T65" s="36"/>
      <c r="V65" s="31"/>
    </row>
    <row r="66">
      <c r="A66" s="14" t="s">
        <v>76</v>
      </c>
      <c r="B66" s="14" t="s">
        <v>496</v>
      </c>
      <c r="C66" s="14" t="s">
        <v>497</v>
      </c>
      <c r="D66" s="14" t="s">
        <v>40</v>
      </c>
      <c r="E66" s="20" t="str">
        <f t="shared" si="2"/>
        <v>mayo 2024</v>
      </c>
      <c r="F66" s="22">
        <v>45414.0</v>
      </c>
      <c r="G66" s="24">
        <f t="shared" ref="G66:H66" si="71">F66</f>
        <v>45414</v>
      </c>
      <c r="H66" s="26">
        <f t="shared" si="71"/>
        <v>45414</v>
      </c>
      <c r="I66" s="14" t="s">
        <v>259</v>
      </c>
      <c r="J66" s="109" t="s">
        <v>500</v>
      </c>
      <c r="K66" s="27">
        <v>1.5E8</v>
      </c>
      <c r="L66" s="29">
        <v>2.19</v>
      </c>
      <c r="M66" s="31"/>
      <c r="N66" s="31"/>
      <c r="O66" s="31"/>
      <c r="Q66" s="36"/>
      <c r="R66" s="36"/>
      <c r="S66" s="36"/>
      <c r="T66" s="36"/>
      <c r="V66" s="31"/>
    </row>
    <row r="67">
      <c r="A67" s="14" t="s">
        <v>76</v>
      </c>
      <c r="B67" s="14" t="s">
        <v>501</v>
      </c>
      <c r="C67" s="14" t="s">
        <v>502</v>
      </c>
      <c r="D67" s="14" t="s">
        <v>40</v>
      </c>
      <c r="E67" s="20" t="str">
        <f t="shared" si="2"/>
        <v>mayo 2024</v>
      </c>
      <c r="F67" s="22">
        <v>45414.0</v>
      </c>
      <c r="G67" s="24">
        <f t="shared" ref="G67:H67" si="72">F67</f>
        <v>45414</v>
      </c>
      <c r="H67" s="26">
        <f t="shared" si="72"/>
        <v>45414</v>
      </c>
      <c r="I67" s="14" t="s">
        <v>259</v>
      </c>
      <c r="J67" s="109" t="s">
        <v>500</v>
      </c>
      <c r="K67" s="27">
        <v>1.5E8</v>
      </c>
      <c r="L67" s="29">
        <v>2.19</v>
      </c>
      <c r="M67" s="31"/>
      <c r="N67" s="31"/>
      <c r="O67" s="31"/>
      <c r="Q67" s="36"/>
      <c r="R67" s="36"/>
      <c r="S67" s="36"/>
      <c r="T67" s="36"/>
      <c r="V67" s="31"/>
    </row>
    <row r="68">
      <c r="A68" s="14" t="s">
        <v>117</v>
      </c>
      <c r="B68" s="14" t="s">
        <v>505</v>
      </c>
      <c r="C68" s="14" t="s">
        <v>506</v>
      </c>
      <c r="D68" s="14" t="s">
        <v>40</v>
      </c>
      <c r="E68" s="20" t="str">
        <f t="shared" si="2"/>
        <v>mayo 2024</v>
      </c>
      <c r="F68" s="22">
        <v>45414.0</v>
      </c>
      <c r="G68" s="24">
        <f t="shared" ref="G68:H68" si="73">F68</f>
        <v>45414</v>
      </c>
      <c r="H68" s="26">
        <f t="shared" si="73"/>
        <v>45414</v>
      </c>
      <c r="I68" s="14" t="s">
        <v>90</v>
      </c>
      <c r="K68" s="27">
        <v>7.0E7</v>
      </c>
      <c r="L68" s="29">
        <v>2.19</v>
      </c>
      <c r="M68" s="31"/>
      <c r="N68" s="31"/>
      <c r="O68" s="31"/>
      <c r="Q68" s="36"/>
      <c r="R68" s="36"/>
      <c r="S68" s="36"/>
      <c r="T68" s="36"/>
      <c r="V68" s="31"/>
    </row>
    <row r="69">
      <c r="A69" s="14" t="s">
        <v>117</v>
      </c>
      <c r="B69" s="14" t="s">
        <v>508</v>
      </c>
      <c r="C69" s="14" t="s">
        <v>509</v>
      </c>
      <c r="D69" s="14" t="s">
        <v>40</v>
      </c>
      <c r="E69" s="20" t="str">
        <f t="shared" si="2"/>
        <v>mayo 2024</v>
      </c>
      <c r="F69" s="22">
        <v>45414.0</v>
      </c>
      <c r="G69" s="24">
        <f t="shared" ref="G69:H69" si="74">F69</f>
        <v>45414</v>
      </c>
      <c r="H69" s="26">
        <f t="shared" si="74"/>
        <v>45414</v>
      </c>
      <c r="I69" s="14" t="s">
        <v>90</v>
      </c>
      <c r="K69" s="27">
        <v>2.0E7</v>
      </c>
      <c r="L69" s="29" t="s">
        <v>464</v>
      </c>
      <c r="M69" s="31"/>
      <c r="N69" s="31"/>
      <c r="O69" s="31"/>
      <c r="Q69" s="36"/>
      <c r="R69" s="36"/>
      <c r="S69" s="36"/>
      <c r="T69" s="36"/>
      <c r="V69" s="31"/>
    </row>
    <row r="70">
      <c r="A70" s="14" t="s">
        <v>36</v>
      </c>
      <c r="B70" s="14" t="s">
        <v>512</v>
      </c>
      <c r="C70" s="14" t="s">
        <v>513</v>
      </c>
      <c r="D70" s="14" t="s">
        <v>40</v>
      </c>
      <c r="E70" s="20" t="str">
        <f t="shared" si="2"/>
        <v>mayo 2024</v>
      </c>
      <c r="F70" s="22">
        <v>45414.0</v>
      </c>
      <c r="G70" s="24">
        <f t="shared" ref="G70:H70" si="75">F70</f>
        <v>45414</v>
      </c>
      <c r="H70" s="26">
        <f t="shared" si="75"/>
        <v>45414</v>
      </c>
      <c r="I70" s="14" t="s">
        <v>90</v>
      </c>
      <c r="K70" s="27">
        <v>8.0E8</v>
      </c>
      <c r="L70" s="29" t="s">
        <v>515</v>
      </c>
      <c r="M70" s="14"/>
      <c r="N70" s="14"/>
      <c r="O70" s="14"/>
      <c r="P70" s="14" t="s">
        <v>84</v>
      </c>
      <c r="Q70" s="36"/>
      <c r="R70" s="36"/>
      <c r="S70" s="36"/>
      <c r="T70" s="36"/>
      <c r="V70" s="31"/>
    </row>
    <row r="71">
      <c r="A71" s="14" t="s">
        <v>76</v>
      </c>
      <c r="B71" s="14" t="s">
        <v>516</v>
      </c>
      <c r="C71" s="15" t="s">
        <v>518</v>
      </c>
      <c r="D71" s="14" t="s">
        <v>40</v>
      </c>
      <c r="E71" s="20" t="str">
        <f t="shared" si="2"/>
        <v>mayo 2024</v>
      </c>
      <c r="F71" s="22">
        <v>45415.0</v>
      </c>
      <c r="G71" s="24">
        <f t="shared" ref="G71:H71" si="76">F71</f>
        <v>45415</v>
      </c>
      <c r="H71" s="26">
        <f t="shared" si="76"/>
        <v>45415</v>
      </c>
      <c r="I71" s="14" t="s">
        <v>259</v>
      </c>
      <c r="J71" s="14" t="s">
        <v>293</v>
      </c>
      <c r="K71" s="27">
        <v>1.2E8</v>
      </c>
      <c r="L71" s="29">
        <v>1.99</v>
      </c>
      <c r="M71" s="31"/>
      <c r="N71" s="31"/>
      <c r="O71" s="31"/>
      <c r="Q71" s="36"/>
      <c r="R71" s="36"/>
      <c r="S71" s="36"/>
      <c r="T71" s="36"/>
      <c r="V71" s="31"/>
    </row>
    <row r="72">
      <c r="A72" s="14" t="s">
        <v>76</v>
      </c>
      <c r="B72" s="14" t="s">
        <v>519</v>
      </c>
      <c r="C72" s="15" t="s">
        <v>520</v>
      </c>
      <c r="D72" s="14" t="s">
        <v>40</v>
      </c>
      <c r="E72" s="20" t="str">
        <f t="shared" si="2"/>
        <v>mayo 2024</v>
      </c>
      <c r="F72" s="22">
        <v>45415.0</v>
      </c>
      <c r="G72" s="24">
        <f t="shared" ref="G72:H72" si="77">F72</f>
        <v>45415</v>
      </c>
      <c r="H72" s="26">
        <f t="shared" si="77"/>
        <v>45415</v>
      </c>
      <c r="I72" s="14" t="s">
        <v>259</v>
      </c>
      <c r="J72" s="14" t="s">
        <v>293</v>
      </c>
      <c r="K72" s="27">
        <v>3.0E7</v>
      </c>
      <c r="L72" s="29">
        <v>1.99</v>
      </c>
      <c r="M72" s="31"/>
      <c r="N72" s="31"/>
      <c r="O72" s="31"/>
      <c r="Q72" s="36"/>
      <c r="R72" s="36"/>
      <c r="S72" s="36"/>
      <c r="T72" s="36"/>
      <c r="V72" s="31"/>
    </row>
    <row r="73">
      <c r="A73" s="14" t="s">
        <v>76</v>
      </c>
      <c r="B73" s="14" t="s">
        <v>521</v>
      </c>
      <c r="C73" s="112" t="s">
        <v>522</v>
      </c>
      <c r="D73" s="14" t="s">
        <v>40</v>
      </c>
      <c r="E73" s="20" t="str">
        <f t="shared" si="2"/>
        <v>mayo 2024</v>
      </c>
      <c r="F73" s="22">
        <v>45416.0</v>
      </c>
      <c r="G73" s="24">
        <f t="shared" ref="G73:H73" si="78">F73</f>
        <v>45416</v>
      </c>
      <c r="H73" s="26">
        <f t="shared" si="78"/>
        <v>45416</v>
      </c>
      <c r="I73" s="14" t="s">
        <v>90</v>
      </c>
      <c r="K73" s="27">
        <v>9.0E7</v>
      </c>
      <c r="L73" s="29">
        <v>2.19</v>
      </c>
      <c r="M73" s="31"/>
      <c r="N73" s="31"/>
      <c r="O73" s="31"/>
      <c r="Q73" s="36"/>
      <c r="R73" s="36"/>
      <c r="S73" s="36"/>
      <c r="T73" s="36"/>
      <c r="V73" s="31"/>
    </row>
    <row r="74">
      <c r="A74" s="14" t="s">
        <v>76</v>
      </c>
      <c r="B74" s="14" t="s">
        <v>525</v>
      </c>
      <c r="C74" s="114" t="s">
        <v>526</v>
      </c>
      <c r="D74" s="14" t="s">
        <v>40</v>
      </c>
      <c r="E74" s="20" t="str">
        <f t="shared" si="2"/>
        <v>mayo 2024</v>
      </c>
      <c r="F74" s="22">
        <v>45420.0</v>
      </c>
      <c r="G74" s="24">
        <f t="shared" ref="G74:H74" si="79">F74</f>
        <v>45420</v>
      </c>
      <c r="H74" s="26">
        <f t="shared" si="79"/>
        <v>45420</v>
      </c>
      <c r="I74" s="14" t="s">
        <v>259</v>
      </c>
      <c r="J74" s="14" t="s">
        <v>293</v>
      </c>
      <c r="K74" s="27">
        <v>2.0E8</v>
      </c>
      <c r="L74" s="29">
        <v>1.99</v>
      </c>
      <c r="M74" s="14"/>
      <c r="N74" s="14"/>
      <c r="O74" s="14"/>
      <c r="P74" s="14" t="s">
        <v>75</v>
      </c>
      <c r="Q74" s="36"/>
      <c r="R74" s="36"/>
      <c r="S74" s="36"/>
      <c r="T74" s="36"/>
      <c r="V74" s="31"/>
    </row>
    <row r="75">
      <c r="A75" s="14" t="s">
        <v>76</v>
      </c>
      <c r="B75" s="14" t="s">
        <v>528</v>
      </c>
      <c r="C75" s="14" t="s">
        <v>529</v>
      </c>
      <c r="D75" s="14" t="s">
        <v>40</v>
      </c>
      <c r="E75" s="20" t="str">
        <f t="shared" si="2"/>
        <v>mayo 2024</v>
      </c>
      <c r="F75" s="22">
        <v>45420.0</v>
      </c>
      <c r="G75" s="24">
        <f t="shared" ref="G75:H75" si="80">F75</f>
        <v>45420</v>
      </c>
      <c r="H75" s="26">
        <f t="shared" si="80"/>
        <v>45420</v>
      </c>
      <c r="I75" s="14" t="s">
        <v>90</v>
      </c>
      <c r="K75" s="27">
        <v>2.0E7</v>
      </c>
      <c r="L75" s="29">
        <v>1.99</v>
      </c>
      <c r="M75" s="31"/>
      <c r="N75" s="31"/>
      <c r="O75" s="31"/>
      <c r="Q75" s="36"/>
      <c r="R75" s="36"/>
      <c r="S75" s="36"/>
      <c r="T75" s="36"/>
      <c r="V75" s="31"/>
    </row>
    <row r="76">
      <c r="A76" s="14" t="s">
        <v>76</v>
      </c>
      <c r="B76" s="50" t="s">
        <v>532</v>
      </c>
      <c r="C76" s="112" t="s">
        <v>533</v>
      </c>
      <c r="D76" s="14" t="s">
        <v>40</v>
      </c>
      <c r="E76" s="20" t="str">
        <f t="shared" si="2"/>
        <v>mayo 2024</v>
      </c>
      <c r="F76" s="22">
        <v>45421.0</v>
      </c>
      <c r="G76" s="24">
        <f t="shared" ref="G76:H76" si="81">F76</f>
        <v>45421</v>
      </c>
      <c r="H76" s="26">
        <f t="shared" si="81"/>
        <v>45421</v>
      </c>
      <c r="I76" s="14" t="s">
        <v>90</v>
      </c>
      <c r="K76" s="27">
        <v>1.0E8</v>
      </c>
      <c r="L76" s="29">
        <v>1.99</v>
      </c>
      <c r="M76" s="31"/>
      <c r="N76" s="31"/>
      <c r="O76" s="31"/>
      <c r="Q76" s="36"/>
      <c r="R76" s="36"/>
      <c r="S76" s="36"/>
      <c r="T76" s="36"/>
      <c r="V76" s="31"/>
    </row>
    <row r="77">
      <c r="A77" s="14" t="s">
        <v>208</v>
      </c>
      <c r="B77" s="14" t="s">
        <v>535</v>
      </c>
      <c r="C77" s="116" t="s">
        <v>536</v>
      </c>
      <c r="D77" s="14" t="s">
        <v>40</v>
      </c>
      <c r="E77" s="20" t="str">
        <f t="shared" si="2"/>
        <v>mayo 2024</v>
      </c>
      <c r="F77" s="22">
        <v>45423.0</v>
      </c>
      <c r="G77" s="24">
        <f t="shared" ref="G77:H77" si="82">F77</f>
        <v>45423</v>
      </c>
      <c r="H77" s="26">
        <f t="shared" si="82"/>
        <v>45423</v>
      </c>
      <c r="I77" s="14" t="s">
        <v>90</v>
      </c>
      <c r="K77" s="27">
        <v>2.0E7</v>
      </c>
      <c r="L77" s="29" t="s">
        <v>464</v>
      </c>
      <c r="M77" s="31"/>
      <c r="N77" s="31"/>
      <c r="O77" s="31"/>
      <c r="Q77" s="36"/>
      <c r="R77" s="36"/>
      <c r="S77" s="36"/>
      <c r="T77" s="36"/>
      <c r="V77" s="31"/>
    </row>
    <row r="78">
      <c r="A78" s="14" t="s">
        <v>76</v>
      </c>
      <c r="B78" s="14" t="s">
        <v>539</v>
      </c>
      <c r="C78" s="15" t="s">
        <v>540</v>
      </c>
      <c r="D78" s="14" t="s">
        <v>40</v>
      </c>
      <c r="E78" s="20" t="str">
        <f t="shared" si="2"/>
        <v>mayo 2024</v>
      </c>
      <c r="F78" s="22">
        <v>45428.0</v>
      </c>
      <c r="G78" s="24">
        <f t="shared" ref="G78:H78" si="83">F78</f>
        <v>45428</v>
      </c>
      <c r="H78" s="26">
        <f t="shared" si="83"/>
        <v>45428</v>
      </c>
      <c r="I78" s="14" t="s">
        <v>90</v>
      </c>
      <c r="K78" s="27">
        <v>1.0E8</v>
      </c>
      <c r="L78" s="62">
        <v>0.0189</v>
      </c>
      <c r="M78" s="14"/>
      <c r="N78" s="14"/>
      <c r="O78" s="14"/>
      <c r="P78" s="14" t="s">
        <v>75</v>
      </c>
      <c r="Q78" s="36"/>
      <c r="R78" s="36"/>
      <c r="S78" s="36"/>
      <c r="T78" s="36"/>
      <c r="V78" s="31"/>
    </row>
    <row r="79">
      <c r="A79" s="14" t="s">
        <v>76</v>
      </c>
      <c r="B79" s="14" t="s">
        <v>543</v>
      </c>
      <c r="C79" s="15" t="s">
        <v>544</v>
      </c>
      <c r="D79" s="14" t="s">
        <v>40</v>
      </c>
      <c r="E79" s="20" t="str">
        <f t="shared" si="2"/>
        <v>mayo 2024</v>
      </c>
      <c r="F79" s="22">
        <v>45428.0</v>
      </c>
      <c r="G79" s="24">
        <f t="shared" ref="G79:H79" si="84">F79</f>
        <v>45428</v>
      </c>
      <c r="H79" s="26">
        <f t="shared" si="84"/>
        <v>45428</v>
      </c>
      <c r="I79" s="14" t="s">
        <v>90</v>
      </c>
      <c r="K79" s="27">
        <v>1.0E8</v>
      </c>
      <c r="L79" s="62">
        <v>0.0189</v>
      </c>
      <c r="M79" s="14"/>
      <c r="N79" s="14"/>
      <c r="O79" s="14"/>
      <c r="P79" s="14" t="s">
        <v>75</v>
      </c>
      <c r="Q79" s="36"/>
      <c r="R79" s="36"/>
      <c r="S79" s="36"/>
      <c r="T79" s="36"/>
      <c r="V79" s="31"/>
    </row>
    <row r="80">
      <c r="A80" s="14" t="s">
        <v>117</v>
      </c>
      <c r="B80" s="14" t="s">
        <v>547</v>
      </c>
      <c r="C80" s="15" t="s">
        <v>548</v>
      </c>
      <c r="D80" s="14" t="s">
        <v>40</v>
      </c>
      <c r="E80" s="20" t="str">
        <f t="shared" si="2"/>
        <v>mayo 2024</v>
      </c>
      <c r="F80" s="22">
        <v>45428.0</v>
      </c>
      <c r="G80" s="24">
        <f t="shared" ref="G80:H80" si="85">F80</f>
        <v>45428</v>
      </c>
      <c r="H80" s="26">
        <f t="shared" si="85"/>
        <v>45428</v>
      </c>
      <c r="I80" s="14" t="s">
        <v>259</v>
      </c>
      <c r="J80" s="14" t="s">
        <v>304</v>
      </c>
      <c r="K80" s="27">
        <v>5.0E8</v>
      </c>
      <c r="L80" s="29" t="s">
        <v>551</v>
      </c>
      <c r="M80" s="14"/>
      <c r="N80" s="14"/>
      <c r="O80" s="14"/>
      <c r="P80" s="14" t="s">
        <v>75</v>
      </c>
      <c r="Q80" s="36"/>
      <c r="R80" s="36"/>
      <c r="S80" s="36"/>
      <c r="T80" s="36"/>
      <c r="V80" s="31"/>
    </row>
    <row r="81">
      <c r="A81" s="37" t="s">
        <v>66</v>
      </c>
      <c r="B81" s="14" t="s">
        <v>552</v>
      </c>
      <c r="C81" s="15" t="s">
        <v>553</v>
      </c>
      <c r="D81" s="14" t="s">
        <v>40</v>
      </c>
      <c r="E81" s="20" t="str">
        <f t="shared" si="2"/>
        <v>mayo 2024</v>
      </c>
      <c r="F81" s="22">
        <v>45430.0</v>
      </c>
      <c r="G81" s="24">
        <f t="shared" ref="G81:H81" si="86">F81</f>
        <v>45430</v>
      </c>
      <c r="H81" s="26">
        <f t="shared" si="86"/>
        <v>45430</v>
      </c>
      <c r="I81" s="14" t="s">
        <v>90</v>
      </c>
      <c r="K81" s="27">
        <v>2.0E8</v>
      </c>
      <c r="L81" s="29">
        <v>1.79</v>
      </c>
      <c r="M81" s="31"/>
      <c r="N81" s="31"/>
      <c r="O81" s="31"/>
      <c r="Q81" s="36"/>
      <c r="R81" s="36"/>
      <c r="S81" s="36"/>
      <c r="T81" s="36"/>
      <c r="V81" s="31"/>
    </row>
    <row r="82">
      <c r="A82" s="14" t="s">
        <v>93</v>
      </c>
      <c r="B82" s="14" t="s">
        <v>558</v>
      </c>
      <c r="C82" s="14" t="s">
        <v>559</v>
      </c>
      <c r="D82" s="14" t="s">
        <v>40</v>
      </c>
      <c r="E82" s="20" t="str">
        <f t="shared" si="2"/>
        <v>mayo 2024</v>
      </c>
      <c r="F82" s="22">
        <v>45432.0</v>
      </c>
      <c r="G82" s="24">
        <f t="shared" ref="G82:H82" si="87">F82</f>
        <v>45432</v>
      </c>
      <c r="H82" s="26">
        <f t="shared" si="87"/>
        <v>45432</v>
      </c>
      <c r="I82" s="14" t="s">
        <v>90</v>
      </c>
      <c r="K82" s="27">
        <v>1.0E8</v>
      </c>
      <c r="L82" s="29">
        <v>2.09</v>
      </c>
      <c r="M82" s="14"/>
      <c r="N82" s="14"/>
      <c r="O82" s="14"/>
      <c r="P82" s="14" t="s">
        <v>75</v>
      </c>
      <c r="Q82" s="36"/>
      <c r="R82" s="36"/>
      <c r="S82" s="36"/>
      <c r="T82" s="36"/>
      <c r="V82" s="31"/>
    </row>
    <row r="83">
      <c r="A83" s="14" t="s">
        <v>36</v>
      </c>
      <c r="B83" s="14" t="s">
        <v>561</v>
      </c>
      <c r="C83" s="14" t="s">
        <v>562</v>
      </c>
      <c r="D83" s="14" t="s">
        <v>40</v>
      </c>
      <c r="E83" s="20" t="str">
        <f t="shared" si="2"/>
        <v>mayo 2024</v>
      </c>
      <c r="F83" s="22">
        <v>45435.0</v>
      </c>
      <c r="G83" s="24">
        <f t="shared" ref="G83:H83" si="88">F83</f>
        <v>45435</v>
      </c>
      <c r="H83" s="26">
        <f t="shared" si="88"/>
        <v>45435</v>
      </c>
      <c r="I83" s="14" t="s">
        <v>259</v>
      </c>
      <c r="J83" s="14" t="s">
        <v>500</v>
      </c>
      <c r="K83" s="27">
        <v>4.0E7</v>
      </c>
      <c r="L83" s="29" t="s">
        <v>564</v>
      </c>
      <c r="M83" s="31"/>
      <c r="N83" s="31"/>
      <c r="O83" s="31"/>
      <c r="Q83" s="36"/>
      <c r="R83" s="36"/>
      <c r="S83" s="36"/>
      <c r="T83" s="36"/>
      <c r="V83" s="31"/>
    </row>
    <row r="84">
      <c r="A84" s="14" t="s">
        <v>76</v>
      </c>
      <c r="B84" s="14" t="s">
        <v>567</v>
      </c>
      <c r="C84" s="14" t="s">
        <v>568</v>
      </c>
      <c r="D84" s="14" t="s">
        <v>40</v>
      </c>
      <c r="E84" s="20" t="str">
        <f t="shared" si="2"/>
        <v>mayo 2024</v>
      </c>
      <c r="F84" s="22">
        <v>45443.0</v>
      </c>
      <c r="G84" s="24">
        <f t="shared" ref="G84:H84" si="89">F84</f>
        <v>45443</v>
      </c>
      <c r="H84" s="26">
        <f t="shared" si="89"/>
        <v>45443</v>
      </c>
      <c r="I84" s="14" t="s">
        <v>259</v>
      </c>
      <c r="J84" s="57" t="s">
        <v>260</v>
      </c>
      <c r="K84" s="27">
        <v>2.0E7</v>
      </c>
      <c r="L84" s="29" t="s">
        <v>569</v>
      </c>
      <c r="M84" s="31"/>
      <c r="N84" s="31"/>
      <c r="O84" s="31"/>
      <c r="Q84" s="36"/>
      <c r="R84" s="36"/>
      <c r="S84" s="36"/>
      <c r="T84" s="36"/>
      <c r="V84" s="31"/>
    </row>
    <row r="85">
      <c r="A85" s="14" t="s">
        <v>76</v>
      </c>
      <c r="B85" s="14" t="s">
        <v>571</v>
      </c>
      <c r="C85" s="15" t="s">
        <v>572</v>
      </c>
      <c r="D85" s="14" t="s">
        <v>40</v>
      </c>
      <c r="E85" s="20" t="str">
        <f t="shared" si="2"/>
        <v>junio 2024</v>
      </c>
      <c r="F85" s="22">
        <v>45447.0</v>
      </c>
      <c r="G85" s="24">
        <f t="shared" ref="G85:H85" si="90">F85</f>
        <v>45447</v>
      </c>
      <c r="H85" s="26">
        <f t="shared" si="90"/>
        <v>45447</v>
      </c>
      <c r="I85" s="14" t="s">
        <v>259</v>
      </c>
      <c r="J85" s="14" t="s">
        <v>304</v>
      </c>
      <c r="K85" s="27">
        <v>2.0E8</v>
      </c>
      <c r="L85" s="29">
        <v>2.05</v>
      </c>
      <c r="M85" s="14"/>
      <c r="N85" s="14"/>
      <c r="O85" s="14"/>
      <c r="P85" s="14" t="s">
        <v>84</v>
      </c>
      <c r="Q85" s="36"/>
      <c r="R85" s="36"/>
      <c r="S85" s="36"/>
      <c r="T85" s="36"/>
      <c r="V85" s="31"/>
    </row>
    <row r="86">
      <c r="A86" s="14" t="s">
        <v>117</v>
      </c>
      <c r="B86" s="14" t="s">
        <v>575</v>
      </c>
      <c r="C86" s="14" t="s">
        <v>576</v>
      </c>
      <c r="D86" s="14" t="s">
        <v>40</v>
      </c>
      <c r="E86" s="20" t="str">
        <f t="shared" si="2"/>
        <v>junio 2024</v>
      </c>
      <c r="F86" s="22">
        <v>45444.0</v>
      </c>
      <c r="G86" s="24">
        <f t="shared" ref="G86:H86" si="91">F86</f>
        <v>45444</v>
      </c>
      <c r="H86" s="26">
        <f t="shared" si="91"/>
        <v>45444</v>
      </c>
      <c r="I86" s="14" t="s">
        <v>259</v>
      </c>
      <c r="J86" s="14" t="s">
        <v>285</v>
      </c>
      <c r="K86" s="27">
        <v>7.0E8</v>
      </c>
      <c r="L86" s="118">
        <v>45383.0</v>
      </c>
      <c r="M86" s="14"/>
      <c r="N86" s="14"/>
      <c r="O86" s="14"/>
      <c r="P86" s="14" t="s">
        <v>84</v>
      </c>
      <c r="Q86" s="36"/>
      <c r="R86" s="36"/>
      <c r="S86" s="36"/>
      <c r="T86" s="36"/>
      <c r="V86" s="31"/>
    </row>
    <row r="87">
      <c r="A87" s="14" t="s">
        <v>76</v>
      </c>
      <c r="B87" s="14" t="s">
        <v>578</v>
      </c>
      <c r="C87" s="15" t="s">
        <v>579</v>
      </c>
      <c r="D87" s="14" t="s">
        <v>40</v>
      </c>
      <c r="E87" s="20" t="str">
        <f t="shared" si="2"/>
        <v>junio 2024</v>
      </c>
      <c r="F87" s="22">
        <v>45447.0</v>
      </c>
      <c r="G87" s="24">
        <f t="shared" ref="G87:H87" si="92">F87</f>
        <v>45447</v>
      </c>
      <c r="H87" s="26">
        <f t="shared" si="92"/>
        <v>45447</v>
      </c>
      <c r="I87" s="14" t="s">
        <v>259</v>
      </c>
      <c r="J87" s="57" t="s">
        <v>260</v>
      </c>
      <c r="K87" s="27">
        <v>4.0E7</v>
      </c>
      <c r="L87" s="29">
        <v>2.19</v>
      </c>
      <c r="M87" s="31"/>
      <c r="N87" s="31"/>
      <c r="O87" s="31"/>
      <c r="Q87" s="36"/>
      <c r="R87" s="36"/>
      <c r="S87" s="36"/>
      <c r="T87" s="36"/>
      <c r="V87" s="31"/>
    </row>
    <row r="88">
      <c r="A88" s="14" t="s">
        <v>76</v>
      </c>
      <c r="B88" s="14" t="s">
        <v>585</v>
      </c>
      <c r="C88" s="114" t="s">
        <v>586</v>
      </c>
      <c r="D88" s="14" t="s">
        <v>40</v>
      </c>
      <c r="E88" s="20" t="str">
        <f t="shared" si="2"/>
        <v>junio 2024</v>
      </c>
      <c r="F88" s="22">
        <v>45447.0</v>
      </c>
      <c r="G88" s="24">
        <f t="shared" ref="G88:H88" si="93">F88</f>
        <v>45447</v>
      </c>
      <c r="H88" s="26">
        <f t="shared" si="93"/>
        <v>45447</v>
      </c>
      <c r="I88" s="14" t="s">
        <v>90</v>
      </c>
      <c r="K88" s="27">
        <v>2.0E9</v>
      </c>
      <c r="L88" s="29">
        <v>1.4</v>
      </c>
      <c r="M88" s="14"/>
      <c r="N88" s="14"/>
      <c r="O88" s="14"/>
      <c r="P88" s="14" t="s">
        <v>75</v>
      </c>
      <c r="Q88" s="36"/>
      <c r="R88" s="36"/>
      <c r="S88" s="36"/>
      <c r="T88" s="36"/>
      <c r="V88" s="31"/>
    </row>
    <row r="89">
      <c r="A89" s="14" t="s">
        <v>76</v>
      </c>
      <c r="B89" s="14" t="s">
        <v>587</v>
      </c>
      <c r="C89" s="14" t="s">
        <v>588</v>
      </c>
      <c r="D89" s="14" t="s">
        <v>40</v>
      </c>
      <c r="E89" s="20" t="str">
        <f t="shared" si="2"/>
        <v>junio 2024</v>
      </c>
      <c r="F89" s="22">
        <v>45448.0</v>
      </c>
      <c r="G89" s="24">
        <f t="shared" ref="G89:H89" si="94">F89</f>
        <v>45448</v>
      </c>
      <c r="H89" s="26">
        <f t="shared" si="94"/>
        <v>45448</v>
      </c>
      <c r="I89" s="14" t="s">
        <v>259</v>
      </c>
      <c r="J89" s="57" t="s">
        <v>590</v>
      </c>
      <c r="K89" s="27">
        <v>4.0E7</v>
      </c>
      <c r="L89" s="29">
        <v>2.29</v>
      </c>
      <c r="M89" s="31"/>
      <c r="N89" s="31"/>
      <c r="O89" s="31"/>
      <c r="Q89" s="36"/>
      <c r="R89" s="36"/>
      <c r="S89" s="36"/>
      <c r="T89" s="36"/>
      <c r="V89" s="31"/>
    </row>
    <row r="90">
      <c r="A90" s="14" t="s">
        <v>36</v>
      </c>
      <c r="B90" s="14" t="s">
        <v>595</v>
      </c>
      <c r="C90" s="14" t="s">
        <v>596</v>
      </c>
      <c r="D90" s="14" t="s">
        <v>40</v>
      </c>
      <c r="E90" s="20" t="str">
        <f t="shared" si="2"/>
        <v>junio 2024</v>
      </c>
      <c r="F90" s="22">
        <v>45454.0</v>
      </c>
      <c r="G90" s="24">
        <f t="shared" ref="G90:H90" si="95">F90</f>
        <v>45454</v>
      </c>
      <c r="H90" s="26">
        <f t="shared" si="95"/>
        <v>45454</v>
      </c>
      <c r="I90" s="14" t="s">
        <v>259</v>
      </c>
      <c r="J90" s="14" t="s">
        <v>285</v>
      </c>
      <c r="K90" s="27">
        <v>5.0E7</v>
      </c>
      <c r="L90" s="29" t="s">
        <v>599</v>
      </c>
      <c r="M90" s="31"/>
      <c r="N90" s="31"/>
      <c r="O90" s="31"/>
      <c r="Q90" s="36"/>
      <c r="R90" s="36"/>
      <c r="S90" s="36"/>
      <c r="T90" s="36"/>
      <c r="V90" s="31"/>
    </row>
    <row r="91">
      <c r="A91" s="14" t="s">
        <v>36</v>
      </c>
      <c r="B91" s="14" t="s">
        <v>602</v>
      </c>
      <c r="C91" s="14" t="s">
        <v>603</v>
      </c>
      <c r="D91" s="14" t="s">
        <v>40</v>
      </c>
      <c r="E91" s="20" t="str">
        <f t="shared" si="2"/>
        <v>junio 2024</v>
      </c>
      <c r="F91" s="22">
        <v>45451.0</v>
      </c>
      <c r="G91" s="24">
        <f t="shared" ref="G91:H91" si="96">F91</f>
        <v>45451</v>
      </c>
      <c r="H91" s="26">
        <f t="shared" si="96"/>
        <v>45451</v>
      </c>
      <c r="I91" s="14" t="s">
        <v>90</v>
      </c>
      <c r="K91" s="27">
        <v>5.0E7</v>
      </c>
      <c r="L91" s="29" t="s">
        <v>608</v>
      </c>
      <c r="M91" s="31"/>
      <c r="N91" s="31"/>
      <c r="O91" s="31"/>
      <c r="Q91" s="36"/>
      <c r="R91" s="36"/>
      <c r="S91" s="36"/>
      <c r="T91" s="36"/>
      <c r="V91" s="31"/>
    </row>
    <row r="92">
      <c r="A92" s="14" t="s">
        <v>117</v>
      </c>
      <c r="B92" s="14" t="s">
        <v>609</v>
      </c>
      <c r="C92" s="14" t="s">
        <v>610</v>
      </c>
      <c r="D92" s="14" t="s">
        <v>40</v>
      </c>
      <c r="E92" s="20" t="str">
        <f t="shared" si="2"/>
        <v>junio 2024</v>
      </c>
      <c r="F92" s="22">
        <v>45454.0</v>
      </c>
      <c r="G92" s="24">
        <f t="shared" ref="G92:H92" si="97">F92</f>
        <v>45454</v>
      </c>
      <c r="H92" s="26">
        <f t="shared" si="97"/>
        <v>45454</v>
      </c>
      <c r="I92" s="14" t="s">
        <v>90</v>
      </c>
      <c r="K92" s="27">
        <v>2.0E8</v>
      </c>
      <c r="L92" s="29" t="s">
        <v>613</v>
      </c>
      <c r="M92" s="31"/>
      <c r="N92" s="31"/>
      <c r="O92" s="31"/>
      <c r="Q92" s="36"/>
      <c r="R92" s="36"/>
      <c r="S92" s="36"/>
      <c r="T92" s="36"/>
      <c r="V92" s="31"/>
    </row>
    <row r="93">
      <c r="A93" s="14" t="s">
        <v>76</v>
      </c>
      <c r="B93" s="112" t="s">
        <v>615</v>
      </c>
      <c r="C93" s="114" t="s">
        <v>616</v>
      </c>
      <c r="D93" s="14" t="s">
        <v>40</v>
      </c>
      <c r="E93" s="20" t="str">
        <f t="shared" si="2"/>
        <v>junio 2024</v>
      </c>
      <c r="F93" s="22">
        <v>45456.0</v>
      </c>
      <c r="G93" s="24">
        <f t="shared" ref="G93:H93" si="98">F93</f>
        <v>45456</v>
      </c>
      <c r="H93" s="26">
        <f t="shared" si="98"/>
        <v>45456</v>
      </c>
      <c r="I93" s="14" t="s">
        <v>259</v>
      </c>
      <c r="J93" s="14" t="s">
        <v>304</v>
      </c>
      <c r="K93" s="27">
        <v>5.0E8</v>
      </c>
      <c r="L93" s="29" t="s">
        <v>618</v>
      </c>
      <c r="M93" s="14"/>
      <c r="N93" s="14"/>
      <c r="O93" s="14"/>
      <c r="P93" s="14" t="s">
        <v>75</v>
      </c>
      <c r="Q93" s="36"/>
      <c r="R93" s="36"/>
      <c r="S93" s="36"/>
      <c r="T93" s="36"/>
      <c r="V93" s="31"/>
    </row>
    <row r="94">
      <c r="A94" s="14" t="s">
        <v>117</v>
      </c>
      <c r="B94" s="14" t="s">
        <v>620</v>
      </c>
      <c r="C94" s="14" t="s">
        <v>621</v>
      </c>
      <c r="D94" s="14" t="s">
        <v>40</v>
      </c>
      <c r="E94" s="20" t="str">
        <f t="shared" si="2"/>
        <v>junio 2024</v>
      </c>
      <c r="F94" s="22">
        <v>45457.0</v>
      </c>
      <c r="G94" s="24">
        <f t="shared" ref="G94:H94" si="99">F94</f>
        <v>45457</v>
      </c>
      <c r="H94" s="26">
        <f t="shared" si="99"/>
        <v>45457</v>
      </c>
      <c r="I94" s="14" t="s">
        <v>259</v>
      </c>
      <c r="J94" s="14" t="s">
        <v>285</v>
      </c>
      <c r="K94" s="27">
        <v>7.0E7</v>
      </c>
      <c r="L94" s="29">
        <v>2.09</v>
      </c>
      <c r="M94" s="14"/>
      <c r="N94" s="14"/>
      <c r="O94" s="14"/>
      <c r="P94" s="14" t="s">
        <v>84</v>
      </c>
      <c r="Q94" s="36"/>
      <c r="R94" s="36"/>
      <c r="S94" s="36"/>
      <c r="T94" s="36"/>
      <c r="V94" s="31"/>
    </row>
    <row r="95">
      <c r="A95" s="14" t="s">
        <v>76</v>
      </c>
      <c r="B95" s="14" t="s">
        <v>625</v>
      </c>
      <c r="C95" s="116" t="s">
        <v>626</v>
      </c>
      <c r="D95" s="14" t="s">
        <v>40</v>
      </c>
      <c r="E95" s="20" t="str">
        <f t="shared" si="2"/>
        <v>junio 2024</v>
      </c>
      <c r="F95" s="22">
        <v>45464.0</v>
      </c>
      <c r="G95" s="24">
        <f t="shared" ref="G95:H95" si="100">F95</f>
        <v>45464</v>
      </c>
      <c r="H95" s="26">
        <f t="shared" si="100"/>
        <v>45464</v>
      </c>
      <c r="I95" s="14" t="s">
        <v>259</v>
      </c>
      <c r="J95" s="14" t="s">
        <v>304</v>
      </c>
      <c r="K95" s="27">
        <v>5.0E8</v>
      </c>
      <c r="L95" s="29" t="s">
        <v>618</v>
      </c>
      <c r="M95" s="14"/>
      <c r="N95" s="14"/>
      <c r="O95" s="14"/>
      <c r="P95" s="14" t="s">
        <v>75</v>
      </c>
      <c r="Q95" s="36"/>
      <c r="R95" s="36"/>
      <c r="S95" s="36"/>
      <c r="T95" s="36"/>
      <c r="V95" s="31"/>
    </row>
    <row r="96">
      <c r="A96" s="14" t="s">
        <v>93</v>
      </c>
      <c r="B96" s="14" t="s">
        <v>628</v>
      </c>
      <c r="C96" s="14" t="s">
        <v>629</v>
      </c>
      <c r="D96" s="14" t="s">
        <v>40</v>
      </c>
      <c r="E96" s="20" t="str">
        <f t="shared" si="2"/>
        <v>junio 2024</v>
      </c>
      <c r="F96" s="22">
        <v>45464.0</v>
      </c>
      <c r="G96" s="24">
        <f t="shared" ref="G96:H96" si="101">F96</f>
        <v>45464</v>
      </c>
      <c r="H96" s="26">
        <f t="shared" si="101"/>
        <v>45464</v>
      </c>
      <c r="I96" s="14" t="s">
        <v>259</v>
      </c>
      <c r="J96" s="14" t="s">
        <v>285</v>
      </c>
      <c r="K96" s="27">
        <v>5.0E8</v>
      </c>
      <c r="L96" s="29" t="s">
        <v>618</v>
      </c>
      <c r="M96" s="31"/>
      <c r="N96" s="31"/>
      <c r="O96" s="31"/>
      <c r="Q96" s="36"/>
      <c r="R96" s="36"/>
      <c r="S96" s="36"/>
      <c r="T96" s="36"/>
      <c r="V96" s="31"/>
    </row>
    <row r="97">
      <c r="A97" s="14" t="s">
        <v>93</v>
      </c>
      <c r="B97" s="14" t="s">
        <v>631</v>
      </c>
      <c r="C97" s="14" t="s">
        <v>632</v>
      </c>
      <c r="D97" s="14" t="s">
        <v>40</v>
      </c>
      <c r="E97" s="20" t="str">
        <f t="shared" si="2"/>
        <v>junio 2024</v>
      </c>
      <c r="F97" s="22">
        <v>45464.0</v>
      </c>
      <c r="G97" s="24">
        <f t="shared" ref="G97:H97" si="102">F97</f>
        <v>45464</v>
      </c>
      <c r="H97" s="26">
        <f t="shared" si="102"/>
        <v>45464</v>
      </c>
      <c r="I97" s="14" t="s">
        <v>259</v>
      </c>
      <c r="J97" s="14" t="s">
        <v>285</v>
      </c>
      <c r="K97" s="27">
        <v>5.0E8</v>
      </c>
      <c r="L97" s="29">
        <v>1.69</v>
      </c>
      <c r="M97" s="31"/>
      <c r="N97" s="31"/>
      <c r="O97" s="31"/>
      <c r="Q97" s="36"/>
      <c r="R97" s="36"/>
      <c r="S97" s="36"/>
      <c r="T97" s="36"/>
      <c r="V97" s="31"/>
    </row>
    <row r="98">
      <c r="A98" s="14" t="s">
        <v>93</v>
      </c>
      <c r="B98" s="14" t="s">
        <v>637</v>
      </c>
      <c r="C98" s="14" t="s">
        <v>638</v>
      </c>
      <c r="D98" s="14" t="s">
        <v>40</v>
      </c>
      <c r="E98" s="20" t="str">
        <f t="shared" si="2"/>
        <v>junio 2024</v>
      </c>
      <c r="F98" s="22">
        <v>45456.0</v>
      </c>
      <c r="G98" s="24">
        <f t="shared" ref="G98:H98" si="103">F98</f>
        <v>45456</v>
      </c>
      <c r="H98" s="26">
        <f t="shared" si="103"/>
        <v>45456</v>
      </c>
      <c r="I98" s="14" t="s">
        <v>90</v>
      </c>
      <c r="K98" s="27">
        <v>5.0E7</v>
      </c>
      <c r="L98" s="29" t="s">
        <v>142</v>
      </c>
      <c r="M98" s="31"/>
      <c r="N98" s="31"/>
      <c r="O98" s="31"/>
      <c r="Q98" s="36"/>
      <c r="R98" s="36"/>
      <c r="S98" s="36"/>
      <c r="T98" s="36"/>
      <c r="V98" s="31"/>
    </row>
    <row r="99">
      <c r="A99" s="14" t="s">
        <v>93</v>
      </c>
      <c r="B99" s="14" t="s">
        <v>641</v>
      </c>
      <c r="C99" s="14" t="s">
        <v>642</v>
      </c>
      <c r="D99" s="14" t="s">
        <v>40</v>
      </c>
      <c r="E99" s="20" t="str">
        <f t="shared" si="2"/>
        <v>junio 2024</v>
      </c>
      <c r="F99" s="22">
        <v>45450.0</v>
      </c>
      <c r="G99" s="24">
        <f t="shared" ref="G99:H99" si="104">F99</f>
        <v>45450</v>
      </c>
      <c r="H99" s="26">
        <f t="shared" si="104"/>
        <v>45450</v>
      </c>
      <c r="I99" s="14" t="s">
        <v>259</v>
      </c>
      <c r="J99" s="57" t="s">
        <v>260</v>
      </c>
      <c r="K99" s="27">
        <v>5.0E7</v>
      </c>
      <c r="L99" s="29" t="s">
        <v>646</v>
      </c>
      <c r="M99" s="31"/>
      <c r="N99" s="31"/>
      <c r="O99" s="31"/>
      <c r="Q99" s="36"/>
      <c r="R99" s="36"/>
      <c r="S99" s="36"/>
      <c r="T99" s="36"/>
      <c r="V99" s="31"/>
    </row>
    <row r="100">
      <c r="A100" s="14" t="s">
        <v>93</v>
      </c>
      <c r="B100" s="14" t="s">
        <v>648</v>
      </c>
      <c r="C100" s="14" t="s">
        <v>649</v>
      </c>
      <c r="D100" s="14" t="s">
        <v>40</v>
      </c>
      <c r="E100" s="20" t="str">
        <f t="shared" si="2"/>
        <v>junio 2024</v>
      </c>
      <c r="F100" s="22">
        <v>45450.0</v>
      </c>
      <c r="G100" s="24">
        <f t="shared" ref="G100:H100" si="105">F100</f>
        <v>45450</v>
      </c>
      <c r="H100" s="26">
        <f t="shared" si="105"/>
        <v>45450</v>
      </c>
      <c r="I100" s="14" t="s">
        <v>259</v>
      </c>
      <c r="J100" s="57" t="s">
        <v>260</v>
      </c>
      <c r="K100" s="27">
        <v>5.0E7</v>
      </c>
      <c r="L100" s="29" t="s">
        <v>646</v>
      </c>
      <c r="M100" s="31"/>
      <c r="N100" s="31"/>
      <c r="O100" s="31"/>
      <c r="Q100" s="36"/>
      <c r="R100" s="36"/>
      <c r="S100" s="36"/>
      <c r="T100" s="36"/>
      <c r="V100" s="31"/>
    </row>
    <row r="101">
      <c r="A101" s="14" t="s">
        <v>76</v>
      </c>
      <c r="B101" s="14" t="s">
        <v>653</v>
      </c>
      <c r="C101" s="15" t="s">
        <v>654</v>
      </c>
      <c r="D101" s="14" t="s">
        <v>40</v>
      </c>
      <c r="E101" s="20" t="str">
        <f t="shared" si="2"/>
        <v>junio 2024</v>
      </c>
      <c r="F101" s="22">
        <v>45470.0</v>
      </c>
      <c r="G101" s="24">
        <f t="shared" ref="G101:H101" si="106">F101</f>
        <v>45470</v>
      </c>
      <c r="H101" s="26">
        <f t="shared" si="106"/>
        <v>45470</v>
      </c>
      <c r="I101" s="14" t="s">
        <v>259</v>
      </c>
      <c r="J101" s="14" t="s">
        <v>304</v>
      </c>
      <c r="K101" s="27">
        <v>6.0E7</v>
      </c>
      <c r="L101" s="29">
        <v>2.05</v>
      </c>
      <c r="M101" s="14"/>
      <c r="N101" s="14"/>
      <c r="O101" s="14"/>
      <c r="P101" s="14" t="s">
        <v>84</v>
      </c>
      <c r="Q101" s="36"/>
      <c r="R101" s="36"/>
      <c r="S101" s="36"/>
      <c r="T101" s="36"/>
      <c r="V101" s="31"/>
    </row>
    <row r="102">
      <c r="A102" s="14" t="s">
        <v>76</v>
      </c>
      <c r="B102" s="14" t="s">
        <v>656</v>
      </c>
      <c r="C102" s="124" t="s">
        <v>657</v>
      </c>
      <c r="D102" s="14" t="s">
        <v>40</v>
      </c>
      <c r="E102" s="20" t="str">
        <f t="shared" si="2"/>
        <v>julio 2024</v>
      </c>
      <c r="F102" s="22">
        <v>45475.0</v>
      </c>
      <c r="G102" s="24">
        <f t="shared" ref="G102:H102" si="107">F102</f>
        <v>45475</v>
      </c>
      <c r="H102" s="26">
        <f t="shared" si="107"/>
        <v>45475</v>
      </c>
      <c r="I102" s="14" t="s">
        <v>90</v>
      </c>
      <c r="K102" s="27">
        <v>7.0E7</v>
      </c>
      <c r="L102" s="29">
        <v>1.89</v>
      </c>
      <c r="M102" s="14"/>
      <c r="N102" s="14"/>
      <c r="O102" s="14"/>
      <c r="P102" s="14" t="s">
        <v>75</v>
      </c>
      <c r="Q102" s="36"/>
      <c r="R102" s="36"/>
      <c r="S102" s="36"/>
      <c r="T102" s="36"/>
      <c r="V102" s="31"/>
    </row>
    <row r="103">
      <c r="A103" s="14" t="s">
        <v>76</v>
      </c>
      <c r="B103" s="125" t="s">
        <v>660</v>
      </c>
      <c r="C103" s="126" t="s">
        <v>662</v>
      </c>
      <c r="D103" s="14" t="s">
        <v>40</v>
      </c>
      <c r="E103" s="20" t="str">
        <f t="shared" si="2"/>
        <v>julio 2024</v>
      </c>
      <c r="F103" s="22">
        <v>45475.0</v>
      </c>
      <c r="G103" s="24">
        <f t="shared" ref="G103:H103" si="108">F103</f>
        <v>45475</v>
      </c>
      <c r="H103" s="26">
        <f t="shared" si="108"/>
        <v>45475</v>
      </c>
      <c r="I103" s="14" t="s">
        <v>259</v>
      </c>
      <c r="J103" s="14" t="s">
        <v>500</v>
      </c>
      <c r="K103" s="27">
        <v>5.0E7</v>
      </c>
      <c r="L103" s="29" t="s">
        <v>663</v>
      </c>
      <c r="M103" s="31"/>
      <c r="N103" s="31"/>
      <c r="O103" s="31"/>
      <c r="Q103" s="36"/>
      <c r="R103" s="36"/>
      <c r="S103" s="36"/>
      <c r="T103" s="36"/>
      <c r="V103" s="31"/>
    </row>
    <row r="104">
      <c r="A104" s="14" t="s">
        <v>76</v>
      </c>
      <c r="B104" s="127" t="s">
        <v>665</v>
      </c>
      <c r="C104" s="128" t="s">
        <v>666</v>
      </c>
      <c r="D104" s="14" t="s">
        <v>40</v>
      </c>
      <c r="E104" s="20" t="str">
        <f t="shared" si="2"/>
        <v>julio 2024</v>
      </c>
      <c r="F104" s="22">
        <v>45475.0</v>
      </c>
      <c r="G104" s="24">
        <f t="shared" ref="G104:H104" si="109">F104</f>
        <v>45475</v>
      </c>
      <c r="H104" s="26">
        <f t="shared" si="109"/>
        <v>45475</v>
      </c>
      <c r="I104" s="14" t="s">
        <v>259</v>
      </c>
      <c r="J104" s="14" t="s">
        <v>500</v>
      </c>
      <c r="K104" s="27">
        <v>5.0E7</v>
      </c>
      <c r="L104" s="29" t="s">
        <v>663</v>
      </c>
      <c r="M104" s="31"/>
      <c r="N104" s="31"/>
      <c r="O104" s="31"/>
      <c r="Q104" s="36"/>
      <c r="R104" s="36"/>
      <c r="S104" s="36"/>
      <c r="T104" s="36"/>
      <c r="V104" s="31"/>
    </row>
    <row r="105">
      <c r="A105" s="14" t="s">
        <v>117</v>
      </c>
      <c r="B105" s="14" t="s">
        <v>667</v>
      </c>
      <c r="C105" s="14" t="s">
        <v>668</v>
      </c>
      <c r="D105" s="14" t="s">
        <v>40</v>
      </c>
      <c r="E105" s="20" t="str">
        <f t="shared" si="2"/>
        <v>julio 2024</v>
      </c>
      <c r="F105" s="22">
        <v>45475.0</v>
      </c>
      <c r="G105" s="24">
        <f t="shared" ref="G105:H105" si="110">F105</f>
        <v>45475</v>
      </c>
      <c r="H105" s="26">
        <f t="shared" si="110"/>
        <v>45475</v>
      </c>
      <c r="I105" s="14" t="s">
        <v>259</v>
      </c>
      <c r="J105" s="14" t="s">
        <v>500</v>
      </c>
      <c r="K105" s="27">
        <v>1.5E8</v>
      </c>
      <c r="L105" s="29">
        <v>1.79</v>
      </c>
      <c r="M105" s="14"/>
      <c r="N105" s="14"/>
      <c r="O105" s="14"/>
      <c r="P105" s="14" t="s">
        <v>84</v>
      </c>
      <c r="Q105" s="36"/>
      <c r="R105" s="36"/>
      <c r="S105" s="36"/>
      <c r="T105" s="36"/>
      <c r="V105" s="31"/>
    </row>
    <row r="106">
      <c r="A106" s="14" t="s">
        <v>117</v>
      </c>
      <c r="B106" s="14" t="s">
        <v>675</v>
      </c>
      <c r="C106" s="14" t="s">
        <v>676</v>
      </c>
      <c r="D106" s="14" t="s">
        <v>40</v>
      </c>
      <c r="E106" s="20" t="str">
        <f t="shared" si="2"/>
        <v>julio 2024</v>
      </c>
      <c r="F106" s="22">
        <v>45478.0</v>
      </c>
      <c r="G106" s="24">
        <f t="shared" ref="G106:H106" si="111">F106</f>
        <v>45478</v>
      </c>
      <c r="H106" s="26">
        <f t="shared" si="111"/>
        <v>45478</v>
      </c>
      <c r="I106" s="14" t="s">
        <v>90</v>
      </c>
      <c r="K106" s="27">
        <v>1.0E8</v>
      </c>
      <c r="L106" s="29">
        <v>2.19</v>
      </c>
      <c r="M106" s="31"/>
      <c r="N106" s="31"/>
      <c r="O106" s="31"/>
      <c r="Q106" s="36"/>
      <c r="R106" s="36"/>
      <c r="S106" s="36"/>
      <c r="T106" s="36"/>
      <c r="V106" s="31"/>
    </row>
    <row r="107">
      <c r="A107" s="14" t="s">
        <v>76</v>
      </c>
      <c r="B107" s="14" t="s">
        <v>677</v>
      </c>
      <c r="C107" s="116" t="s">
        <v>678</v>
      </c>
      <c r="D107" s="14" t="s">
        <v>40</v>
      </c>
      <c r="E107" s="20" t="str">
        <f t="shared" si="2"/>
        <v>julio 2024</v>
      </c>
      <c r="F107" s="22">
        <v>45481.0</v>
      </c>
      <c r="G107" s="24">
        <f t="shared" ref="G107:H107" si="112">F107</f>
        <v>45481</v>
      </c>
      <c r="H107" s="26">
        <f t="shared" si="112"/>
        <v>45481</v>
      </c>
      <c r="I107" s="14" t="s">
        <v>259</v>
      </c>
      <c r="J107" s="14" t="s">
        <v>304</v>
      </c>
      <c r="K107" s="27">
        <v>2.0E8</v>
      </c>
      <c r="L107" s="29">
        <v>1.99</v>
      </c>
      <c r="M107" s="14"/>
      <c r="N107" s="14"/>
      <c r="O107" s="14"/>
      <c r="P107" s="14" t="s">
        <v>75</v>
      </c>
      <c r="Q107" s="36"/>
      <c r="R107" s="36"/>
      <c r="S107" s="36"/>
      <c r="T107" s="36"/>
      <c r="V107" s="31"/>
    </row>
    <row r="108">
      <c r="A108" s="14" t="s">
        <v>679</v>
      </c>
      <c r="B108" s="14" t="s">
        <v>680</v>
      </c>
      <c r="C108" s="14" t="s">
        <v>681</v>
      </c>
      <c r="D108" s="14" t="s">
        <v>40</v>
      </c>
      <c r="E108" s="20" t="str">
        <f t="shared" si="2"/>
        <v>julio 2024</v>
      </c>
      <c r="F108" s="22">
        <v>45478.0</v>
      </c>
      <c r="G108" s="24">
        <f t="shared" ref="G108:H108" si="113">F108</f>
        <v>45478</v>
      </c>
      <c r="H108" s="26">
        <f t="shared" si="113"/>
        <v>45478</v>
      </c>
      <c r="I108" s="14" t="s">
        <v>90</v>
      </c>
      <c r="K108" s="27">
        <v>2.0E7</v>
      </c>
      <c r="L108" s="29">
        <v>2.05</v>
      </c>
      <c r="M108" s="31"/>
      <c r="N108" s="31"/>
      <c r="O108" s="31"/>
      <c r="Q108" s="36"/>
      <c r="R108" s="36"/>
      <c r="S108" s="36"/>
      <c r="T108" s="36"/>
      <c r="V108" s="31"/>
    </row>
    <row r="109">
      <c r="A109" s="14" t="s">
        <v>679</v>
      </c>
      <c r="B109" s="130" t="s">
        <v>683</v>
      </c>
      <c r="C109" s="14" t="s">
        <v>684</v>
      </c>
      <c r="D109" s="14" t="s">
        <v>40</v>
      </c>
      <c r="E109" s="20" t="str">
        <f t="shared" si="2"/>
        <v>julio 2024</v>
      </c>
      <c r="F109" s="22">
        <v>45479.0</v>
      </c>
      <c r="G109" s="24">
        <f t="shared" ref="G109:H109" si="114">F109</f>
        <v>45479</v>
      </c>
      <c r="H109" s="26">
        <f t="shared" si="114"/>
        <v>45479</v>
      </c>
      <c r="I109" s="14" t="s">
        <v>90</v>
      </c>
      <c r="K109" s="27">
        <v>2.0E7</v>
      </c>
      <c r="L109" s="29">
        <v>2.05</v>
      </c>
      <c r="M109" s="31"/>
      <c r="N109" s="31"/>
      <c r="O109" s="31"/>
      <c r="Q109" s="36"/>
      <c r="R109" s="36"/>
      <c r="S109" s="36"/>
      <c r="T109" s="36"/>
      <c r="V109" s="31"/>
    </row>
    <row r="110">
      <c r="A110" s="14" t="s">
        <v>76</v>
      </c>
      <c r="B110" s="112" t="s">
        <v>685</v>
      </c>
      <c r="C110" s="114" t="s">
        <v>686</v>
      </c>
      <c r="D110" s="14" t="s">
        <v>40</v>
      </c>
      <c r="E110" s="20" t="str">
        <f t="shared" si="2"/>
        <v>julio 2024</v>
      </c>
      <c r="F110" s="22">
        <v>45481.0</v>
      </c>
      <c r="G110" s="24">
        <f t="shared" ref="G110:H110" si="115">F110</f>
        <v>45481</v>
      </c>
      <c r="H110" s="26">
        <f t="shared" si="115"/>
        <v>45481</v>
      </c>
      <c r="I110" s="14" t="s">
        <v>259</v>
      </c>
      <c r="J110" s="14" t="s">
        <v>285</v>
      </c>
      <c r="K110" s="27">
        <v>2.0E7</v>
      </c>
      <c r="L110" s="29" t="s">
        <v>687</v>
      </c>
      <c r="M110" s="31"/>
      <c r="N110" s="31"/>
      <c r="O110" s="31"/>
      <c r="Q110" s="36"/>
      <c r="R110" s="36"/>
      <c r="S110" s="36"/>
      <c r="T110" s="36"/>
      <c r="V110" s="31"/>
    </row>
    <row r="111">
      <c r="A111" s="14" t="s">
        <v>36</v>
      </c>
      <c r="B111" s="14" t="s">
        <v>689</v>
      </c>
      <c r="C111" s="14" t="s">
        <v>690</v>
      </c>
      <c r="D111" s="14" t="s">
        <v>40</v>
      </c>
      <c r="E111" s="20" t="str">
        <f t="shared" si="2"/>
        <v>julio 2024</v>
      </c>
      <c r="F111" s="22">
        <v>45475.0</v>
      </c>
      <c r="G111" s="24">
        <f t="shared" ref="G111:H111" si="116">F111</f>
        <v>45475</v>
      </c>
      <c r="H111" s="26">
        <f t="shared" si="116"/>
        <v>45475</v>
      </c>
      <c r="I111" s="14" t="s">
        <v>90</v>
      </c>
      <c r="K111" s="27">
        <v>1.2E8</v>
      </c>
      <c r="L111" s="29" t="s">
        <v>692</v>
      </c>
      <c r="M111" s="31"/>
      <c r="N111" s="31"/>
      <c r="O111" s="31"/>
      <c r="Q111" s="36"/>
      <c r="R111" s="36"/>
      <c r="S111" s="36"/>
      <c r="T111" s="36"/>
      <c r="V111" s="31"/>
    </row>
    <row r="112">
      <c r="A112" s="14" t="s">
        <v>36</v>
      </c>
      <c r="B112" s="14" t="s">
        <v>695</v>
      </c>
      <c r="C112" s="14" t="s">
        <v>696</v>
      </c>
      <c r="D112" s="14" t="s">
        <v>40</v>
      </c>
      <c r="E112" s="20" t="str">
        <f t="shared" si="2"/>
        <v>julio 2024</v>
      </c>
      <c r="F112" s="22">
        <v>45478.0</v>
      </c>
      <c r="G112" s="24">
        <f t="shared" ref="G112:H112" si="117">F112</f>
        <v>45478</v>
      </c>
      <c r="H112" s="26">
        <f t="shared" si="117"/>
        <v>45478</v>
      </c>
      <c r="I112" s="14" t="s">
        <v>90</v>
      </c>
      <c r="K112" s="27">
        <v>2.0E7</v>
      </c>
      <c r="L112" s="29" t="s">
        <v>687</v>
      </c>
      <c r="M112" s="31"/>
      <c r="N112" s="31"/>
      <c r="O112" s="31"/>
      <c r="Q112" s="36"/>
      <c r="R112" s="36"/>
      <c r="S112" s="36"/>
      <c r="T112" s="36"/>
      <c r="V112" s="31"/>
    </row>
    <row r="113">
      <c r="A113" s="14" t="s">
        <v>93</v>
      </c>
      <c r="B113" s="14" t="s">
        <v>699</v>
      </c>
      <c r="C113" s="14" t="s">
        <v>700</v>
      </c>
      <c r="D113" s="14" t="s">
        <v>40</v>
      </c>
      <c r="E113" s="20" t="str">
        <f t="shared" si="2"/>
        <v>julio 2024</v>
      </c>
      <c r="F113" s="22">
        <v>45483.0</v>
      </c>
      <c r="G113" s="24">
        <f t="shared" ref="G113:H113" si="118">F113</f>
        <v>45483</v>
      </c>
      <c r="H113" s="26">
        <f t="shared" si="118"/>
        <v>45483</v>
      </c>
      <c r="I113" s="14" t="s">
        <v>259</v>
      </c>
      <c r="J113" s="14" t="s">
        <v>304</v>
      </c>
      <c r="K113" s="27">
        <v>7.0E7</v>
      </c>
      <c r="L113" s="29" t="s">
        <v>701</v>
      </c>
      <c r="M113" s="14"/>
      <c r="N113" s="14"/>
      <c r="O113" s="14"/>
      <c r="P113" s="14" t="s">
        <v>75</v>
      </c>
      <c r="Q113" s="36"/>
      <c r="R113" s="36"/>
      <c r="S113" s="36"/>
      <c r="T113" s="36"/>
      <c r="V113" s="31"/>
    </row>
    <row r="114">
      <c r="A114" s="14" t="s">
        <v>117</v>
      </c>
      <c r="B114" s="14" t="s">
        <v>702</v>
      </c>
      <c r="C114" s="14" t="s">
        <v>703</v>
      </c>
      <c r="D114" s="14" t="s">
        <v>40</v>
      </c>
      <c r="E114" s="20" t="str">
        <f t="shared" si="2"/>
        <v>julio 2024</v>
      </c>
      <c r="F114" s="22">
        <v>45489.0</v>
      </c>
      <c r="G114" s="24">
        <f t="shared" ref="G114:H114" si="119">F114</f>
        <v>45489</v>
      </c>
      <c r="H114" s="26">
        <f t="shared" si="119"/>
        <v>45489</v>
      </c>
      <c r="I114" s="14" t="s">
        <v>259</v>
      </c>
      <c r="J114" s="14" t="s">
        <v>285</v>
      </c>
      <c r="K114" s="27">
        <v>2.0E7</v>
      </c>
      <c r="L114" s="29" t="s">
        <v>704</v>
      </c>
      <c r="M114" s="31"/>
      <c r="N114" s="31"/>
      <c r="O114" s="31"/>
      <c r="Q114" s="36"/>
      <c r="R114" s="36"/>
      <c r="S114" s="36"/>
      <c r="T114" s="36"/>
      <c r="V114" s="31"/>
    </row>
    <row r="115">
      <c r="A115" s="14" t="s">
        <v>117</v>
      </c>
      <c r="B115" s="14" t="s">
        <v>707</v>
      </c>
      <c r="C115" s="14" t="s">
        <v>708</v>
      </c>
      <c r="D115" s="14" t="s">
        <v>40</v>
      </c>
      <c r="E115" s="20" t="str">
        <f t="shared" si="2"/>
        <v>julio 2024</v>
      </c>
      <c r="F115" s="22">
        <v>45490.0</v>
      </c>
      <c r="G115" s="24">
        <f t="shared" ref="G115:H115" si="120">F115</f>
        <v>45490</v>
      </c>
      <c r="H115" s="26">
        <f t="shared" si="120"/>
        <v>45490</v>
      </c>
      <c r="I115" s="14" t="s">
        <v>90</v>
      </c>
      <c r="K115" s="27">
        <v>1.2E8</v>
      </c>
      <c r="L115" s="29" t="s">
        <v>710</v>
      </c>
      <c r="M115" s="31"/>
      <c r="N115" s="31"/>
      <c r="O115" s="31"/>
      <c r="Q115" s="36"/>
      <c r="R115" s="36"/>
      <c r="S115" s="36"/>
      <c r="T115" s="36"/>
      <c r="V115" s="31"/>
    </row>
    <row r="116">
      <c r="A116" s="14" t="s">
        <v>76</v>
      </c>
      <c r="B116" s="14" t="s">
        <v>711</v>
      </c>
      <c r="C116" s="14" t="s">
        <v>712</v>
      </c>
      <c r="D116" s="14" t="s">
        <v>40</v>
      </c>
      <c r="E116" s="20" t="str">
        <f t="shared" si="2"/>
        <v>julio 2024</v>
      </c>
      <c r="F116" s="22">
        <v>45489.0</v>
      </c>
      <c r="G116" s="24">
        <f t="shared" ref="G116:H116" si="121">F116</f>
        <v>45489</v>
      </c>
      <c r="H116" s="26">
        <f t="shared" si="121"/>
        <v>45489</v>
      </c>
      <c r="I116" s="14" t="s">
        <v>90</v>
      </c>
      <c r="K116" s="27">
        <v>2.0E7</v>
      </c>
      <c r="L116" s="29" t="s">
        <v>464</v>
      </c>
      <c r="M116" s="31"/>
      <c r="N116" s="31"/>
      <c r="O116" s="31"/>
      <c r="Q116" s="36"/>
      <c r="R116" s="36"/>
      <c r="S116" s="36"/>
      <c r="T116" s="36"/>
      <c r="V116" s="31"/>
    </row>
    <row r="117">
      <c r="A117" s="14" t="s">
        <v>713</v>
      </c>
      <c r="B117" s="14" t="s">
        <v>714</v>
      </c>
      <c r="C117" s="14" t="s">
        <v>715</v>
      </c>
      <c r="D117" s="14" t="s">
        <v>40</v>
      </c>
      <c r="E117" s="20" t="str">
        <f t="shared" si="2"/>
        <v>julio 2024</v>
      </c>
      <c r="F117" s="22">
        <v>45490.0</v>
      </c>
      <c r="G117" s="24">
        <f t="shared" ref="G117:H117" si="122">F117</f>
        <v>45490</v>
      </c>
      <c r="H117" s="26">
        <f t="shared" si="122"/>
        <v>45490</v>
      </c>
      <c r="I117" s="14" t="s">
        <v>259</v>
      </c>
      <c r="J117" s="57" t="s">
        <v>260</v>
      </c>
      <c r="K117" s="27">
        <v>3.0E7</v>
      </c>
      <c r="L117" s="29">
        <v>2.29</v>
      </c>
      <c r="M117" s="31"/>
      <c r="N117" s="31"/>
      <c r="O117" s="31"/>
      <c r="Q117" s="36"/>
      <c r="R117" s="36"/>
      <c r="S117" s="36"/>
      <c r="T117" s="36"/>
      <c r="V117" s="31"/>
    </row>
    <row r="118">
      <c r="A118" s="14" t="s">
        <v>679</v>
      </c>
      <c r="B118" s="14" t="s">
        <v>716</v>
      </c>
      <c r="C118" s="14" t="s">
        <v>717</v>
      </c>
      <c r="D118" s="14" t="s">
        <v>40</v>
      </c>
      <c r="E118" s="20" t="str">
        <f t="shared" si="2"/>
        <v>julio 2024</v>
      </c>
      <c r="F118" s="22">
        <v>45491.0</v>
      </c>
      <c r="G118" s="24">
        <f t="shared" ref="G118:H118" si="123">F118</f>
        <v>45491</v>
      </c>
      <c r="H118" s="26">
        <f t="shared" si="123"/>
        <v>45491</v>
      </c>
      <c r="I118" s="14" t="s">
        <v>90</v>
      </c>
      <c r="K118" s="27">
        <v>5.0E8</v>
      </c>
      <c r="L118" s="29">
        <v>1.79</v>
      </c>
      <c r="M118" s="14"/>
      <c r="N118" s="14"/>
      <c r="O118" s="14"/>
      <c r="P118" s="14" t="s">
        <v>84</v>
      </c>
      <c r="Q118" s="36"/>
      <c r="R118" s="36"/>
      <c r="S118" s="36"/>
      <c r="T118" s="36"/>
      <c r="V118" s="31"/>
    </row>
    <row r="119">
      <c r="A119" s="14" t="s">
        <v>93</v>
      </c>
      <c r="B119" s="14" t="s">
        <v>718</v>
      </c>
      <c r="C119" s="14" t="s">
        <v>719</v>
      </c>
      <c r="D119" s="14" t="s">
        <v>40</v>
      </c>
      <c r="E119" s="20" t="str">
        <f t="shared" si="2"/>
        <v>julio 2024</v>
      </c>
      <c r="F119" s="22">
        <v>45491.0</v>
      </c>
      <c r="G119" s="24">
        <f t="shared" ref="G119:H119" si="124">F119</f>
        <v>45491</v>
      </c>
      <c r="H119" s="26">
        <f t="shared" si="124"/>
        <v>45491</v>
      </c>
      <c r="I119" s="14" t="s">
        <v>90</v>
      </c>
      <c r="K119" s="27">
        <v>1.0E8</v>
      </c>
      <c r="L119" s="29">
        <v>1.79</v>
      </c>
      <c r="M119" s="14"/>
      <c r="N119" s="14"/>
      <c r="O119" s="14"/>
      <c r="P119" s="14" t="s">
        <v>75</v>
      </c>
      <c r="Q119" s="36"/>
      <c r="R119" s="36"/>
      <c r="S119" s="36"/>
      <c r="T119" s="36"/>
      <c r="V119" s="31"/>
    </row>
    <row r="120">
      <c r="A120" s="14" t="s">
        <v>679</v>
      </c>
      <c r="B120" s="14" t="s">
        <v>724</v>
      </c>
      <c r="C120" s="14" t="s">
        <v>725</v>
      </c>
      <c r="D120" s="14" t="s">
        <v>40</v>
      </c>
      <c r="E120" s="20" t="str">
        <f t="shared" si="2"/>
        <v>julio 2024</v>
      </c>
      <c r="F120" s="22">
        <v>45491.0</v>
      </c>
      <c r="G120" s="24">
        <f t="shared" ref="G120:H120" si="125">F120</f>
        <v>45491</v>
      </c>
      <c r="H120" s="26">
        <f t="shared" si="125"/>
        <v>45491</v>
      </c>
      <c r="I120" s="14" t="s">
        <v>259</v>
      </c>
      <c r="J120" s="14" t="s">
        <v>726</v>
      </c>
      <c r="K120" s="27">
        <v>4.0E7</v>
      </c>
      <c r="L120" s="29" t="s">
        <v>727</v>
      </c>
      <c r="M120" s="31"/>
      <c r="N120" s="31"/>
      <c r="O120" s="31"/>
      <c r="Q120" s="36"/>
      <c r="R120" s="36"/>
      <c r="S120" s="36"/>
      <c r="T120" s="36"/>
      <c r="V120" s="31"/>
    </row>
    <row r="121">
      <c r="A121" s="14" t="s">
        <v>76</v>
      </c>
      <c r="B121" s="134" t="s">
        <v>728</v>
      </c>
      <c r="C121" s="135" t="s">
        <v>729</v>
      </c>
      <c r="D121" s="14" t="s">
        <v>40</v>
      </c>
      <c r="E121" s="20" t="str">
        <f t="shared" si="2"/>
        <v>julio 2024</v>
      </c>
      <c r="F121" s="22">
        <v>45499.0</v>
      </c>
      <c r="G121" s="24">
        <f t="shared" ref="G121:H121" si="126">F121</f>
        <v>45499</v>
      </c>
      <c r="H121" s="26">
        <f t="shared" si="126"/>
        <v>45499</v>
      </c>
      <c r="I121" s="14" t="s">
        <v>259</v>
      </c>
      <c r="J121" s="14" t="s">
        <v>304</v>
      </c>
      <c r="K121" s="27">
        <v>4.0E7</v>
      </c>
      <c r="L121" s="29" t="s">
        <v>731</v>
      </c>
      <c r="M121" s="31"/>
      <c r="N121" s="31"/>
      <c r="O121" s="31"/>
      <c r="Q121" s="36"/>
      <c r="R121" s="36"/>
      <c r="S121" s="36"/>
      <c r="T121" s="36"/>
      <c r="V121" s="31"/>
    </row>
    <row r="122">
      <c r="A122" s="14" t="s">
        <v>117</v>
      </c>
      <c r="B122" s="14" t="s">
        <v>732</v>
      </c>
      <c r="C122" s="14" t="s">
        <v>733</v>
      </c>
      <c r="D122" s="14" t="s">
        <v>40</v>
      </c>
      <c r="E122" s="20" t="str">
        <f t="shared" si="2"/>
        <v>julio 2024</v>
      </c>
      <c r="F122" s="22">
        <v>45502.0</v>
      </c>
      <c r="G122" s="24">
        <f t="shared" ref="G122:H122" si="127">F122</f>
        <v>45502</v>
      </c>
      <c r="H122" s="26">
        <f t="shared" si="127"/>
        <v>45502</v>
      </c>
      <c r="I122" s="14" t="s">
        <v>90</v>
      </c>
      <c r="K122" s="27">
        <v>5.0E7</v>
      </c>
      <c r="L122" s="29">
        <v>2.19</v>
      </c>
      <c r="M122" s="31"/>
      <c r="N122" s="31"/>
      <c r="O122" s="31"/>
      <c r="Q122" s="36"/>
      <c r="R122" s="36"/>
      <c r="S122" s="36"/>
      <c r="T122" s="36"/>
      <c r="V122" s="31"/>
    </row>
    <row r="123">
      <c r="A123" s="14" t="s">
        <v>736</v>
      </c>
      <c r="B123" s="14" t="s">
        <v>737</v>
      </c>
      <c r="C123" s="14" t="s">
        <v>738</v>
      </c>
      <c r="D123" s="14" t="s">
        <v>40</v>
      </c>
      <c r="E123" s="20" t="str">
        <f t="shared" si="2"/>
        <v>julio 2024</v>
      </c>
      <c r="F123" s="22">
        <v>45503.0</v>
      </c>
      <c r="G123" s="24">
        <f t="shared" ref="G123:H123" si="128">F123</f>
        <v>45503</v>
      </c>
      <c r="H123" s="26">
        <f t="shared" si="128"/>
        <v>45503</v>
      </c>
      <c r="I123" s="14" t="s">
        <v>90</v>
      </c>
      <c r="K123" s="27">
        <v>2.0E7</v>
      </c>
      <c r="L123" s="78"/>
      <c r="M123" s="31"/>
      <c r="N123" s="31"/>
      <c r="O123" s="31"/>
      <c r="Q123" s="36"/>
      <c r="R123" s="36"/>
      <c r="S123" s="36"/>
      <c r="T123" s="36"/>
      <c r="V123" s="31"/>
    </row>
    <row r="124">
      <c r="A124" s="14" t="s">
        <v>679</v>
      </c>
      <c r="B124" s="14" t="s">
        <v>739</v>
      </c>
      <c r="C124" s="14" t="s">
        <v>740</v>
      </c>
      <c r="D124" s="14" t="s">
        <v>40</v>
      </c>
      <c r="E124" s="20" t="str">
        <f t="shared" si="2"/>
        <v>julio 2024</v>
      </c>
      <c r="F124" s="22">
        <v>45504.0</v>
      </c>
      <c r="G124" s="24">
        <f t="shared" ref="G124:H124" si="129">F124</f>
        <v>45504</v>
      </c>
      <c r="H124" s="26">
        <f t="shared" si="129"/>
        <v>45504</v>
      </c>
      <c r="I124" s="14" t="s">
        <v>90</v>
      </c>
      <c r="K124" s="27">
        <v>7.0E7</v>
      </c>
      <c r="L124" s="78"/>
      <c r="M124" s="31"/>
      <c r="N124" s="31"/>
      <c r="O124" s="31"/>
      <c r="Q124" s="36"/>
      <c r="R124" s="36"/>
      <c r="S124" s="36"/>
      <c r="T124" s="36"/>
      <c r="V124" s="31"/>
    </row>
    <row r="125">
      <c r="A125" s="14" t="s">
        <v>76</v>
      </c>
      <c r="B125" s="14" t="s">
        <v>741</v>
      </c>
      <c r="C125" s="14" t="s">
        <v>742</v>
      </c>
      <c r="D125" s="14" t="s">
        <v>40</v>
      </c>
      <c r="E125" s="20" t="str">
        <f t="shared" si="2"/>
        <v>agosto 2024</v>
      </c>
      <c r="F125" s="22">
        <v>45505.0</v>
      </c>
      <c r="G125" s="24">
        <f t="shared" ref="G125:H125" si="130">F125</f>
        <v>45505</v>
      </c>
      <c r="H125" s="26">
        <f t="shared" si="130"/>
        <v>45505</v>
      </c>
      <c r="I125" s="14" t="s">
        <v>90</v>
      </c>
      <c r="K125" s="27">
        <v>4.0E7</v>
      </c>
      <c r="L125" s="29">
        <v>1.99</v>
      </c>
      <c r="M125" s="31"/>
      <c r="N125" s="31"/>
      <c r="O125" s="31"/>
      <c r="Q125" s="36"/>
      <c r="R125" s="36"/>
      <c r="S125" s="36"/>
      <c r="T125" s="36"/>
      <c r="V125" s="31"/>
    </row>
    <row r="126">
      <c r="A126" s="14" t="s">
        <v>76</v>
      </c>
      <c r="B126" s="14" t="s">
        <v>746</v>
      </c>
      <c r="C126" s="14" t="s">
        <v>747</v>
      </c>
      <c r="D126" s="14" t="s">
        <v>40</v>
      </c>
      <c r="E126" s="20" t="str">
        <f t="shared" si="2"/>
        <v>agosto 2024</v>
      </c>
      <c r="F126" s="22">
        <v>45505.0</v>
      </c>
      <c r="G126" s="24">
        <f t="shared" ref="G126:H126" si="131">F126</f>
        <v>45505</v>
      </c>
      <c r="H126" s="26">
        <f t="shared" si="131"/>
        <v>45505</v>
      </c>
      <c r="I126" s="14" t="s">
        <v>90</v>
      </c>
      <c r="K126" s="27">
        <v>4.0E7</v>
      </c>
      <c r="L126" s="29">
        <v>1.99</v>
      </c>
      <c r="M126" s="31"/>
      <c r="N126" s="31"/>
      <c r="O126" s="31"/>
      <c r="Q126" s="36"/>
      <c r="R126" s="36"/>
      <c r="S126" s="36"/>
      <c r="T126" s="36"/>
      <c r="V126" s="31"/>
    </row>
    <row r="127">
      <c r="A127" s="14" t="s">
        <v>76</v>
      </c>
      <c r="B127" s="14" t="s">
        <v>749</v>
      </c>
      <c r="C127" s="14" t="s">
        <v>750</v>
      </c>
      <c r="D127" s="14" t="s">
        <v>40</v>
      </c>
      <c r="E127" s="20" t="str">
        <f t="shared" si="2"/>
        <v>agosto 2024</v>
      </c>
      <c r="F127" s="22">
        <v>45506.0</v>
      </c>
      <c r="G127" s="24">
        <f t="shared" ref="G127:H127" si="132">F127</f>
        <v>45506</v>
      </c>
      <c r="H127" s="26">
        <f t="shared" si="132"/>
        <v>45506</v>
      </c>
      <c r="I127" s="14" t="s">
        <v>90</v>
      </c>
      <c r="K127" s="27">
        <v>3.0E8</v>
      </c>
      <c r="L127" s="29">
        <v>1.99</v>
      </c>
      <c r="M127" s="31"/>
      <c r="N127" s="31"/>
      <c r="O127" s="31"/>
      <c r="Q127" s="36"/>
      <c r="R127" s="36"/>
      <c r="S127" s="36"/>
      <c r="T127" s="36"/>
      <c r="V127" s="31"/>
    </row>
    <row r="128">
      <c r="A128" s="14" t="s">
        <v>76</v>
      </c>
      <c r="B128" s="14" t="s">
        <v>751</v>
      </c>
      <c r="C128" s="14" t="s">
        <v>752</v>
      </c>
      <c r="D128" s="14" t="s">
        <v>40</v>
      </c>
      <c r="E128" s="20" t="str">
        <f t="shared" si="2"/>
        <v>agosto 2024</v>
      </c>
      <c r="F128" s="22">
        <v>45505.0</v>
      </c>
      <c r="G128" s="24">
        <f t="shared" ref="G128:H128" si="133">F128</f>
        <v>45505</v>
      </c>
      <c r="H128" s="26">
        <f t="shared" si="133"/>
        <v>45505</v>
      </c>
      <c r="I128" s="14" t="s">
        <v>259</v>
      </c>
      <c r="J128" s="14" t="s">
        <v>500</v>
      </c>
      <c r="K128" s="27">
        <v>1.0E8</v>
      </c>
      <c r="L128" s="29">
        <v>1.99</v>
      </c>
      <c r="M128" s="31"/>
      <c r="N128" s="31"/>
      <c r="O128" s="31"/>
      <c r="Q128" s="36"/>
      <c r="R128" s="36"/>
      <c r="S128" s="36"/>
      <c r="T128" s="36"/>
      <c r="V128" s="31"/>
    </row>
    <row r="129">
      <c r="A129" s="14" t="s">
        <v>76</v>
      </c>
      <c r="B129" s="14" t="s">
        <v>753</v>
      </c>
      <c r="C129" s="15" t="s">
        <v>754</v>
      </c>
      <c r="D129" s="14" t="s">
        <v>40</v>
      </c>
      <c r="E129" s="20" t="str">
        <f t="shared" si="2"/>
        <v>agosto 2024</v>
      </c>
      <c r="F129" s="22">
        <v>45509.0</v>
      </c>
      <c r="G129" s="24">
        <f t="shared" ref="G129:H129" si="134">F129</f>
        <v>45509</v>
      </c>
      <c r="H129" s="26">
        <f t="shared" si="134"/>
        <v>45509</v>
      </c>
      <c r="I129" s="14" t="s">
        <v>259</v>
      </c>
      <c r="J129" s="14" t="s">
        <v>304</v>
      </c>
      <c r="K129" s="27">
        <v>3.0E8</v>
      </c>
      <c r="L129" s="29">
        <v>1.49</v>
      </c>
      <c r="M129" s="14"/>
      <c r="N129" s="14"/>
      <c r="O129" s="14"/>
      <c r="P129" s="14" t="s">
        <v>75</v>
      </c>
      <c r="Q129" s="36"/>
      <c r="R129" s="36"/>
      <c r="S129" s="36"/>
      <c r="T129" s="36"/>
      <c r="V129" s="31"/>
    </row>
    <row r="130">
      <c r="A130" s="14" t="s">
        <v>76</v>
      </c>
      <c r="B130" s="14" t="s">
        <v>757</v>
      </c>
      <c r="C130" s="14" t="s">
        <v>758</v>
      </c>
      <c r="D130" s="14" t="s">
        <v>40</v>
      </c>
      <c r="E130" s="20" t="str">
        <f t="shared" si="2"/>
        <v>agosto 2024</v>
      </c>
      <c r="F130" s="22">
        <v>45509.0</v>
      </c>
      <c r="G130" s="24">
        <f t="shared" ref="G130:H130" si="135">F130</f>
        <v>45509</v>
      </c>
      <c r="H130" s="26">
        <f t="shared" si="135"/>
        <v>45509</v>
      </c>
      <c r="I130" s="14" t="s">
        <v>90</v>
      </c>
      <c r="K130" s="27">
        <v>2.0E7</v>
      </c>
      <c r="L130" s="29" t="s">
        <v>760</v>
      </c>
      <c r="M130" s="31"/>
      <c r="N130" s="31"/>
      <c r="O130" s="31"/>
      <c r="Q130" s="36"/>
      <c r="R130" s="36"/>
      <c r="S130" s="36"/>
      <c r="T130" s="36"/>
      <c r="V130" s="31"/>
    </row>
    <row r="131">
      <c r="A131" s="14" t="s">
        <v>36</v>
      </c>
      <c r="B131" s="14" t="s">
        <v>761</v>
      </c>
      <c r="C131" s="112" t="s">
        <v>762</v>
      </c>
      <c r="D131" s="14" t="s">
        <v>40</v>
      </c>
      <c r="E131" s="20" t="str">
        <f t="shared" si="2"/>
        <v>agosto 2024</v>
      </c>
      <c r="F131" s="22">
        <v>45506.0</v>
      </c>
      <c r="G131" s="24">
        <f t="shared" ref="G131:H131" si="136">F131</f>
        <v>45506</v>
      </c>
      <c r="H131" s="26">
        <f t="shared" si="136"/>
        <v>45506</v>
      </c>
      <c r="I131" s="14" t="s">
        <v>259</v>
      </c>
      <c r="J131" s="14" t="s">
        <v>285</v>
      </c>
      <c r="K131" s="27">
        <v>5.0E7</v>
      </c>
      <c r="L131" s="29" t="s">
        <v>104</v>
      </c>
      <c r="M131" s="31"/>
      <c r="N131" s="31"/>
      <c r="O131" s="31"/>
      <c r="Q131" s="36"/>
      <c r="R131" s="36"/>
      <c r="S131" s="36"/>
      <c r="T131" s="36"/>
      <c r="V131" s="31"/>
    </row>
    <row r="132">
      <c r="A132" s="14" t="s">
        <v>76</v>
      </c>
      <c r="B132" s="14" t="s">
        <v>763</v>
      </c>
      <c r="C132" s="14" t="s">
        <v>764</v>
      </c>
      <c r="D132" s="14" t="s">
        <v>40</v>
      </c>
      <c r="E132" s="20" t="str">
        <f t="shared" si="2"/>
        <v>agosto 2024</v>
      </c>
      <c r="F132" s="22">
        <v>45512.0</v>
      </c>
      <c r="G132" s="24">
        <f t="shared" ref="G132:H132" si="137">F132</f>
        <v>45512</v>
      </c>
      <c r="H132" s="26">
        <f t="shared" si="137"/>
        <v>45512</v>
      </c>
      <c r="I132" s="14" t="s">
        <v>90</v>
      </c>
      <c r="K132" s="27">
        <v>5.0E7</v>
      </c>
      <c r="L132" s="78"/>
      <c r="M132" s="31"/>
      <c r="N132" s="31"/>
      <c r="O132" s="31"/>
      <c r="Q132" s="36"/>
      <c r="R132" s="36"/>
      <c r="S132" s="36"/>
      <c r="T132" s="36"/>
      <c r="V132" s="31"/>
    </row>
    <row r="133">
      <c r="A133" s="14" t="s">
        <v>76</v>
      </c>
      <c r="B133" s="14" t="s">
        <v>765</v>
      </c>
      <c r="C133" s="14" t="s">
        <v>766</v>
      </c>
      <c r="D133" s="14" t="s">
        <v>40</v>
      </c>
      <c r="E133" s="20" t="str">
        <f t="shared" si="2"/>
        <v>agosto 2024</v>
      </c>
      <c r="F133" s="22">
        <v>45512.0</v>
      </c>
      <c r="G133" s="24">
        <f t="shared" ref="G133:H133" si="138">F133</f>
        <v>45512</v>
      </c>
      <c r="H133" s="26">
        <f t="shared" si="138"/>
        <v>45512</v>
      </c>
      <c r="I133" s="14" t="s">
        <v>259</v>
      </c>
      <c r="J133" s="14" t="s">
        <v>304</v>
      </c>
      <c r="K133" s="88"/>
      <c r="L133" s="78"/>
      <c r="M133" s="31"/>
      <c r="N133" s="31"/>
      <c r="O133" s="31"/>
      <c r="Q133" s="36"/>
      <c r="R133" s="36"/>
      <c r="S133" s="36"/>
      <c r="T133" s="36"/>
      <c r="V133" s="31"/>
    </row>
    <row r="134">
      <c r="A134" s="14" t="s">
        <v>93</v>
      </c>
      <c r="B134" s="14" t="s">
        <v>767</v>
      </c>
      <c r="C134" s="14" t="s">
        <v>768</v>
      </c>
      <c r="D134" s="14" t="s">
        <v>40</v>
      </c>
      <c r="E134" s="20" t="str">
        <f t="shared" si="2"/>
        <v>agosto 2024</v>
      </c>
      <c r="F134" s="22">
        <v>45512.0</v>
      </c>
      <c r="G134" s="24">
        <f t="shared" ref="G134:H134" si="139">F134</f>
        <v>45512</v>
      </c>
      <c r="H134" s="26">
        <f t="shared" si="139"/>
        <v>45512</v>
      </c>
      <c r="I134" s="14" t="s">
        <v>90</v>
      </c>
      <c r="K134" s="27">
        <v>2.0E7</v>
      </c>
      <c r="L134" s="29" t="s">
        <v>104</v>
      </c>
      <c r="M134" s="31"/>
      <c r="N134" s="31"/>
      <c r="O134" s="31"/>
      <c r="Q134" s="36"/>
      <c r="R134" s="36"/>
      <c r="S134" s="36"/>
      <c r="T134" s="36"/>
      <c r="V134" s="31"/>
    </row>
    <row r="135">
      <c r="A135" s="14" t="s">
        <v>76</v>
      </c>
      <c r="B135" s="14" t="s">
        <v>769</v>
      </c>
      <c r="C135" s="14" t="s">
        <v>770</v>
      </c>
      <c r="D135" s="14" t="s">
        <v>40</v>
      </c>
      <c r="E135" s="20" t="str">
        <f t="shared" si="2"/>
        <v>agosto 2024</v>
      </c>
      <c r="F135" s="22">
        <v>45513.0</v>
      </c>
      <c r="G135" s="24">
        <f t="shared" ref="G135:H135" si="140">F135</f>
        <v>45513</v>
      </c>
      <c r="H135" s="26">
        <f t="shared" si="140"/>
        <v>45513</v>
      </c>
      <c r="I135" s="14" t="s">
        <v>259</v>
      </c>
      <c r="J135" s="14" t="s">
        <v>304</v>
      </c>
      <c r="K135" s="27">
        <v>1.0E8</v>
      </c>
      <c r="L135" s="29">
        <v>1.99</v>
      </c>
      <c r="M135" s="14"/>
      <c r="N135" s="14"/>
      <c r="O135" s="14"/>
      <c r="P135" s="14" t="s">
        <v>75</v>
      </c>
      <c r="Q135" s="36"/>
      <c r="R135" s="36"/>
      <c r="S135" s="36"/>
      <c r="T135" s="36"/>
      <c r="V135" s="31"/>
    </row>
    <row r="136">
      <c r="A136" s="14" t="s">
        <v>679</v>
      </c>
      <c r="B136" s="14" t="s">
        <v>771</v>
      </c>
      <c r="C136" s="14" t="s">
        <v>772</v>
      </c>
      <c r="D136" s="14" t="s">
        <v>40</v>
      </c>
      <c r="E136" s="20" t="str">
        <f t="shared" si="2"/>
        <v>agosto 2024</v>
      </c>
      <c r="F136" s="22">
        <v>45517.0</v>
      </c>
      <c r="G136" s="24">
        <f t="shared" ref="G136:H136" si="141">F136</f>
        <v>45517</v>
      </c>
      <c r="H136" s="26">
        <f t="shared" si="141"/>
        <v>45517</v>
      </c>
      <c r="I136" s="14" t="s">
        <v>90</v>
      </c>
      <c r="K136" s="27">
        <v>4.0E7</v>
      </c>
      <c r="L136" s="29" t="s">
        <v>773</v>
      </c>
      <c r="M136" s="31"/>
      <c r="N136" s="31"/>
      <c r="O136" s="31"/>
      <c r="Q136" s="36"/>
      <c r="R136" s="36"/>
      <c r="S136" s="36"/>
      <c r="T136" s="36"/>
      <c r="V136" s="31"/>
    </row>
    <row r="137">
      <c r="A137" s="14" t="s">
        <v>679</v>
      </c>
      <c r="B137" s="14" t="s">
        <v>774</v>
      </c>
      <c r="C137" s="14" t="s">
        <v>775</v>
      </c>
      <c r="D137" s="14" t="s">
        <v>40</v>
      </c>
      <c r="E137" s="20" t="str">
        <f t="shared" si="2"/>
        <v>agosto 2024</v>
      </c>
      <c r="F137" s="22">
        <v>45519.0</v>
      </c>
      <c r="G137" s="24">
        <f t="shared" ref="G137:H137" si="142">F137</f>
        <v>45519</v>
      </c>
      <c r="H137" s="26">
        <f t="shared" si="142"/>
        <v>45519</v>
      </c>
      <c r="I137" s="14" t="s">
        <v>259</v>
      </c>
      <c r="J137" s="137" t="s">
        <v>260</v>
      </c>
      <c r="K137" s="27">
        <v>5.0E7</v>
      </c>
      <c r="L137" s="29">
        <v>1.99</v>
      </c>
      <c r="M137" s="31"/>
      <c r="N137" s="31"/>
      <c r="O137" s="31"/>
      <c r="Q137" s="36"/>
      <c r="R137" s="36"/>
      <c r="S137" s="36"/>
      <c r="T137" s="36"/>
      <c r="V137" s="31"/>
    </row>
    <row r="138">
      <c r="A138" s="14" t="s">
        <v>679</v>
      </c>
      <c r="B138" s="14" t="s">
        <v>776</v>
      </c>
      <c r="C138" s="14" t="s">
        <v>777</v>
      </c>
      <c r="D138" s="14" t="s">
        <v>40</v>
      </c>
      <c r="E138" s="20" t="str">
        <f t="shared" si="2"/>
        <v>agosto 2024</v>
      </c>
      <c r="F138" s="22">
        <v>45520.0</v>
      </c>
      <c r="G138" s="24">
        <f t="shared" ref="G138:H138" si="143">F138</f>
        <v>45520</v>
      </c>
      <c r="H138" s="26">
        <f t="shared" si="143"/>
        <v>45520</v>
      </c>
      <c r="I138" s="14" t="s">
        <v>90</v>
      </c>
      <c r="K138" s="27">
        <v>3.0E7</v>
      </c>
      <c r="L138" s="29">
        <v>1.99</v>
      </c>
      <c r="M138" s="31"/>
      <c r="N138" s="31"/>
      <c r="O138" s="31"/>
      <c r="Q138" s="36"/>
      <c r="R138" s="36"/>
      <c r="S138" s="36"/>
      <c r="T138" s="36"/>
      <c r="V138" s="31"/>
    </row>
    <row r="139">
      <c r="A139" s="14" t="s">
        <v>679</v>
      </c>
      <c r="B139" s="14" t="s">
        <v>778</v>
      </c>
      <c r="C139" s="14" t="s">
        <v>779</v>
      </c>
      <c r="D139" s="14" t="s">
        <v>40</v>
      </c>
      <c r="E139" s="20" t="str">
        <f t="shared" si="2"/>
        <v>agosto 2024</v>
      </c>
      <c r="F139" s="22">
        <v>45520.0</v>
      </c>
      <c r="G139" s="24">
        <f t="shared" ref="G139:H139" si="144">F139</f>
        <v>45520</v>
      </c>
      <c r="H139" s="26">
        <f t="shared" si="144"/>
        <v>45520</v>
      </c>
      <c r="I139" s="14" t="s">
        <v>90</v>
      </c>
      <c r="K139" s="27">
        <v>1.5E8</v>
      </c>
      <c r="L139" s="29">
        <v>1.99</v>
      </c>
      <c r="M139" s="31"/>
      <c r="N139" s="31"/>
      <c r="O139" s="31"/>
      <c r="Q139" s="36"/>
      <c r="R139" s="36"/>
      <c r="S139" s="36"/>
      <c r="T139" s="36"/>
      <c r="V139" s="31"/>
    </row>
    <row r="140">
      <c r="A140" s="14" t="s">
        <v>679</v>
      </c>
      <c r="B140" s="14" t="s">
        <v>780</v>
      </c>
      <c r="C140" s="14" t="s">
        <v>781</v>
      </c>
      <c r="D140" s="14" t="s">
        <v>40</v>
      </c>
      <c r="E140" s="20" t="str">
        <f t="shared" si="2"/>
        <v>agosto 2024</v>
      </c>
      <c r="F140" s="22">
        <v>45525.0</v>
      </c>
      <c r="G140" s="24">
        <f t="shared" ref="G140:H140" si="145">F140</f>
        <v>45525</v>
      </c>
      <c r="H140" s="26">
        <f t="shared" si="145"/>
        <v>45525</v>
      </c>
      <c r="I140" s="14" t="s">
        <v>259</v>
      </c>
      <c r="J140" s="14" t="s">
        <v>726</v>
      </c>
      <c r="K140" s="27">
        <v>5.0E7</v>
      </c>
      <c r="L140" s="29" t="s">
        <v>773</v>
      </c>
      <c r="M140" s="31"/>
      <c r="N140" s="31"/>
      <c r="O140" s="31"/>
      <c r="Q140" s="36"/>
      <c r="R140" s="36"/>
      <c r="S140" s="36"/>
      <c r="T140" s="36"/>
      <c r="V140" s="31"/>
    </row>
    <row r="141">
      <c r="A141" s="14" t="s">
        <v>36</v>
      </c>
      <c r="B141" s="14" t="s">
        <v>782</v>
      </c>
      <c r="C141" s="14" t="s">
        <v>783</v>
      </c>
      <c r="D141" s="14" t="s">
        <v>40</v>
      </c>
      <c r="E141" s="20" t="str">
        <f t="shared" si="2"/>
        <v>agosto 2024</v>
      </c>
      <c r="F141" s="22">
        <v>45532.0</v>
      </c>
      <c r="G141" s="24">
        <f t="shared" ref="G141:H141" si="146">F141</f>
        <v>45532</v>
      </c>
      <c r="H141" s="26">
        <f t="shared" si="146"/>
        <v>45532</v>
      </c>
      <c r="I141" s="14" t="s">
        <v>259</v>
      </c>
      <c r="J141" s="137" t="s">
        <v>260</v>
      </c>
      <c r="K141" s="27">
        <v>3.0E7</v>
      </c>
      <c r="L141" s="29" t="s">
        <v>784</v>
      </c>
      <c r="M141" s="14"/>
      <c r="N141" s="14"/>
      <c r="O141" s="14"/>
      <c r="P141" s="14"/>
      <c r="Q141" s="36"/>
      <c r="R141" s="36"/>
      <c r="S141" s="36"/>
      <c r="T141" s="36"/>
      <c r="V141" s="31"/>
    </row>
    <row r="142">
      <c r="A142" s="14" t="s">
        <v>76</v>
      </c>
      <c r="B142" s="14" t="s">
        <v>785</v>
      </c>
      <c r="C142" s="14" t="s">
        <v>786</v>
      </c>
      <c r="D142" s="14" t="s">
        <v>40</v>
      </c>
      <c r="E142" s="20" t="str">
        <f t="shared" si="2"/>
        <v>septiembre 2024</v>
      </c>
      <c r="F142" s="22">
        <v>45537.0</v>
      </c>
      <c r="G142" s="24">
        <f t="shared" ref="G142:H142" si="147">F142</f>
        <v>45537</v>
      </c>
      <c r="H142" s="26">
        <f t="shared" si="147"/>
        <v>45537</v>
      </c>
      <c r="I142" s="14" t="s">
        <v>90</v>
      </c>
      <c r="K142" s="27">
        <v>1.6E8</v>
      </c>
      <c r="L142" s="78"/>
      <c r="M142" s="14"/>
      <c r="N142" s="14"/>
      <c r="O142" s="14"/>
      <c r="P142" s="14" t="s">
        <v>84</v>
      </c>
      <c r="Q142" s="36"/>
      <c r="R142" s="36"/>
      <c r="S142" s="36"/>
      <c r="T142" s="36"/>
      <c r="V142" s="31"/>
    </row>
    <row r="143">
      <c r="A143" s="14" t="s">
        <v>76</v>
      </c>
      <c r="B143" s="14" t="s">
        <v>787</v>
      </c>
      <c r="C143" s="14" t="s">
        <v>788</v>
      </c>
      <c r="D143" s="14" t="s">
        <v>40</v>
      </c>
      <c r="E143" s="20" t="str">
        <f t="shared" si="2"/>
        <v>septiembre 2024</v>
      </c>
      <c r="F143" s="22">
        <v>45537.0</v>
      </c>
      <c r="G143" s="24">
        <f t="shared" ref="G143:H143" si="148">F143</f>
        <v>45537</v>
      </c>
      <c r="H143" s="26">
        <f t="shared" si="148"/>
        <v>45537</v>
      </c>
      <c r="I143" s="14" t="s">
        <v>90</v>
      </c>
      <c r="K143" s="27">
        <v>5.0E7</v>
      </c>
      <c r="L143" s="78"/>
      <c r="M143" s="14"/>
      <c r="N143" s="14"/>
      <c r="O143" s="14"/>
      <c r="P143" s="14" t="s">
        <v>84</v>
      </c>
      <c r="Q143" s="36"/>
      <c r="R143" s="36"/>
      <c r="S143" s="36"/>
      <c r="T143" s="36"/>
      <c r="V143" s="31"/>
    </row>
    <row r="144">
      <c r="A144" s="14" t="s">
        <v>76</v>
      </c>
      <c r="B144" s="14" t="s">
        <v>789</v>
      </c>
      <c r="C144" s="138" t="s">
        <v>790</v>
      </c>
      <c r="D144" s="14" t="s">
        <v>40</v>
      </c>
      <c r="E144" s="20" t="str">
        <f t="shared" si="2"/>
        <v>septiembre 2024</v>
      </c>
      <c r="F144" s="22">
        <v>45537.0</v>
      </c>
      <c r="G144" s="24">
        <f t="shared" ref="G144:H144" si="149">F144</f>
        <v>45537</v>
      </c>
      <c r="H144" s="26">
        <f t="shared" si="149"/>
        <v>45537</v>
      </c>
      <c r="I144" s="14" t="s">
        <v>259</v>
      </c>
      <c r="J144" s="14" t="s">
        <v>304</v>
      </c>
      <c r="K144" s="27">
        <v>1.0E8</v>
      </c>
      <c r="L144" s="78"/>
      <c r="M144" s="14"/>
      <c r="N144" s="14"/>
      <c r="O144" s="14"/>
      <c r="P144" s="14" t="s">
        <v>75</v>
      </c>
      <c r="Q144" s="36"/>
      <c r="R144" s="36"/>
      <c r="S144" s="36"/>
      <c r="T144" s="36"/>
      <c r="V144" s="31"/>
    </row>
    <row r="145">
      <c r="A145" s="14" t="s">
        <v>76</v>
      </c>
      <c r="B145" s="14" t="s">
        <v>791</v>
      </c>
      <c r="C145" s="139" t="s">
        <v>792</v>
      </c>
      <c r="D145" s="14" t="s">
        <v>40</v>
      </c>
      <c r="E145" s="20" t="str">
        <f t="shared" si="2"/>
        <v>septiembre 2024</v>
      </c>
      <c r="F145" s="22">
        <v>45537.0</v>
      </c>
      <c r="G145" s="24">
        <f t="shared" ref="G145:H145" si="150">F145</f>
        <v>45537</v>
      </c>
      <c r="H145" s="26">
        <f t="shared" si="150"/>
        <v>45537</v>
      </c>
      <c r="I145" s="14" t="s">
        <v>259</v>
      </c>
      <c r="J145" s="14" t="s">
        <v>304</v>
      </c>
      <c r="K145" s="27">
        <v>1.0E8</v>
      </c>
      <c r="L145" s="78"/>
      <c r="M145" s="14"/>
      <c r="N145" s="14"/>
      <c r="O145" s="14"/>
      <c r="P145" s="14" t="s">
        <v>75</v>
      </c>
      <c r="Q145" s="36"/>
      <c r="R145" s="36"/>
      <c r="S145" s="36"/>
      <c r="T145" s="36"/>
      <c r="V145" s="31"/>
    </row>
    <row r="146">
      <c r="A146" s="14" t="s">
        <v>36</v>
      </c>
      <c r="B146" s="14" t="s">
        <v>793</v>
      </c>
      <c r="C146" s="140" t="s">
        <v>794</v>
      </c>
      <c r="D146" s="14" t="s">
        <v>40</v>
      </c>
      <c r="E146" s="20" t="str">
        <f t="shared" si="2"/>
        <v>septiembre 2024</v>
      </c>
      <c r="F146" s="22">
        <v>45539.0</v>
      </c>
      <c r="G146" s="24">
        <f t="shared" ref="G146:H146" si="151">F146</f>
        <v>45539</v>
      </c>
      <c r="H146" s="26">
        <f t="shared" si="151"/>
        <v>45539</v>
      </c>
      <c r="I146" s="14" t="s">
        <v>90</v>
      </c>
      <c r="K146" s="27">
        <v>2.0E8</v>
      </c>
      <c r="L146" s="78"/>
      <c r="M146" s="14"/>
      <c r="N146" s="14"/>
      <c r="O146" s="14"/>
      <c r="P146" s="14" t="s">
        <v>75</v>
      </c>
      <c r="Q146" s="36"/>
      <c r="R146" s="36"/>
      <c r="S146" s="36"/>
      <c r="T146" s="36"/>
      <c r="V146" s="31"/>
    </row>
    <row r="147">
      <c r="A147" s="14" t="s">
        <v>76</v>
      </c>
      <c r="B147" s="14" t="s">
        <v>795</v>
      </c>
      <c r="C147" s="138" t="s">
        <v>796</v>
      </c>
      <c r="D147" s="14" t="s">
        <v>40</v>
      </c>
      <c r="E147" s="20" t="str">
        <f t="shared" si="2"/>
        <v>septiembre 2024</v>
      </c>
      <c r="F147" s="22">
        <v>45540.0</v>
      </c>
      <c r="G147" s="24">
        <f t="shared" ref="G147:H147" si="152">F147</f>
        <v>45540</v>
      </c>
      <c r="H147" s="26">
        <f t="shared" si="152"/>
        <v>45540</v>
      </c>
      <c r="I147" s="14" t="s">
        <v>259</v>
      </c>
      <c r="J147" s="141" t="s">
        <v>726</v>
      </c>
      <c r="K147" s="27">
        <v>4.0E7</v>
      </c>
      <c r="L147" s="78"/>
      <c r="M147" s="31"/>
      <c r="N147" s="31"/>
      <c r="O147" s="31"/>
      <c r="Q147" s="36"/>
      <c r="R147" s="36"/>
      <c r="S147" s="36"/>
      <c r="T147" s="36"/>
      <c r="V147" s="31"/>
    </row>
    <row r="148">
      <c r="A148" s="14" t="s">
        <v>93</v>
      </c>
      <c r="B148" s="14" t="s">
        <v>798</v>
      </c>
      <c r="C148" s="14" t="s">
        <v>800</v>
      </c>
      <c r="D148" s="14" t="s">
        <v>40</v>
      </c>
      <c r="E148" s="20" t="str">
        <f t="shared" si="2"/>
        <v>septiembre 2024</v>
      </c>
      <c r="F148" s="22">
        <v>45540.0</v>
      </c>
      <c r="G148" s="24">
        <f t="shared" ref="G148:H148" si="153">F148</f>
        <v>45540</v>
      </c>
      <c r="H148" s="26">
        <f t="shared" si="153"/>
        <v>45540</v>
      </c>
      <c r="I148" s="14" t="s">
        <v>90</v>
      </c>
      <c r="K148" s="27">
        <v>4.0E8</v>
      </c>
      <c r="L148" s="29" t="s">
        <v>803</v>
      </c>
      <c r="M148" s="14"/>
      <c r="N148" s="14"/>
      <c r="O148" s="14"/>
      <c r="P148" s="14" t="s">
        <v>84</v>
      </c>
      <c r="Q148" s="36"/>
      <c r="R148" s="36"/>
      <c r="S148" s="36"/>
      <c r="T148" s="36"/>
      <c r="V148" s="31"/>
    </row>
    <row r="149">
      <c r="A149" s="14" t="s">
        <v>76</v>
      </c>
      <c r="B149" s="14" t="s">
        <v>804</v>
      </c>
      <c r="C149" s="138" t="s">
        <v>805</v>
      </c>
      <c r="D149" s="14" t="s">
        <v>40</v>
      </c>
      <c r="E149" s="20" t="str">
        <f t="shared" si="2"/>
        <v>septiembre 2024</v>
      </c>
      <c r="F149" s="22">
        <v>45558.0</v>
      </c>
      <c r="G149" s="24">
        <f t="shared" ref="G149:H149" si="154">F149</f>
        <v>45558</v>
      </c>
      <c r="H149" s="26">
        <f t="shared" si="154"/>
        <v>45558</v>
      </c>
      <c r="I149" s="14" t="s">
        <v>90</v>
      </c>
      <c r="K149" s="27">
        <v>4.0E7</v>
      </c>
      <c r="L149" s="29" t="s">
        <v>464</v>
      </c>
      <c r="M149" s="31"/>
      <c r="N149" s="31"/>
      <c r="O149" s="31"/>
      <c r="Q149" s="36"/>
      <c r="R149" s="36"/>
      <c r="S149" s="36"/>
      <c r="T149" s="36"/>
      <c r="V149" s="31"/>
    </row>
    <row r="150">
      <c r="A150" s="14" t="s">
        <v>36</v>
      </c>
      <c r="B150" s="14" t="s">
        <v>806</v>
      </c>
      <c r="C150" s="142" t="s">
        <v>807</v>
      </c>
      <c r="D150" s="14" t="s">
        <v>40</v>
      </c>
      <c r="E150" s="20" t="str">
        <f t="shared" si="2"/>
        <v>septiembre 2024</v>
      </c>
      <c r="F150" s="22">
        <v>45565.0</v>
      </c>
      <c r="G150" s="24">
        <f t="shared" ref="G150:H150" si="155">F150</f>
        <v>45565</v>
      </c>
      <c r="H150" s="26">
        <f t="shared" si="155"/>
        <v>45565</v>
      </c>
      <c r="I150" s="14" t="s">
        <v>90</v>
      </c>
      <c r="J150" s="14"/>
      <c r="K150" s="27">
        <v>3.0E8</v>
      </c>
      <c r="L150" s="29" t="s">
        <v>808</v>
      </c>
      <c r="M150" s="31"/>
      <c r="N150" s="31"/>
      <c r="O150" s="31"/>
      <c r="Q150" s="36"/>
      <c r="R150" s="36"/>
      <c r="S150" s="36"/>
      <c r="T150" s="36"/>
      <c r="V150" s="31"/>
    </row>
    <row r="151">
      <c r="A151" s="14" t="s">
        <v>76</v>
      </c>
      <c r="B151" s="14" t="s">
        <v>811</v>
      </c>
      <c r="C151" s="142" t="s">
        <v>812</v>
      </c>
      <c r="D151" s="14" t="s">
        <v>40</v>
      </c>
      <c r="E151" s="20" t="str">
        <f t="shared" si="2"/>
        <v>octubre 2024</v>
      </c>
      <c r="F151" s="22">
        <v>45566.0</v>
      </c>
      <c r="G151" s="24">
        <f t="shared" ref="G151:H151" si="156">F151</f>
        <v>45566</v>
      </c>
      <c r="H151" s="26">
        <f t="shared" si="156"/>
        <v>45566</v>
      </c>
      <c r="I151" s="14" t="s">
        <v>259</v>
      </c>
      <c r="J151" s="14" t="s">
        <v>285</v>
      </c>
      <c r="K151" s="27">
        <v>3.0E7</v>
      </c>
      <c r="L151" s="29" t="s">
        <v>569</v>
      </c>
      <c r="M151" s="31"/>
      <c r="N151" s="31"/>
      <c r="O151" s="31"/>
      <c r="Q151" s="36"/>
      <c r="R151" s="36"/>
      <c r="S151" s="36"/>
      <c r="T151" s="36"/>
      <c r="V151" s="31"/>
    </row>
    <row r="152">
      <c r="A152" s="14" t="s">
        <v>76</v>
      </c>
      <c r="B152" s="14" t="s">
        <v>814</v>
      </c>
      <c r="C152" s="14" t="s">
        <v>815</v>
      </c>
      <c r="D152" s="14" t="s">
        <v>40</v>
      </c>
      <c r="E152" s="20" t="str">
        <f t="shared" si="2"/>
        <v>octubre 2024</v>
      </c>
      <c r="F152" s="22">
        <v>45566.0</v>
      </c>
      <c r="G152" s="24">
        <f t="shared" ref="G152:H152" si="157">F152</f>
        <v>45566</v>
      </c>
      <c r="H152" s="26">
        <f t="shared" si="157"/>
        <v>45566</v>
      </c>
      <c r="I152" s="14" t="s">
        <v>90</v>
      </c>
      <c r="K152" s="27">
        <v>3.0E8</v>
      </c>
      <c r="L152" s="29">
        <v>2.09</v>
      </c>
      <c r="M152" s="31"/>
      <c r="N152" s="31"/>
      <c r="O152" s="31"/>
      <c r="Q152" s="36"/>
      <c r="R152" s="36"/>
      <c r="S152" s="36"/>
      <c r="T152" s="36"/>
      <c r="V152" s="31"/>
    </row>
    <row r="153">
      <c r="A153" s="14" t="s">
        <v>76</v>
      </c>
      <c r="B153" s="14" t="s">
        <v>816</v>
      </c>
      <c r="C153" s="14" t="s">
        <v>817</v>
      </c>
      <c r="D153" s="14" t="s">
        <v>40</v>
      </c>
      <c r="E153" s="20" t="str">
        <f t="shared" si="2"/>
        <v>octubre 2024</v>
      </c>
      <c r="F153" s="22">
        <v>45566.0</v>
      </c>
      <c r="G153" s="24">
        <f t="shared" ref="G153:H153" si="158">F153</f>
        <v>45566</v>
      </c>
      <c r="H153" s="26">
        <f t="shared" si="158"/>
        <v>45566</v>
      </c>
      <c r="I153" s="14" t="s">
        <v>259</v>
      </c>
      <c r="J153" s="137" t="s">
        <v>260</v>
      </c>
      <c r="K153" s="27">
        <v>3.0E8</v>
      </c>
      <c r="L153" s="29">
        <v>1.89</v>
      </c>
      <c r="M153" s="14"/>
      <c r="N153" s="14"/>
      <c r="O153" s="14"/>
      <c r="P153" s="14" t="s">
        <v>75</v>
      </c>
      <c r="Q153" s="36"/>
      <c r="R153" s="36"/>
      <c r="S153" s="36"/>
      <c r="T153" s="36"/>
      <c r="V153" s="31"/>
    </row>
    <row r="154">
      <c r="A154" s="14" t="s">
        <v>76</v>
      </c>
      <c r="B154" s="14" t="s">
        <v>818</v>
      </c>
      <c r="C154" s="138" t="s">
        <v>819</v>
      </c>
      <c r="D154" s="14" t="s">
        <v>40</v>
      </c>
      <c r="E154" s="20" t="str">
        <f t="shared" si="2"/>
        <v>octubre 2024</v>
      </c>
      <c r="F154" s="22">
        <v>45566.0</v>
      </c>
      <c r="G154" s="24">
        <f t="shared" ref="G154:H154" si="159">F154</f>
        <v>45566</v>
      </c>
      <c r="H154" s="26">
        <f t="shared" si="159"/>
        <v>45566</v>
      </c>
      <c r="I154" s="14" t="s">
        <v>90</v>
      </c>
      <c r="K154" s="27">
        <v>1.0E8</v>
      </c>
      <c r="L154" s="29">
        <v>1.99</v>
      </c>
      <c r="M154" s="31"/>
      <c r="N154" s="31"/>
      <c r="O154" s="31"/>
      <c r="Q154" s="36"/>
      <c r="R154" s="36"/>
      <c r="S154" s="36"/>
      <c r="T154" s="36"/>
      <c r="V154" s="31"/>
    </row>
    <row r="155">
      <c r="A155" s="14" t="s">
        <v>36</v>
      </c>
      <c r="B155" s="14" t="s">
        <v>822</v>
      </c>
      <c r="C155" s="138" t="s">
        <v>823</v>
      </c>
      <c r="D155" s="14" t="s">
        <v>40</v>
      </c>
      <c r="E155" s="20" t="str">
        <f t="shared" si="2"/>
        <v>octubre 2024</v>
      </c>
      <c r="F155" s="22">
        <v>45572.0</v>
      </c>
      <c r="G155" s="24">
        <f t="shared" ref="G155:H155" si="160">F155</f>
        <v>45572</v>
      </c>
      <c r="H155" s="26">
        <f t="shared" si="160"/>
        <v>45572</v>
      </c>
      <c r="I155" s="14" t="s">
        <v>90</v>
      </c>
      <c r="J155" s="57"/>
      <c r="K155" s="27">
        <v>4.0E7</v>
      </c>
      <c r="L155" s="29">
        <v>1.99</v>
      </c>
      <c r="M155" s="14"/>
      <c r="N155" s="14"/>
      <c r="O155" s="14"/>
      <c r="P155" s="14"/>
      <c r="Q155" s="36"/>
      <c r="R155" s="36"/>
      <c r="S155" s="36"/>
      <c r="T155" s="36"/>
      <c r="V155" s="31"/>
    </row>
    <row r="156">
      <c r="A156" s="14" t="s">
        <v>76</v>
      </c>
      <c r="B156" s="14" t="s">
        <v>824</v>
      </c>
      <c r="C156" s="138" t="s">
        <v>825</v>
      </c>
      <c r="D156" s="14" t="s">
        <v>40</v>
      </c>
      <c r="E156" s="20" t="str">
        <f t="shared" si="2"/>
        <v>octubre 2024</v>
      </c>
      <c r="F156" s="22">
        <v>45573.0</v>
      </c>
      <c r="G156" s="24">
        <f t="shared" ref="G156:H156" si="161">F156</f>
        <v>45573</v>
      </c>
      <c r="H156" s="26">
        <f t="shared" si="161"/>
        <v>45573</v>
      </c>
      <c r="I156" s="14" t="s">
        <v>259</v>
      </c>
      <c r="J156" s="57" t="s">
        <v>590</v>
      </c>
      <c r="K156" s="27">
        <v>8.0E7</v>
      </c>
      <c r="L156" s="29">
        <v>2.19</v>
      </c>
      <c r="M156" s="31"/>
      <c r="N156" s="31"/>
      <c r="O156" s="31"/>
      <c r="Q156" s="36"/>
      <c r="R156" s="36"/>
      <c r="S156" s="36"/>
      <c r="T156" s="36"/>
      <c r="V156" s="31"/>
    </row>
    <row r="157">
      <c r="A157" s="14" t="s">
        <v>76</v>
      </c>
      <c r="B157" s="14" t="s">
        <v>826</v>
      </c>
      <c r="C157" s="138" t="s">
        <v>828</v>
      </c>
      <c r="D157" s="14" t="s">
        <v>40</v>
      </c>
      <c r="E157" s="20" t="str">
        <f t="shared" si="2"/>
        <v>octubre 2024</v>
      </c>
      <c r="F157" s="22">
        <v>45573.0</v>
      </c>
      <c r="G157" s="24">
        <f t="shared" ref="G157:H157" si="162">F157</f>
        <v>45573</v>
      </c>
      <c r="H157" s="26">
        <f t="shared" si="162"/>
        <v>45573</v>
      </c>
      <c r="I157" s="14" t="s">
        <v>90</v>
      </c>
      <c r="K157" s="27">
        <v>6.0E7</v>
      </c>
      <c r="L157" s="29">
        <v>1.99</v>
      </c>
      <c r="M157" s="31"/>
      <c r="N157" s="31"/>
      <c r="O157" s="31"/>
      <c r="Q157" s="36"/>
      <c r="R157" s="36"/>
      <c r="S157" s="36"/>
      <c r="T157" s="36"/>
      <c r="V157" s="31"/>
    </row>
    <row r="158">
      <c r="A158" s="14" t="s">
        <v>76</v>
      </c>
      <c r="B158" s="14" t="s">
        <v>831</v>
      </c>
      <c r="C158" s="138" t="s">
        <v>832</v>
      </c>
      <c r="D158" s="14" t="s">
        <v>40</v>
      </c>
      <c r="E158" s="20" t="str">
        <f t="shared" si="2"/>
        <v>octubre 2024</v>
      </c>
      <c r="F158" s="22">
        <v>45573.0</v>
      </c>
      <c r="G158" s="24">
        <f t="shared" ref="G158:H158" si="163">F158</f>
        <v>45573</v>
      </c>
      <c r="H158" s="26">
        <f t="shared" si="163"/>
        <v>45573</v>
      </c>
      <c r="I158" s="14" t="s">
        <v>90</v>
      </c>
      <c r="K158" s="27">
        <v>2.0E7</v>
      </c>
      <c r="L158" s="29" t="s">
        <v>464</v>
      </c>
      <c r="M158" s="31"/>
      <c r="N158" s="31"/>
      <c r="O158" s="31"/>
      <c r="Q158" s="36"/>
      <c r="R158" s="36"/>
      <c r="S158" s="36"/>
      <c r="T158" s="36"/>
      <c r="V158" s="31"/>
    </row>
    <row r="159">
      <c r="A159" s="14" t="s">
        <v>76</v>
      </c>
      <c r="B159" s="14" t="s">
        <v>833</v>
      </c>
      <c r="C159" s="138" t="s">
        <v>834</v>
      </c>
      <c r="D159" s="14" t="s">
        <v>40</v>
      </c>
      <c r="E159" s="20" t="str">
        <f t="shared" si="2"/>
        <v>octubre 2024</v>
      </c>
      <c r="F159" s="22">
        <v>45573.0</v>
      </c>
      <c r="G159" s="24">
        <f t="shared" ref="G159:H159" si="164">F159</f>
        <v>45573</v>
      </c>
      <c r="H159" s="26">
        <f t="shared" si="164"/>
        <v>45573</v>
      </c>
      <c r="I159" s="14" t="s">
        <v>90</v>
      </c>
      <c r="K159" s="27">
        <v>2.0E7</v>
      </c>
      <c r="L159" s="29" t="s">
        <v>464</v>
      </c>
      <c r="M159" s="31"/>
      <c r="N159" s="31"/>
      <c r="O159" s="31"/>
      <c r="Q159" s="36"/>
      <c r="R159" s="36"/>
      <c r="S159" s="36"/>
      <c r="T159" s="36"/>
      <c r="V159" s="31"/>
    </row>
    <row r="160">
      <c r="A160" s="14" t="s">
        <v>76</v>
      </c>
      <c r="B160" s="14" t="s">
        <v>837</v>
      </c>
      <c r="C160" s="138" t="s">
        <v>838</v>
      </c>
      <c r="D160" s="14" t="s">
        <v>40</v>
      </c>
      <c r="E160" s="20" t="str">
        <f t="shared" si="2"/>
        <v>octubre 2024</v>
      </c>
      <c r="F160" s="22">
        <v>45573.0</v>
      </c>
      <c r="G160" s="24">
        <f t="shared" ref="G160:H160" si="165">F160</f>
        <v>45573</v>
      </c>
      <c r="H160" s="26">
        <f t="shared" si="165"/>
        <v>45573</v>
      </c>
      <c r="I160" s="14" t="s">
        <v>90</v>
      </c>
      <c r="K160" s="27">
        <v>2.0E7</v>
      </c>
      <c r="L160" s="29" t="s">
        <v>464</v>
      </c>
      <c r="M160" s="31"/>
      <c r="N160" s="31"/>
      <c r="O160" s="31"/>
      <c r="Q160" s="36"/>
      <c r="R160" s="36"/>
      <c r="S160" s="36"/>
      <c r="T160" s="36"/>
      <c r="V160" s="31"/>
    </row>
    <row r="161">
      <c r="A161" s="14" t="s">
        <v>76</v>
      </c>
      <c r="B161" s="14" t="s">
        <v>840</v>
      </c>
      <c r="C161" s="14" t="s">
        <v>841</v>
      </c>
      <c r="D161" s="14" t="s">
        <v>40</v>
      </c>
      <c r="E161" s="20" t="str">
        <f t="shared" si="2"/>
        <v>octubre 2024</v>
      </c>
      <c r="F161" s="22">
        <v>45574.0</v>
      </c>
      <c r="G161" s="24">
        <f t="shared" ref="G161:H161" si="166">F161</f>
        <v>45574</v>
      </c>
      <c r="H161" s="26">
        <f t="shared" si="166"/>
        <v>45574</v>
      </c>
      <c r="I161" s="14" t="s">
        <v>90</v>
      </c>
      <c r="K161" s="27">
        <v>3.0E7</v>
      </c>
      <c r="L161" s="29" t="s">
        <v>464</v>
      </c>
      <c r="M161" s="31"/>
      <c r="N161" s="31"/>
      <c r="O161" s="31"/>
      <c r="Q161" s="36"/>
      <c r="R161" s="36"/>
      <c r="S161" s="36"/>
      <c r="T161" s="36"/>
      <c r="V161" s="31"/>
    </row>
    <row r="162">
      <c r="A162" s="14" t="s">
        <v>117</v>
      </c>
      <c r="B162" s="14" t="s">
        <v>843</v>
      </c>
      <c r="C162" s="14" t="s">
        <v>844</v>
      </c>
      <c r="D162" s="14" t="s">
        <v>40</v>
      </c>
      <c r="E162" s="20" t="str">
        <f t="shared" si="2"/>
        <v>octubre 2024</v>
      </c>
      <c r="F162" s="22">
        <v>45573.0</v>
      </c>
      <c r="G162" s="24">
        <f t="shared" ref="G162:H162" si="167">F162</f>
        <v>45573</v>
      </c>
      <c r="H162" s="26">
        <f t="shared" si="167"/>
        <v>45573</v>
      </c>
      <c r="I162" s="14" t="s">
        <v>90</v>
      </c>
      <c r="K162" s="27">
        <v>5.0E7</v>
      </c>
      <c r="L162" s="29" t="s">
        <v>464</v>
      </c>
      <c r="M162" s="31"/>
      <c r="N162" s="31"/>
      <c r="O162" s="31"/>
      <c r="Q162" s="36"/>
      <c r="R162" s="36"/>
      <c r="S162" s="36"/>
      <c r="T162" s="36"/>
      <c r="V162" s="31"/>
    </row>
    <row r="163">
      <c r="A163" s="14" t="s">
        <v>117</v>
      </c>
      <c r="B163" s="14" t="s">
        <v>848</v>
      </c>
      <c r="C163" s="14" t="s">
        <v>849</v>
      </c>
      <c r="D163" s="14" t="s">
        <v>40</v>
      </c>
      <c r="E163" s="20" t="str">
        <f t="shared" si="2"/>
        <v>octubre 2024</v>
      </c>
      <c r="F163" s="22">
        <v>45573.0</v>
      </c>
      <c r="G163" s="24">
        <f t="shared" ref="G163:H163" si="168">F163</f>
        <v>45573</v>
      </c>
      <c r="H163" s="26">
        <f t="shared" si="168"/>
        <v>45573</v>
      </c>
      <c r="I163" s="14" t="s">
        <v>90</v>
      </c>
      <c r="K163" s="27">
        <v>1.5E8</v>
      </c>
      <c r="L163" s="29" t="s">
        <v>850</v>
      </c>
      <c r="M163" s="31"/>
      <c r="N163" s="31"/>
      <c r="O163" s="31"/>
      <c r="Q163" s="36"/>
      <c r="R163" s="36"/>
      <c r="S163" s="36"/>
      <c r="T163" s="36"/>
      <c r="V163" s="31"/>
    </row>
    <row r="164">
      <c r="A164" s="14" t="s">
        <v>93</v>
      </c>
      <c r="B164" s="14" t="s">
        <v>851</v>
      </c>
      <c r="C164" s="14" t="s">
        <v>852</v>
      </c>
      <c r="D164" s="14" t="s">
        <v>40</v>
      </c>
      <c r="E164" s="20" t="str">
        <f t="shared" si="2"/>
        <v>octubre 2024</v>
      </c>
      <c r="F164" s="22">
        <v>45569.0</v>
      </c>
      <c r="G164" s="24">
        <f t="shared" ref="G164:H164" si="169">F164</f>
        <v>45569</v>
      </c>
      <c r="H164" s="26">
        <f t="shared" si="169"/>
        <v>45569</v>
      </c>
      <c r="I164" s="14" t="s">
        <v>259</v>
      </c>
      <c r="J164" s="137" t="s">
        <v>260</v>
      </c>
      <c r="K164" s="27">
        <v>5.0E7</v>
      </c>
      <c r="L164" s="29" t="s">
        <v>853</v>
      </c>
      <c r="M164" s="31"/>
      <c r="N164" s="31"/>
      <c r="O164" s="31"/>
      <c r="Q164" s="36"/>
      <c r="R164" s="36"/>
      <c r="S164" s="36"/>
      <c r="T164" s="36"/>
      <c r="V164" s="31"/>
    </row>
    <row r="165">
      <c r="A165" s="14" t="s">
        <v>36</v>
      </c>
      <c r="B165" s="14" t="s">
        <v>854</v>
      </c>
      <c r="C165" s="124" t="s">
        <v>855</v>
      </c>
      <c r="D165" s="14" t="s">
        <v>40</v>
      </c>
      <c r="E165" s="20" t="str">
        <f t="shared" si="2"/>
        <v>octubre 2024</v>
      </c>
      <c r="F165" s="22">
        <v>45581.0</v>
      </c>
      <c r="G165" s="24">
        <f t="shared" ref="G165:H165" si="170">F165</f>
        <v>45581</v>
      </c>
      <c r="H165" s="26">
        <f t="shared" si="170"/>
        <v>45581</v>
      </c>
      <c r="I165" s="14" t="s">
        <v>90</v>
      </c>
      <c r="K165" s="27">
        <v>2.0E8</v>
      </c>
      <c r="L165" s="29">
        <v>1.89</v>
      </c>
      <c r="M165" s="14"/>
      <c r="N165" s="14"/>
      <c r="O165" s="14"/>
      <c r="P165" s="14"/>
      <c r="Q165" s="36"/>
      <c r="R165" s="36"/>
      <c r="S165" s="36"/>
      <c r="T165" s="36"/>
      <c r="V165" s="31"/>
    </row>
    <row r="166">
      <c r="A166" s="14" t="s">
        <v>76</v>
      </c>
      <c r="B166" s="14" t="s">
        <v>857</v>
      </c>
      <c r="C166" s="124" t="s">
        <v>858</v>
      </c>
      <c r="D166" s="14" t="s">
        <v>40</v>
      </c>
      <c r="E166" s="20" t="str">
        <f t="shared" si="2"/>
        <v>octubre 2024</v>
      </c>
      <c r="F166" s="22">
        <v>45582.0</v>
      </c>
      <c r="G166" s="24">
        <f t="shared" ref="G166:H166" si="171">F166</f>
        <v>45582</v>
      </c>
      <c r="H166" s="26">
        <f t="shared" si="171"/>
        <v>45582</v>
      </c>
      <c r="I166" s="14" t="s">
        <v>90</v>
      </c>
      <c r="K166" s="27">
        <v>2.0E8</v>
      </c>
      <c r="L166" s="29">
        <v>1.89</v>
      </c>
      <c r="M166" s="14"/>
      <c r="N166" s="14"/>
      <c r="O166" s="14"/>
      <c r="P166" s="14" t="s">
        <v>75</v>
      </c>
      <c r="Q166" s="36"/>
      <c r="R166" s="36"/>
      <c r="S166" s="36"/>
      <c r="T166" s="36"/>
      <c r="V166" s="31"/>
    </row>
    <row r="167">
      <c r="A167" s="14" t="s">
        <v>36</v>
      </c>
      <c r="B167" s="14" t="s">
        <v>861</v>
      </c>
      <c r="C167" s="14" t="s">
        <v>862</v>
      </c>
      <c r="D167" s="14" t="s">
        <v>40</v>
      </c>
      <c r="E167" s="20" t="str">
        <f t="shared" si="2"/>
        <v>octubre 2024</v>
      </c>
      <c r="F167" s="22">
        <v>45583.0</v>
      </c>
      <c r="G167" s="24">
        <f t="shared" ref="G167:H167" si="172">F167</f>
        <v>45583</v>
      </c>
      <c r="H167" s="26">
        <f t="shared" si="172"/>
        <v>45583</v>
      </c>
      <c r="I167" s="14" t="s">
        <v>90</v>
      </c>
      <c r="K167" s="27">
        <v>2.0E8</v>
      </c>
      <c r="L167" s="29" t="s">
        <v>863</v>
      </c>
      <c r="M167" s="14"/>
      <c r="N167" s="14"/>
      <c r="O167" s="14"/>
      <c r="P167" s="14" t="s">
        <v>84</v>
      </c>
      <c r="Q167" s="36"/>
      <c r="R167" s="36"/>
      <c r="S167" s="36"/>
      <c r="T167" s="36"/>
      <c r="V167" s="31"/>
    </row>
    <row r="168">
      <c r="A168" s="14" t="s">
        <v>76</v>
      </c>
      <c r="B168" s="14" t="s">
        <v>864</v>
      </c>
      <c r="C168" s="14" t="s">
        <v>865</v>
      </c>
      <c r="D168" s="14" t="s">
        <v>40</v>
      </c>
      <c r="E168" s="20" t="str">
        <f t="shared" si="2"/>
        <v>octubre 2024</v>
      </c>
      <c r="F168" s="22">
        <v>45590.0</v>
      </c>
      <c r="G168" s="24">
        <f t="shared" ref="G168:H168" si="173">F168</f>
        <v>45590</v>
      </c>
      <c r="H168" s="26">
        <f t="shared" si="173"/>
        <v>45590</v>
      </c>
      <c r="I168" s="14" t="s">
        <v>90</v>
      </c>
      <c r="K168" s="27">
        <v>8.0E7</v>
      </c>
      <c r="L168" s="29">
        <v>1.99</v>
      </c>
      <c r="M168" s="31"/>
      <c r="N168" s="31"/>
      <c r="O168" s="31"/>
      <c r="Q168" s="36"/>
      <c r="R168" s="36"/>
      <c r="S168" s="36"/>
      <c r="T168" s="36"/>
      <c r="V168" s="31"/>
    </row>
    <row r="169">
      <c r="A169" s="14" t="s">
        <v>36</v>
      </c>
      <c r="B169" s="14" t="s">
        <v>866</v>
      </c>
      <c r="C169" s="15" t="s">
        <v>867</v>
      </c>
      <c r="D169" s="14" t="s">
        <v>40</v>
      </c>
      <c r="E169" s="20" t="str">
        <f t="shared" si="2"/>
        <v>octubre 2024</v>
      </c>
      <c r="F169" s="22">
        <v>45590.0</v>
      </c>
      <c r="G169" s="24">
        <f t="shared" ref="G169:H169" si="174">F169</f>
        <v>45590</v>
      </c>
      <c r="H169" s="26">
        <f t="shared" si="174"/>
        <v>45590</v>
      </c>
      <c r="I169" s="14" t="s">
        <v>259</v>
      </c>
      <c r="J169" s="14" t="s">
        <v>285</v>
      </c>
      <c r="K169" s="27">
        <v>4.0E7</v>
      </c>
      <c r="L169" s="29" t="s">
        <v>104</v>
      </c>
      <c r="M169" s="31"/>
      <c r="N169" s="31"/>
      <c r="O169" s="31"/>
      <c r="Q169" s="36"/>
      <c r="R169" s="36"/>
      <c r="S169" s="36"/>
      <c r="T169" s="36"/>
      <c r="V169" s="31"/>
    </row>
    <row r="170">
      <c r="A170" s="14" t="s">
        <v>76</v>
      </c>
      <c r="B170" s="14" t="s">
        <v>869</v>
      </c>
      <c r="C170" s="15" t="s">
        <v>870</v>
      </c>
      <c r="D170" s="14" t="s">
        <v>40</v>
      </c>
      <c r="E170" s="20" t="str">
        <f t="shared" si="2"/>
        <v>noviembre 2024</v>
      </c>
      <c r="F170" s="22">
        <v>45597.0</v>
      </c>
      <c r="G170" s="24">
        <f t="shared" ref="G170:H170" si="175">F170</f>
        <v>45597</v>
      </c>
      <c r="H170" s="26">
        <f t="shared" si="175"/>
        <v>45597</v>
      </c>
      <c r="I170" s="14" t="s">
        <v>259</v>
      </c>
      <c r="J170" s="141" t="s">
        <v>726</v>
      </c>
      <c r="K170" s="27">
        <v>5.0E7</v>
      </c>
      <c r="L170" s="29" t="s">
        <v>142</v>
      </c>
      <c r="M170" s="31"/>
      <c r="N170" s="31"/>
      <c r="O170" s="31"/>
      <c r="Q170" s="36"/>
      <c r="R170" s="36"/>
      <c r="S170" s="36"/>
      <c r="T170" s="36"/>
      <c r="V170" s="31"/>
    </row>
    <row r="171">
      <c r="A171" s="14" t="s">
        <v>76</v>
      </c>
      <c r="B171" s="14" t="s">
        <v>874</v>
      </c>
      <c r="C171" s="15" t="s">
        <v>875</v>
      </c>
      <c r="D171" s="14" t="s">
        <v>40</v>
      </c>
      <c r="E171" s="20" t="str">
        <f t="shared" si="2"/>
        <v>noviembre 2024</v>
      </c>
      <c r="F171" s="22">
        <v>45597.0</v>
      </c>
      <c r="G171" s="24">
        <f t="shared" ref="G171:H171" si="176">F171</f>
        <v>45597</v>
      </c>
      <c r="H171" s="26">
        <f t="shared" si="176"/>
        <v>45597</v>
      </c>
      <c r="I171" s="14" t="s">
        <v>259</v>
      </c>
      <c r="J171" s="14" t="s">
        <v>304</v>
      </c>
      <c r="K171" s="27">
        <v>2.0E7</v>
      </c>
      <c r="L171" s="29">
        <v>2.09</v>
      </c>
      <c r="M171" s="31"/>
      <c r="N171" s="31"/>
      <c r="O171" s="31"/>
      <c r="Q171" s="36"/>
      <c r="R171" s="36"/>
      <c r="S171" s="36"/>
      <c r="T171" s="36"/>
      <c r="V171" s="31"/>
    </row>
    <row r="172">
      <c r="A172" s="14" t="s">
        <v>76</v>
      </c>
      <c r="B172" s="14" t="s">
        <v>876</v>
      </c>
      <c r="C172" s="15" t="s">
        <v>877</v>
      </c>
      <c r="D172" s="14" t="s">
        <v>40</v>
      </c>
      <c r="E172" s="20" t="str">
        <f t="shared" si="2"/>
        <v>noviembre 2024</v>
      </c>
      <c r="F172" s="22">
        <v>45597.0</v>
      </c>
      <c r="G172" s="24">
        <f t="shared" ref="G172:H172" si="177">F172</f>
        <v>45597</v>
      </c>
      <c r="H172" s="26">
        <f t="shared" si="177"/>
        <v>45597</v>
      </c>
      <c r="I172" s="14" t="s">
        <v>259</v>
      </c>
      <c r="J172" s="14" t="s">
        <v>304</v>
      </c>
      <c r="K172" s="27">
        <v>2.0E7</v>
      </c>
      <c r="L172" s="29">
        <v>2.09</v>
      </c>
      <c r="M172" s="31"/>
      <c r="N172" s="31"/>
      <c r="O172" s="31"/>
      <c r="Q172" s="36"/>
      <c r="R172" s="36"/>
      <c r="S172" s="36"/>
      <c r="T172" s="36"/>
      <c r="V172" s="31"/>
    </row>
    <row r="173">
      <c r="A173" s="14" t="s">
        <v>76</v>
      </c>
      <c r="B173" s="14" t="s">
        <v>881</v>
      </c>
      <c r="C173" s="15" t="s">
        <v>882</v>
      </c>
      <c r="D173" s="14" t="s">
        <v>40</v>
      </c>
      <c r="E173" s="20" t="str">
        <f t="shared" si="2"/>
        <v>noviembre 2024</v>
      </c>
      <c r="F173" s="22">
        <v>45597.0</v>
      </c>
      <c r="G173" s="24">
        <f t="shared" ref="G173:H173" si="178">F173</f>
        <v>45597</v>
      </c>
      <c r="H173" s="26">
        <f t="shared" si="178"/>
        <v>45597</v>
      </c>
      <c r="I173" s="14" t="s">
        <v>259</v>
      </c>
      <c r="J173" s="14" t="s">
        <v>304</v>
      </c>
      <c r="K173" s="27">
        <v>2.0E7</v>
      </c>
      <c r="L173" s="29">
        <v>2.09</v>
      </c>
      <c r="M173" s="31"/>
      <c r="N173" s="31"/>
      <c r="O173" s="31"/>
      <c r="Q173" s="36"/>
      <c r="R173" s="36"/>
      <c r="S173" s="36"/>
      <c r="T173" s="36"/>
      <c r="V173" s="31"/>
    </row>
    <row r="174">
      <c r="A174" s="14" t="s">
        <v>117</v>
      </c>
      <c r="B174" s="14" t="s">
        <v>883</v>
      </c>
      <c r="C174" s="14" t="s">
        <v>884</v>
      </c>
      <c r="D174" s="14" t="s">
        <v>40</v>
      </c>
      <c r="E174" s="20" t="str">
        <f t="shared" si="2"/>
        <v>noviembre 2024</v>
      </c>
      <c r="F174" s="22">
        <v>45597.0</v>
      </c>
      <c r="G174" s="24">
        <f t="shared" ref="G174:H174" si="179">F174</f>
        <v>45597</v>
      </c>
      <c r="H174" s="26">
        <f t="shared" si="179"/>
        <v>45597</v>
      </c>
      <c r="I174" s="14" t="s">
        <v>90</v>
      </c>
      <c r="K174" s="27">
        <v>4.0E7</v>
      </c>
      <c r="L174" s="29" t="s">
        <v>887</v>
      </c>
      <c r="M174" s="14"/>
      <c r="N174" s="14"/>
      <c r="O174" s="14"/>
      <c r="P174" s="14" t="s">
        <v>84</v>
      </c>
      <c r="Q174" s="36"/>
      <c r="R174" s="36"/>
      <c r="S174" s="36"/>
      <c r="T174" s="36"/>
      <c r="V174" s="31"/>
    </row>
    <row r="175">
      <c r="A175" s="14" t="s">
        <v>36</v>
      </c>
      <c r="B175" s="14" t="s">
        <v>889</v>
      </c>
      <c r="C175" s="14" t="s">
        <v>890</v>
      </c>
      <c r="D175" s="14" t="s">
        <v>40</v>
      </c>
      <c r="E175" s="20" t="str">
        <f t="shared" si="2"/>
        <v>noviembre 2024</v>
      </c>
      <c r="F175" s="22">
        <v>45602.0</v>
      </c>
      <c r="G175" s="24">
        <f t="shared" ref="G175:H175" si="180">F175</f>
        <v>45602</v>
      </c>
      <c r="H175" s="26">
        <f t="shared" si="180"/>
        <v>45602</v>
      </c>
      <c r="I175" s="14" t="s">
        <v>259</v>
      </c>
      <c r="J175" s="137" t="s">
        <v>260</v>
      </c>
      <c r="K175" s="27">
        <v>2.5E8</v>
      </c>
      <c r="L175" s="29" t="s">
        <v>891</v>
      </c>
      <c r="M175" s="14"/>
      <c r="N175" s="14"/>
      <c r="O175" s="14"/>
      <c r="P175" s="14"/>
      <c r="Q175" s="36"/>
      <c r="R175" s="36"/>
      <c r="S175" s="36"/>
      <c r="T175" s="36"/>
      <c r="V175" s="31"/>
    </row>
    <row r="176">
      <c r="A176" s="14" t="s">
        <v>76</v>
      </c>
      <c r="B176" s="14" t="s">
        <v>892</v>
      </c>
      <c r="C176" s="112" t="s">
        <v>893</v>
      </c>
      <c r="D176" s="14" t="s">
        <v>40</v>
      </c>
      <c r="E176" s="20" t="str">
        <f t="shared" si="2"/>
        <v>noviembre 2024</v>
      </c>
      <c r="F176" s="22">
        <v>45602.0</v>
      </c>
      <c r="G176" s="24">
        <f t="shared" ref="G176:H176" si="181">F176</f>
        <v>45602</v>
      </c>
      <c r="H176" s="26">
        <f t="shared" si="181"/>
        <v>45602</v>
      </c>
      <c r="I176" s="14" t="s">
        <v>259</v>
      </c>
      <c r="J176" s="14" t="s">
        <v>304</v>
      </c>
      <c r="K176" s="88"/>
      <c r="L176" s="78"/>
      <c r="M176" s="14"/>
      <c r="N176" s="14"/>
      <c r="O176" s="14"/>
      <c r="P176" s="14" t="s">
        <v>84</v>
      </c>
      <c r="Q176" s="36"/>
      <c r="R176" s="36"/>
      <c r="S176" s="36"/>
      <c r="T176" s="36"/>
      <c r="V176" s="31"/>
    </row>
    <row r="177">
      <c r="A177" s="14" t="s">
        <v>76</v>
      </c>
      <c r="B177" s="14" t="s">
        <v>892</v>
      </c>
      <c r="C177" s="112" t="s">
        <v>895</v>
      </c>
      <c r="D177" s="14" t="s">
        <v>40</v>
      </c>
      <c r="E177" s="20" t="str">
        <f t="shared" si="2"/>
        <v>noviembre 2024</v>
      </c>
      <c r="F177" s="22">
        <v>45602.0</v>
      </c>
      <c r="G177" s="24">
        <f t="shared" ref="G177:H177" si="182">F177</f>
        <v>45602</v>
      </c>
      <c r="H177" s="26">
        <f t="shared" si="182"/>
        <v>45602</v>
      </c>
      <c r="I177" s="14" t="s">
        <v>259</v>
      </c>
      <c r="J177" s="14" t="s">
        <v>304</v>
      </c>
      <c r="K177" s="88"/>
      <c r="L177" s="78"/>
      <c r="M177" s="14"/>
      <c r="N177" s="14"/>
      <c r="O177" s="14"/>
      <c r="P177" s="14" t="s">
        <v>84</v>
      </c>
      <c r="Q177" s="36"/>
      <c r="R177" s="36"/>
      <c r="S177" s="36"/>
      <c r="T177" s="36"/>
      <c r="V177" s="31"/>
    </row>
    <row r="178">
      <c r="A178" s="14" t="s">
        <v>76</v>
      </c>
      <c r="B178" s="14" t="s">
        <v>892</v>
      </c>
      <c r="C178" s="112" t="s">
        <v>897</v>
      </c>
      <c r="D178" s="14" t="s">
        <v>40</v>
      </c>
      <c r="E178" s="20" t="str">
        <f t="shared" si="2"/>
        <v>noviembre 2024</v>
      </c>
      <c r="F178" s="22">
        <v>45602.0</v>
      </c>
      <c r="G178" s="24">
        <f t="shared" ref="G178:H178" si="183">F178</f>
        <v>45602</v>
      </c>
      <c r="H178" s="26">
        <f t="shared" si="183"/>
        <v>45602</v>
      </c>
      <c r="I178" s="14" t="s">
        <v>259</v>
      </c>
      <c r="J178" s="14" t="s">
        <v>304</v>
      </c>
      <c r="K178" s="88"/>
      <c r="L178" s="78"/>
      <c r="M178" s="14"/>
      <c r="N178" s="14"/>
      <c r="O178" s="14"/>
      <c r="P178" s="14" t="s">
        <v>84</v>
      </c>
      <c r="Q178" s="36"/>
      <c r="R178" s="36"/>
      <c r="S178" s="36"/>
      <c r="T178" s="36"/>
      <c r="V178" s="31"/>
    </row>
    <row r="179">
      <c r="A179" s="14" t="s">
        <v>76</v>
      </c>
      <c r="B179" s="14" t="s">
        <v>892</v>
      </c>
      <c r="C179" s="112" t="s">
        <v>898</v>
      </c>
      <c r="D179" s="14" t="s">
        <v>40</v>
      </c>
      <c r="E179" s="20" t="str">
        <f t="shared" si="2"/>
        <v>noviembre 2024</v>
      </c>
      <c r="F179" s="22">
        <v>45602.0</v>
      </c>
      <c r="G179" s="24">
        <f t="shared" ref="G179:H179" si="184">F179</f>
        <v>45602</v>
      </c>
      <c r="H179" s="26">
        <f t="shared" si="184"/>
        <v>45602</v>
      </c>
      <c r="I179" s="14" t="s">
        <v>259</v>
      </c>
      <c r="J179" s="14" t="s">
        <v>304</v>
      </c>
      <c r="K179" s="88"/>
      <c r="L179" s="78"/>
      <c r="M179" s="14"/>
      <c r="N179" s="14"/>
      <c r="O179" s="14"/>
      <c r="P179" s="14" t="s">
        <v>84</v>
      </c>
      <c r="Q179" s="36"/>
      <c r="R179" s="36"/>
      <c r="S179" s="36"/>
      <c r="T179" s="36"/>
      <c r="V179" s="31"/>
    </row>
    <row r="180">
      <c r="A180" s="14" t="s">
        <v>76</v>
      </c>
      <c r="B180" s="14" t="s">
        <v>892</v>
      </c>
      <c r="C180" s="112" t="s">
        <v>901</v>
      </c>
      <c r="D180" s="14" t="s">
        <v>40</v>
      </c>
      <c r="E180" s="20" t="str">
        <f t="shared" si="2"/>
        <v>noviembre 2024</v>
      </c>
      <c r="F180" s="22">
        <v>45602.0</v>
      </c>
      <c r="G180" s="24">
        <f t="shared" ref="G180:H180" si="185">F180</f>
        <v>45602</v>
      </c>
      <c r="H180" s="26">
        <f t="shared" si="185"/>
        <v>45602</v>
      </c>
      <c r="I180" s="14" t="s">
        <v>259</v>
      </c>
      <c r="J180" s="14" t="s">
        <v>304</v>
      </c>
      <c r="K180" s="88"/>
      <c r="L180" s="78"/>
      <c r="M180" s="14"/>
      <c r="N180" s="14"/>
      <c r="O180" s="14"/>
      <c r="P180" s="14" t="s">
        <v>84</v>
      </c>
      <c r="Q180" s="36"/>
      <c r="R180" s="36"/>
      <c r="S180" s="36"/>
      <c r="T180" s="36"/>
      <c r="V180" s="31"/>
    </row>
    <row r="181">
      <c r="A181" s="14" t="s">
        <v>76</v>
      </c>
      <c r="B181" s="14" t="s">
        <v>892</v>
      </c>
      <c r="C181" s="112" t="s">
        <v>902</v>
      </c>
      <c r="D181" s="14" t="s">
        <v>40</v>
      </c>
      <c r="E181" s="20" t="str">
        <f t="shared" si="2"/>
        <v>noviembre 2024</v>
      </c>
      <c r="F181" s="22">
        <v>45602.0</v>
      </c>
      <c r="G181" s="24">
        <f t="shared" ref="G181:H181" si="186">F181</f>
        <v>45602</v>
      </c>
      <c r="H181" s="26">
        <f t="shared" si="186"/>
        <v>45602</v>
      </c>
      <c r="I181" s="14" t="s">
        <v>259</v>
      </c>
      <c r="J181" s="14" t="s">
        <v>304</v>
      </c>
      <c r="K181" s="88"/>
      <c r="L181" s="78"/>
      <c r="M181" s="14"/>
      <c r="N181" s="14"/>
      <c r="O181" s="14"/>
      <c r="P181" s="14" t="s">
        <v>84</v>
      </c>
      <c r="Q181" s="36"/>
      <c r="R181" s="36"/>
      <c r="S181" s="36"/>
      <c r="T181" s="36"/>
      <c r="V181" s="31"/>
    </row>
    <row r="182">
      <c r="A182" s="14" t="s">
        <v>76</v>
      </c>
      <c r="B182" s="14" t="s">
        <v>892</v>
      </c>
      <c r="C182" s="112" t="s">
        <v>903</v>
      </c>
      <c r="D182" s="14" t="s">
        <v>40</v>
      </c>
      <c r="E182" s="20" t="str">
        <f t="shared" si="2"/>
        <v>noviembre 2024</v>
      </c>
      <c r="F182" s="22">
        <v>45602.0</v>
      </c>
      <c r="G182" s="24">
        <f t="shared" ref="G182:H182" si="187">F182</f>
        <v>45602</v>
      </c>
      <c r="H182" s="26">
        <f t="shared" si="187"/>
        <v>45602</v>
      </c>
      <c r="I182" s="14" t="s">
        <v>259</v>
      </c>
      <c r="J182" s="14" t="s">
        <v>304</v>
      </c>
      <c r="K182" s="88"/>
      <c r="L182" s="78"/>
      <c r="M182" s="14"/>
      <c r="N182" s="14"/>
      <c r="O182" s="14"/>
      <c r="P182" s="14" t="s">
        <v>84</v>
      </c>
      <c r="Q182" s="36"/>
      <c r="R182" s="36"/>
      <c r="S182" s="36"/>
      <c r="T182" s="36"/>
      <c r="V182" s="31"/>
    </row>
    <row r="183">
      <c r="A183" s="14" t="s">
        <v>76</v>
      </c>
      <c r="B183" s="14" t="s">
        <v>892</v>
      </c>
      <c r="C183" s="112" t="s">
        <v>906</v>
      </c>
      <c r="D183" s="14" t="s">
        <v>40</v>
      </c>
      <c r="E183" s="20" t="str">
        <f t="shared" si="2"/>
        <v>noviembre 2024</v>
      </c>
      <c r="F183" s="22">
        <v>45602.0</v>
      </c>
      <c r="G183" s="24">
        <f t="shared" ref="G183:H183" si="188">F183</f>
        <v>45602</v>
      </c>
      <c r="H183" s="26">
        <f t="shared" si="188"/>
        <v>45602</v>
      </c>
      <c r="I183" s="14" t="s">
        <v>259</v>
      </c>
      <c r="J183" s="14" t="s">
        <v>304</v>
      </c>
      <c r="K183" s="88"/>
      <c r="L183" s="78"/>
      <c r="M183" s="14"/>
      <c r="N183" s="14"/>
      <c r="O183" s="14"/>
      <c r="P183" s="14" t="s">
        <v>84</v>
      </c>
      <c r="Q183" s="36"/>
      <c r="R183" s="36"/>
      <c r="S183" s="36"/>
      <c r="T183" s="36"/>
      <c r="V183" s="31"/>
    </row>
    <row r="184">
      <c r="A184" s="14" t="s">
        <v>76</v>
      </c>
      <c r="B184" s="14" t="s">
        <v>892</v>
      </c>
      <c r="C184" s="112" t="s">
        <v>907</v>
      </c>
      <c r="D184" s="14" t="s">
        <v>40</v>
      </c>
      <c r="E184" s="20" t="str">
        <f t="shared" si="2"/>
        <v>noviembre 2024</v>
      </c>
      <c r="F184" s="22">
        <v>45602.0</v>
      </c>
      <c r="G184" s="24">
        <f t="shared" ref="G184:H184" si="189">F184</f>
        <v>45602</v>
      </c>
      <c r="H184" s="26">
        <f t="shared" si="189"/>
        <v>45602</v>
      </c>
      <c r="I184" s="14" t="s">
        <v>259</v>
      </c>
      <c r="J184" s="14" t="s">
        <v>304</v>
      </c>
      <c r="K184" s="88"/>
      <c r="L184" s="78"/>
      <c r="M184" s="14"/>
      <c r="N184" s="14"/>
      <c r="O184" s="14"/>
      <c r="P184" s="14" t="s">
        <v>84</v>
      </c>
      <c r="Q184" s="36"/>
      <c r="R184" s="36"/>
      <c r="S184" s="36"/>
      <c r="T184" s="36"/>
      <c r="V184" s="31"/>
    </row>
    <row r="185">
      <c r="A185" s="14" t="s">
        <v>76</v>
      </c>
      <c r="B185" s="14" t="s">
        <v>911</v>
      </c>
      <c r="C185" s="112" t="s">
        <v>912</v>
      </c>
      <c r="D185" s="14" t="s">
        <v>40</v>
      </c>
      <c r="E185" s="20" t="str">
        <f t="shared" si="2"/>
        <v>noviembre 2024</v>
      </c>
      <c r="F185" s="22">
        <v>45609.0</v>
      </c>
      <c r="G185" s="24">
        <f t="shared" ref="G185:H185" si="190">F185</f>
        <v>45609</v>
      </c>
      <c r="H185" s="26">
        <f t="shared" si="190"/>
        <v>45609</v>
      </c>
      <c r="I185" s="14" t="s">
        <v>259</v>
      </c>
      <c r="J185" s="14" t="s">
        <v>500</v>
      </c>
      <c r="K185" s="27">
        <v>5.0E7</v>
      </c>
      <c r="L185" s="29" t="s">
        <v>915</v>
      </c>
      <c r="M185" s="31"/>
      <c r="N185" s="31"/>
      <c r="O185" s="31"/>
      <c r="Q185" s="36"/>
      <c r="R185" s="36"/>
      <c r="S185" s="36"/>
      <c r="T185" s="36"/>
      <c r="V185" s="31"/>
    </row>
    <row r="186">
      <c r="A186" s="14" t="s">
        <v>117</v>
      </c>
      <c r="B186" s="14" t="s">
        <v>918</v>
      </c>
      <c r="C186" s="14" t="s">
        <v>919</v>
      </c>
      <c r="D186" s="14" t="s">
        <v>40</v>
      </c>
      <c r="E186" s="20" t="str">
        <f t="shared" si="2"/>
        <v>noviembre 2024</v>
      </c>
      <c r="F186" s="22">
        <v>45619.0</v>
      </c>
      <c r="G186" s="24">
        <f t="shared" ref="G186:H186" si="191">F186</f>
        <v>45619</v>
      </c>
      <c r="H186" s="26">
        <f t="shared" si="191"/>
        <v>45619</v>
      </c>
      <c r="I186" s="14" t="s">
        <v>90</v>
      </c>
      <c r="K186" s="27">
        <v>2.0E7</v>
      </c>
      <c r="L186" s="29" t="s">
        <v>923</v>
      </c>
      <c r="M186" s="31"/>
      <c r="N186" s="31"/>
      <c r="O186" s="31"/>
      <c r="Q186" s="36"/>
      <c r="R186" s="36"/>
      <c r="S186" s="36"/>
      <c r="T186" s="36"/>
      <c r="V186" s="31"/>
    </row>
    <row r="187">
      <c r="A187" s="14" t="s">
        <v>117</v>
      </c>
      <c r="B187" s="14" t="s">
        <v>925</v>
      </c>
      <c r="C187" s="14" t="s">
        <v>926</v>
      </c>
      <c r="D187" s="14" t="s">
        <v>40</v>
      </c>
      <c r="E187" s="20" t="str">
        <f t="shared" si="2"/>
        <v>noviembre 2024</v>
      </c>
      <c r="F187" s="22">
        <v>45619.0</v>
      </c>
      <c r="G187" s="24">
        <f t="shared" ref="G187:H187" si="192">F187</f>
        <v>45619</v>
      </c>
      <c r="H187" s="26">
        <f t="shared" si="192"/>
        <v>45619</v>
      </c>
      <c r="I187" s="14" t="s">
        <v>259</v>
      </c>
      <c r="J187" s="141" t="s">
        <v>726</v>
      </c>
      <c r="K187" s="27">
        <v>5.0E7</v>
      </c>
      <c r="L187" s="29" t="s">
        <v>927</v>
      </c>
      <c r="M187" s="31"/>
      <c r="N187" s="31"/>
      <c r="O187" s="31"/>
      <c r="Q187" s="36"/>
      <c r="R187" s="36"/>
      <c r="S187" s="36"/>
      <c r="T187" s="36"/>
      <c r="V187" s="31"/>
    </row>
    <row r="188">
      <c r="A188" s="14" t="s">
        <v>117</v>
      </c>
      <c r="B188" s="14" t="s">
        <v>929</v>
      </c>
      <c r="C188" s="14" t="s">
        <v>930</v>
      </c>
      <c r="D188" s="14" t="s">
        <v>40</v>
      </c>
      <c r="E188" s="20" t="str">
        <f t="shared" si="2"/>
        <v>noviembre 2024</v>
      </c>
      <c r="F188" s="22">
        <v>45619.0</v>
      </c>
      <c r="G188" s="24">
        <f t="shared" ref="G188:H188" si="193">F188</f>
        <v>45619</v>
      </c>
      <c r="H188" s="26">
        <f t="shared" si="193"/>
        <v>45619</v>
      </c>
      <c r="I188" s="14" t="s">
        <v>259</v>
      </c>
      <c r="J188" s="141" t="s">
        <v>726</v>
      </c>
      <c r="K188" s="27">
        <v>5.0E7</v>
      </c>
      <c r="L188" s="29" t="s">
        <v>927</v>
      </c>
      <c r="M188" s="31"/>
      <c r="N188" s="31"/>
      <c r="O188" s="31"/>
      <c r="Q188" s="36"/>
      <c r="R188" s="36"/>
      <c r="S188" s="36"/>
      <c r="T188" s="36"/>
      <c r="V188" s="31"/>
    </row>
    <row r="189">
      <c r="A189" s="14" t="s">
        <v>117</v>
      </c>
      <c r="B189" s="14" t="s">
        <v>933</v>
      </c>
      <c r="C189" s="14" t="s">
        <v>934</v>
      </c>
      <c r="D189" s="14" t="s">
        <v>40</v>
      </c>
      <c r="E189" s="20" t="str">
        <f t="shared" si="2"/>
        <v>noviembre 2024</v>
      </c>
      <c r="F189" s="22">
        <v>45619.0</v>
      </c>
      <c r="G189" s="24">
        <f t="shared" ref="G189:H189" si="194">F189</f>
        <v>45619</v>
      </c>
      <c r="H189" s="26">
        <f t="shared" si="194"/>
        <v>45619</v>
      </c>
      <c r="I189" s="14" t="s">
        <v>259</v>
      </c>
      <c r="J189" s="141" t="s">
        <v>726</v>
      </c>
      <c r="K189" s="27">
        <v>5.0E7</v>
      </c>
      <c r="L189" s="29" t="s">
        <v>935</v>
      </c>
      <c r="M189" s="31"/>
      <c r="N189" s="31"/>
      <c r="O189" s="31"/>
      <c r="Q189" s="36"/>
      <c r="R189" s="36"/>
      <c r="S189" s="36"/>
      <c r="T189" s="36"/>
      <c r="V189" s="31"/>
    </row>
    <row r="190">
      <c r="A190" s="14" t="s">
        <v>117</v>
      </c>
      <c r="B190" s="14" t="s">
        <v>936</v>
      </c>
      <c r="C190" s="14" t="s">
        <v>937</v>
      </c>
      <c r="D190" s="14" t="s">
        <v>40</v>
      </c>
      <c r="E190" s="20" t="str">
        <f t="shared" si="2"/>
        <v>noviembre 2024</v>
      </c>
      <c r="F190" s="22">
        <v>45619.0</v>
      </c>
      <c r="G190" s="24">
        <f t="shared" ref="G190:H190" si="195">F190</f>
        <v>45619</v>
      </c>
      <c r="H190" s="26">
        <f t="shared" si="195"/>
        <v>45619</v>
      </c>
      <c r="I190" s="14" t="s">
        <v>259</v>
      </c>
      <c r="J190" s="141" t="s">
        <v>726</v>
      </c>
      <c r="K190" s="27">
        <v>5.0E7</v>
      </c>
      <c r="L190" s="29" t="s">
        <v>935</v>
      </c>
      <c r="M190" s="31"/>
      <c r="N190" s="31"/>
      <c r="O190" s="31"/>
      <c r="Q190" s="36"/>
      <c r="R190" s="36"/>
      <c r="S190" s="36"/>
      <c r="T190" s="36"/>
      <c r="V190" s="31"/>
    </row>
    <row r="191">
      <c r="A191" s="14" t="s">
        <v>76</v>
      </c>
      <c r="B191" s="124" t="s">
        <v>938</v>
      </c>
      <c r="C191" s="112" t="s">
        <v>939</v>
      </c>
      <c r="D191" s="14" t="s">
        <v>40</v>
      </c>
      <c r="E191" s="20" t="str">
        <f t="shared" si="2"/>
        <v>noviembre 2024</v>
      </c>
      <c r="F191" s="22">
        <v>45624.0</v>
      </c>
      <c r="G191" s="24">
        <f t="shared" ref="G191:H191" si="196">F191</f>
        <v>45624</v>
      </c>
      <c r="H191" s="26">
        <f t="shared" si="196"/>
        <v>45624</v>
      </c>
      <c r="I191" s="14" t="s">
        <v>90</v>
      </c>
      <c r="K191" s="27">
        <v>2.0E7</v>
      </c>
      <c r="L191" s="29"/>
      <c r="M191" s="31"/>
      <c r="N191" s="31"/>
      <c r="O191" s="31"/>
      <c r="Q191" s="36"/>
      <c r="R191" s="36"/>
      <c r="S191" s="36"/>
      <c r="T191" s="36"/>
      <c r="V191" s="31"/>
    </row>
    <row r="192">
      <c r="A192" s="14" t="s">
        <v>76</v>
      </c>
      <c r="B192" s="124" t="s">
        <v>942</v>
      </c>
      <c r="C192" s="112" t="s">
        <v>943</v>
      </c>
      <c r="D192" s="14" t="s">
        <v>40</v>
      </c>
      <c r="E192" s="20" t="str">
        <f t="shared" si="2"/>
        <v>noviembre 2024</v>
      </c>
      <c r="F192" s="22">
        <v>45624.0</v>
      </c>
      <c r="G192" s="24">
        <f t="shared" ref="G192:H192" si="197">F192</f>
        <v>45624</v>
      </c>
      <c r="H192" s="26">
        <f t="shared" si="197"/>
        <v>45624</v>
      </c>
      <c r="I192" s="14" t="s">
        <v>90</v>
      </c>
      <c r="K192" s="27">
        <v>2.0E7</v>
      </c>
      <c r="L192" s="29"/>
      <c r="M192" s="31"/>
      <c r="N192" s="31"/>
      <c r="O192" s="31"/>
      <c r="Q192" s="36"/>
      <c r="R192" s="36"/>
      <c r="S192" s="36"/>
      <c r="T192" s="36"/>
      <c r="V192" s="31"/>
    </row>
    <row r="193">
      <c r="A193" s="14" t="s">
        <v>76</v>
      </c>
      <c r="B193" s="124" t="s">
        <v>944</v>
      </c>
      <c r="C193" s="112" t="s">
        <v>945</v>
      </c>
      <c r="D193" s="14" t="s">
        <v>40</v>
      </c>
      <c r="E193" s="20" t="str">
        <f t="shared" si="2"/>
        <v>noviembre 2024</v>
      </c>
      <c r="F193" s="22">
        <v>45624.0</v>
      </c>
      <c r="G193" s="24">
        <f t="shared" ref="G193:H193" si="198">F193</f>
        <v>45624</v>
      </c>
      <c r="H193" s="26">
        <f t="shared" si="198"/>
        <v>45624</v>
      </c>
      <c r="I193" s="14" t="s">
        <v>90</v>
      </c>
      <c r="K193" s="27">
        <v>5.0E7</v>
      </c>
      <c r="L193" s="29"/>
      <c r="M193" s="31"/>
      <c r="N193" s="31"/>
      <c r="O193" s="31"/>
      <c r="Q193" s="36"/>
      <c r="R193" s="36"/>
      <c r="S193" s="36"/>
      <c r="T193" s="36"/>
      <c r="V193" s="31"/>
    </row>
    <row r="194">
      <c r="A194" s="14" t="s">
        <v>76</v>
      </c>
      <c r="B194" s="112" t="s">
        <v>947</v>
      </c>
      <c r="C194" s="112" t="s">
        <v>948</v>
      </c>
      <c r="D194" s="14" t="s">
        <v>40</v>
      </c>
      <c r="E194" s="20" t="str">
        <f t="shared" si="2"/>
        <v>diciembre 2024</v>
      </c>
      <c r="F194" s="22">
        <v>45628.0</v>
      </c>
      <c r="G194" s="24">
        <f t="shared" ref="G194:H194" si="199">F194</f>
        <v>45628</v>
      </c>
      <c r="H194" s="26">
        <f t="shared" si="199"/>
        <v>45628</v>
      </c>
      <c r="I194" s="14" t="s">
        <v>90</v>
      </c>
      <c r="K194" s="27">
        <v>5.0E7</v>
      </c>
      <c r="L194" s="29" t="s">
        <v>951</v>
      </c>
      <c r="M194" s="31"/>
      <c r="N194" s="31"/>
      <c r="O194" s="31"/>
      <c r="Q194" s="36"/>
      <c r="R194" s="36"/>
      <c r="S194" s="36"/>
      <c r="T194" s="36"/>
      <c r="V194" s="31"/>
    </row>
    <row r="195">
      <c r="A195" s="14" t="s">
        <v>76</v>
      </c>
      <c r="B195" s="152" t="s">
        <v>952</v>
      </c>
      <c r="C195" s="152" t="s">
        <v>954</v>
      </c>
      <c r="D195" s="14" t="s">
        <v>40</v>
      </c>
      <c r="E195" s="20" t="str">
        <f t="shared" si="2"/>
        <v>diciembre 2024</v>
      </c>
      <c r="F195" s="22">
        <v>45628.0</v>
      </c>
      <c r="G195" s="24">
        <f t="shared" ref="G195:H195" si="200">F195</f>
        <v>45628</v>
      </c>
      <c r="H195" s="26">
        <f t="shared" si="200"/>
        <v>45628</v>
      </c>
      <c r="I195" s="14" t="s">
        <v>90</v>
      </c>
      <c r="K195" s="27">
        <v>8.0E7</v>
      </c>
      <c r="L195" s="29" t="s">
        <v>951</v>
      </c>
      <c r="M195" s="31"/>
      <c r="N195" s="31"/>
      <c r="O195" s="31"/>
      <c r="Q195" s="36"/>
      <c r="R195" s="36"/>
      <c r="S195" s="36"/>
      <c r="T195" s="36"/>
      <c r="V195" s="31"/>
    </row>
    <row r="196">
      <c r="A196" s="14" t="s">
        <v>76</v>
      </c>
      <c r="B196" s="14" t="s">
        <v>957</v>
      </c>
      <c r="C196" s="15" t="s">
        <v>958</v>
      </c>
      <c r="D196" s="14" t="s">
        <v>40</v>
      </c>
      <c r="E196" s="20" t="str">
        <f t="shared" si="2"/>
        <v>diciembre 2024</v>
      </c>
      <c r="F196" s="22">
        <v>45630.0</v>
      </c>
      <c r="G196" s="24">
        <f t="shared" ref="G196:H196" si="201">F196</f>
        <v>45630</v>
      </c>
      <c r="H196" s="26">
        <f t="shared" si="201"/>
        <v>45630</v>
      </c>
      <c r="I196" s="14" t="s">
        <v>90</v>
      </c>
      <c r="K196" s="27">
        <v>2.5E8</v>
      </c>
      <c r="L196" s="29">
        <v>1.99</v>
      </c>
      <c r="M196" s="14"/>
      <c r="N196" s="14"/>
      <c r="O196" s="14"/>
      <c r="P196" s="14" t="s">
        <v>84</v>
      </c>
      <c r="Q196" s="36"/>
      <c r="R196" s="36"/>
      <c r="S196" s="36"/>
      <c r="T196" s="36"/>
      <c r="V196" s="31"/>
    </row>
    <row r="197">
      <c r="A197" s="14" t="s">
        <v>76</v>
      </c>
      <c r="B197" s="14" t="s">
        <v>961</v>
      </c>
      <c r="C197" s="112" t="s">
        <v>962</v>
      </c>
      <c r="D197" s="14" t="s">
        <v>40</v>
      </c>
      <c r="E197" s="20" t="str">
        <f t="shared" si="2"/>
        <v>diciembre 2024</v>
      </c>
      <c r="F197" s="22">
        <v>45630.0</v>
      </c>
      <c r="G197" s="24">
        <f t="shared" ref="G197:H197" si="202">F197</f>
        <v>45630</v>
      </c>
      <c r="H197" s="26">
        <f t="shared" si="202"/>
        <v>45630</v>
      </c>
      <c r="I197" s="14" t="s">
        <v>90</v>
      </c>
      <c r="K197" s="27">
        <v>2.5E8</v>
      </c>
      <c r="L197" s="29">
        <v>1.99</v>
      </c>
      <c r="M197" s="14"/>
      <c r="N197" s="14"/>
      <c r="O197" s="14"/>
      <c r="P197" s="14" t="s">
        <v>84</v>
      </c>
      <c r="Q197" s="36"/>
      <c r="R197" s="36"/>
      <c r="S197" s="36"/>
      <c r="T197" s="36"/>
      <c r="V197" s="31"/>
    </row>
    <row r="198">
      <c r="A198" s="14" t="s">
        <v>679</v>
      </c>
      <c r="B198" s="14" t="s">
        <v>963</v>
      </c>
      <c r="C198" s="112" t="s">
        <v>964</v>
      </c>
      <c r="D198" s="14" t="s">
        <v>40</v>
      </c>
      <c r="E198" s="20" t="str">
        <f t="shared" si="2"/>
        <v>diciembre 2024</v>
      </c>
      <c r="F198" s="22">
        <v>45636.0</v>
      </c>
      <c r="G198" s="24">
        <f t="shared" ref="G198:H198" si="203">F198</f>
        <v>45636</v>
      </c>
      <c r="H198" s="26">
        <f t="shared" si="203"/>
        <v>45636</v>
      </c>
      <c r="I198" s="14" t="s">
        <v>259</v>
      </c>
      <c r="K198" s="27">
        <v>1.0E8</v>
      </c>
      <c r="L198" s="29">
        <v>1.99</v>
      </c>
      <c r="M198" s="14"/>
      <c r="N198" s="14"/>
      <c r="O198" s="14"/>
      <c r="P198" s="14"/>
      <c r="Q198" s="36"/>
      <c r="R198" s="36"/>
      <c r="S198" s="36"/>
      <c r="T198" s="36"/>
      <c r="V198" s="31"/>
    </row>
    <row r="199">
      <c r="A199" s="14" t="s">
        <v>679</v>
      </c>
      <c r="B199" s="14" t="s">
        <v>965</v>
      </c>
      <c r="C199" s="124" t="s">
        <v>966</v>
      </c>
      <c r="D199" s="14" t="s">
        <v>40</v>
      </c>
      <c r="E199" s="20" t="str">
        <f t="shared" si="2"/>
        <v>diciembre 2024</v>
      </c>
      <c r="F199" s="22">
        <v>45636.0</v>
      </c>
      <c r="G199" s="24">
        <f t="shared" ref="G199:H199" si="204">F199</f>
        <v>45636</v>
      </c>
      <c r="H199" s="26">
        <f t="shared" si="204"/>
        <v>45636</v>
      </c>
      <c r="I199" s="14" t="s">
        <v>259</v>
      </c>
      <c r="K199" s="27">
        <v>2.5E8</v>
      </c>
      <c r="L199" s="29">
        <v>1.99</v>
      </c>
      <c r="M199" s="14"/>
      <c r="N199" s="14"/>
      <c r="O199" s="14"/>
      <c r="P199" s="14"/>
      <c r="Q199" s="36"/>
      <c r="R199" s="36"/>
      <c r="S199" s="36"/>
      <c r="T199" s="36"/>
      <c r="V199" s="31"/>
    </row>
    <row r="200">
      <c r="A200" s="14" t="s">
        <v>679</v>
      </c>
      <c r="B200" s="14" t="s">
        <v>970</v>
      </c>
      <c r="C200" s="124" t="s">
        <v>971</v>
      </c>
      <c r="D200" s="14" t="s">
        <v>40</v>
      </c>
      <c r="E200" s="20" t="str">
        <f t="shared" si="2"/>
        <v>diciembre 2024</v>
      </c>
      <c r="F200" s="22">
        <v>45636.0</v>
      </c>
      <c r="G200" s="24">
        <f t="shared" ref="G200:H200" si="205">F200</f>
        <v>45636</v>
      </c>
      <c r="H200" s="26">
        <f t="shared" si="205"/>
        <v>45636</v>
      </c>
      <c r="I200" s="14" t="s">
        <v>259</v>
      </c>
      <c r="K200" s="27">
        <v>7.0E7</v>
      </c>
      <c r="L200" s="29">
        <v>1.99</v>
      </c>
      <c r="M200" s="14"/>
      <c r="N200" s="14"/>
      <c r="O200" s="14"/>
      <c r="P200" s="14"/>
      <c r="Q200" s="36"/>
      <c r="R200" s="36"/>
      <c r="S200" s="36"/>
      <c r="T200" s="36"/>
      <c r="V200" s="31"/>
    </row>
    <row r="201">
      <c r="A201" s="14" t="s">
        <v>36</v>
      </c>
      <c r="B201" s="156" t="s">
        <v>975</v>
      </c>
      <c r="C201" s="112" t="s">
        <v>976</v>
      </c>
      <c r="D201" s="14" t="s">
        <v>40</v>
      </c>
      <c r="E201" s="20" t="str">
        <f t="shared" si="2"/>
        <v>diciembre 2024</v>
      </c>
      <c r="F201" s="22">
        <v>45631.0</v>
      </c>
      <c r="G201" s="24">
        <f t="shared" ref="G201:H201" si="206">F201</f>
        <v>45631</v>
      </c>
      <c r="H201" s="26">
        <f t="shared" si="206"/>
        <v>45631</v>
      </c>
      <c r="I201" s="14" t="s">
        <v>259</v>
      </c>
      <c r="J201" s="14" t="s">
        <v>260</v>
      </c>
      <c r="K201" s="27">
        <v>5.0E7</v>
      </c>
      <c r="L201" s="29" t="s">
        <v>951</v>
      </c>
      <c r="M201" s="31"/>
      <c r="N201" s="31"/>
      <c r="O201" s="31"/>
      <c r="Q201" s="36"/>
      <c r="R201" s="36"/>
      <c r="S201" s="36"/>
      <c r="T201" s="36"/>
      <c r="V201" s="31"/>
    </row>
    <row r="202">
      <c r="A202" s="14" t="s">
        <v>117</v>
      </c>
      <c r="B202" s="14" t="s">
        <v>977</v>
      </c>
      <c r="C202" s="112" t="s">
        <v>978</v>
      </c>
      <c r="D202" s="14" t="s">
        <v>40</v>
      </c>
      <c r="E202" s="20" t="str">
        <f t="shared" si="2"/>
        <v>diciembre 2024</v>
      </c>
      <c r="F202" s="22">
        <v>45631.0</v>
      </c>
      <c r="G202" s="24">
        <f t="shared" ref="G202:H202" si="207">F202</f>
        <v>45631</v>
      </c>
      <c r="H202" s="26">
        <f t="shared" si="207"/>
        <v>45631</v>
      </c>
      <c r="I202" s="14" t="s">
        <v>259</v>
      </c>
      <c r="J202" s="14" t="s">
        <v>285</v>
      </c>
      <c r="K202" s="27">
        <v>1.2E8</v>
      </c>
      <c r="L202" s="29" t="s">
        <v>980</v>
      </c>
      <c r="M202" s="31"/>
      <c r="N202" s="31"/>
      <c r="O202" s="31"/>
      <c r="Q202" s="36"/>
      <c r="R202" s="36"/>
      <c r="S202" s="36"/>
      <c r="T202" s="36"/>
      <c r="V202" s="31"/>
    </row>
    <row r="203">
      <c r="A203" s="14" t="s">
        <v>117</v>
      </c>
      <c r="B203" s="14" t="s">
        <v>981</v>
      </c>
      <c r="C203" s="14" t="s">
        <v>982</v>
      </c>
      <c r="D203" s="14" t="s">
        <v>40</v>
      </c>
      <c r="E203" s="20" t="str">
        <f t="shared" si="2"/>
        <v>enero 2025</v>
      </c>
      <c r="F203" s="22">
        <v>45658.0</v>
      </c>
      <c r="G203" s="24">
        <f t="shared" ref="G203:H203" si="208">F203</f>
        <v>45658</v>
      </c>
      <c r="H203" s="26">
        <f t="shared" si="208"/>
        <v>45658</v>
      </c>
      <c r="I203" s="14" t="s">
        <v>259</v>
      </c>
      <c r="J203" s="14" t="s">
        <v>285</v>
      </c>
      <c r="K203" s="27">
        <v>7.0E7</v>
      </c>
      <c r="L203" s="29">
        <v>1.79</v>
      </c>
      <c r="M203" s="14"/>
      <c r="N203" s="14"/>
      <c r="O203" s="14"/>
      <c r="P203" s="14" t="s">
        <v>339</v>
      </c>
      <c r="Q203" s="163"/>
      <c r="R203" s="163"/>
      <c r="S203" s="36"/>
      <c r="T203" s="36"/>
      <c r="V203" s="31"/>
    </row>
    <row r="204">
      <c r="A204" s="14" t="s">
        <v>117</v>
      </c>
      <c r="B204" s="14" t="s">
        <v>981</v>
      </c>
      <c r="C204" s="14" t="s">
        <v>986</v>
      </c>
      <c r="D204" s="14" t="s">
        <v>40</v>
      </c>
      <c r="E204" s="20" t="str">
        <f t="shared" si="2"/>
        <v>enero 2025</v>
      </c>
      <c r="F204" s="22">
        <v>45658.0</v>
      </c>
      <c r="G204" s="24">
        <f t="shared" ref="G204:H204" si="209">F204</f>
        <v>45658</v>
      </c>
      <c r="H204" s="26">
        <f t="shared" si="209"/>
        <v>45658</v>
      </c>
      <c r="I204" s="14" t="s">
        <v>259</v>
      </c>
      <c r="J204" s="14" t="s">
        <v>285</v>
      </c>
      <c r="K204" s="27">
        <v>1.5E8</v>
      </c>
      <c r="L204" s="29">
        <v>1.79</v>
      </c>
      <c r="M204" s="14"/>
      <c r="N204" s="14"/>
      <c r="O204" s="14"/>
      <c r="P204" s="14" t="s">
        <v>339</v>
      </c>
      <c r="Q204" s="163"/>
      <c r="R204" s="163"/>
      <c r="S204" s="36"/>
      <c r="T204" s="36"/>
      <c r="V204" s="31"/>
    </row>
    <row r="205">
      <c r="A205" s="14" t="s">
        <v>117</v>
      </c>
      <c r="B205" s="14" t="s">
        <v>981</v>
      </c>
      <c r="C205" s="14" t="s">
        <v>989</v>
      </c>
      <c r="D205" s="14" t="s">
        <v>40</v>
      </c>
      <c r="E205" s="20" t="str">
        <f t="shared" si="2"/>
        <v>enero 2025</v>
      </c>
      <c r="F205" s="22">
        <v>45658.0</v>
      </c>
      <c r="G205" s="24">
        <f t="shared" ref="G205:H205" si="210">F205</f>
        <v>45658</v>
      </c>
      <c r="H205" s="26">
        <f t="shared" si="210"/>
        <v>45658</v>
      </c>
      <c r="I205" s="14" t="s">
        <v>259</v>
      </c>
      <c r="J205" s="14" t="s">
        <v>285</v>
      </c>
      <c r="K205" s="27">
        <v>2.5E8</v>
      </c>
      <c r="L205" s="29">
        <v>1.79</v>
      </c>
      <c r="M205" s="14"/>
      <c r="N205" s="14"/>
      <c r="O205" s="14"/>
      <c r="P205" s="14" t="s">
        <v>339</v>
      </c>
      <c r="Q205" s="163"/>
      <c r="R205" s="163"/>
      <c r="S205" s="36"/>
      <c r="T205" s="36"/>
      <c r="V205" s="31"/>
    </row>
    <row r="206">
      <c r="A206" s="14" t="s">
        <v>117</v>
      </c>
      <c r="B206" s="14" t="s">
        <v>981</v>
      </c>
      <c r="C206" s="14" t="s">
        <v>990</v>
      </c>
      <c r="D206" s="14" t="s">
        <v>40</v>
      </c>
      <c r="E206" s="20" t="str">
        <f t="shared" si="2"/>
        <v>enero 2025</v>
      </c>
      <c r="F206" s="22">
        <v>45658.0</v>
      </c>
      <c r="G206" s="24">
        <f t="shared" ref="G206:H206" si="211">F206</f>
        <v>45658</v>
      </c>
      <c r="H206" s="26">
        <f t="shared" si="211"/>
        <v>45658</v>
      </c>
      <c r="I206" s="14" t="s">
        <v>259</v>
      </c>
      <c r="J206" s="14" t="s">
        <v>285</v>
      </c>
      <c r="K206" s="27">
        <v>7.0E7</v>
      </c>
      <c r="L206" s="29">
        <v>1.79</v>
      </c>
      <c r="M206" s="14"/>
      <c r="N206" s="14"/>
      <c r="O206" s="14"/>
      <c r="P206" s="14" t="s">
        <v>339</v>
      </c>
      <c r="Q206" s="163"/>
      <c r="R206" s="163"/>
      <c r="S206" s="36"/>
      <c r="T206" s="36"/>
      <c r="V206" s="31"/>
    </row>
    <row r="207">
      <c r="A207" s="14" t="s">
        <v>36</v>
      </c>
      <c r="B207" s="14" t="s">
        <v>992</v>
      </c>
      <c r="C207" s="140" t="s">
        <v>994</v>
      </c>
      <c r="D207" s="14" t="s">
        <v>40</v>
      </c>
      <c r="E207" s="20" t="str">
        <f t="shared" si="2"/>
        <v>enero 2025</v>
      </c>
      <c r="F207" s="22">
        <v>45678.0</v>
      </c>
      <c r="G207" s="24">
        <f t="shared" ref="G207:H207" si="212">F207</f>
        <v>45678</v>
      </c>
      <c r="H207" s="26">
        <f t="shared" si="212"/>
        <v>45678</v>
      </c>
      <c r="I207" s="14" t="s">
        <v>90</v>
      </c>
      <c r="K207" s="27">
        <v>7.0E7</v>
      </c>
      <c r="L207" s="29" t="s">
        <v>704</v>
      </c>
      <c r="M207" s="14"/>
      <c r="N207" s="14"/>
      <c r="O207" s="14"/>
      <c r="P207" s="14" t="s">
        <v>75</v>
      </c>
      <c r="Q207" s="35" t="s">
        <v>995</v>
      </c>
      <c r="R207" s="35" t="s">
        <v>996</v>
      </c>
      <c r="S207" s="36"/>
      <c r="T207" s="36"/>
      <c r="V207" s="31"/>
    </row>
    <row r="208">
      <c r="A208" s="14" t="s">
        <v>208</v>
      </c>
      <c r="B208" s="14" t="s">
        <v>997</v>
      </c>
      <c r="C208" s="14" t="s">
        <v>998</v>
      </c>
      <c r="D208" s="14" t="s">
        <v>40</v>
      </c>
      <c r="E208" s="20" t="str">
        <f t="shared" si="2"/>
        <v>enero 2025</v>
      </c>
      <c r="F208" s="22">
        <v>45667.0</v>
      </c>
      <c r="G208" s="24">
        <f t="shared" ref="G208:H208" si="213">F208</f>
        <v>45667</v>
      </c>
      <c r="H208" s="26">
        <f t="shared" si="213"/>
        <v>45667</v>
      </c>
      <c r="I208" s="14" t="s">
        <v>259</v>
      </c>
      <c r="J208" s="14" t="s">
        <v>260</v>
      </c>
      <c r="K208" s="27">
        <v>9.0E7</v>
      </c>
      <c r="L208" s="29" t="s">
        <v>999</v>
      </c>
      <c r="M208" s="31"/>
      <c r="N208" s="31"/>
      <c r="O208" s="31"/>
      <c r="Q208" s="35"/>
      <c r="R208" s="36"/>
      <c r="S208" s="36"/>
      <c r="T208" s="36"/>
      <c r="V208" s="31"/>
    </row>
    <row r="209">
      <c r="A209" s="14" t="s">
        <v>736</v>
      </c>
      <c r="B209" s="14" t="s">
        <v>1001</v>
      </c>
      <c r="C209" s="37" t="s">
        <v>1003</v>
      </c>
      <c r="D209" s="14" t="s">
        <v>40</v>
      </c>
      <c r="E209" s="20" t="str">
        <f t="shared" si="2"/>
        <v>enero 2025</v>
      </c>
      <c r="F209" s="22">
        <v>45679.0</v>
      </c>
      <c r="G209" s="24">
        <f t="shared" ref="G209:H209" si="214">F209</f>
        <v>45679</v>
      </c>
      <c r="H209" s="26">
        <f t="shared" si="214"/>
        <v>45679</v>
      </c>
      <c r="I209" s="14" t="s">
        <v>90</v>
      </c>
      <c r="K209" s="27">
        <v>2.0E7</v>
      </c>
      <c r="L209" s="29" t="s">
        <v>1005</v>
      </c>
      <c r="M209" s="31"/>
      <c r="N209" s="31"/>
      <c r="O209" s="31"/>
      <c r="Q209" s="35"/>
      <c r="R209" s="36"/>
      <c r="S209" s="36"/>
      <c r="T209" s="36"/>
      <c r="V209" s="31"/>
    </row>
    <row r="210">
      <c r="A210" s="14" t="s">
        <v>679</v>
      </c>
      <c r="B210" s="14" t="s">
        <v>1006</v>
      </c>
      <c r="C210" s="37" t="s">
        <v>1007</v>
      </c>
      <c r="D210" s="14" t="s">
        <v>40</v>
      </c>
      <c r="E210" s="20" t="str">
        <f t="shared" si="2"/>
        <v>enero 2025</v>
      </c>
      <c r="F210" s="22">
        <v>45672.0</v>
      </c>
      <c r="G210" s="24">
        <f t="shared" ref="G210:H210" si="215">F210</f>
        <v>45672</v>
      </c>
      <c r="H210" s="26">
        <f t="shared" si="215"/>
        <v>45672</v>
      </c>
      <c r="I210" s="14" t="s">
        <v>259</v>
      </c>
      <c r="K210" s="27">
        <v>3.0E7</v>
      </c>
      <c r="L210" s="29" t="s">
        <v>1008</v>
      </c>
      <c r="M210" s="31"/>
      <c r="N210" s="31"/>
      <c r="O210" s="31"/>
      <c r="Q210" s="35"/>
      <c r="R210" s="36"/>
      <c r="S210" s="36"/>
      <c r="T210" s="36"/>
      <c r="V210" s="31"/>
    </row>
    <row r="211">
      <c r="A211" s="14" t="s">
        <v>736</v>
      </c>
      <c r="B211" s="14" t="s">
        <v>1009</v>
      </c>
      <c r="C211" s="14" t="s">
        <v>1010</v>
      </c>
      <c r="D211" s="14" t="s">
        <v>40</v>
      </c>
      <c r="E211" s="20" t="str">
        <f t="shared" si="2"/>
        <v>enero 2025</v>
      </c>
      <c r="F211" s="22">
        <v>45679.0</v>
      </c>
      <c r="G211" s="24">
        <f t="shared" ref="G211:H211" si="216">F211</f>
        <v>45679</v>
      </c>
      <c r="H211" s="26">
        <f t="shared" si="216"/>
        <v>45679</v>
      </c>
      <c r="I211" s="14" t="s">
        <v>90</v>
      </c>
      <c r="K211" s="27">
        <v>2.0E7</v>
      </c>
      <c r="L211" s="29" t="s">
        <v>1005</v>
      </c>
      <c r="M211" s="31"/>
      <c r="N211" s="31"/>
      <c r="O211" s="31"/>
      <c r="Q211" s="35"/>
      <c r="R211" s="36"/>
      <c r="S211" s="36"/>
      <c r="T211" s="36"/>
      <c r="V211" s="31"/>
    </row>
    <row r="212">
      <c r="A212" s="14" t="s">
        <v>1012</v>
      </c>
      <c r="B212" s="14" t="s">
        <v>1013</v>
      </c>
      <c r="C212" s="14" t="s">
        <v>1014</v>
      </c>
      <c r="D212" s="14" t="s">
        <v>40</v>
      </c>
      <c r="E212" s="20" t="str">
        <f t="shared" si="2"/>
        <v>enero 2025</v>
      </c>
      <c r="F212" s="22">
        <v>45673.0</v>
      </c>
      <c r="G212" s="24">
        <f t="shared" ref="G212:H212" si="217">F212</f>
        <v>45673</v>
      </c>
      <c r="H212" s="26">
        <f t="shared" si="217"/>
        <v>45673</v>
      </c>
      <c r="I212" s="14" t="s">
        <v>259</v>
      </c>
      <c r="J212" s="14" t="s">
        <v>304</v>
      </c>
      <c r="K212" s="27">
        <v>2.0E7</v>
      </c>
      <c r="L212" s="29" t="s">
        <v>1016</v>
      </c>
      <c r="M212" s="14"/>
      <c r="N212" s="14"/>
      <c r="O212" s="14"/>
      <c r="P212" s="14" t="s">
        <v>339</v>
      </c>
      <c r="Q212" s="35"/>
      <c r="R212" s="36"/>
      <c r="S212" s="36"/>
      <c r="T212" s="36"/>
      <c r="V212" s="31"/>
    </row>
    <row r="213">
      <c r="A213" s="14" t="s">
        <v>208</v>
      </c>
      <c r="B213" s="14" t="s">
        <v>1017</v>
      </c>
      <c r="C213" s="14" t="s">
        <v>1018</v>
      </c>
      <c r="D213" s="14" t="s">
        <v>40</v>
      </c>
      <c r="E213" s="20" t="str">
        <f t="shared" si="2"/>
        <v>enero 2025</v>
      </c>
      <c r="F213" s="22">
        <v>45679.0</v>
      </c>
      <c r="G213" s="24">
        <f t="shared" ref="G213:H213" si="218">F213</f>
        <v>45679</v>
      </c>
      <c r="H213" s="26">
        <f t="shared" si="218"/>
        <v>45679</v>
      </c>
      <c r="I213" s="14" t="s">
        <v>259</v>
      </c>
      <c r="J213" s="14" t="s">
        <v>260</v>
      </c>
      <c r="K213" s="27">
        <v>3.0E7</v>
      </c>
      <c r="L213" s="29" t="s">
        <v>1020</v>
      </c>
      <c r="M213" s="31"/>
      <c r="N213" s="31"/>
      <c r="O213" s="31"/>
      <c r="Q213" s="35"/>
      <c r="R213" s="36"/>
      <c r="S213" s="36"/>
      <c r="T213" s="36"/>
      <c r="V213" s="31"/>
    </row>
    <row r="214">
      <c r="A214" s="14" t="s">
        <v>117</v>
      </c>
      <c r="B214" s="14" t="s">
        <v>981</v>
      </c>
      <c r="C214" s="14" t="s">
        <v>1021</v>
      </c>
      <c r="D214" s="14" t="s">
        <v>40</v>
      </c>
      <c r="E214" s="20" t="str">
        <f t="shared" si="2"/>
        <v>febrero 2025</v>
      </c>
      <c r="F214" s="22">
        <v>45689.0</v>
      </c>
      <c r="G214" s="24">
        <f t="shared" ref="G214:H214" si="219">F214</f>
        <v>45689</v>
      </c>
      <c r="H214" s="26">
        <f t="shared" si="219"/>
        <v>45689</v>
      </c>
      <c r="I214" s="14" t="s">
        <v>90</v>
      </c>
      <c r="K214" s="27">
        <v>1.0E8</v>
      </c>
      <c r="L214" s="29">
        <v>1.79</v>
      </c>
      <c r="M214" s="14"/>
      <c r="N214" s="14"/>
      <c r="O214" s="14"/>
      <c r="P214" s="14" t="s">
        <v>339</v>
      </c>
      <c r="Q214" s="163"/>
      <c r="R214" s="163"/>
      <c r="S214" s="36"/>
      <c r="T214" s="36"/>
      <c r="V214" s="31"/>
    </row>
    <row r="215">
      <c r="A215" s="14" t="s">
        <v>679</v>
      </c>
      <c r="B215" s="14" t="s">
        <v>1023</v>
      </c>
      <c r="C215" s="14" t="s">
        <v>1024</v>
      </c>
      <c r="D215" s="14" t="s">
        <v>40</v>
      </c>
      <c r="E215" s="20" t="str">
        <f t="shared" si="2"/>
        <v>febrero 2025</v>
      </c>
      <c r="F215" s="22">
        <v>45689.0</v>
      </c>
      <c r="G215" s="24">
        <f t="shared" ref="G215:H215" si="220">F215</f>
        <v>45689</v>
      </c>
      <c r="H215" s="26">
        <f t="shared" si="220"/>
        <v>45689</v>
      </c>
      <c r="I215" s="14" t="s">
        <v>90</v>
      </c>
      <c r="K215" s="27">
        <v>3.0E7</v>
      </c>
      <c r="L215" s="29" t="s">
        <v>618</v>
      </c>
      <c r="M215" s="14"/>
      <c r="N215" s="14"/>
      <c r="O215" s="14"/>
      <c r="P215" s="14"/>
      <c r="Q215" s="163"/>
      <c r="R215" s="163"/>
      <c r="S215" s="36"/>
      <c r="T215" s="36"/>
      <c r="V215" s="31"/>
    </row>
    <row r="216">
      <c r="A216" s="14" t="s">
        <v>679</v>
      </c>
      <c r="B216" s="14" t="s">
        <v>1026</v>
      </c>
      <c r="C216" s="14" t="s">
        <v>1027</v>
      </c>
      <c r="D216" s="14" t="s">
        <v>40</v>
      </c>
      <c r="E216" s="20" t="str">
        <f t="shared" si="2"/>
        <v>febrero 2025</v>
      </c>
      <c r="F216" s="22">
        <v>45694.0</v>
      </c>
      <c r="G216" s="24">
        <f t="shared" ref="G216:H216" si="221">F216</f>
        <v>45694</v>
      </c>
      <c r="H216" s="26">
        <f t="shared" si="221"/>
        <v>45694</v>
      </c>
      <c r="I216" s="14" t="s">
        <v>90</v>
      </c>
      <c r="K216" s="27">
        <v>4.0E7</v>
      </c>
      <c r="L216" s="29" t="s">
        <v>1029</v>
      </c>
      <c r="M216" s="14"/>
      <c r="N216" s="14"/>
      <c r="O216" s="14"/>
      <c r="P216" s="14"/>
      <c r="Q216" s="163"/>
      <c r="R216" s="163"/>
      <c r="S216" s="36"/>
      <c r="T216" s="36"/>
      <c r="V216" s="31"/>
    </row>
    <row r="217">
      <c r="A217" s="14" t="s">
        <v>679</v>
      </c>
      <c r="B217" s="14" t="s">
        <v>1031</v>
      </c>
      <c r="C217" s="14" t="s">
        <v>1032</v>
      </c>
      <c r="D217" s="14" t="s">
        <v>40</v>
      </c>
      <c r="E217" s="20" t="str">
        <f t="shared" si="2"/>
        <v>febrero 2025</v>
      </c>
      <c r="F217" s="22">
        <v>45698.0</v>
      </c>
      <c r="G217" s="24">
        <f t="shared" ref="G217:H217" si="222">F217</f>
        <v>45698</v>
      </c>
      <c r="H217" s="26">
        <f t="shared" si="222"/>
        <v>45698</v>
      </c>
      <c r="I217" s="14" t="s">
        <v>90</v>
      </c>
      <c r="K217" s="27">
        <v>6.0E7</v>
      </c>
      <c r="L217" s="29" t="s">
        <v>1033</v>
      </c>
      <c r="M217" s="14"/>
      <c r="N217" s="14"/>
      <c r="O217" s="14"/>
      <c r="P217" s="14"/>
      <c r="Q217" s="163"/>
      <c r="R217" s="163"/>
      <c r="S217" s="36"/>
      <c r="T217" s="36"/>
      <c r="V217" s="31"/>
    </row>
    <row r="218">
      <c r="A218" s="14" t="s">
        <v>679</v>
      </c>
      <c r="B218" s="14" t="s">
        <v>1034</v>
      </c>
      <c r="C218" s="14" t="s">
        <v>1035</v>
      </c>
      <c r="D218" s="14" t="s">
        <v>40</v>
      </c>
      <c r="E218" s="20" t="str">
        <f t="shared" si="2"/>
        <v>febrero 2025</v>
      </c>
      <c r="F218" s="22">
        <v>45709.0</v>
      </c>
      <c r="G218" s="24">
        <f t="shared" ref="G218:H218" si="223">F218</f>
        <v>45709</v>
      </c>
      <c r="H218" s="26">
        <f t="shared" si="223"/>
        <v>45709</v>
      </c>
      <c r="I218" s="14" t="s">
        <v>259</v>
      </c>
      <c r="J218" s="14" t="s">
        <v>260</v>
      </c>
      <c r="K218" s="27">
        <v>1.0E8</v>
      </c>
      <c r="L218" s="29" t="s">
        <v>1036</v>
      </c>
      <c r="M218" s="14"/>
      <c r="N218" s="14"/>
      <c r="O218" s="14"/>
      <c r="P218" s="14"/>
      <c r="Q218" s="163"/>
      <c r="R218" s="163"/>
      <c r="S218" s="36"/>
      <c r="T218" s="36"/>
      <c r="V218" s="31"/>
    </row>
    <row r="219">
      <c r="A219" s="14" t="s">
        <v>36</v>
      </c>
      <c r="B219" s="14" t="s">
        <v>1037</v>
      </c>
      <c r="C219" s="140" t="s">
        <v>1038</v>
      </c>
      <c r="D219" s="14" t="s">
        <v>40</v>
      </c>
      <c r="E219" s="20" t="str">
        <f t="shared" si="2"/>
        <v>febrero 2025</v>
      </c>
      <c r="F219" s="22">
        <v>45691.0</v>
      </c>
      <c r="G219" s="24">
        <f t="shared" ref="G219:H219" si="224">F219</f>
        <v>45691</v>
      </c>
      <c r="H219" s="26">
        <f t="shared" si="224"/>
        <v>45691</v>
      </c>
      <c r="I219" s="14" t="s">
        <v>259</v>
      </c>
      <c r="J219" s="14" t="s">
        <v>260</v>
      </c>
      <c r="K219" s="27">
        <v>4.0E7</v>
      </c>
      <c r="L219" s="29" t="s">
        <v>915</v>
      </c>
      <c r="M219" s="31"/>
      <c r="N219" s="31"/>
      <c r="O219" s="31"/>
      <c r="Q219" s="36"/>
      <c r="R219" s="36"/>
      <c r="S219" s="36"/>
      <c r="T219" s="36"/>
      <c r="V219" s="31"/>
    </row>
    <row r="220">
      <c r="A220" s="14" t="s">
        <v>36</v>
      </c>
      <c r="B220" s="14" t="s">
        <v>1039</v>
      </c>
      <c r="C220" s="140" t="s">
        <v>1040</v>
      </c>
      <c r="D220" s="14" t="s">
        <v>40</v>
      </c>
      <c r="E220" s="20" t="str">
        <f t="shared" si="2"/>
        <v>febrero 2025</v>
      </c>
      <c r="F220" s="22">
        <v>45696.0</v>
      </c>
      <c r="G220" s="24">
        <f t="shared" ref="G220:H220" si="225">F220</f>
        <v>45696</v>
      </c>
      <c r="H220" s="26">
        <f t="shared" si="225"/>
        <v>45696</v>
      </c>
      <c r="I220" s="14" t="s">
        <v>259</v>
      </c>
      <c r="J220" s="14" t="s">
        <v>260</v>
      </c>
      <c r="K220" s="27">
        <v>9.0E7</v>
      </c>
      <c r="L220" s="29" t="s">
        <v>999</v>
      </c>
      <c r="M220" s="31"/>
      <c r="N220" s="31"/>
      <c r="O220" s="31"/>
      <c r="Q220" s="36"/>
      <c r="R220" s="36"/>
      <c r="S220" s="36"/>
      <c r="T220" s="36"/>
      <c r="V220" s="31"/>
    </row>
    <row r="221">
      <c r="A221" s="14" t="s">
        <v>117</v>
      </c>
      <c r="B221" s="14" t="s">
        <v>1043</v>
      </c>
      <c r="C221" s="14" t="s">
        <v>1044</v>
      </c>
      <c r="D221" s="14" t="s">
        <v>40</v>
      </c>
      <c r="E221" s="20" t="str">
        <f t="shared" si="2"/>
        <v>febrero 2025</v>
      </c>
      <c r="F221" s="22">
        <v>45698.0</v>
      </c>
      <c r="G221" s="24">
        <f t="shared" ref="G221:H221" si="226">F221</f>
        <v>45698</v>
      </c>
      <c r="H221" s="26">
        <f t="shared" si="226"/>
        <v>45698</v>
      </c>
      <c r="I221" s="14" t="s">
        <v>90</v>
      </c>
      <c r="K221" s="27">
        <v>6.0E7</v>
      </c>
      <c r="L221" s="29" t="s">
        <v>999</v>
      </c>
      <c r="M221" s="14"/>
      <c r="N221" s="14"/>
      <c r="O221" s="14"/>
      <c r="P221" s="14" t="s">
        <v>84</v>
      </c>
      <c r="Q221" s="36"/>
      <c r="R221" s="36"/>
      <c r="S221" s="36"/>
      <c r="T221" s="36"/>
      <c r="V221" s="31"/>
    </row>
    <row r="222">
      <c r="A222" s="14" t="s">
        <v>1045</v>
      </c>
      <c r="B222" s="14" t="s">
        <v>1046</v>
      </c>
      <c r="C222" s="15" t="s">
        <v>1047</v>
      </c>
      <c r="D222" s="14" t="s">
        <v>40</v>
      </c>
      <c r="E222" s="20" t="str">
        <f t="shared" si="2"/>
        <v>febrero 2025</v>
      </c>
      <c r="F222" s="22">
        <v>45696.0</v>
      </c>
      <c r="G222" s="24">
        <f t="shared" ref="G222:H222" si="227">F222</f>
        <v>45696</v>
      </c>
      <c r="H222" s="26">
        <f t="shared" si="227"/>
        <v>45696</v>
      </c>
      <c r="I222" s="14" t="s">
        <v>90</v>
      </c>
      <c r="K222" s="27">
        <v>1.0E7</v>
      </c>
      <c r="L222" s="29" t="s">
        <v>91</v>
      </c>
      <c r="M222" s="31"/>
      <c r="N222" s="31"/>
      <c r="O222" s="31"/>
      <c r="Q222" s="36"/>
      <c r="R222" s="36"/>
      <c r="S222" s="36"/>
      <c r="T222" s="36"/>
      <c r="V222" s="31"/>
    </row>
    <row r="223">
      <c r="A223" s="14" t="s">
        <v>1045</v>
      </c>
      <c r="B223" s="14" t="s">
        <v>1048</v>
      </c>
      <c r="C223" s="15" t="s">
        <v>1049</v>
      </c>
      <c r="D223" s="14" t="s">
        <v>40</v>
      </c>
      <c r="E223" s="20" t="str">
        <f t="shared" si="2"/>
        <v>febrero 2025</v>
      </c>
      <c r="F223" s="22">
        <v>45705.0</v>
      </c>
      <c r="G223" s="24">
        <f t="shared" ref="G223:H223" si="228">F223</f>
        <v>45705</v>
      </c>
      <c r="H223" s="26">
        <f t="shared" si="228"/>
        <v>45705</v>
      </c>
      <c r="I223" s="14" t="s">
        <v>90</v>
      </c>
      <c r="K223" s="27">
        <v>2.0E7</v>
      </c>
      <c r="L223" s="29" t="s">
        <v>91</v>
      </c>
      <c r="M223" s="31"/>
      <c r="N223" s="31"/>
      <c r="O223" s="31"/>
      <c r="Q223" s="36"/>
      <c r="R223" s="36"/>
      <c r="S223" s="36"/>
      <c r="T223" s="36"/>
      <c r="V223" s="31"/>
    </row>
    <row r="224">
      <c r="A224" s="14" t="s">
        <v>117</v>
      </c>
      <c r="B224" s="14" t="s">
        <v>1053</v>
      </c>
      <c r="C224" s="14" t="s">
        <v>1054</v>
      </c>
      <c r="D224" s="14" t="s">
        <v>40</v>
      </c>
      <c r="E224" s="20" t="str">
        <f t="shared" si="2"/>
        <v>febrero 2025</v>
      </c>
      <c r="F224" s="22">
        <v>45701.0</v>
      </c>
      <c r="G224" s="24">
        <f t="shared" ref="G224:H224" si="229">F224</f>
        <v>45701</v>
      </c>
      <c r="H224" s="26">
        <f t="shared" si="229"/>
        <v>45701</v>
      </c>
      <c r="I224" s="14" t="s">
        <v>90</v>
      </c>
      <c r="K224" s="27">
        <v>2.0E7</v>
      </c>
      <c r="L224" s="29" t="s">
        <v>1055</v>
      </c>
      <c r="M224" s="31"/>
      <c r="N224" s="31"/>
      <c r="O224" s="31"/>
      <c r="Q224" s="36"/>
      <c r="R224" s="36"/>
      <c r="S224" s="36"/>
      <c r="T224" s="36"/>
      <c r="V224" s="31"/>
    </row>
    <row r="225">
      <c r="A225" s="14" t="s">
        <v>36</v>
      </c>
      <c r="B225" s="14" t="s">
        <v>1056</v>
      </c>
      <c r="C225" s="177" t="s">
        <v>1057</v>
      </c>
      <c r="D225" s="14" t="s">
        <v>40</v>
      </c>
      <c r="E225" s="20" t="str">
        <f t="shared" si="2"/>
        <v>febrero 2025</v>
      </c>
      <c r="F225" s="22">
        <v>45706.0</v>
      </c>
      <c r="G225" s="24">
        <f t="shared" ref="G225:H225" si="230">F225</f>
        <v>45706</v>
      </c>
      <c r="H225" s="26">
        <f t="shared" si="230"/>
        <v>45706</v>
      </c>
      <c r="I225" s="14" t="s">
        <v>90</v>
      </c>
      <c r="K225" s="27">
        <v>1.5E8</v>
      </c>
      <c r="L225" s="29" t="s">
        <v>999</v>
      </c>
      <c r="M225" s="14"/>
      <c r="N225" s="14"/>
      <c r="O225" s="14"/>
      <c r="P225" s="14" t="s">
        <v>75</v>
      </c>
      <c r="Q225" s="36"/>
      <c r="R225" s="36"/>
      <c r="S225" s="36"/>
      <c r="T225" s="36"/>
      <c r="V225" s="31"/>
    </row>
    <row r="226">
      <c r="A226" s="14" t="s">
        <v>1045</v>
      </c>
      <c r="B226" s="14" t="s">
        <v>1060</v>
      </c>
      <c r="C226" s="15" t="s">
        <v>1061</v>
      </c>
      <c r="D226" s="14" t="s">
        <v>40</v>
      </c>
      <c r="E226" s="20" t="str">
        <f t="shared" si="2"/>
        <v>febrero 2025</v>
      </c>
      <c r="F226" s="22">
        <v>45709.0</v>
      </c>
      <c r="G226" s="24">
        <f t="shared" ref="G226:H226" si="231">F226</f>
        <v>45709</v>
      </c>
      <c r="H226" s="26">
        <f t="shared" si="231"/>
        <v>45709</v>
      </c>
      <c r="I226" s="14" t="s">
        <v>90</v>
      </c>
      <c r="K226" s="27">
        <v>2.0E7</v>
      </c>
      <c r="L226" s="29" t="s">
        <v>91</v>
      </c>
      <c r="M226" s="31"/>
      <c r="N226" s="31"/>
      <c r="O226" s="31"/>
      <c r="Q226" s="36"/>
      <c r="R226" s="36"/>
      <c r="S226" s="36"/>
      <c r="T226" s="36"/>
      <c r="V226" s="31"/>
    </row>
    <row r="227">
      <c r="A227" s="14" t="s">
        <v>736</v>
      </c>
      <c r="B227" s="14" t="s">
        <v>1062</v>
      </c>
      <c r="C227" s="27" t="s">
        <v>1063</v>
      </c>
      <c r="D227" s="14" t="s">
        <v>40</v>
      </c>
      <c r="E227" s="20" t="str">
        <f t="shared" si="2"/>
        <v>febrero 2025</v>
      </c>
      <c r="F227" s="22">
        <v>45706.0</v>
      </c>
      <c r="G227" s="24">
        <f t="shared" ref="G227:H227" si="232">F227</f>
        <v>45706</v>
      </c>
      <c r="H227" s="26">
        <f t="shared" si="232"/>
        <v>45706</v>
      </c>
      <c r="I227" s="14" t="s">
        <v>90</v>
      </c>
      <c r="K227" s="27">
        <v>1.0E7</v>
      </c>
      <c r="L227" s="78"/>
      <c r="M227" s="31"/>
      <c r="N227" s="31"/>
      <c r="O227" s="31"/>
      <c r="Q227" s="36"/>
      <c r="R227" s="36"/>
      <c r="S227" s="36"/>
      <c r="T227" s="36"/>
      <c r="V227" s="31"/>
    </row>
    <row r="228">
      <c r="A228" s="14" t="s">
        <v>736</v>
      </c>
      <c r="B228" s="14" t="s">
        <v>1071</v>
      </c>
      <c r="C228" s="27" t="s">
        <v>1072</v>
      </c>
      <c r="D228" s="14" t="s">
        <v>40</v>
      </c>
      <c r="E228" s="20" t="str">
        <f t="shared" si="2"/>
        <v>febrero 2025</v>
      </c>
      <c r="F228" s="22">
        <v>45709.0</v>
      </c>
      <c r="G228" s="24">
        <f t="shared" ref="G228:H228" si="233">F228</f>
        <v>45709</v>
      </c>
      <c r="H228" s="26">
        <f t="shared" si="233"/>
        <v>45709</v>
      </c>
      <c r="I228" s="14" t="s">
        <v>259</v>
      </c>
      <c r="J228" s="141" t="s">
        <v>726</v>
      </c>
      <c r="K228" s="27">
        <v>6.0E7</v>
      </c>
      <c r="L228" s="78"/>
      <c r="M228" s="14"/>
      <c r="N228" s="14"/>
      <c r="O228" s="14"/>
      <c r="P228" s="14" t="s">
        <v>75</v>
      </c>
      <c r="Q228" s="36"/>
      <c r="R228" s="36"/>
      <c r="S228" s="36"/>
      <c r="T228" s="36"/>
      <c r="V228" s="31"/>
    </row>
    <row r="229">
      <c r="A229" s="14" t="s">
        <v>736</v>
      </c>
      <c r="B229" s="14" t="s">
        <v>1073</v>
      </c>
      <c r="C229" s="27" t="s">
        <v>1074</v>
      </c>
      <c r="D229" s="14" t="s">
        <v>40</v>
      </c>
      <c r="E229" s="20" t="str">
        <f t="shared" si="2"/>
        <v>febrero 2025</v>
      </c>
      <c r="F229" s="22">
        <v>45691.0</v>
      </c>
      <c r="G229" s="24">
        <f t="shared" ref="G229:H229" si="234">F229</f>
        <v>45691</v>
      </c>
      <c r="H229" s="26">
        <f t="shared" si="234"/>
        <v>45691</v>
      </c>
      <c r="I229" s="14" t="s">
        <v>259</v>
      </c>
      <c r="J229" s="14" t="s">
        <v>304</v>
      </c>
      <c r="K229" s="27">
        <v>1.0E7</v>
      </c>
      <c r="L229" s="78"/>
      <c r="M229" s="31"/>
      <c r="N229" s="31"/>
      <c r="O229" s="31"/>
      <c r="Q229" s="36"/>
      <c r="R229" s="36"/>
      <c r="S229" s="36"/>
      <c r="T229" s="36"/>
      <c r="V229" s="31"/>
    </row>
    <row r="230">
      <c r="A230" s="34" t="s">
        <v>1075</v>
      </c>
      <c r="B230" s="34" t="s">
        <v>1077</v>
      </c>
      <c r="C230" s="184" t="s">
        <v>1078</v>
      </c>
      <c r="D230" s="34" t="s">
        <v>40</v>
      </c>
      <c r="E230" s="20" t="str">
        <f t="shared" si="2"/>
        <v>febrero 2025</v>
      </c>
      <c r="F230" s="22">
        <v>45693.0</v>
      </c>
      <c r="G230" s="24">
        <f t="shared" ref="G230:H230" si="235">F230</f>
        <v>45693</v>
      </c>
      <c r="H230" s="26">
        <f t="shared" si="235"/>
        <v>45693</v>
      </c>
      <c r="I230" s="34" t="s">
        <v>90</v>
      </c>
      <c r="J230" s="34"/>
      <c r="K230" s="187">
        <v>2.0E7</v>
      </c>
      <c r="L230" s="188" t="s">
        <v>1005</v>
      </c>
      <c r="M230" s="34"/>
      <c r="N230" s="34"/>
      <c r="O230" s="34"/>
      <c r="P230" s="34"/>
      <c r="Q230" s="36"/>
      <c r="R230" s="36"/>
      <c r="S230" s="36"/>
      <c r="T230" s="36"/>
      <c r="V230" s="31"/>
    </row>
    <row r="231">
      <c r="A231" s="34" t="s">
        <v>1075</v>
      </c>
      <c r="B231" s="34" t="s">
        <v>1089</v>
      </c>
      <c r="C231" s="184" t="s">
        <v>1090</v>
      </c>
      <c r="D231" s="34" t="s">
        <v>40</v>
      </c>
      <c r="E231" s="20" t="str">
        <f t="shared" si="2"/>
        <v>febrero 2025</v>
      </c>
      <c r="F231" s="22">
        <v>45693.0</v>
      </c>
      <c r="G231" s="24">
        <f t="shared" ref="G231:H231" si="236">F231</f>
        <v>45693</v>
      </c>
      <c r="H231" s="26">
        <f t="shared" si="236"/>
        <v>45693</v>
      </c>
      <c r="I231" s="34" t="s">
        <v>90</v>
      </c>
      <c r="J231" s="34"/>
      <c r="K231" s="187">
        <v>2.0E7</v>
      </c>
      <c r="L231" s="188" t="s">
        <v>1005</v>
      </c>
      <c r="M231" s="34"/>
      <c r="N231" s="34"/>
      <c r="O231" s="34"/>
      <c r="P231" s="34"/>
      <c r="Q231" s="36"/>
      <c r="R231" s="36"/>
      <c r="S231" s="36"/>
      <c r="T231" s="36"/>
      <c r="V231" s="31"/>
    </row>
    <row r="232">
      <c r="A232" s="34" t="s">
        <v>1075</v>
      </c>
      <c r="B232" s="184" t="s">
        <v>1095</v>
      </c>
      <c r="C232" s="184" t="s">
        <v>1097</v>
      </c>
      <c r="D232" s="34" t="s">
        <v>40</v>
      </c>
      <c r="E232" s="20" t="str">
        <f t="shared" si="2"/>
        <v>febrero 2025</v>
      </c>
      <c r="F232" s="22">
        <v>45693.0</v>
      </c>
      <c r="G232" s="24">
        <f t="shared" ref="G232:H232" si="237">F232</f>
        <v>45693</v>
      </c>
      <c r="H232" s="26">
        <f t="shared" si="237"/>
        <v>45693</v>
      </c>
      <c r="I232" s="34" t="s">
        <v>90</v>
      </c>
      <c r="J232" s="34"/>
      <c r="K232" s="189">
        <v>6.0E7</v>
      </c>
      <c r="L232" s="188" t="s">
        <v>1036</v>
      </c>
      <c r="M232" s="34"/>
      <c r="N232" s="34"/>
      <c r="O232" s="34"/>
      <c r="P232" s="34"/>
      <c r="Q232" s="36"/>
      <c r="R232" s="36"/>
      <c r="S232" s="36"/>
      <c r="T232" s="36"/>
      <c r="V232" s="31"/>
    </row>
    <row r="233">
      <c r="A233" s="34" t="s">
        <v>1075</v>
      </c>
      <c r="B233" s="34" t="s">
        <v>1105</v>
      </c>
      <c r="C233" s="184" t="s">
        <v>1107</v>
      </c>
      <c r="D233" s="34" t="s">
        <v>40</v>
      </c>
      <c r="E233" s="20" t="str">
        <f t="shared" si="2"/>
        <v>febrero 2025</v>
      </c>
      <c r="F233" s="22">
        <v>45693.0</v>
      </c>
      <c r="G233" s="24">
        <f t="shared" ref="G233:H233" si="238">F233</f>
        <v>45693</v>
      </c>
      <c r="H233" s="26">
        <f t="shared" si="238"/>
        <v>45693</v>
      </c>
      <c r="I233" s="34" t="s">
        <v>90</v>
      </c>
      <c r="J233" s="34"/>
      <c r="K233" s="189">
        <v>6.0E7</v>
      </c>
      <c r="L233" s="188" t="s">
        <v>1036</v>
      </c>
      <c r="M233" s="34"/>
      <c r="N233" s="34"/>
      <c r="O233" s="34"/>
      <c r="P233" s="34"/>
      <c r="Q233" s="36"/>
      <c r="R233" s="36"/>
      <c r="S233" s="36"/>
      <c r="T233" s="36"/>
      <c r="V233" s="31"/>
    </row>
    <row r="234">
      <c r="A234" s="34" t="s">
        <v>1075</v>
      </c>
      <c r="B234" s="34" t="s">
        <v>1113</v>
      </c>
      <c r="C234" s="184" t="s">
        <v>1114</v>
      </c>
      <c r="D234" s="34" t="s">
        <v>40</v>
      </c>
      <c r="E234" s="20" t="str">
        <f t="shared" si="2"/>
        <v>febrero 2025</v>
      </c>
      <c r="F234" s="22">
        <v>45693.0</v>
      </c>
      <c r="G234" s="24">
        <f t="shared" ref="G234:H234" si="239">F234</f>
        <v>45693</v>
      </c>
      <c r="H234" s="26">
        <f t="shared" si="239"/>
        <v>45693</v>
      </c>
      <c r="I234" s="34" t="s">
        <v>90</v>
      </c>
      <c r="J234" s="34"/>
      <c r="K234" s="189">
        <v>6.0E7</v>
      </c>
      <c r="L234" s="188" t="s">
        <v>1036</v>
      </c>
      <c r="M234" s="34"/>
      <c r="N234" s="34"/>
      <c r="O234" s="34"/>
      <c r="P234" s="34"/>
      <c r="Q234" s="36"/>
      <c r="R234" s="36"/>
      <c r="S234" s="36"/>
      <c r="T234" s="36"/>
      <c r="V234" s="31"/>
    </row>
    <row r="235">
      <c r="A235" s="34" t="s">
        <v>1075</v>
      </c>
      <c r="B235" s="34" t="s">
        <v>1122</v>
      </c>
      <c r="C235" s="184" t="s">
        <v>1123</v>
      </c>
      <c r="D235" s="34" t="s">
        <v>40</v>
      </c>
      <c r="E235" s="20" t="str">
        <f t="shared" si="2"/>
        <v>febrero 2025</v>
      </c>
      <c r="F235" s="22">
        <v>45693.0</v>
      </c>
      <c r="G235" s="24">
        <f t="shared" ref="G235:H235" si="240">F235</f>
        <v>45693</v>
      </c>
      <c r="H235" s="26">
        <f t="shared" si="240"/>
        <v>45693</v>
      </c>
      <c r="I235" s="123" t="s">
        <v>259</v>
      </c>
      <c r="J235" s="34"/>
      <c r="K235" s="190">
        <v>3.2E8</v>
      </c>
      <c r="L235" s="188">
        <v>1.79</v>
      </c>
      <c r="M235" s="34"/>
      <c r="N235" s="34"/>
      <c r="O235" s="34"/>
      <c r="P235" s="34" t="s">
        <v>75</v>
      </c>
      <c r="Q235" s="36"/>
      <c r="R235" s="36"/>
      <c r="S235" s="36"/>
      <c r="T235" s="36"/>
      <c r="V235" s="31"/>
    </row>
    <row r="236">
      <c r="A236" s="14" t="s">
        <v>36</v>
      </c>
      <c r="B236" s="14" t="s">
        <v>1129</v>
      </c>
      <c r="C236" s="14" t="s">
        <v>1130</v>
      </c>
      <c r="D236" s="14" t="s">
        <v>40</v>
      </c>
      <c r="E236" s="20" t="str">
        <f t="shared" si="2"/>
        <v>marzo 2025</v>
      </c>
      <c r="F236" s="22">
        <v>45723.0</v>
      </c>
      <c r="G236" s="24">
        <f t="shared" ref="G236:H236" si="241">F236</f>
        <v>45723</v>
      </c>
      <c r="H236" s="26">
        <f t="shared" si="241"/>
        <v>45723</v>
      </c>
      <c r="I236" s="14" t="s">
        <v>259</v>
      </c>
      <c r="J236" s="141" t="s">
        <v>726</v>
      </c>
      <c r="K236" s="27">
        <v>4.0E7</v>
      </c>
      <c r="L236" s="29" t="s">
        <v>1134</v>
      </c>
      <c r="M236" s="31"/>
      <c r="N236" s="31"/>
      <c r="O236" s="31"/>
      <c r="Q236" s="36"/>
      <c r="R236" s="36"/>
      <c r="S236" s="36"/>
      <c r="T236" s="36"/>
      <c r="V236" s="31"/>
    </row>
    <row r="237">
      <c r="A237" s="14" t="s">
        <v>36</v>
      </c>
      <c r="B237" s="14" t="s">
        <v>1136</v>
      </c>
      <c r="C237" s="14" t="s">
        <v>1137</v>
      </c>
      <c r="D237" s="14" t="s">
        <v>40</v>
      </c>
      <c r="E237" s="20" t="str">
        <f t="shared" si="2"/>
        <v>marzo 2025</v>
      </c>
      <c r="F237" s="22">
        <v>45727.0</v>
      </c>
      <c r="G237" s="24">
        <f t="shared" ref="G237:H237" si="242">F237</f>
        <v>45727</v>
      </c>
      <c r="H237" s="26">
        <f t="shared" si="242"/>
        <v>45727</v>
      </c>
      <c r="I237" s="14" t="s">
        <v>259</v>
      </c>
      <c r="J237" s="141" t="s">
        <v>726</v>
      </c>
      <c r="K237" s="27">
        <v>4.5E8</v>
      </c>
      <c r="L237" s="29" t="s">
        <v>1143</v>
      </c>
      <c r="M237" s="14"/>
      <c r="N237" s="14"/>
      <c r="O237" s="14"/>
      <c r="P237" s="14" t="s">
        <v>75</v>
      </c>
      <c r="Q237" s="36"/>
      <c r="R237" s="36"/>
      <c r="S237" s="36"/>
      <c r="T237" s="36"/>
      <c r="V237" s="31"/>
    </row>
    <row r="238">
      <c r="A238" s="14" t="s">
        <v>36</v>
      </c>
      <c r="B238" s="14" t="s">
        <v>1145</v>
      </c>
      <c r="C238" s="14" t="s">
        <v>1146</v>
      </c>
      <c r="D238" s="14" t="s">
        <v>40</v>
      </c>
      <c r="E238" s="20" t="str">
        <f t="shared" si="2"/>
        <v>marzo 2025</v>
      </c>
      <c r="F238" s="22">
        <v>45727.0</v>
      </c>
      <c r="G238" s="24">
        <f t="shared" ref="G238:H238" si="243">F238</f>
        <v>45727</v>
      </c>
      <c r="H238" s="26">
        <f t="shared" si="243"/>
        <v>45727</v>
      </c>
      <c r="I238" s="14" t="s">
        <v>90</v>
      </c>
      <c r="K238" s="27">
        <v>7.0E7</v>
      </c>
      <c r="L238" s="29" t="s">
        <v>1153</v>
      </c>
      <c r="M238" s="14"/>
      <c r="N238" s="14"/>
      <c r="O238" s="14"/>
      <c r="P238" s="14" t="s">
        <v>75</v>
      </c>
      <c r="Q238" s="36"/>
      <c r="R238" s="36"/>
      <c r="S238" s="36"/>
      <c r="T238" s="36"/>
      <c r="V238" s="31"/>
    </row>
    <row r="239">
      <c r="A239" s="14" t="s">
        <v>117</v>
      </c>
      <c r="B239" s="14" t="s">
        <v>1157</v>
      </c>
      <c r="C239" s="14" t="s">
        <v>1158</v>
      </c>
      <c r="D239" s="14" t="s">
        <v>40</v>
      </c>
      <c r="E239" s="20" t="str">
        <f t="shared" si="2"/>
        <v>marzo 2025</v>
      </c>
      <c r="F239" s="22">
        <v>45727.0</v>
      </c>
      <c r="G239" s="24">
        <f t="shared" ref="G239:H239" si="244">F239</f>
        <v>45727</v>
      </c>
      <c r="H239" s="26">
        <f t="shared" si="244"/>
        <v>45727</v>
      </c>
      <c r="I239" s="14" t="s">
        <v>259</v>
      </c>
      <c r="J239" s="141" t="s">
        <v>726</v>
      </c>
      <c r="K239" s="27">
        <v>2.0E7</v>
      </c>
      <c r="L239" s="29" t="s">
        <v>1016</v>
      </c>
      <c r="M239" s="31"/>
      <c r="N239" s="31"/>
      <c r="O239" s="31"/>
      <c r="Q239" s="36"/>
      <c r="R239" s="36"/>
      <c r="S239" s="36"/>
      <c r="T239" s="36"/>
      <c r="V239" s="31"/>
    </row>
    <row r="240">
      <c r="A240" s="14" t="s">
        <v>117</v>
      </c>
      <c r="B240" s="14" t="s">
        <v>1162</v>
      </c>
      <c r="C240" s="14" t="s">
        <v>1163</v>
      </c>
      <c r="D240" s="14" t="s">
        <v>40</v>
      </c>
      <c r="E240" s="20" t="str">
        <f t="shared" si="2"/>
        <v>marzo 2025</v>
      </c>
      <c r="F240" s="22">
        <v>45729.0</v>
      </c>
      <c r="G240" s="24">
        <f t="shared" ref="G240:H240" si="245">F240</f>
        <v>45729</v>
      </c>
      <c r="H240" s="26">
        <f t="shared" si="245"/>
        <v>45729</v>
      </c>
      <c r="I240" s="14" t="s">
        <v>259</v>
      </c>
      <c r="J240" s="141" t="s">
        <v>726</v>
      </c>
      <c r="K240" s="27">
        <v>2.5E8</v>
      </c>
      <c r="L240" s="188" t="s">
        <v>1036</v>
      </c>
      <c r="M240" s="14"/>
      <c r="N240" s="14" t="s">
        <v>84</v>
      </c>
      <c r="O240" s="14"/>
      <c r="P240" s="14" t="s">
        <v>84</v>
      </c>
      <c r="Q240" s="36"/>
      <c r="R240" s="36"/>
      <c r="S240" s="36"/>
      <c r="T240" s="36"/>
      <c r="V240" s="31"/>
    </row>
    <row r="241">
      <c r="A241" s="34" t="s">
        <v>1075</v>
      </c>
      <c r="B241" s="34" t="s">
        <v>1169</v>
      </c>
      <c r="C241" s="38" t="s">
        <v>1170</v>
      </c>
      <c r="D241" s="34" t="s">
        <v>40</v>
      </c>
      <c r="E241" s="20" t="str">
        <f t="shared" si="2"/>
        <v>marzo 2025</v>
      </c>
      <c r="F241" s="22">
        <v>45721.0</v>
      </c>
      <c r="G241" s="24">
        <f t="shared" ref="G241:H241" si="246">F241</f>
        <v>45721</v>
      </c>
      <c r="H241" s="26">
        <f t="shared" si="246"/>
        <v>45721</v>
      </c>
      <c r="I241" s="34" t="s">
        <v>90</v>
      </c>
      <c r="J241" s="34"/>
      <c r="K241" s="190">
        <v>9.0E7</v>
      </c>
      <c r="L241" s="188" t="s">
        <v>1174</v>
      </c>
      <c r="M241" s="34"/>
      <c r="N241" s="34"/>
      <c r="O241" s="34"/>
      <c r="P241" s="34"/>
      <c r="Q241" s="36"/>
      <c r="R241" s="36"/>
      <c r="S241" s="36"/>
      <c r="T241" s="36"/>
      <c r="V241" s="31"/>
    </row>
    <row r="242">
      <c r="A242" s="34" t="s">
        <v>1075</v>
      </c>
      <c r="B242" s="34" t="s">
        <v>1180</v>
      </c>
      <c r="C242" s="191" t="s">
        <v>1181</v>
      </c>
      <c r="D242" s="34" t="s">
        <v>40</v>
      </c>
      <c r="E242" s="20" t="str">
        <f t="shared" si="2"/>
        <v>marzo 2025</v>
      </c>
      <c r="F242" s="22">
        <v>45721.0</v>
      </c>
      <c r="G242" s="24">
        <f t="shared" ref="G242:H242" si="247">F242</f>
        <v>45721</v>
      </c>
      <c r="H242" s="26">
        <f t="shared" si="247"/>
        <v>45721</v>
      </c>
      <c r="I242" s="34" t="s">
        <v>90</v>
      </c>
      <c r="J242" s="34"/>
      <c r="K242" s="190">
        <v>2.5E8</v>
      </c>
      <c r="L242" s="188" t="s">
        <v>1174</v>
      </c>
      <c r="M242" s="34"/>
      <c r="N242" s="34"/>
      <c r="O242" s="34"/>
      <c r="P242" s="34"/>
      <c r="Q242" s="36"/>
      <c r="R242" s="36"/>
      <c r="S242" s="36"/>
      <c r="T242" s="36"/>
      <c r="V242" s="31"/>
    </row>
    <row r="243">
      <c r="A243" s="14" t="s">
        <v>1045</v>
      </c>
      <c r="B243" s="14" t="s">
        <v>1190</v>
      </c>
      <c r="C243" s="15" t="s">
        <v>1191</v>
      </c>
      <c r="D243" s="14" t="s">
        <v>40</v>
      </c>
      <c r="E243" s="20" t="str">
        <f t="shared" si="2"/>
        <v>marzo 2025</v>
      </c>
      <c r="F243" s="22">
        <v>45734.0</v>
      </c>
      <c r="G243" s="24">
        <f t="shared" ref="G243:H243" si="248">F243</f>
        <v>45734</v>
      </c>
      <c r="H243" s="26">
        <f t="shared" si="248"/>
        <v>45734</v>
      </c>
      <c r="I243" s="14" t="s">
        <v>90</v>
      </c>
      <c r="K243" s="27">
        <v>1.0E7</v>
      </c>
      <c r="L243" s="29" t="s">
        <v>1195</v>
      </c>
      <c r="M243" s="31"/>
      <c r="N243" s="31"/>
      <c r="O243" s="31"/>
      <c r="Q243" s="36"/>
      <c r="R243" s="36"/>
      <c r="S243" s="36"/>
      <c r="T243" s="36"/>
      <c r="V243" s="31"/>
    </row>
    <row r="244">
      <c r="A244" s="14" t="s">
        <v>1045</v>
      </c>
      <c r="B244" s="14" t="s">
        <v>1198</v>
      </c>
      <c r="C244" s="15" t="s">
        <v>1199</v>
      </c>
      <c r="D244" s="14" t="s">
        <v>40</v>
      </c>
      <c r="E244" s="20" t="str">
        <f t="shared" si="2"/>
        <v>marzo 2025</v>
      </c>
      <c r="F244" s="22">
        <v>45734.0</v>
      </c>
      <c r="G244" s="24">
        <f t="shared" ref="G244:H244" si="249">F244</f>
        <v>45734</v>
      </c>
      <c r="H244" s="26">
        <f t="shared" si="249"/>
        <v>45734</v>
      </c>
      <c r="I244" s="14" t="s">
        <v>90</v>
      </c>
      <c r="K244" s="27">
        <v>1000000.0</v>
      </c>
      <c r="L244" s="29" t="s">
        <v>1203</v>
      </c>
      <c r="M244" s="31"/>
      <c r="N244" s="31"/>
      <c r="O244" s="31"/>
      <c r="Q244" s="36"/>
      <c r="R244" s="36"/>
      <c r="S244" s="36"/>
      <c r="T244" s="36"/>
      <c r="V244" s="31"/>
    </row>
    <row r="245">
      <c r="A245" s="14" t="s">
        <v>736</v>
      </c>
      <c r="B245" s="14" t="s">
        <v>1205</v>
      </c>
      <c r="C245" s="27" t="s">
        <v>1207</v>
      </c>
      <c r="D245" s="14" t="s">
        <v>40</v>
      </c>
      <c r="E245" s="20" t="str">
        <f t="shared" si="2"/>
        <v>marzo 2025</v>
      </c>
      <c r="F245" s="22">
        <v>45717.0</v>
      </c>
      <c r="G245" s="24">
        <f t="shared" ref="G245:H245" si="250">F245</f>
        <v>45717</v>
      </c>
      <c r="H245" s="26">
        <f t="shared" si="250"/>
        <v>45717</v>
      </c>
      <c r="I245" s="14" t="s">
        <v>259</v>
      </c>
      <c r="J245" s="141" t="s">
        <v>726</v>
      </c>
      <c r="K245" s="27">
        <v>5.0E7</v>
      </c>
      <c r="L245" s="29" t="s">
        <v>1210</v>
      </c>
      <c r="M245" s="14"/>
      <c r="N245" s="14"/>
      <c r="O245" s="14"/>
      <c r="P245" s="14" t="s">
        <v>75</v>
      </c>
      <c r="Q245" s="36"/>
      <c r="R245" s="36"/>
      <c r="S245" s="36"/>
      <c r="T245" s="36"/>
      <c r="V245" s="31"/>
    </row>
    <row r="246">
      <c r="A246" s="14" t="s">
        <v>736</v>
      </c>
      <c r="B246" s="14" t="s">
        <v>1213</v>
      </c>
      <c r="C246" s="27" t="s">
        <v>1214</v>
      </c>
      <c r="D246" s="14" t="s">
        <v>40</v>
      </c>
      <c r="E246" s="20" t="str">
        <f t="shared" si="2"/>
        <v>marzo 2025</v>
      </c>
      <c r="F246" s="22">
        <v>45724.0</v>
      </c>
      <c r="G246" s="24">
        <f t="shared" ref="G246:H246" si="251">F246</f>
        <v>45724</v>
      </c>
      <c r="H246" s="26">
        <f t="shared" si="251"/>
        <v>45724</v>
      </c>
      <c r="I246" s="14" t="s">
        <v>259</v>
      </c>
      <c r="J246" s="14" t="s">
        <v>285</v>
      </c>
      <c r="K246" s="27">
        <v>4.0E7</v>
      </c>
      <c r="L246" s="29" t="s">
        <v>1210</v>
      </c>
      <c r="M246" s="31"/>
      <c r="N246" s="31"/>
      <c r="O246" s="31"/>
      <c r="Q246" s="36"/>
      <c r="R246" s="36"/>
      <c r="S246" s="36"/>
      <c r="T246" s="36"/>
      <c r="V246" s="31"/>
    </row>
    <row r="247">
      <c r="A247" s="14" t="s">
        <v>736</v>
      </c>
      <c r="B247" s="14" t="s">
        <v>1222</v>
      </c>
      <c r="C247" s="27" t="s">
        <v>1224</v>
      </c>
      <c r="D247" s="14" t="s">
        <v>40</v>
      </c>
      <c r="E247" s="20" t="str">
        <f t="shared" si="2"/>
        <v>marzo 2025</v>
      </c>
      <c r="F247" s="22">
        <v>45726.0</v>
      </c>
      <c r="G247" s="24">
        <f t="shared" ref="G247:H247" si="252">F247</f>
        <v>45726</v>
      </c>
      <c r="H247" s="26">
        <f t="shared" si="252"/>
        <v>45726</v>
      </c>
      <c r="I247" s="14" t="s">
        <v>90</v>
      </c>
      <c r="K247" s="27">
        <v>2.0E7</v>
      </c>
      <c r="L247" s="29" t="s">
        <v>1203</v>
      </c>
      <c r="M247" s="31"/>
      <c r="N247" s="31"/>
      <c r="O247" s="31"/>
      <c r="Q247" s="36"/>
      <c r="R247" s="36"/>
      <c r="S247" s="36"/>
      <c r="T247" s="36"/>
      <c r="V247" s="31"/>
    </row>
    <row r="248">
      <c r="A248" s="14" t="s">
        <v>736</v>
      </c>
      <c r="B248" s="14" t="s">
        <v>1235</v>
      </c>
      <c r="C248" s="27" t="s">
        <v>1236</v>
      </c>
      <c r="D248" s="14" t="s">
        <v>40</v>
      </c>
      <c r="E248" s="20" t="str">
        <f t="shared" si="2"/>
        <v>marzo 2025</v>
      </c>
      <c r="F248" s="22">
        <v>45726.0</v>
      </c>
      <c r="G248" s="24">
        <f t="shared" ref="G248:H248" si="253">F248</f>
        <v>45726</v>
      </c>
      <c r="H248" s="26">
        <f t="shared" si="253"/>
        <v>45726</v>
      </c>
      <c r="I248" s="14" t="s">
        <v>90</v>
      </c>
      <c r="K248" s="27">
        <v>5000000.0</v>
      </c>
      <c r="L248" s="29" t="s">
        <v>1203</v>
      </c>
      <c r="M248" s="31"/>
      <c r="N248" s="31"/>
      <c r="O248" s="31"/>
      <c r="Q248" s="36"/>
      <c r="R248" s="36"/>
      <c r="S248" s="36"/>
      <c r="T248" s="36"/>
      <c r="V248" s="31"/>
    </row>
    <row r="249">
      <c r="A249" s="14" t="s">
        <v>736</v>
      </c>
      <c r="B249" s="14" t="s">
        <v>1244</v>
      </c>
      <c r="C249" s="27" t="s">
        <v>1245</v>
      </c>
      <c r="D249" s="14" t="s">
        <v>40</v>
      </c>
      <c r="E249" s="20" t="str">
        <f t="shared" si="2"/>
        <v>marzo 2025</v>
      </c>
      <c r="F249" s="22">
        <v>45734.0</v>
      </c>
      <c r="G249" s="24">
        <f t="shared" ref="G249:H249" si="254">F249</f>
        <v>45734</v>
      </c>
      <c r="H249" s="26">
        <f t="shared" si="254"/>
        <v>45734</v>
      </c>
      <c r="I249" s="14" t="s">
        <v>90</v>
      </c>
      <c r="K249" s="27">
        <v>1.0E7</v>
      </c>
      <c r="L249" s="29" t="s">
        <v>1203</v>
      </c>
      <c r="M249" s="31"/>
      <c r="N249" s="31"/>
      <c r="O249" s="31"/>
      <c r="Q249" s="36"/>
      <c r="R249" s="36"/>
      <c r="S249" s="36"/>
      <c r="T249" s="36"/>
      <c r="V249" s="31"/>
    </row>
    <row r="250" ht="15.75" customHeight="1">
      <c r="A250" s="14" t="s">
        <v>736</v>
      </c>
      <c r="B250" s="14" t="s">
        <v>1253</v>
      </c>
      <c r="C250" s="192" t="s">
        <v>1254</v>
      </c>
      <c r="D250" s="14" t="s">
        <v>40</v>
      </c>
      <c r="E250" s="20" t="str">
        <f t="shared" si="2"/>
        <v>marzo 2025</v>
      </c>
      <c r="F250" s="22">
        <v>45739.0</v>
      </c>
      <c r="G250" s="24">
        <f t="shared" ref="G250:H250" si="255">F250</f>
        <v>45739</v>
      </c>
      <c r="H250" s="26">
        <f t="shared" si="255"/>
        <v>45739</v>
      </c>
      <c r="I250" s="14" t="s">
        <v>90</v>
      </c>
      <c r="K250" s="27">
        <v>1000000.0</v>
      </c>
      <c r="L250" s="29" t="s">
        <v>1203</v>
      </c>
      <c r="M250" s="31"/>
      <c r="N250" s="31"/>
      <c r="O250" s="31"/>
      <c r="Q250" s="36"/>
      <c r="R250" s="36"/>
      <c r="S250" s="36"/>
      <c r="T250" s="36"/>
      <c r="V250" s="31"/>
    </row>
    <row r="251" ht="15.75" customHeight="1">
      <c r="A251" s="14" t="s">
        <v>36</v>
      </c>
      <c r="B251" s="14" t="s">
        <v>1266</v>
      </c>
      <c r="C251" s="193" t="s">
        <v>1267</v>
      </c>
      <c r="D251" s="14" t="s">
        <v>40</v>
      </c>
      <c r="E251" s="20" t="str">
        <f t="shared" si="2"/>
        <v>marzo 2025</v>
      </c>
      <c r="F251" s="22">
        <v>45736.0</v>
      </c>
      <c r="G251" s="24">
        <f t="shared" ref="G251:H251" si="256">F251</f>
        <v>45736</v>
      </c>
      <c r="H251" s="26">
        <f t="shared" si="256"/>
        <v>45736</v>
      </c>
      <c r="I251" s="14" t="s">
        <v>90</v>
      </c>
      <c r="K251" s="27">
        <v>8.0E7</v>
      </c>
      <c r="L251" s="29" t="s">
        <v>1210</v>
      </c>
      <c r="M251" s="31"/>
      <c r="N251" s="31"/>
      <c r="O251" s="31"/>
      <c r="Q251" s="36"/>
      <c r="R251" s="36"/>
      <c r="S251" s="36"/>
      <c r="T251" s="36"/>
      <c r="V251" s="31"/>
    </row>
    <row r="252">
      <c r="A252" s="14" t="s">
        <v>1045</v>
      </c>
      <c r="B252" s="14" t="s">
        <v>1277</v>
      </c>
      <c r="C252" s="27" t="s">
        <v>1279</v>
      </c>
      <c r="D252" s="14" t="s">
        <v>40</v>
      </c>
      <c r="E252" s="20" t="str">
        <f t="shared" si="2"/>
        <v>marzo 2025</v>
      </c>
      <c r="F252" s="22">
        <v>45738.0</v>
      </c>
      <c r="G252" s="24">
        <f t="shared" ref="G252:H252" si="257">F252</f>
        <v>45738</v>
      </c>
      <c r="H252" s="26">
        <f t="shared" si="257"/>
        <v>45738</v>
      </c>
      <c r="I252" s="14" t="s">
        <v>90</v>
      </c>
      <c r="K252" s="27">
        <v>2.0E7</v>
      </c>
      <c r="L252" s="29" t="s">
        <v>1008</v>
      </c>
      <c r="M252" s="31"/>
      <c r="N252" s="31"/>
      <c r="O252" s="31"/>
      <c r="Q252" s="36"/>
      <c r="R252" s="36"/>
      <c r="S252" s="36"/>
      <c r="T252" s="36"/>
      <c r="V252" s="31"/>
    </row>
    <row r="253">
      <c r="A253" s="14" t="s">
        <v>1045</v>
      </c>
      <c r="B253" s="14" t="s">
        <v>1286</v>
      </c>
      <c r="C253" s="14" t="s">
        <v>1287</v>
      </c>
      <c r="D253" s="14" t="s">
        <v>40</v>
      </c>
      <c r="E253" s="20" t="str">
        <f t="shared" si="2"/>
        <v>marzo 2025</v>
      </c>
      <c r="F253" s="22">
        <v>45745.0</v>
      </c>
      <c r="G253" s="24">
        <f t="shared" ref="G253:H253" si="258">F253</f>
        <v>45745</v>
      </c>
      <c r="H253" s="26">
        <f t="shared" si="258"/>
        <v>45745</v>
      </c>
      <c r="I253" s="14" t="s">
        <v>90</v>
      </c>
      <c r="K253" s="27">
        <v>1.0E7</v>
      </c>
      <c r="L253" s="29" t="s">
        <v>1203</v>
      </c>
      <c r="M253" s="31"/>
      <c r="N253" s="31"/>
      <c r="O253" s="31"/>
      <c r="Q253" s="36"/>
      <c r="R253" s="36"/>
      <c r="S253" s="36"/>
      <c r="T253" s="36"/>
      <c r="V253" s="31"/>
    </row>
    <row r="254">
      <c r="A254" s="14" t="s">
        <v>679</v>
      </c>
      <c r="B254" s="14" t="s">
        <v>1297</v>
      </c>
      <c r="C254" s="14" t="s">
        <v>1298</v>
      </c>
      <c r="D254" s="14" t="s">
        <v>40</v>
      </c>
      <c r="E254" s="20" t="str">
        <f t="shared" si="2"/>
        <v>marzo 2025</v>
      </c>
      <c r="F254" s="22">
        <v>45729.0</v>
      </c>
      <c r="G254" s="24">
        <f t="shared" ref="G254:H254" si="259">F254</f>
        <v>45729</v>
      </c>
      <c r="H254" s="26">
        <f t="shared" si="259"/>
        <v>45729</v>
      </c>
      <c r="I254" s="14" t="s">
        <v>259</v>
      </c>
      <c r="K254" s="27">
        <v>4.0E7</v>
      </c>
      <c r="L254" s="29" t="s">
        <v>1195</v>
      </c>
      <c r="M254" s="31"/>
      <c r="N254" s="31"/>
      <c r="O254" s="31"/>
      <c r="Q254" s="36"/>
      <c r="R254" s="36"/>
      <c r="S254" s="36"/>
      <c r="T254" s="36"/>
      <c r="V254" s="31"/>
    </row>
    <row r="255">
      <c r="A255" s="14" t="s">
        <v>679</v>
      </c>
      <c r="B255" s="14" t="s">
        <v>1308</v>
      </c>
      <c r="C255" s="14" t="s">
        <v>1309</v>
      </c>
      <c r="D255" s="14" t="s">
        <v>40</v>
      </c>
      <c r="E255" s="20" t="str">
        <f t="shared" si="2"/>
        <v>marzo 2025</v>
      </c>
      <c r="F255" s="22">
        <v>45733.0</v>
      </c>
      <c r="G255" s="24">
        <f t="shared" ref="G255:H255" si="260">F255</f>
        <v>45733</v>
      </c>
      <c r="H255" s="26">
        <f t="shared" si="260"/>
        <v>45733</v>
      </c>
      <c r="I255" s="14" t="s">
        <v>90</v>
      </c>
      <c r="K255" s="27">
        <v>5.0E7</v>
      </c>
      <c r="L255" s="29" t="s">
        <v>1203</v>
      </c>
      <c r="M255" s="31"/>
      <c r="N255" s="31"/>
      <c r="O255" s="31"/>
      <c r="Q255" s="36"/>
      <c r="R255" s="36"/>
      <c r="S255" s="36"/>
      <c r="T255" s="36"/>
      <c r="V255" s="31"/>
    </row>
    <row r="256">
      <c r="A256" s="14" t="s">
        <v>1012</v>
      </c>
      <c r="B256" s="14" t="s">
        <v>1313</v>
      </c>
      <c r="C256" s="15" t="s">
        <v>1315</v>
      </c>
      <c r="D256" s="14" t="s">
        <v>40</v>
      </c>
      <c r="E256" s="20" t="str">
        <f t="shared" si="2"/>
        <v>marzo 2025</v>
      </c>
      <c r="F256" s="22">
        <v>45721.0</v>
      </c>
      <c r="G256" s="24">
        <f t="shared" ref="G256:H256" si="261">F256</f>
        <v>45721</v>
      </c>
      <c r="H256" s="26">
        <f t="shared" si="261"/>
        <v>45721</v>
      </c>
      <c r="I256" s="14" t="s">
        <v>90</v>
      </c>
      <c r="K256" s="27">
        <v>1.0E7</v>
      </c>
      <c r="L256" s="29" t="s">
        <v>1203</v>
      </c>
      <c r="M256" s="14"/>
      <c r="N256" s="14"/>
      <c r="O256" s="14"/>
      <c r="P256" s="14"/>
      <c r="Q256" s="36"/>
      <c r="R256" s="36"/>
      <c r="S256" s="36"/>
      <c r="T256" s="36"/>
      <c r="V256" s="31"/>
    </row>
    <row r="257">
      <c r="A257" s="14" t="s">
        <v>1012</v>
      </c>
      <c r="B257" s="14" t="s">
        <v>1320</v>
      </c>
      <c r="C257" s="15" t="s">
        <v>1321</v>
      </c>
      <c r="D257" s="14" t="s">
        <v>40</v>
      </c>
      <c r="E257" s="20" t="str">
        <f t="shared" si="2"/>
        <v>marzo 2025</v>
      </c>
      <c r="F257" s="22">
        <v>45729.0</v>
      </c>
      <c r="G257" s="24">
        <f t="shared" ref="G257:H257" si="262">F257</f>
        <v>45729</v>
      </c>
      <c r="H257" s="26">
        <f t="shared" si="262"/>
        <v>45729</v>
      </c>
      <c r="I257" s="14" t="s">
        <v>90</v>
      </c>
      <c r="K257" s="27">
        <v>2.0E7</v>
      </c>
      <c r="L257" s="29" t="s">
        <v>1203</v>
      </c>
      <c r="M257" s="14"/>
      <c r="N257" s="14"/>
      <c r="O257" s="14"/>
      <c r="P257" s="14"/>
      <c r="Q257" s="36"/>
      <c r="R257" s="36"/>
      <c r="S257" s="36"/>
      <c r="T257" s="36"/>
      <c r="V257" s="31"/>
    </row>
    <row r="258">
      <c r="A258" s="14" t="s">
        <v>1012</v>
      </c>
      <c r="B258" s="14" t="s">
        <v>1325</v>
      </c>
      <c r="C258" s="15" t="s">
        <v>1327</v>
      </c>
      <c r="D258" s="14" t="s">
        <v>40</v>
      </c>
      <c r="E258" s="20" t="str">
        <f t="shared" si="2"/>
        <v>marzo 2025</v>
      </c>
      <c r="F258" s="22">
        <v>45719.0</v>
      </c>
      <c r="G258" s="24">
        <f t="shared" ref="G258:H258" si="263">F258</f>
        <v>45719</v>
      </c>
      <c r="H258" s="26">
        <f t="shared" si="263"/>
        <v>45719</v>
      </c>
      <c r="I258" s="14" t="s">
        <v>90</v>
      </c>
      <c r="K258" s="27">
        <v>7.0E7</v>
      </c>
      <c r="L258" s="29" t="s">
        <v>1203</v>
      </c>
      <c r="M258" s="14"/>
      <c r="N258" s="14"/>
      <c r="O258" s="14"/>
      <c r="P258" s="14"/>
      <c r="Q258" s="36"/>
      <c r="R258" s="36"/>
      <c r="S258" s="36"/>
      <c r="T258" s="36"/>
      <c r="V258" s="31"/>
    </row>
    <row r="259">
      <c r="A259" s="14" t="s">
        <v>1012</v>
      </c>
      <c r="B259" s="14" t="s">
        <v>1331</v>
      </c>
      <c r="C259" s="15" t="s">
        <v>1332</v>
      </c>
      <c r="D259" s="14" t="s">
        <v>40</v>
      </c>
      <c r="E259" s="20" t="str">
        <f t="shared" si="2"/>
        <v>marzo 2025</v>
      </c>
      <c r="F259" s="22">
        <v>45721.0</v>
      </c>
      <c r="G259" s="24">
        <f t="shared" ref="G259:H259" si="264">F259</f>
        <v>45721</v>
      </c>
      <c r="H259" s="26">
        <f t="shared" si="264"/>
        <v>45721</v>
      </c>
      <c r="I259" s="14" t="s">
        <v>90</v>
      </c>
      <c r="K259" s="27">
        <v>1.5E7</v>
      </c>
      <c r="L259" s="29" t="s">
        <v>1203</v>
      </c>
      <c r="M259" s="14"/>
      <c r="N259" s="14"/>
      <c r="O259" s="14"/>
      <c r="P259" s="14"/>
      <c r="Q259" s="36"/>
      <c r="R259" s="36"/>
      <c r="S259" s="36"/>
      <c r="T259" s="36"/>
      <c r="V259" s="31"/>
    </row>
    <row r="260">
      <c r="A260" s="14" t="s">
        <v>1045</v>
      </c>
      <c r="B260" s="14" t="s">
        <v>1338</v>
      </c>
      <c r="C260" s="15" t="s">
        <v>1339</v>
      </c>
      <c r="D260" s="14" t="s">
        <v>40</v>
      </c>
      <c r="E260" s="20" t="str">
        <f t="shared" si="2"/>
        <v>abril 2025</v>
      </c>
      <c r="F260" s="22">
        <v>45748.0</v>
      </c>
      <c r="G260" s="24">
        <f t="shared" ref="G260:H260" si="265">F260</f>
        <v>45748</v>
      </c>
      <c r="H260" s="26">
        <f t="shared" si="265"/>
        <v>45748</v>
      </c>
      <c r="I260" s="14" t="s">
        <v>90</v>
      </c>
      <c r="K260" s="27">
        <v>8.0E7</v>
      </c>
      <c r="L260" s="29" t="s">
        <v>1210</v>
      </c>
      <c r="M260" s="14"/>
      <c r="N260" s="14"/>
      <c r="O260" s="14"/>
      <c r="P260" s="14" t="s">
        <v>75</v>
      </c>
      <c r="Q260" s="36"/>
      <c r="R260" s="36"/>
      <c r="S260" s="36"/>
      <c r="T260" s="36"/>
      <c r="V260" s="31"/>
    </row>
    <row r="261">
      <c r="A261" s="14" t="s">
        <v>117</v>
      </c>
      <c r="B261" s="14" t="s">
        <v>1345</v>
      </c>
      <c r="C261" s="14" t="s">
        <v>1346</v>
      </c>
      <c r="D261" s="14" t="s">
        <v>40</v>
      </c>
      <c r="E261" s="20" t="str">
        <f t="shared" si="2"/>
        <v>abril 2025</v>
      </c>
      <c r="F261" s="22">
        <v>45749.0</v>
      </c>
      <c r="G261" s="24">
        <f t="shared" ref="G261:H261" si="266">F261</f>
        <v>45749</v>
      </c>
      <c r="H261" s="26">
        <f t="shared" si="266"/>
        <v>45749</v>
      </c>
      <c r="I261" s="14" t="s">
        <v>90</v>
      </c>
      <c r="K261" s="27">
        <v>3.0E7</v>
      </c>
      <c r="L261" s="29">
        <v>1.79</v>
      </c>
      <c r="M261" s="14"/>
      <c r="N261" s="14"/>
      <c r="O261" s="14"/>
      <c r="P261" s="14" t="s">
        <v>84</v>
      </c>
      <c r="Q261" s="36"/>
      <c r="R261" s="36"/>
      <c r="S261" s="36"/>
      <c r="T261" s="36"/>
      <c r="V261" s="31"/>
    </row>
    <row r="262">
      <c r="A262" s="14" t="s">
        <v>1045</v>
      </c>
      <c r="B262" s="14" t="s">
        <v>1351</v>
      </c>
      <c r="C262" s="15" t="s">
        <v>1352</v>
      </c>
      <c r="D262" s="14" t="s">
        <v>40</v>
      </c>
      <c r="E262" s="20" t="str">
        <f t="shared" si="2"/>
        <v>abril 2025</v>
      </c>
      <c r="F262" s="22">
        <v>45750.0</v>
      </c>
      <c r="G262" s="24">
        <f t="shared" ref="G262:H262" si="267">F262</f>
        <v>45750</v>
      </c>
      <c r="H262" s="26">
        <f t="shared" si="267"/>
        <v>45750</v>
      </c>
      <c r="I262" s="14" t="s">
        <v>90</v>
      </c>
      <c r="K262" s="27">
        <v>2.0E7</v>
      </c>
      <c r="L262" s="29" t="s">
        <v>1203</v>
      </c>
      <c r="M262" s="31"/>
      <c r="N262" s="31"/>
      <c r="O262" s="31"/>
      <c r="Q262" s="36"/>
      <c r="R262" s="36"/>
      <c r="S262" s="36"/>
      <c r="T262" s="36"/>
      <c r="V262" s="31"/>
    </row>
    <row r="263">
      <c r="A263" s="14" t="s">
        <v>1045</v>
      </c>
      <c r="B263" s="14" t="s">
        <v>1357</v>
      </c>
      <c r="C263" s="15" t="s">
        <v>1358</v>
      </c>
      <c r="D263" s="14" t="s">
        <v>40</v>
      </c>
      <c r="E263" s="20" t="str">
        <f t="shared" si="2"/>
        <v>abril 2025</v>
      </c>
      <c r="F263" s="22">
        <v>45751.0</v>
      </c>
      <c r="G263" s="24">
        <f t="shared" ref="G263:H263" si="268">F263</f>
        <v>45751</v>
      </c>
      <c r="H263" s="26">
        <f t="shared" si="268"/>
        <v>45751</v>
      </c>
      <c r="I263" s="14" t="s">
        <v>90</v>
      </c>
      <c r="K263" s="27">
        <v>1.0E7</v>
      </c>
      <c r="L263" s="29" t="s">
        <v>1203</v>
      </c>
      <c r="M263" s="31"/>
      <c r="N263" s="31"/>
      <c r="O263" s="31"/>
      <c r="Q263" s="36"/>
      <c r="R263" s="36"/>
      <c r="S263" s="36"/>
      <c r="T263" s="36"/>
      <c r="V263" s="31"/>
    </row>
    <row r="264">
      <c r="A264" s="14" t="s">
        <v>1045</v>
      </c>
      <c r="B264" s="14" t="s">
        <v>1363</v>
      </c>
      <c r="C264" s="15" t="s">
        <v>1364</v>
      </c>
      <c r="D264" s="14" t="s">
        <v>40</v>
      </c>
      <c r="E264" s="20" t="str">
        <f t="shared" si="2"/>
        <v>abril 2025</v>
      </c>
      <c r="F264" s="22">
        <v>45750.0</v>
      </c>
      <c r="G264" s="24">
        <f t="shared" ref="G264:H264" si="269">F264</f>
        <v>45750</v>
      </c>
      <c r="H264" s="26">
        <f t="shared" si="269"/>
        <v>45750</v>
      </c>
      <c r="I264" s="14" t="s">
        <v>90</v>
      </c>
      <c r="K264" s="27">
        <v>4.0E7</v>
      </c>
      <c r="L264" s="29" t="s">
        <v>1210</v>
      </c>
      <c r="M264" s="31"/>
      <c r="N264" s="31"/>
      <c r="O264" s="31"/>
      <c r="Q264" s="36"/>
      <c r="R264" s="36"/>
      <c r="S264" s="36"/>
      <c r="T264" s="36"/>
      <c r="V264" s="31"/>
    </row>
    <row r="265">
      <c r="A265" s="14" t="s">
        <v>208</v>
      </c>
      <c r="B265" s="14" t="s">
        <v>1373</v>
      </c>
      <c r="C265" s="14" t="s">
        <v>1374</v>
      </c>
      <c r="D265" s="14" t="s">
        <v>40</v>
      </c>
      <c r="E265" s="20" t="str">
        <f t="shared" si="2"/>
        <v>marzo 2025</v>
      </c>
      <c r="F265" s="22">
        <v>45728.0</v>
      </c>
      <c r="G265" s="24">
        <f t="shared" ref="G265:H265" si="270">F265</f>
        <v>45728</v>
      </c>
      <c r="H265" s="26">
        <f t="shared" si="270"/>
        <v>45728</v>
      </c>
      <c r="I265" s="14" t="s">
        <v>90</v>
      </c>
      <c r="K265" s="27">
        <v>2.0E7</v>
      </c>
      <c r="L265" s="29" t="s">
        <v>1203</v>
      </c>
      <c r="M265" s="31"/>
      <c r="N265" s="31"/>
      <c r="O265" s="31"/>
      <c r="Q265" s="36"/>
      <c r="R265" s="36"/>
      <c r="S265" s="36"/>
      <c r="T265" s="36"/>
      <c r="V265" s="31"/>
    </row>
    <row r="266">
      <c r="A266" s="14" t="s">
        <v>208</v>
      </c>
      <c r="B266" s="14" t="s">
        <v>1378</v>
      </c>
      <c r="C266" s="15" t="s">
        <v>1379</v>
      </c>
      <c r="D266" s="14" t="s">
        <v>40</v>
      </c>
      <c r="E266" s="20" t="str">
        <f t="shared" si="2"/>
        <v>marzo 2025</v>
      </c>
      <c r="F266" s="22">
        <v>45733.0</v>
      </c>
      <c r="G266" s="24">
        <f t="shared" ref="G266:H266" si="271">F266</f>
        <v>45733</v>
      </c>
      <c r="H266" s="26">
        <f t="shared" si="271"/>
        <v>45733</v>
      </c>
      <c r="I266" s="14" t="s">
        <v>259</v>
      </c>
      <c r="K266" s="27">
        <v>8.0E7</v>
      </c>
      <c r="L266" s="29" t="s">
        <v>1384</v>
      </c>
      <c r="M266" s="14"/>
      <c r="N266" s="14"/>
      <c r="O266" s="14"/>
      <c r="P266" s="14" t="s">
        <v>84</v>
      </c>
      <c r="Q266" s="36"/>
      <c r="R266" s="36"/>
      <c r="S266" s="36"/>
      <c r="T266" s="36"/>
      <c r="V266" s="31"/>
    </row>
    <row r="267">
      <c r="A267" s="14" t="s">
        <v>208</v>
      </c>
      <c r="B267" s="14" t="s">
        <v>1386</v>
      </c>
      <c r="C267" s="90" t="s">
        <v>1388</v>
      </c>
      <c r="D267" s="14" t="s">
        <v>40</v>
      </c>
      <c r="E267" s="20" t="str">
        <f t="shared" si="2"/>
        <v>marzo 2025</v>
      </c>
      <c r="F267" s="22">
        <v>45733.0</v>
      </c>
      <c r="G267" s="24">
        <f t="shared" ref="G267:H267" si="272">F267</f>
        <v>45733</v>
      </c>
      <c r="H267" s="26">
        <f t="shared" si="272"/>
        <v>45733</v>
      </c>
      <c r="I267" s="14" t="s">
        <v>259</v>
      </c>
      <c r="K267" s="27">
        <v>7.0E7</v>
      </c>
      <c r="L267" s="195" t="s">
        <v>1384</v>
      </c>
      <c r="M267" s="14"/>
      <c r="N267" s="14"/>
      <c r="O267" s="14"/>
      <c r="P267" s="14" t="s">
        <v>84</v>
      </c>
      <c r="Q267" s="36"/>
      <c r="R267" s="36"/>
      <c r="S267" s="36"/>
      <c r="T267" s="36"/>
      <c r="V267" s="31"/>
    </row>
    <row r="268">
      <c r="A268" s="14" t="s">
        <v>208</v>
      </c>
      <c r="B268" s="14" t="s">
        <v>1393</v>
      </c>
      <c r="C268" s="196" t="s">
        <v>1395</v>
      </c>
      <c r="D268" s="14" t="s">
        <v>40</v>
      </c>
      <c r="E268" s="20" t="str">
        <f t="shared" si="2"/>
        <v>marzo 2025</v>
      </c>
      <c r="F268" s="22">
        <v>45719.0</v>
      </c>
      <c r="G268" s="24">
        <f t="shared" ref="G268:H268" si="273">F268</f>
        <v>45719</v>
      </c>
      <c r="H268" s="26">
        <f t="shared" si="273"/>
        <v>45719</v>
      </c>
      <c r="I268" s="14" t="s">
        <v>259</v>
      </c>
      <c r="K268" s="27">
        <v>3.0E8</v>
      </c>
      <c r="L268" s="197" t="s">
        <v>1399</v>
      </c>
      <c r="M268" s="31"/>
      <c r="N268" s="31"/>
      <c r="O268" s="31"/>
      <c r="Q268" s="36"/>
      <c r="R268" s="36"/>
      <c r="S268" s="36"/>
      <c r="T268" s="36"/>
      <c r="V268" s="31"/>
    </row>
    <row r="269">
      <c r="A269" s="14" t="s">
        <v>241</v>
      </c>
      <c r="B269" s="14" t="s">
        <v>1402</v>
      </c>
      <c r="C269" s="196" t="s">
        <v>1403</v>
      </c>
      <c r="D269" s="14" t="s">
        <v>40</v>
      </c>
      <c r="E269" s="20" t="str">
        <f t="shared" si="2"/>
        <v>marzo 2025</v>
      </c>
      <c r="F269" s="22">
        <v>45743.0</v>
      </c>
      <c r="G269" s="24">
        <f t="shared" ref="G269:H269" si="274">F269</f>
        <v>45743</v>
      </c>
      <c r="H269" s="26">
        <f t="shared" si="274"/>
        <v>45743</v>
      </c>
      <c r="I269" s="14"/>
      <c r="J269" s="31" t="s">
        <v>117</v>
      </c>
      <c r="K269" s="27">
        <v>0.0</v>
      </c>
      <c r="L269" s="197"/>
      <c r="M269" s="31"/>
      <c r="N269" s="31"/>
      <c r="O269" s="31"/>
      <c r="Q269" s="36"/>
      <c r="R269" s="36"/>
      <c r="S269" s="36"/>
      <c r="T269" s="36"/>
      <c r="V269" s="31"/>
    </row>
    <row r="270">
      <c r="A270" s="14" t="s">
        <v>36</v>
      </c>
      <c r="B270" s="14" t="s">
        <v>1410</v>
      </c>
      <c r="C270" s="15" t="s">
        <v>1411</v>
      </c>
      <c r="D270" s="14" t="s">
        <v>40</v>
      </c>
      <c r="E270" s="20" t="str">
        <f t="shared" si="2"/>
        <v>abril 2025</v>
      </c>
      <c r="F270" s="22">
        <v>45748.0</v>
      </c>
      <c r="G270" s="24">
        <f t="shared" ref="G270:H270" si="275">F270</f>
        <v>45748</v>
      </c>
      <c r="H270" s="26">
        <f t="shared" si="275"/>
        <v>45748</v>
      </c>
      <c r="I270" s="14" t="s">
        <v>90</v>
      </c>
      <c r="J270" s="14"/>
      <c r="K270" s="27">
        <v>2.0E7</v>
      </c>
      <c r="L270" s="29"/>
      <c r="M270" s="14"/>
      <c r="N270" s="14"/>
      <c r="O270" s="14"/>
      <c r="P270" s="14"/>
      <c r="Q270" s="36"/>
      <c r="R270" s="36"/>
      <c r="S270" s="36"/>
      <c r="T270" s="36"/>
      <c r="V270" s="31"/>
    </row>
    <row r="271">
      <c r="A271" s="14" t="s">
        <v>1045</v>
      </c>
      <c r="B271" s="14" t="s">
        <v>1423</v>
      </c>
      <c r="C271" s="15" t="s">
        <v>1424</v>
      </c>
      <c r="D271" s="14" t="s">
        <v>40</v>
      </c>
      <c r="E271" s="20" t="str">
        <f t="shared" si="2"/>
        <v>abril 2025</v>
      </c>
      <c r="F271" s="22">
        <v>45755.0</v>
      </c>
      <c r="G271" s="24">
        <f t="shared" ref="G271:H271" si="276">F271</f>
        <v>45755</v>
      </c>
      <c r="H271" s="26">
        <f t="shared" si="276"/>
        <v>45755</v>
      </c>
      <c r="I271" s="14" t="s">
        <v>259</v>
      </c>
      <c r="J271" s="14" t="s">
        <v>260</v>
      </c>
      <c r="K271" s="27">
        <v>3.0E8</v>
      </c>
      <c r="L271" s="29" t="s">
        <v>1429</v>
      </c>
      <c r="M271" s="14"/>
      <c r="N271" s="14"/>
      <c r="O271" s="14"/>
      <c r="P271" s="14" t="s">
        <v>84</v>
      </c>
      <c r="Q271" s="36"/>
      <c r="R271" s="36"/>
      <c r="S271" s="36"/>
      <c r="T271" s="36"/>
      <c r="V271" s="31"/>
    </row>
    <row r="272">
      <c r="A272" s="14" t="s">
        <v>1045</v>
      </c>
      <c r="B272" s="14" t="s">
        <v>1432</v>
      </c>
      <c r="C272" s="15" t="s">
        <v>1433</v>
      </c>
      <c r="D272" s="14" t="s">
        <v>40</v>
      </c>
      <c r="E272" s="20" t="str">
        <f t="shared" si="2"/>
        <v>abril 2025</v>
      </c>
      <c r="F272" s="22">
        <v>45761.0</v>
      </c>
      <c r="G272" s="24">
        <f t="shared" ref="G272:H272" si="277">F272</f>
        <v>45761</v>
      </c>
      <c r="H272" s="26">
        <f t="shared" si="277"/>
        <v>45761</v>
      </c>
      <c r="I272" s="14" t="s">
        <v>259</v>
      </c>
      <c r="J272" s="14" t="s">
        <v>285</v>
      </c>
      <c r="K272" s="27">
        <v>2.3E7</v>
      </c>
      <c r="L272" s="29" t="s">
        <v>1008</v>
      </c>
      <c r="M272" s="31"/>
      <c r="N272" s="31"/>
      <c r="O272" s="31"/>
      <c r="Q272" s="36"/>
      <c r="R272" s="36"/>
      <c r="S272" s="36"/>
      <c r="T272" s="36"/>
      <c r="V272" s="31"/>
    </row>
    <row r="273">
      <c r="A273" s="34" t="s">
        <v>1075</v>
      </c>
      <c r="B273" s="34" t="s">
        <v>1439</v>
      </c>
      <c r="C273" s="34" t="s">
        <v>1440</v>
      </c>
      <c r="D273" s="34" t="s">
        <v>40</v>
      </c>
      <c r="E273" s="20" t="str">
        <f t="shared" si="2"/>
        <v>abril 2025</v>
      </c>
      <c r="F273" s="22">
        <v>45750.0</v>
      </c>
      <c r="G273" s="24">
        <f t="shared" ref="G273:H273" si="278">F273</f>
        <v>45750</v>
      </c>
      <c r="H273" s="26">
        <f t="shared" si="278"/>
        <v>45750</v>
      </c>
      <c r="I273" s="34" t="s">
        <v>90</v>
      </c>
      <c r="J273" s="34"/>
      <c r="K273" s="190">
        <v>5.0E7</v>
      </c>
      <c r="L273" s="188" t="s">
        <v>1443</v>
      </c>
      <c r="M273" s="34"/>
      <c r="N273" s="34"/>
      <c r="O273" s="34"/>
      <c r="P273" s="34"/>
      <c r="Q273" s="36"/>
      <c r="R273" s="36"/>
      <c r="S273" s="36"/>
      <c r="T273" s="36"/>
      <c r="V273" s="31"/>
    </row>
    <row r="274">
      <c r="A274" s="34" t="s">
        <v>1075</v>
      </c>
      <c r="B274" s="34" t="s">
        <v>1445</v>
      </c>
      <c r="C274" s="38" t="s">
        <v>1446</v>
      </c>
      <c r="D274" s="34" t="s">
        <v>40</v>
      </c>
      <c r="E274" s="20" t="str">
        <f t="shared" si="2"/>
        <v>abril 2025</v>
      </c>
      <c r="F274" s="22">
        <v>45751.0</v>
      </c>
      <c r="G274" s="24">
        <f t="shared" ref="G274:H274" si="279">F274</f>
        <v>45751</v>
      </c>
      <c r="H274" s="26">
        <f t="shared" si="279"/>
        <v>45751</v>
      </c>
      <c r="I274" s="34" t="s">
        <v>90</v>
      </c>
      <c r="J274" s="34"/>
      <c r="K274" s="190">
        <v>2.5E8</v>
      </c>
      <c r="L274" s="188">
        <v>1.99</v>
      </c>
      <c r="M274" s="34"/>
      <c r="N274" s="34"/>
      <c r="O274" s="34"/>
      <c r="P274" s="34" t="s">
        <v>75</v>
      </c>
      <c r="Q274" s="36"/>
      <c r="R274" s="36"/>
      <c r="S274" s="36"/>
      <c r="T274" s="36"/>
      <c r="V274" s="31"/>
    </row>
    <row r="275">
      <c r="A275" s="34" t="s">
        <v>1075</v>
      </c>
      <c r="B275" s="34" t="s">
        <v>1451</v>
      </c>
      <c r="C275" s="191" t="s">
        <v>1452</v>
      </c>
      <c r="D275" s="34" t="s">
        <v>40</v>
      </c>
      <c r="E275" s="20" t="str">
        <f t="shared" si="2"/>
        <v>abril 2025</v>
      </c>
      <c r="F275" s="22">
        <v>45756.0</v>
      </c>
      <c r="G275" s="24">
        <f t="shared" ref="G275:H275" si="280">F275</f>
        <v>45756</v>
      </c>
      <c r="H275" s="26">
        <f t="shared" si="280"/>
        <v>45756</v>
      </c>
      <c r="I275" s="34" t="s">
        <v>259</v>
      </c>
      <c r="J275" s="14" t="s">
        <v>304</v>
      </c>
      <c r="K275" s="190">
        <v>1.8E8</v>
      </c>
      <c r="L275" s="188">
        <v>1.99</v>
      </c>
      <c r="M275" s="34"/>
      <c r="N275" s="34"/>
      <c r="O275" s="34"/>
      <c r="P275" s="34" t="s">
        <v>84</v>
      </c>
      <c r="Q275" s="36"/>
      <c r="R275" s="36"/>
      <c r="S275" s="36"/>
      <c r="T275" s="36"/>
      <c r="V275" s="31"/>
    </row>
    <row r="276">
      <c r="A276" s="34" t="s">
        <v>1075</v>
      </c>
      <c r="B276" s="34" t="s">
        <v>1457</v>
      </c>
      <c r="C276" s="191" t="s">
        <v>1459</v>
      </c>
      <c r="D276" s="34" t="s">
        <v>40</v>
      </c>
      <c r="E276" s="20" t="str">
        <f t="shared" si="2"/>
        <v>abril 2025</v>
      </c>
      <c r="F276" s="22">
        <v>45756.0</v>
      </c>
      <c r="G276" s="24">
        <f t="shared" ref="G276:H276" si="281">F276</f>
        <v>45756</v>
      </c>
      <c r="H276" s="26">
        <f t="shared" si="281"/>
        <v>45756</v>
      </c>
      <c r="I276" s="34" t="s">
        <v>259</v>
      </c>
      <c r="J276" s="14" t="s">
        <v>304</v>
      </c>
      <c r="K276" s="190">
        <v>7.0E7</v>
      </c>
      <c r="L276" s="188">
        <v>1.99</v>
      </c>
      <c r="M276" s="34"/>
      <c r="N276" s="34"/>
      <c r="O276" s="34"/>
      <c r="P276" s="34" t="s">
        <v>84</v>
      </c>
      <c r="Q276" s="36"/>
      <c r="R276" s="36"/>
      <c r="S276" s="36"/>
      <c r="T276" s="36"/>
      <c r="V276" s="31"/>
    </row>
    <row r="277">
      <c r="A277" s="14" t="s">
        <v>1464</v>
      </c>
      <c r="B277" s="14" t="s">
        <v>1465</v>
      </c>
      <c r="C277" s="14" t="s">
        <v>1467</v>
      </c>
      <c r="D277" s="14" t="s">
        <v>40</v>
      </c>
      <c r="E277" s="20" t="str">
        <f t="shared" si="2"/>
        <v>abril 2025</v>
      </c>
      <c r="F277" s="22">
        <v>45749.0</v>
      </c>
      <c r="G277" s="24">
        <f t="shared" ref="G277:H277" si="282">F277</f>
        <v>45749</v>
      </c>
      <c r="H277" s="26">
        <f t="shared" si="282"/>
        <v>45749</v>
      </c>
      <c r="I277" s="14" t="s">
        <v>90</v>
      </c>
      <c r="K277" s="27">
        <v>1.0E7</v>
      </c>
      <c r="L277" s="29" t="s">
        <v>1016</v>
      </c>
      <c r="M277" s="31"/>
      <c r="N277" s="31"/>
      <c r="O277" s="31"/>
      <c r="Q277" s="36"/>
      <c r="R277" s="36"/>
      <c r="S277" s="36"/>
      <c r="T277" s="36"/>
      <c r="V277" s="31"/>
    </row>
    <row r="278">
      <c r="A278" s="14" t="s">
        <v>1464</v>
      </c>
      <c r="B278" s="14" t="s">
        <v>1473</v>
      </c>
      <c r="C278" s="14" t="s">
        <v>1474</v>
      </c>
      <c r="D278" s="14" t="s">
        <v>40</v>
      </c>
      <c r="E278" s="20" t="str">
        <f t="shared" si="2"/>
        <v>abril 2025</v>
      </c>
      <c r="F278" s="22">
        <v>45757.0</v>
      </c>
      <c r="G278" s="24">
        <f t="shared" ref="G278:H278" si="283">F278</f>
        <v>45757</v>
      </c>
      <c r="H278" s="26">
        <f t="shared" si="283"/>
        <v>45757</v>
      </c>
      <c r="I278" s="14" t="s">
        <v>259</v>
      </c>
      <c r="J278" s="14" t="s">
        <v>285</v>
      </c>
      <c r="K278" s="27">
        <v>4.8E8</v>
      </c>
      <c r="L278" s="29" t="s">
        <v>1477</v>
      </c>
      <c r="M278" s="31"/>
      <c r="N278" s="31"/>
      <c r="O278" s="31"/>
      <c r="Q278" s="36"/>
      <c r="R278" s="36"/>
      <c r="S278" s="36"/>
      <c r="T278" s="36"/>
      <c r="V278" s="31"/>
    </row>
    <row r="279">
      <c r="A279" s="14" t="s">
        <v>1464</v>
      </c>
      <c r="B279" s="14" t="s">
        <v>1479</v>
      </c>
      <c r="C279" s="14" t="s">
        <v>1480</v>
      </c>
      <c r="D279" s="14" t="s">
        <v>40</v>
      </c>
      <c r="E279" s="20" t="str">
        <f t="shared" si="2"/>
        <v>abril 2025</v>
      </c>
      <c r="F279" s="22">
        <v>45768.0</v>
      </c>
      <c r="G279" s="24">
        <f t="shared" ref="G279:H279" si="284">F279</f>
        <v>45768</v>
      </c>
      <c r="H279" s="26">
        <f t="shared" si="284"/>
        <v>45768</v>
      </c>
      <c r="I279" s="14" t="s">
        <v>90</v>
      </c>
      <c r="K279" s="27">
        <v>1.0E7</v>
      </c>
      <c r="L279" s="29" t="s">
        <v>1016</v>
      </c>
      <c r="M279" s="31"/>
      <c r="N279" s="31"/>
      <c r="O279" s="31"/>
      <c r="Q279" s="36"/>
      <c r="R279" s="36"/>
      <c r="S279" s="36"/>
      <c r="T279" s="36"/>
      <c r="V279" s="31"/>
    </row>
    <row r="280">
      <c r="A280" s="14" t="s">
        <v>736</v>
      </c>
      <c r="B280" s="14" t="s">
        <v>1485</v>
      </c>
      <c r="C280" s="27" t="s">
        <v>1486</v>
      </c>
      <c r="D280" s="14" t="s">
        <v>40</v>
      </c>
      <c r="E280" s="20" t="str">
        <f t="shared" si="2"/>
        <v>abril 2025</v>
      </c>
      <c r="F280" s="22">
        <v>45749.0</v>
      </c>
      <c r="G280" s="24">
        <f t="shared" ref="G280:H280" si="285">F280</f>
        <v>45749</v>
      </c>
      <c r="H280" s="26">
        <f t="shared" si="285"/>
        <v>45749</v>
      </c>
      <c r="I280" s="14" t="s">
        <v>90</v>
      </c>
      <c r="K280" s="27">
        <v>2.0E7</v>
      </c>
      <c r="L280" s="29" t="s">
        <v>1203</v>
      </c>
      <c r="M280" s="31"/>
      <c r="N280" s="31"/>
      <c r="O280" s="31"/>
      <c r="Q280" s="36"/>
      <c r="R280" s="36"/>
      <c r="S280" s="36"/>
      <c r="T280" s="36"/>
      <c r="V280" s="31"/>
    </row>
    <row r="281">
      <c r="A281" s="14" t="s">
        <v>736</v>
      </c>
      <c r="B281" s="14" t="s">
        <v>1501</v>
      </c>
      <c r="C281" s="27" t="s">
        <v>1502</v>
      </c>
      <c r="D281" s="14" t="s">
        <v>40</v>
      </c>
      <c r="E281" s="20" t="str">
        <f t="shared" si="2"/>
        <v>abril 2025</v>
      </c>
      <c r="F281" s="22">
        <v>45750.0</v>
      </c>
      <c r="G281" s="24">
        <f t="shared" ref="G281:H281" si="286">F281</f>
        <v>45750</v>
      </c>
      <c r="H281" s="26">
        <f t="shared" si="286"/>
        <v>45750</v>
      </c>
      <c r="I281" s="14" t="s">
        <v>90</v>
      </c>
      <c r="K281" s="27">
        <v>5.0E7</v>
      </c>
      <c r="L281" s="29" t="s">
        <v>1203</v>
      </c>
      <c r="M281" s="31"/>
      <c r="N281" s="31"/>
      <c r="O281" s="31"/>
      <c r="Q281" s="36"/>
      <c r="R281" s="36"/>
      <c r="S281" s="36"/>
      <c r="T281" s="36"/>
      <c r="V281" s="31"/>
    </row>
    <row r="282">
      <c r="A282" s="14" t="s">
        <v>736</v>
      </c>
      <c r="B282" s="14" t="s">
        <v>1509</v>
      </c>
      <c r="C282" s="27" t="s">
        <v>1510</v>
      </c>
      <c r="D282" s="14" t="s">
        <v>40</v>
      </c>
      <c r="E282" s="20" t="str">
        <f t="shared" si="2"/>
        <v>abril 2025</v>
      </c>
      <c r="F282" s="22">
        <v>45758.0</v>
      </c>
      <c r="G282" s="24">
        <f t="shared" ref="G282:H282" si="287">F282</f>
        <v>45758</v>
      </c>
      <c r="H282" s="26">
        <f t="shared" si="287"/>
        <v>45758</v>
      </c>
      <c r="I282" s="14" t="s">
        <v>90</v>
      </c>
      <c r="K282" s="27">
        <v>4.0E7</v>
      </c>
      <c r="L282" s="29" t="s">
        <v>1210</v>
      </c>
      <c r="M282" s="31"/>
      <c r="N282" s="31"/>
      <c r="O282" s="31"/>
      <c r="Q282" s="36"/>
      <c r="R282" s="36"/>
      <c r="S282" s="36"/>
      <c r="T282" s="36"/>
      <c r="V282" s="31"/>
    </row>
    <row r="283">
      <c r="A283" s="14" t="s">
        <v>736</v>
      </c>
      <c r="B283" s="14" t="s">
        <v>1514</v>
      </c>
      <c r="C283" s="27" t="s">
        <v>1516</v>
      </c>
      <c r="D283" s="14" t="s">
        <v>40</v>
      </c>
      <c r="E283" s="20" t="str">
        <f t="shared" si="2"/>
        <v>abril 2025</v>
      </c>
      <c r="F283" s="22">
        <v>45757.0</v>
      </c>
      <c r="G283" s="24">
        <f t="shared" ref="G283:H283" si="288">F283</f>
        <v>45757</v>
      </c>
      <c r="H283" s="26">
        <f t="shared" si="288"/>
        <v>45757</v>
      </c>
      <c r="I283" s="14" t="s">
        <v>259</v>
      </c>
      <c r="J283" s="14" t="s">
        <v>304</v>
      </c>
      <c r="K283" s="27">
        <v>2.0E7</v>
      </c>
      <c r="L283" s="29" t="s">
        <v>1203</v>
      </c>
      <c r="M283" s="31"/>
      <c r="N283" s="31"/>
      <c r="O283" s="31"/>
      <c r="Q283" s="36"/>
      <c r="R283" s="36"/>
      <c r="S283" s="36"/>
      <c r="T283" s="36"/>
      <c r="V283" s="31"/>
    </row>
    <row r="284">
      <c r="A284" s="14" t="s">
        <v>679</v>
      </c>
      <c r="B284" s="14" t="s">
        <v>1521</v>
      </c>
      <c r="C284" s="14" t="s">
        <v>1522</v>
      </c>
      <c r="D284" s="14" t="s">
        <v>40</v>
      </c>
      <c r="E284" s="20" t="str">
        <f t="shared" si="2"/>
        <v>abril 2025</v>
      </c>
      <c r="F284" s="22">
        <v>45777.0</v>
      </c>
      <c r="G284" s="24">
        <f t="shared" ref="G284:H284" si="289">F284</f>
        <v>45777</v>
      </c>
      <c r="H284" s="26">
        <f t="shared" si="289"/>
        <v>45777</v>
      </c>
      <c r="I284" s="14" t="s">
        <v>90</v>
      </c>
      <c r="K284" s="27">
        <v>8.0E7</v>
      </c>
      <c r="L284" s="29" t="s">
        <v>1033</v>
      </c>
      <c r="M284" s="31"/>
      <c r="N284" s="31"/>
      <c r="O284" s="31"/>
      <c r="Q284" s="36"/>
      <c r="R284" s="36"/>
      <c r="S284" s="36"/>
      <c r="T284" s="36"/>
      <c r="V284" s="31"/>
    </row>
    <row r="285">
      <c r="A285" s="14" t="s">
        <v>679</v>
      </c>
      <c r="B285" s="14" t="s">
        <v>1527</v>
      </c>
      <c r="C285" s="14" t="s">
        <v>1528</v>
      </c>
      <c r="D285" s="14" t="s">
        <v>40</v>
      </c>
      <c r="E285" s="20" t="str">
        <f t="shared" si="2"/>
        <v>abril 2025</v>
      </c>
      <c r="F285" s="22">
        <v>45757.0</v>
      </c>
      <c r="G285" s="24">
        <f t="shared" ref="G285:H285" si="290">F285</f>
        <v>45757</v>
      </c>
      <c r="H285" s="26">
        <f t="shared" si="290"/>
        <v>45757</v>
      </c>
      <c r="I285" s="14" t="s">
        <v>259</v>
      </c>
      <c r="J285" s="14" t="s">
        <v>304</v>
      </c>
      <c r="K285" s="27">
        <v>4.0E7</v>
      </c>
      <c r="L285" s="29" t="s">
        <v>1210</v>
      </c>
      <c r="M285" s="31"/>
      <c r="N285" s="31"/>
      <c r="O285" s="31"/>
      <c r="Q285" s="36"/>
      <c r="R285" s="36"/>
      <c r="S285" s="36"/>
      <c r="T285" s="36"/>
      <c r="V285" s="31"/>
    </row>
    <row r="286">
      <c r="A286" s="14" t="s">
        <v>208</v>
      </c>
      <c r="B286" s="37" t="s">
        <v>1533</v>
      </c>
      <c r="C286" s="116" t="s">
        <v>1534</v>
      </c>
      <c r="D286" s="14" t="s">
        <v>40</v>
      </c>
      <c r="E286" s="20" t="str">
        <f t="shared" si="2"/>
        <v>abril 2025</v>
      </c>
      <c r="F286" s="22">
        <v>45750.0</v>
      </c>
      <c r="G286" s="24">
        <f t="shared" ref="G286:H286" si="291">F286</f>
        <v>45750</v>
      </c>
      <c r="H286" s="26">
        <f t="shared" si="291"/>
        <v>45750</v>
      </c>
      <c r="I286" s="14" t="s">
        <v>259</v>
      </c>
      <c r="J286" s="14" t="s">
        <v>285</v>
      </c>
      <c r="K286" s="27">
        <v>5.0E7</v>
      </c>
      <c r="L286" s="29" t="s">
        <v>1210</v>
      </c>
      <c r="M286" s="31"/>
      <c r="N286" s="31"/>
      <c r="O286" s="31"/>
      <c r="Q286" s="36"/>
      <c r="R286" s="36"/>
      <c r="S286" s="36"/>
      <c r="T286" s="36"/>
      <c r="V286" s="31"/>
    </row>
    <row r="287">
      <c r="A287" s="14" t="s">
        <v>208</v>
      </c>
      <c r="B287" s="37" t="s">
        <v>1537</v>
      </c>
      <c r="C287" s="15" t="s">
        <v>1539</v>
      </c>
      <c r="D287" s="14" t="s">
        <v>40</v>
      </c>
      <c r="E287" s="20" t="str">
        <f t="shared" si="2"/>
        <v>abril 2025</v>
      </c>
      <c r="F287" s="22">
        <v>45757.0</v>
      </c>
      <c r="G287" s="24">
        <f t="shared" ref="G287:H287" si="292">F287</f>
        <v>45757</v>
      </c>
      <c r="H287" s="26">
        <f t="shared" si="292"/>
        <v>45757</v>
      </c>
      <c r="I287" s="14" t="s">
        <v>259</v>
      </c>
      <c r="J287" s="14" t="s">
        <v>260</v>
      </c>
      <c r="K287" s="27">
        <v>4.0E7</v>
      </c>
      <c r="L287" s="29" t="s">
        <v>1210</v>
      </c>
      <c r="M287" s="31"/>
      <c r="N287" s="31"/>
      <c r="O287" s="31"/>
      <c r="Q287" s="36"/>
      <c r="R287" s="36"/>
      <c r="S287" s="36"/>
      <c r="T287" s="36"/>
      <c r="V287" s="31"/>
    </row>
    <row r="288">
      <c r="A288" s="14" t="s">
        <v>1012</v>
      </c>
      <c r="B288" s="14" t="s">
        <v>1546</v>
      </c>
      <c r="C288" s="15" t="s">
        <v>1548</v>
      </c>
      <c r="D288" s="14" t="s">
        <v>40</v>
      </c>
      <c r="E288" s="20" t="str">
        <f t="shared" si="2"/>
        <v>abril 2025</v>
      </c>
      <c r="F288" s="22">
        <v>45750.0</v>
      </c>
      <c r="G288" s="24">
        <f t="shared" ref="G288:H288" si="293">F288</f>
        <v>45750</v>
      </c>
      <c r="H288" s="26">
        <f t="shared" si="293"/>
        <v>45750</v>
      </c>
      <c r="I288" s="14" t="s">
        <v>90</v>
      </c>
      <c r="K288" s="27">
        <v>2.0E7</v>
      </c>
      <c r="L288" s="29" t="s">
        <v>1203</v>
      </c>
      <c r="M288" s="31"/>
      <c r="N288" s="31"/>
      <c r="O288" s="31"/>
      <c r="Q288" s="36"/>
      <c r="R288" s="36"/>
      <c r="S288" s="36"/>
      <c r="T288" s="36"/>
      <c r="V288" s="31"/>
    </row>
    <row r="289">
      <c r="A289" s="14" t="s">
        <v>1012</v>
      </c>
      <c r="B289" s="14" t="s">
        <v>1552</v>
      </c>
      <c r="C289" s="15" t="s">
        <v>1554</v>
      </c>
      <c r="D289" s="14" t="s">
        <v>40</v>
      </c>
      <c r="E289" s="20" t="str">
        <f t="shared" si="2"/>
        <v>abril 2025</v>
      </c>
      <c r="F289" s="22">
        <v>45751.0</v>
      </c>
      <c r="G289" s="24">
        <f t="shared" ref="G289:H289" si="294">F289</f>
        <v>45751</v>
      </c>
      <c r="H289" s="26">
        <f t="shared" si="294"/>
        <v>45751</v>
      </c>
      <c r="I289" s="14" t="s">
        <v>259</v>
      </c>
      <c r="J289" s="14" t="s">
        <v>260</v>
      </c>
      <c r="K289" s="27">
        <v>2.0E7</v>
      </c>
      <c r="L289" s="29" t="s">
        <v>1203</v>
      </c>
      <c r="M289" s="31"/>
      <c r="N289" s="31"/>
      <c r="O289" s="31"/>
      <c r="Q289" s="36"/>
      <c r="R289" s="36"/>
      <c r="S289" s="36"/>
      <c r="T289" s="36"/>
      <c r="V289" s="31"/>
    </row>
    <row r="290">
      <c r="A290" s="14" t="s">
        <v>1045</v>
      </c>
      <c r="B290" s="14" t="s">
        <v>1557</v>
      </c>
      <c r="C290" s="15" t="s">
        <v>1558</v>
      </c>
      <c r="D290" s="14" t="s">
        <v>40</v>
      </c>
      <c r="E290" s="20" t="str">
        <f t="shared" si="2"/>
        <v>mayo 2025</v>
      </c>
      <c r="F290" s="22">
        <v>45779.0</v>
      </c>
      <c r="G290" s="24">
        <f t="shared" ref="G290:H290" si="295">F290</f>
        <v>45779</v>
      </c>
      <c r="H290" s="26">
        <f t="shared" si="295"/>
        <v>45779</v>
      </c>
      <c r="I290" s="14" t="s">
        <v>90</v>
      </c>
      <c r="K290" s="27">
        <v>2.5E7</v>
      </c>
      <c r="L290" s="29" t="s">
        <v>1008</v>
      </c>
      <c r="M290" s="31"/>
      <c r="N290" s="31"/>
      <c r="O290" s="31"/>
      <c r="Q290" s="36"/>
      <c r="R290" s="36"/>
      <c r="S290" s="36"/>
      <c r="T290" s="36"/>
      <c r="V290" s="31"/>
    </row>
    <row r="291">
      <c r="A291" s="14" t="s">
        <v>1045</v>
      </c>
      <c r="B291" s="14" t="s">
        <v>1564</v>
      </c>
      <c r="C291" s="15" t="s">
        <v>1565</v>
      </c>
      <c r="D291" s="14" t="s">
        <v>40</v>
      </c>
      <c r="E291" s="20" t="str">
        <f t="shared" si="2"/>
        <v>mayo 2025</v>
      </c>
      <c r="F291" s="22">
        <v>45779.0</v>
      </c>
      <c r="G291" s="24">
        <f t="shared" ref="G291:H291" si="296">F291</f>
        <v>45779</v>
      </c>
      <c r="H291" s="26">
        <f t="shared" si="296"/>
        <v>45779</v>
      </c>
      <c r="I291" s="14" t="s">
        <v>90</v>
      </c>
      <c r="K291" s="27">
        <v>1.0E7</v>
      </c>
      <c r="L291" s="29" t="s">
        <v>1203</v>
      </c>
      <c r="M291" s="31"/>
      <c r="N291" s="31"/>
      <c r="O291" s="31"/>
      <c r="Q291" s="36"/>
      <c r="R291" s="36"/>
      <c r="S291" s="36"/>
      <c r="T291" s="36"/>
      <c r="V291" s="31"/>
    </row>
    <row r="292">
      <c r="A292" s="14" t="s">
        <v>117</v>
      </c>
      <c r="B292" s="14" t="s">
        <v>1570</v>
      </c>
      <c r="C292" s="14" t="s">
        <v>1571</v>
      </c>
      <c r="D292" s="14" t="s">
        <v>40</v>
      </c>
      <c r="E292" s="20" t="str">
        <f t="shared" si="2"/>
        <v>mayo 2025</v>
      </c>
      <c r="F292" s="22">
        <v>45779.0</v>
      </c>
      <c r="G292" s="24">
        <f t="shared" ref="G292:H292" si="297">F292</f>
        <v>45779</v>
      </c>
      <c r="H292" s="26">
        <f t="shared" si="297"/>
        <v>45779</v>
      </c>
      <c r="I292" s="14" t="s">
        <v>90</v>
      </c>
      <c r="K292" s="27">
        <v>1.6E8</v>
      </c>
      <c r="L292" s="29">
        <v>1.79</v>
      </c>
      <c r="M292" s="14"/>
      <c r="N292" s="14"/>
      <c r="O292" s="14"/>
      <c r="P292" s="14" t="s">
        <v>84</v>
      </c>
      <c r="Q292" s="36"/>
      <c r="R292" s="36"/>
      <c r="S292" s="36"/>
      <c r="T292" s="36"/>
      <c r="V292" s="31"/>
    </row>
    <row r="293">
      <c r="A293" s="14" t="s">
        <v>1012</v>
      </c>
      <c r="B293" s="14" t="s">
        <v>1576</v>
      </c>
      <c r="C293" s="14" t="s">
        <v>1578</v>
      </c>
      <c r="D293" s="14" t="s">
        <v>40</v>
      </c>
      <c r="E293" s="20" t="str">
        <f t="shared" si="2"/>
        <v>mayo 2025</v>
      </c>
      <c r="F293" s="22">
        <v>45779.0</v>
      </c>
      <c r="G293" s="24">
        <f t="shared" ref="G293:H293" si="298">F293</f>
        <v>45779</v>
      </c>
      <c r="H293" s="26">
        <f t="shared" si="298"/>
        <v>45779</v>
      </c>
      <c r="I293" s="14" t="s">
        <v>259</v>
      </c>
      <c r="J293" s="14" t="s">
        <v>1583</v>
      </c>
      <c r="K293" s="27">
        <v>2.0E8</v>
      </c>
      <c r="L293" s="29" t="s">
        <v>1584</v>
      </c>
      <c r="M293" s="14"/>
      <c r="N293" s="14"/>
      <c r="O293" s="14"/>
      <c r="P293" s="14"/>
      <c r="Q293" s="36"/>
      <c r="R293" s="36"/>
      <c r="S293" s="36"/>
      <c r="T293" s="36"/>
      <c r="V293" s="31"/>
    </row>
    <row r="294">
      <c r="A294" s="14" t="s">
        <v>1012</v>
      </c>
      <c r="B294" s="14" t="s">
        <v>1587</v>
      </c>
      <c r="C294" s="14" t="s">
        <v>1588</v>
      </c>
      <c r="D294" s="14" t="s">
        <v>40</v>
      </c>
      <c r="E294" s="20" t="str">
        <f t="shared" si="2"/>
        <v>mayo 2025</v>
      </c>
      <c r="F294" s="22">
        <v>45782.0</v>
      </c>
      <c r="G294" s="24">
        <f t="shared" ref="G294:H294" si="299">F294</f>
        <v>45782</v>
      </c>
      <c r="H294" s="26">
        <f t="shared" si="299"/>
        <v>45782</v>
      </c>
      <c r="I294" s="14" t="s">
        <v>259</v>
      </c>
      <c r="J294" s="14" t="s">
        <v>260</v>
      </c>
      <c r="K294" s="27">
        <v>2.0E8</v>
      </c>
      <c r="L294" s="29">
        <v>1.85</v>
      </c>
      <c r="M294" s="14"/>
      <c r="N294" s="14"/>
      <c r="O294" s="14"/>
      <c r="P294" s="14" t="s">
        <v>84</v>
      </c>
      <c r="Q294" s="36"/>
      <c r="R294" s="36"/>
      <c r="S294" s="36"/>
      <c r="T294" s="36"/>
      <c r="V294" s="31"/>
    </row>
    <row r="295">
      <c r="A295" s="123" t="s">
        <v>1012</v>
      </c>
      <c r="B295" s="14" t="s">
        <v>1587</v>
      </c>
      <c r="C295" s="14" t="s">
        <v>1588</v>
      </c>
      <c r="D295" s="123" t="s">
        <v>40</v>
      </c>
      <c r="E295" s="20" t="str">
        <f t="shared" si="2"/>
        <v>mayo 2025</v>
      </c>
      <c r="F295" s="22">
        <v>45782.0</v>
      </c>
      <c r="G295" s="24">
        <f t="shared" ref="G295:H295" si="300">F295</f>
        <v>45782</v>
      </c>
      <c r="H295" s="26">
        <f t="shared" si="300"/>
        <v>45782</v>
      </c>
      <c r="I295" s="123" t="s">
        <v>1596</v>
      </c>
      <c r="J295" s="14" t="s">
        <v>260</v>
      </c>
      <c r="K295" s="198">
        <v>8.0E7</v>
      </c>
      <c r="L295" s="62">
        <v>0.017</v>
      </c>
      <c r="M295" s="14"/>
      <c r="N295" s="14"/>
      <c r="O295" s="14"/>
      <c r="P295" s="14"/>
      <c r="Q295" s="36"/>
      <c r="R295" s="36"/>
      <c r="S295" s="36"/>
      <c r="T295" s="36"/>
      <c r="V295" s="31"/>
    </row>
    <row r="296">
      <c r="A296" s="34" t="s">
        <v>1075</v>
      </c>
      <c r="B296" s="34" t="s">
        <v>1600</v>
      </c>
      <c r="C296" s="38" t="s">
        <v>1601</v>
      </c>
      <c r="D296" s="34" t="s">
        <v>40</v>
      </c>
      <c r="E296" s="20" t="str">
        <f t="shared" si="2"/>
        <v>mayo 2025</v>
      </c>
      <c r="F296" s="22">
        <v>45779.0</v>
      </c>
      <c r="G296" s="24">
        <f t="shared" ref="G296:H296" si="301">F296</f>
        <v>45779</v>
      </c>
      <c r="H296" s="26">
        <f t="shared" si="301"/>
        <v>45779</v>
      </c>
      <c r="I296" s="34" t="s">
        <v>90</v>
      </c>
      <c r="J296" s="34"/>
      <c r="K296" s="199">
        <v>2.0E7</v>
      </c>
      <c r="L296" s="78"/>
      <c r="M296" s="14"/>
      <c r="N296" s="14"/>
      <c r="O296" s="14"/>
      <c r="P296" s="14"/>
      <c r="Q296" s="36"/>
      <c r="R296" s="36"/>
      <c r="S296" s="36"/>
      <c r="T296" s="36"/>
      <c r="V296" s="31"/>
    </row>
    <row r="297">
      <c r="A297" s="34" t="s">
        <v>1075</v>
      </c>
      <c r="B297" s="34" t="s">
        <v>1608</v>
      </c>
      <c r="C297" s="38" t="s">
        <v>1609</v>
      </c>
      <c r="D297" s="34" t="s">
        <v>40</v>
      </c>
      <c r="E297" s="20" t="str">
        <f t="shared" si="2"/>
        <v>mayo 2025</v>
      </c>
      <c r="F297" s="22">
        <v>45779.0</v>
      </c>
      <c r="G297" s="24">
        <f t="shared" ref="G297:H297" si="302">F297</f>
        <v>45779</v>
      </c>
      <c r="H297" s="26">
        <f t="shared" si="302"/>
        <v>45779</v>
      </c>
      <c r="I297" s="34" t="s">
        <v>90</v>
      </c>
      <c r="J297" s="34"/>
      <c r="K297" s="199">
        <v>4.0E7</v>
      </c>
      <c r="L297" s="78"/>
      <c r="M297" s="14"/>
      <c r="N297" s="14"/>
      <c r="O297" s="14"/>
      <c r="P297" s="14"/>
      <c r="Q297" s="36"/>
      <c r="R297" s="36"/>
      <c r="S297" s="36"/>
      <c r="T297" s="36"/>
      <c r="V297" s="31"/>
    </row>
    <row r="298">
      <c r="A298" s="14" t="s">
        <v>1045</v>
      </c>
      <c r="B298" s="14" t="s">
        <v>1616</v>
      </c>
      <c r="C298" s="14" t="s">
        <v>1617</v>
      </c>
      <c r="D298" s="14" t="s">
        <v>40</v>
      </c>
      <c r="E298" s="20" t="str">
        <f t="shared" si="2"/>
        <v>mayo 2025</v>
      </c>
      <c r="F298" s="22">
        <v>45784.0</v>
      </c>
      <c r="G298" s="24">
        <f t="shared" ref="G298:H298" si="303">F298</f>
        <v>45784</v>
      </c>
      <c r="H298" s="26">
        <f t="shared" si="303"/>
        <v>45784</v>
      </c>
      <c r="I298" s="14" t="s">
        <v>90</v>
      </c>
      <c r="K298" s="27">
        <v>2.0E8</v>
      </c>
      <c r="L298" s="29">
        <v>1.99</v>
      </c>
      <c r="M298" s="14"/>
      <c r="N298" s="14"/>
      <c r="O298" s="14"/>
      <c r="P298" s="14" t="s">
        <v>75</v>
      </c>
      <c r="Q298" s="36"/>
      <c r="R298" s="36"/>
      <c r="S298" s="36"/>
      <c r="T298" s="36"/>
      <c r="V298" s="31"/>
    </row>
    <row r="299">
      <c r="A299" s="14" t="s">
        <v>36</v>
      </c>
      <c r="B299" s="14" t="s">
        <v>1623</v>
      </c>
      <c r="C299" s="14" t="s">
        <v>1624</v>
      </c>
      <c r="D299" s="14" t="s">
        <v>40</v>
      </c>
      <c r="E299" s="20" t="str">
        <f t="shared" si="2"/>
        <v>mayo 2025</v>
      </c>
      <c r="F299" s="22">
        <v>45783.0</v>
      </c>
      <c r="G299" s="24">
        <f t="shared" ref="G299:H299" si="304">F299</f>
        <v>45783</v>
      </c>
      <c r="H299" s="26">
        <f t="shared" si="304"/>
        <v>45783</v>
      </c>
      <c r="I299" s="14" t="s">
        <v>90</v>
      </c>
      <c r="K299" s="27">
        <v>2.0E7</v>
      </c>
      <c r="L299" s="29" t="s">
        <v>915</v>
      </c>
      <c r="M299" s="31"/>
      <c r="N299" s="31"/>
      <c r="O299" s="31"/>
      <c r="Q299" s="36"/>
      <c r="R299" s="36"/>
      <c r="S299" s="36"/>
      <c r="T299" s="36"/>
      <c r="V299" s="31"/>
    </row>
    <row r="300">
      <c r="A300" s="14" t="s">
        <v>679</v>
      </c>
      <c r="B300" s="14" t="s">
        <v>1628</v>
      </c>
      <c r="C300" s="14" t="s">
        <v>1630</v>
      </c>
      <c r="D300" s="14" t="s">
        <v>40</v>
      </c>
      <c r="E300" s="20" t="str">
        <f t="shared" si="2"/>
        <v>mayo 2025</v>
      </c>
      <c r="F300" s="22">
        <v>45786.0</v>
      </c>
      <c r="G300" s="24">
        <f t="shared" ref="G300:H300" si="305">F300</f>
        <v>45786</v>
      </c>
      <c r="H300" s="26">
        <f t="shared" si="305"/>
        <v>45786</v>
      </c>
      <c r="I300" s="14" t="s">
        <v>90</v>
      </c>
      <c r="K300" s="27">
        <v>2.0E7</v>
      </c>
      <c r="L300" s="29" t="s">
        <v>887</v>
      </c>
      <c r="M300" s="31"/>
      <c r="N300" s="31"/>
      <c r="O300" s="31"/>
      <c r="Q300" s="36"/>
      <c r="R300" s="36"/>
      <c r="S300" s="36"/>
      <c r="T300" s="36"/>
      <c r="V300" s="31"/>
    </row>
    <row r="301">
      <c r="A301" s="14" t="s">
        <v>679</v>
      </c>
      <c r="B301" s="14" t="s">
        <v>1635</v>
      </c>
      <c r="C301" s="14" t="s">
        <v>1636</v>
      </c>
      <c r="D301" s="14" t="s">
        <v>40</v>
      </c>
      <c r="E301" s="20" t="str">
        <f t="shared" si="2"/>
        <v>mayo 2025</v>
      </c>
      <c r="F301" s="22">
        <v>45786.0</v>
      </c>
      <c r="G301" s="24">
        <f t="shared" ref="G301:H301" si="306">F301</f>
        <v>45786</v>
      </c>
      <c r="H301" s="26">
        <f t="shared" si="306"/>
        <v>45786</v>
      </c>
      <c r="I301" s="14" t="s">
        <v>90</v>
      </c>
      <c r="K301" s="27">
        <v>3.5E8</v>
      </c>
      <c r="L301" s="29" t="s">
        <v>1640</v>
      </c>
      <c r="M301" s="31"/>
      <c r="N301" s="31"/>
      <c r="O301" s="31"/>
      <c r="Q301" s="36"/>
      <c r="R301" s="36"/>
      <c r="S301" s="36"/>
      <c r="T301" s="36"/>
      <c r="V301" s="31"/>
    </row>
    <row r="302">
      <c r="A302" s="14" t="s">
        <v>736</v>
      </c>
      <c r="B302" s="27" t="s">
        <v>1643</v>
      </c>
      <c r="C302" s="27" t="s">
        <v>1644</v>
      </c>
      <c r="D302" s="14" t="s">
        <v>40</v>
      </c>
      <c r="E302" s="20" t="str">
        <f t="shared" si="2"/>
        <v>mayo 2025</v>
      </c>
      <c r="F302" s="22">
        <v>45784.0</v>
      </c>
      <c r="G302" s="24">
        <f t="shared" ref="G302:H302" si="307">F302</f>
        <v>45784</v>
      </c>
      <c r="H302" s="26">
        <f t="shared" si="307"/>
        <v>45784</v>
      </c>
      <c r="I302" s="14" t="s">
        <v>90</v>
      </c>
      <c r="K302" s="27">
        <v>2.0E7</v>
      </c>
      <c r="L302" s="29" t="s">
        <v>1203</v>
      </c>
      <c r="M302" s="31"/>
      <c r="N302" s="31"/>
      <c r="O302" s="31"/>
      <c r="Q302" s="36"/>
      <c r="R302" s="36"/>
      <c r="S302" s="36"/>
      <c r="T302" s="36"/>
      <c r="V302" s="31"/>
    </row>
    <row r="303">
      <c r="A303" s="14" t="s">
        <v>736</v>
      </c>
      <c r="B303" s="27" t="s">
        <v>1649</v>
      </c>
      <c r="C303" s="27" t="s">
        <v>1650</v>
      </c>
      <c r="D303" s="14" t="s">
        <v>40</v>
      </c>
      <c r="E303" s="20" t="str">
        <f t="shared" si="2"/>
        <v>mayo 2025</v>
      </c>
      <c r="F303" s="22">
        <v>45784.0</v>
      </c>
      <c r="G303" s="24">
        <f t="shared" ref="G303:H303" si="308">F303</f>
        <v>45784</v>
      </c>
      <c r="H303" s="26">
        <f t="shared" si="308"/>
        <v>45784</v>
      </c>
      <c r="I303" s="14" t="s">
        <v>90</v>
      </c>
      <c r="K303" s="27">
        <v>1.0E7</v>
      </c>
      <c r="L303" s="29" t="s">
        <v>1203</v>
      </c>
      <c r="M303" s="31"/>
      <c r="N303" s="31"/>
      <c r="O303" s="31"/>
      <c r="Q303" s="36"/>
      <c r="R303" s="36"/>
      <c r="S303" s="36"/>
      <c r="T303" s="36"/>
      <c r="V303" s="31"/>
    </row>
    <row r="304">
      <c r="A304" s="14" t="s">
        <v>736</v>
      </c>
      <c r="B304" s="14" t="s">
        <v>1655</v>
      </c>
      <c r="C304" s="27" t="s">
        <v>1656</v>
      </c>
      <c r="D304" s="14" t="s">
        <v>40</v>
      </c>
      <c r="E304" s="20" t="str">
        <f t="shared" si="2"/>
        <v>mayo 2025</v>
      </c>
      <c r="F304" s="22">
        <v>45783.0</v>
      </c>
      <c r="G304" s="24">
        <f t="shared" ref="G304:H304" si="309">F304</f>
        <v>45783</v>
      </c>
      <c r="H304" s="26">
        <f t="shared" si="309"/>
        <v>45783</v>
      </c>
      <c r="I304" s="14" t="s">
        <v>90</v>
      </c>
      <c r="K304" s="27">
        <v>5.0E7</v>
      </c>
      <c r="L304" s="29" t="s">
        <v>1660</v>
      </c>
      <c r="M304" s="31"/>
      <c r="N304" s="31"/>
      <c r="O304" s="31"/>
      <c r="Q304" s="36"/>
      <c r="R304" s="36"/>
      <c r="S304" s="36"/>
      <c r="T304" s="36"/>
      <c r="V304" s="31"/>
    </row>
    <row r="305">
      <c r="A305" s="14" t="s">
        <v>1045</v>
      </c>
      <c r="B305" s="14" t="s">
        <v>1662</v>
      </c>
      <c r="C305" s="15" t="s">
        <v>1664</v>
      </c>
      <c r="D305" s="14" t="s">
        <v>40</v>
      </c>
      <c r="E305" s="20" t="str">
        <f t="shared" si="2"/>
        <v>mayo 2025</v>
      </c>
      <c r="F305" s="22">
        <v>45790.0</v>
      </c>
      <c r="G305" s="24">
        <f t="shared" ref="G305:H305" si="310">F305</f>
        <v>45790</v>
      </c>
      <c r="H305" s="26">
        <f t="shared" si="310"/>
        <v>45790</v>
      </c>
      <c r="I305" s="14" t="s">
        <v>90</v>
      </c>
      <c r="K305" s="27">
        <v>1.5E7</v>
      </c>
      <c r="L305" s="29" t="s">
        <v>1203</v>
      </c>
      <c r="M305" s="31"/>
      <c r="N305" s="31"/>
      <c r="O305" s="31"/>
      <c r="Q305" s="36"/>
      <c r="R305" s="36"/>
      <c r="S305" s="36"/>
      <c r="T305" s="36"/>
      <c r="V305" s="31"/>
    </row>
    <row r="306">
      <c r="A306" s="14" t="s">
        <v>117</v>
      </c>
      <c r="B306" s="14" t="s">
        <v>1670</v>
      </c>
      <c r="C306" s="14" t="s">
        <v>1671</v>
      </c>
      <c r="D306" s="14" t="s">
        <v>40</v>
      </c>
      <c r="E306" s="20" t="str">
        <f t="shared" si="2"/>
        <v>mayo 2025</v>
      </c>
      <c r="F306" s="22">
        <v>45790.0</v>
      </c>
      <c r="G306" s="24">
        <f t="shared" ref="G306:H306" si="311">F306</f>
        <v>45790</v>
      </c>
      <c r="H306" s="26">
        <f t="shared" si="311"/>
        <v>45790</v>
      </c>
      <c r="I306" s="14" t="s">
        <v>90</v>
      </c>
      <c r="K306" s="27">
        <v>5.0E7</v>
      </c>
      <c r="L306" s="78"/>
      <c r="M306" s="31"/>
      <c r="N306" s="31"/>
      <c r="O306" s="31"/>
      <c r="Q306" s="36"/>
      <c r="R306" s="36"/>
      <c r="S306" s="36"/>
      <c r="T306" s="36"/>
      <c r="V306" s="31"/>
    </row>
    <row r="307">
      <c r="A307" s="14" t="s">
        <v>117</v>
      </c>
      <c r="B307" s="14" t="s">
        <v>1676</v>
      </c>
      <c r="C307" s="14" t="s">
        <v>1677</v>
      </c>
      <c r="D307" s="14" t="s">
        <v>40</v>
      </c>
      <c r="E307" s="20" t="str">
        <f t="shared" si="2"/>
        <v>mayo 2025</v>
      </c>
      <c r="F307" s="22">
        <v>45793.0</v>
      </c>
      <c r="G307" s="24">
        <f t="shared" ref="G307:H307" si="312">F307</f>
        <v>45793</v>
      </c>
      <c r="H307" s="26">
        <f t="shared" si="312"/>
        <v>45793</v>
      </c>
      <c r="I307" s="14" t="s">
        <v>90</v>
      </c>
      <c r="K307" s="27">
        <v>2.5E7</v>
      </c>
      <c r="L307" s="29">
        <v>2.19</v>
      </c>
      <c r="M307" s="31"/>
      <c r="N307" s="31"/>
      <c r="O307" s="31"/>
      <c r="Q307" s="36"/>
      <c r="R307" s="36"/>
      <c r="S307" s="36"/>
      <c r="T307" s="36"/>
      <c r="V307" s="31"/>
    </row>
    <row r="308">
      <c r="A308" s="14" t="s">
        <v>36</v>
      </c>
      <c r="B308" s="14" t="s">
        <v>1680</v>
      </c>
      <c r="C308" s="14" t="s">
        <v>1681</v>
      </c>
      <c r="D308" s="14" t="s">
        <v>40</v>
      </c>
      <c r="E308" s="20" t="str">
        <f t="shared" si="2"/>
        <v>mayo 2025</v>
      </c>
      <c r="F308" s="22">
        <v>45793.0</v>
      </c>
      <c r="G308" s="24">
        <f t="shared" ref="G308:H308" si="313">F308</f>
        <v>45793</v>
      </c>
      <c r="H308" s="26">
        <f t="shared" si="313"/>
        <v>45793</v>
      </c>
      <c r="I308" s="14" t="s">
        <v>90</v>
      </c>
      <c r="K308" s="27">
        <v>2.5E8</v>
      </c>
      <c r="L308" s="29" t="s">
        <v>1143</v>
      </c>
      <c r="M308" s="14"/>
      <c r="N308" s="14"/>
      <c r="O308" s="14"/>
      <c r="P308" s="14" t="s">
        <v>84</v>
      </c>
      <c r="Q308" s="36"/>
      <c r="R308" s="36"/>
      <c r="S308" s="36"/>
      <c r="T308" s="36"/>
      <c r="V308" s="31"/>
    </row>
    <row r="309">
      <c r="A309" s="14" t="s">
        <v>679</v>
      </c>
      <c r="B309" s="14" t="s">
        <v>1688</v>
      </c>
      <c r="C309" s="14" t="s">
        <v>1689</v>
      </c>
      <c r="D309" s="14" t="s">
        <v>40</v>
      </c>
      <c r="E309" s="20" t="str">
        <f t="shared" si="2"/>
        <v>mayo 2025</v>
      </c>
      <c r="F309" s="22">
        <v>45790.0</v>
      </c>
      <c r="G309" s="24">
        <f t="shared" ref="G309:H309" si="314">F309</f>
        <v>45790</v>
      </c>
      <c r="H309" s="26">
        <f t="shared" si="314"/>
        <v>45790</v>
      </c>
      <c r="I309" s="14" t="s">
        <v>90</v>
      </c>
      <c r="K309" s="27">
        <v>1.0E7</v>
      </c>
      <c r="L309" s="29" t="s">
        <v>1203</v>
      </c>
      <c r="M309" s="31"/>
      <c r="N309" s="31"/>
      <c r="O309" s="31"/>
      <c r="Q309" s="36"/>
      <c r="R309" s="36"/>
      <c r="S309" s="36"/>
      <c r="T309" s="36"/>
      <c r="V309" s="31"/>
    </row>
    <row r="310">
      <c r="A310" s="14" t="s">
        <v>736</v>
      </c>
      <c r="B310" s="14" t="s">
        <v>1694</v>
      </c>
      <c r="C310" s="27" t="s">
        <v>1696</v>
      </c>
      <c r="D310" s="14" t="s">
        <v>40</v>
      </c>
      <c r="E310" s="20" t="str">
        <f t="shared" si="2"/>
        <v>mayo 2025</v>
      </c>
      <c r="F310" s="22">
        <v>45796.0</v>
      </c>
      <c r="G310" s="24">
        <f t="shared" ref="G310:H310" si="315">F310</f>
        <v>45796</v>
      </c>
      <c r="H310" s="26">
        <f t="shared" si="315"/>
        <v>45796</v>
      </c>
      <c r="I310" s="14" t="s">
        <v>90</v>
      </c>
      <c r="K310" s="27">
        <v>1.0E7</v>
      </c>
      <c r="L310" s="29" t="s">
        <v>1203</v>
      </c>
      <c r="M310" s="31"/>
      <c r="N310" s="31"/>
      <c r="O310" s="31"/>
      <c r="Q310" s="36"/>
      <c r="R310" s="36"/>
      <c r="S310" s="36"/>
      <c r="T310" s="36"/>
      <c r="V310" s="31"/>
    </row>
    <row r="311">
      <c r="A311" s="14" t="s">
        <v>736</v>
      </c>
      <c r="B311" s="14" t="s">
        <v>1701</v>
      </c>
      <c r="C311" s="27" t="s">
        <v>1702</v>
      </c>
      <c r="D311" s="14" t="s">
        <v>40</v>
      </c>
      <c r="E311" s="20" t="str">
        <f t="shared" si="2"/>
        <v>mayo 2025</v>
      </c>
      <c r="F311" s="22">
        <v>45797.0</v>
      </c>
      <c r="G311" s="24">
        <f t="shared" ref="G311:H311" si="316">F311</f>
        <v>45797</v>
      </c>
      <c r="H311" s="26">
        <f t="shared" si="316"/>
        <v>45797</v>
      </c>
      <c r="I311" s="14" t="s">
        <v>259</v>
      </c>
      <c r="J311" s="14" t="s">
        <v>1709</v>
      </c>
      <c r="K311" s="27">
        <v>1.5E7</v>
      </c>
      <c r="L311" s="29" t="s">
        <v>1203</v>
      </c>
      <c r="M311" s="31"/>
      <c r="N311" s="31"/>
      <c r="O311" s="31"/>
      <c r="Q311" s="36"/>
      <c r="R311" s="36"/>
      <c r="S311" s="36"/>
      <c r="T311" s="36"/>
      <c r="V311" s="31"/>
    </row>
    <row r="312">
      <c r="A312" s="14" t="s">
        <v>208</v>
      </c>
      <c r="B312" s="14" t="s">
        <v>1711</v>
      </c>
      <c r="C312" s="15" t="s">
        <v>1712</v>
      </c>
      <c r="D312" s="14" t="s">
        <v>40</v>
      </c>
      <c r="E312" s="20" t="str">
        <f t="shared" si="2"/>
        <v>mayo 2025</v>
      </c>
      <c r="F312" s="22">
        <v>45790.0</v>
      </c>
      <c r="G312" s="24">
        <f t="shared" ref="G312:H312" si="317">F312</f>
        <v>45790</v>
      </c>
      <c r="H312" s="26">
        <f t="shared" si="317"/>
        <v>45790</v>
      </c>
      <c r="I312" s="14" t="s">
        <v>90</v>
      </c>
      <c r="K312" s="27">
        <v>1.5E7</v>
      </c>
      <c r="L312" s="29" t="s">
        <v>1203</v>
      </c>
      <c r="M312" s="31"/>
      <c r="N312" s="31"/>
      <c r="O312" s="31"/>
      <c r="Q312" s="36"/>
      <c r="R312" s="36"/>
      <c r="S312" s="36"/>
      <c r="T312" s="36"/>
      <c r="V312" s="31"/>
    </row>
    <row r="313">
      <c r="A313" s="14" t="s">
        <v>208</v>
      </c>
      <c r="B313" s="14" t="s">
        <v>1717</v>
      </c>
      <c r="C313" s="15" t="s">
        <v>1719</v>
      </c>
      <c r="D313" s="14" t="s">
        <v>40</v>
      </c>
      <c r="E313" s="20" t="str">
        <f t="shared" si="2"/>
        <v>mayo 2025</v>
      </c>
      <c r="F313" s="22">
        <v>45799.0</v>
      </c>
      <c r="G313" s="24">
        <f t="shared" ref="G313:H313" si="318">F313</f>
        <v>45799</v>
      </c>
      <c r="H313" s="26">
        <f t="shared" si="318"/>
        <v>45799</v>
      </c>
      <c r="I313" s="14" t="s">
        <v>259</v>
      </c>
      <c r="J313" s="14" t="s">
        <v>1709</v>
      </c>
      <c r="K313" s="27">
        <v>4.0E7</v>
      </c>
      <c r="L313" s="29" t="s">
        <v>1210</v>
      </c>
      <c r="M313" s="31"/>
      <c r="N313" s="31"/>
      <c r="O313" s="31"/>
      <c r="Q313" s="36"/>
      <c r="R313" s="36"/>
      <c r="S313" s="36"/>
      <c r="T313" s="36"/>
      <c r="V313" s="31"/>
    </row>
    <row r="314">
      <c r="A314" s="14" t="s">
        <v>208</v>
      </c>
      <c r="B314" s="14" t="s">
        <v>1724</v>
      </c>
      <c r="C314" s="15" t="s">
        <v>1725</v>
      </c>
      <c r="D314" s="14" t="s">
        <v>40</v>
      </c>
      <c r="E314" s="20" t="str">
        <f t="shared" si="2"/>
        <v>mayo 2025</v>
      </c>
      <c r="F314" s="22">
        <v>45800.0</v>
      </c>
      <c r="G314" s="24">
        <f t="shared" ref="G314:H314" si="319">F314</f>
        <v>45800</v>
      </c>
      <c r="H314" s="26">
        <f t="shared" si="319"/>
        <v>45800</v>
      </c>
      <c r="I314" s="14" t="s">
        <v>90</v>
      </c>
      <c r="K314" s="27">
        <v>2.0E7</v>
      </c>
      <c r="L314" s="29" t="s">
        <v>1008</v>
      </c>
      <c r="M314" s="31"/>
      <c r="N314" s="31"/>
      <c r="O314" s="31"/>
      <c r="Q314" s="36"/>
      <c r="R314" s="36"/>
      <c r="S314" s="36"/>
      <c r="T314" s="36"/>
      <c r="V314" s="31"/>
    </row>
    <row r="315">
      <c r="A315" s="14" t="s">
        <v>241</v>
      </c>
      <c r="B315" s="14" t="s">
        <v>1730</v>
      </c>
      <c r="C315" s="15" t="s">
        <v>1731</v>
      </c>
      <c r="D315" s="14" t="s">
        <v>40</v>
      </c>
      <c r="E315" s="20" t="str">
        <f t="shared" si="2"/>
        <v>mayo 2025</v>
      </c>
      <c r="F315" s="22">
        <v>45799.0</v>
      </c>
      <c r="G315" s="24">
        <f t="shared" ref="G315:H315" si="320">F315</f>
        <v>45799</v>
      </c>
      <c r="H315" s="26">
        <f t="shared" si="320"/>
        <v>45799</v>
      </c>
      <c r="I315" s="14" t="s">
        <v>90</v>
      </c>
      <c r="J315" s="14" t="s">
        <v>66</v>
      </c>
      <c r="K315" s="27">
        <v>1000.0</v>
      </c>
      <c r="L315" s="29" t="s">
        <v>1016</v>
      </c>
      <c r="M315" s="31"/>
      <c r="N315" s="31"/>
      <c r="O315" s="31"/>
      <c r="Q315" s="36"/>
      <c r="R315" s="36"/>
      <c r="S315" s="36"/>
      <c r="T315" s="36"/>
      <c r="V315" s="31"/>
    </row>
    <row r="316">
      <c r="A316" s="14" t="s">
        <v>241</v>
      </c>
      <c r="B316" s="14" t="s">
        <v>1735</v>
      </c>
      <c r="C316" s="15" t="s">
        <v>1736</v>
      </c>
      <c r="D316" s="14" t="s">
        <v>40</v>
      </c>
      <c r="E316" s="20" t="str">
        <f t="shared" si="2"/>
        <v>mayo 2025</v>
      </c>
      <c r="F316" s="22">
        <v>45779.0</v>
      </c>
      <c r="G316" s="24">
        <f t="shared" ref="G316:H316" si="321">F316</f>
        <v>45779</v>
      </c>
      <c r="H316" s="26">
        <f t="shared" si="321"/>
        <v>45779</v>
      </c>
      <c r="I316" s="14" t="s">
        <v>90</v>
      </c>
      <c r="J316" s="14" t="s">
        <v>66</v>
      </c>
      <c r="K316" s="27">
        <v>1.0E8</v>
      </c>
      <c r="L316" s="29" t="s">
        <v>1739</v>
      </c>
      <c r="M316" s="31"/>
      <c r="N316" s="31"/>
      <c r="O316" s="31"/>
      <c r="Q316" s="36"/>
      <c r="R316" s="36"/>
      <c r="S316" s="36"/>
      <c r="T316" s="36"/>
      <c r="V316" s="31"/>
    </row>
    <row r="317">
      <c r="A317" s="14" t="s">
        <v>1464</v>
      </c>
      <c r="B317" s="14" t="s">
        <v>1741</v>
      </c>
      <c r="C317" s="14" t="s">
        <v>1742</v>
      </c>
      <c r="D317" s="14" t="s">
        <v>40</v>
      </c>
      <c r="E317" s="20" t="str">
        <f t="shared" si="2"/>
        <v>mayo 2025</v>
      </c>
      <c r="F317" s="22">
        <v>45779.0</v>
      </c>
      <c r="G317" s="24">
        <f t="shared" ref="G317:H317" si="322">F317</f>
        <v>45779</v>
      </c>
      <c r="H317" s="26">
        <f t="shared" si="322"/>
        <v>45779</v>
      </c>
      <c r="I317" s="14" t="s">
        <v>90</v>
      </c>
      <c r="K317" s="27">
        <v>5000000.0</v>
      </c>
      <c r="L317" s="29" t="s">
        <v>1203</v>
      </c>
      <c r="M317" s="31"/>
      <c r="N317" s="31"/>
      <c r="O317" s="31"/>
      <c r="Q317" s="36"/>
      <c r="R317" s="36"/>
      <c r="S317" s="36"/>
      <c r="T317" s="36"/>
      <c r="V317" s="31"/>
    </row>
    <row r="318">
      <c r="A318" s="14" t="s">
        <v>1464</v>
      </c>
      <c r="B318" s="14" t="s">
        <v>1747</v>
      </c>
      <c r="C318" s="14" t="s">
        <v>1749</v>
      </c>
      <c r="D318" s="14" t="s">
        <v>40</v>
      </c>
      <c r="E318" s="20" t="str">
        <f t="shared" si="2"/>
        <v>mayo 2025</v>
      </c>
      <c r="F318" s="22">
        <v>45779.0</v>
      </c>
      <c r="G318" s="24">
        <f t="shared" ref="G318:H318" si="323">F318</f>
        <v>45779</v>
      </c>
      <c r="H318" s="26">
        <f t="shared" si="323"/>
        <v>45779</v>
      </c>
      <c r="I318" s="14" t="s">
        <v>90</v>
      </c>
      <c r="K318" s="27">
        <v>5000000.0</v>
      </c>
      <c r="L318" s="29" t="s">
        <v>1203</v>
      </c>
      <c r="M318" s="31"/>
      <c r="N318" s="31"/>
      <c r="O318" s="31"/>
      <c r="Q318" s="36"/>
      <c r="R318" s="36"/>
      <c r="S318" s="36"/>
      <c r="T318" s="36"/>
      <c r="V318" s="31"/>
    </row>
    <row r="319">
      <c r="A319" s="14" t="s">
        <v>1464</v>
      </c>
      <c r="B319" s="14" t="s">
        <v>1754</v>
      </c>
      <c r="C319" s="14" t="s">
        <v>1755</v>
      </c>
      <c r="D319" s="14" t="s">
        <v>40</v>
      </c>
      <c r="E319" s="20" t="str">
        <f t="shared" si="2"/>
        <v>mayo 2025</v>
      </c>
      <c r="F319" s="22">
        <v>45779.0</v>
      </c>
      <c r="G319" s="24">
        <f t="shared" ref="G319:H319" si="324">F319</f>
        <v>45779</v>
      </c>
      <c r="H319" s="26">
        <f t="shared" si="324"/>
        <v>45779</v>
      </c>
      <c r="I319" s="14" t="s">
        <v>90</v>
      </c>
      <c r="K319" s="27">
        <v>5000000.0</v>
      </c>
      <c r="L319" s="29" t="s">
        <v>1203</v>
      </c>
      <c r="M319" s="31"/>
      <c r="N319" s="31"/>
      <c r="O319" s="31"/>
      <c r="Q319" s="36"/>
      <c r="R319" s="36"/>
      <c r="S319" s="36"/>
      <c r="T319" s="36"/>
      <c r="V319" s="31"/>
    </row>
    <row r="320">
      <c r="A320" s="14" t="s">
        <v>1464</v>
      </c>
      <c r="B320" s="14" t="s">
        <v>1760</v>
      </c>
      <c r="C320" s="14" t="s">
        <v>1762</v>
      </c>
      <c r="D320" s="14" t="s">
        <v>40</v>
      </c>
      <c r="E320" s="20" t="str">
        <f t="shared" si="2"/>
        <v>mayo 2025</v>
      </c>
      <c r="F320" s="22">
        <v>45789.0</v>
      </c>
      <c r="G320" s="24">
        <f t="shared" ref="G320:H320" si="325">F320</f>
        <v>45789</v>
      </c>
      <c r="H320" s="26">
        <f t="shared" si="325"/>
        <v>45789</v>
      </c>
      <c r="I320" s="14" t="s">
        <v>90</v>
      </c>
      <c r="K320" s="27">
        <v>5000000.0</v>
      </c>
      <c r="L320" s="29" t="s">
        <v>1203</v>
      </c>
      <c r="M320" s="31"/>
      <c r="N320" s="31"/>
      <c r="O320" s="31"/>
      <c r="Q320" s="36"/>
      <c r="R320" s="36"/>
      <c r="S320" s="36"/>
      <c r="T320" s="36"/>
      <c r="V320" s="31"/>
    </row>
    <row r="321">
      <c r="A321" s="14" t="s">
        <v>1012</v>
      </c>
      <c r="B321" s="14" t="s">
        <v>1766</v>
      </c>
      <c r="C321" s="14" t="s">
        <v>1767</v>
      </c>
      <c r="D321" s="14" t="s">
        <v>40</v>
      </c>
      <c r="E321" s="20" t="str">
        <f t="shared" si="2"/>
        <v>junio 2025</v>
      </c>
      <c r="F321" s="22">
        <v>45812.0</v>
      </c>
      <c r="G321" s="24">
        <f t="shared" ref="G321:H321" si="326">F321</f>
        <v>45812</v>
      </c>
      <c r="H321" s="26">
        <f t="shared" si="326"/>
        <v>45812</v>
      </c>
      <c r="I321" s="14" t="s">
        <v>259</v>
      </c>
      <c r="J321" s="14" t="s">
        <v>304</v>
      </c>
      <c r="K321" s="27">
        <v>3.0E8</v>
      </c>
      <c r="L321" s="29" t="s">
        <v>1771</v>
      </c>
      <c r="M321" s="31"/>
      <c r="N321" s="31"/>
      <c r="O321" s="31"/>
      <c r="Q321" s="36"/>
      <c r="R321" s="36"/>
      <c r="S321" s="36"/>
      <c r="T321" s="36"/>
      <c r="V321" s="31"/>
    </row>
    <row r="322">
      <c r="A322" s="14" t="s">
        <v>679</v>
      </c>
      <c r="B322" s="14" t="s">
        <v>1776</v>
      </c>
      <c r="C322" s="14" t="s">
        <v>1778</v>
      </c>
      <c r="D322" s="14" t="s">
        <v>40</v>
      </c>
      <c r="E322" s="20" t="str">
        <f t="shared" si="2"/>
        <v>junio 2025</v>
      </c>
      <c r="F322" s="22">
        <v>45809.0</v>
      </c>
      <c r="G322" s="24">
        <f t="shared" ref="G322:H322" si="327">F322</f>
        <v>45809</v>
      </c>
      <c r="H322" s="26">
        <f t="shared" si="327"/>
        <v>45809</v>
      </c>
      <c r="I322" s="14" t="s">
        <v>90</v>
      </c>
      <c r="K322" s="27">
        <v>1.7E8</v>
      </c>
      <c r="L322" s="29" t="s">
        <v>1782</v>
      </c>
      <c r="M322" s="31"/>
      <c r="N322" s="31"/>
      <c r="O322" s="31"/>
      <c r="Q322" s="36"/>
      <c r="R322" s="36"/>
      <c r="S322" s="36"/>
      <c r="T322" s="36"/>
      <c r="V322" s="31"/>
    </row>
    <row r="323">
      <c r="A323" s="14" t="s">
        <v>1787</v>
      </c>
      <c r="B323" s="14" t="s">
        <v>1788</v>
      </c>
      <c r="C323" s="14" t="s">
        <v>1789</v>
      </c>
      <c r="D323" s="14" t="s">
        <v>40</v>
      </c>
      <c r="E323" s="20" t="str">
        <f t="shared" si="2"/>
        <v>junio 2025</v>
      </c>
      <c r="F323" s="22">
        <v>45811.0</v>
      </c>
      <c r="G323" s="24">
        <f t="shared" ref="G323:H323" si="328">F323</f>
        <v>45811</v>
      </c>
      <c r="H323" s="26">
        <f t="shared" si="328"/>
        <v>45811</v>
      </c>
      <c r="I323" s="14" t="s">
        <v>90</v>
      </c>
      <c r="K323" s="27">
        <v>6.0E7</v>
      </c>
      <c r="L323" s="29" t="s">
        <v>1210</v>
      </c>
      <c r="M323" s="31"/>
      <c r="N323" s="14" t="s">
        <v>84</v>
      </c>
      <c r="O323" s="31"/>
      <c r="Q323" s="36"/>
      <c r="R323" s="36"/>
      <c r="S323" s="36"/>
      <c r="T323" s="36"/>
      <c r="V323" s="31"/>
    </row>
    <row r="324">
      <c r="A324" s="14" t="s">
        <v>1787</v>
      </c>
      <c r="B324" s="14" t="s">
        <v>1796</v>
      </c>
      <c r="C324" s="14" t="s">
        <v>1798</v>
      </c>
      <c r="D324" s="14" t="s">
        <v>40</v>
      </c>
      <c r="E324" s="20" t="str">
        <f t="shared" si="2"/>
        <v>junio 2025</v>
      </c>
      <c r="F324" s="22">
        <v>45811.0</v>
      </c>
      <c r="G324" s="24">
        <f t="shared" ref="G324:H324" si="329">F324</f>
        <v>45811</v>
      </c>
      <c r="H324" s="26">
        <f t="shared" si="329"/>
        <v>45811</v>
      </c>
      <c r="I324" s="14" t="s">
        <v>90</v>
      </c>
      <c r="K324" s="27">
        <v>6000000.0</v>
      </c>
      <c r="L324" s="29" t="s">
        <v>1203</v>
      </c>
      <c r="M324" s="31"/>
      <c r="N324" s="14" t="s">
        <v>84</v>
      </c>
      <c r="O324" s="31"/>
      <c r="Q324" s="36"/>
      <c r="R324" s="36"/>
      <c r="S324" s="36"/>
      <c r="T324" s="36"/>
      <c r="V324" s="31"/>
    </row>
    <row r="325">
      <c r="A325" s="14" t="s">
        <v>1787</v>
      </c>
      <c r="B325" s="14" t="s">
        <v>1799</v>
      </c>
      <c r="C325" s="14" t="s">
        <v>1800</v>
      </c>
      <c r="D325" s="14" t="s">
        <v>40</v>
      </c>
      <c r="E325" s="20" t="str">
        <f t="shared" si="2"/>
        <v>junio 2025</v>
      </c>
      <c r="F325" s="22">
        <v>45812.0</v>
      </c>
      <c r="G325" s="24">
        <f t="shared" ref="G325:H325" si="330">F325</f>
        <v>45812</v>
      </c>
      <c r="H325" s="26">
        <f t="shared" si="330"/>
        <v>45812</v>
      </c>
      <c r="I325" s="14" t="s">
        <v>90</v>
      </c>
      <c r="K325" s="27">
        <v>1.0E8</v>
      </c>
      <c r="L325" s="29" t="s">
        <v>1210</v>
      </c>
      <c r="M325" s="31"/>
      <c r="N325" s="14" t="s">
        <v>84</v>
      </c>
      <c r="O325" s="31"/>
      <c r="Q325" s="36"/>
      <c r="R325" s="36"/>
      <c r="S325" s="36"/>
      <c r="T325" s="36"/>
      <c r="V325" s="31"/>
    </row>
    <row r="326">
      <c r="A326" s="14" t="s">
        <v>679</v>
      </c>
      <c r="B326" s="14" t="s">
        <v>1801</v>
      </c>
      <c r="C326" s="14" t="s">
        <v>1802</v>
      </c>
      <c r="D326" s="14" t="s">
        <v>40</v>
      </c>
      <c r="E326" s="20" t="str">
        <f t="shared" si="2"/>
        <v>junio 2025</v>
      </c>
      <c r="F326" s="22">
        <v>45813.0</v>
      </c>
      <c r="G326" s="24">
        <f t="shared" ref="G326:H326" si="331">F326</f>
        <v>45813</v>
      </c>
      <c r="H326" s="26">
        <f t="shared" si="331"/>
        <v>45813</v>
      </c>
      <c r="I326" s="14" t="s">
        <v>90</v>
      </c>
      <c r="K326" s="27">
        <v>1.0E7</v>
      </c>
      <c r="L326" s="29" t="s">
        <v>1203</v>
      </c>
      <c r="M326" s="31"/>
      <c r="N326" s="31"/>
      <c r="O326" s="31"/>
      <c r="Q326" s="36"/>
      <c r="R326" s="36"/>
      <c r="S326" s="36"/>
      <c r="T326" s="36"/>
      <c r="V326" s="31"/>
    </row>
    <row r="327">
      <c r="A327" s="14" t="s">
        <v>679</v>
      </c>
      <c r="B327" s="14" t="s">
        <v>1803</v>
      </c>
      <c r="C327" s="14" t="s">
        <v>1804</v>
      </c>
      <c r="D327" s="14" t="s">
        <v>40</v>
      </c>
      <c r="E327" s="20" t="str">
        <f t="shared" si="2"/>
        <v>junio 2025</v>
      </c>
      <c r="F327" s="22">
        <v>45824.0</v>
      </c>
      <c r="G327" s="24">
        <f t="shared" ref="G327:H327" si="332">F327</f>
        <v>45824</v>
      </c>
      <c r="H327" s="26">
        <f t="shared" si="332"/>
        <v>45824</v>
      </c>
      <c r="I327" s="14" t="s">
        <v>90</v>
      </c>
      <c r="K327" s="27">
        <v>5.0E7</v>
      </c>
      <c r="L327" s="29" t="s">
        <v>1008</v>
      </c>
      <c r="M327" s="31"/>
      <c r="N327" s="31"/>
      <c r="O327" s="31"/>
      <c r="Q327" s="36"/>
      <c r="R327" s="36"/>
      <c r="S327" s="36"/>
      <c r="T327" s="36"/>
      <c r="V327" s="31"/>
    </row>
    <row r="328">
      <c r="A328" s="14" t="s">
        <v>679</v>
      </c>
      <c r="B328" s="14" t="s">
        <v>1805</v>
      </c>
      <c r="C328" s="14" t="s">
        <v>1806</v>
      </c>
      <c r="D328" s="14" t="s">
        <v>40</v>
      </c>
      <c r="E328" s="20" t="str">
        <f t="shared" si="2"/>
        <v>junio 2025</v>
      </c>
      <c r="F328" s="22">
        <v>45825.0</v>
      </c>
      <c r="G328" s="24">
        <f t="shared" ref="G328:H328" si="333">F328</f>
        <v>45825</v>
      </c>
      <c r="H328" s="26">
        <f t="shared" si="333"/>
        <v>45825</v>
      </c>
      <c r="I328" s="14" t="s">
        <v>90</v>
      </c>
      <c r="K328" s="27">
        <v>1.0E7</v>
      </c>
      <c r="L328" s="29" t="s">
        <v>1210</v>
      </c>
      <c r="M328" s="31"/>
      <c r="N328" s="31"/>
      <c r="O328" s="31"/>
      <c r="Q328" s="36"/>
      <c r="R328" s="36"/>
      <c r="S328" s="36"/>
      <c r="T328" s="36"/>
      <c r="V328" s="31"/>
    </row>
    <row r="329">
      <c r="A329" s="14" t="s">
        <v>679</v>
      </c>
      <c r="B329" s="14" t="s">
        <v>1807</v>
      </c>
      <c r="C329" s="14" t="s">
        <v>1808</v>
      </c>
      <c r="D329" s="14" t="s">
        <v>40</v>
      </c>
      <c r="E329" s="20" t="str">
        <f t="shared" si="2"/>
        <v>junio 2025</v>
      </c>
      <c r="F329" s="22">
        <v>45826.0</v>
      </c>
      <c r="G329" s="24">
        <f t="shared" ref="G329:H329" si="334">F329</f>
        <v>45826</v>
      </c>
      <c r="H329" s="26">
        <f t="shared" si="334"/>
        <v>45826</v>
      </c>
      <c r="I329" s="14" t="s">
        <v>90</v>
      </c>
      <c r="K329" s="27">
        <v>1.4E8</v>
      </c>
      <c r="L329" s="29" t="s">
        <v>1809</v>
      </c>
      <c r="M329" s="31"/>
      <c r="N329" s="31"/>
      <c r="O329" s="31"/>
      <c r="Q329" s="36"/>
      <c r="R329" s="36"/>
      <c r="S329" s="36"/>
      <c r="T329" s="36"/>
      <c r="V329" s="31"/>
    </row>
    <row r="330">
      <c r="A330" s="14" t="s">
        <v>679</v>
      </c>
      <c r="B330" s="14" t="s">
        <v>1807</v>
      </c>
      <c r="C330" s="14" t="s">
        <v>1808</v>
      </c>
      <c r="D330" s="14" t="s">
        <v>40</v>
      </c>
      <c r="E330" s="20" t="str">
        <f t="shared" si="2"/>
        <v>junio 2025</v>
      </c>
      <c r="F330" s="22">
        <v>45826.0</v>
      </c>
      <c r="G330" s="24">
        <f t="shared" ref="G330:H330" si="335">F330</f>
        <v>45826</v>
      </c>
      <c r="H330" s="26">
        <f t="shared" si="335"/>
        <v>45826</v>
      </c>
      <c r="I330" s="14" t="s">
        <v>1596</v>
      </c>
      <c r="K330" s="27">
        <v>3.6E7</v>
      </c>
      <c r="L330" s="200">
        <v>0.02</v>
      </c>
      <c r="M330" s="31"/>
      <c r="N330" s="31"/>
      <c r="O330" s="31"/>
      <c r="Q330" s="36"/>
      <c r="R330" s="36"/>
      <c r="S330" s="36"/>
      <c r="T330" s="36"/>
      <c r="V330" s="31"/>
    </row>
    <row r="331">
      <c r="A331" s="14" t="s">
        <v>679</v>
      </c>
      <c r="B331" s="14" t="s">
        <v>1810</v>
      </c>
      <c r="C331" s="14" t="s">
        <v>1811</v>
      </c>
      <c r="D331" s="14" t="s">
        <v>40</v>
      </c>
      <c r="E331" s="20" t="str">
        <f t="shared" si="2"/>
        <v>junio 2025</v>
      </c>
      <c r="F331" s="22">
        <v>45828.0</v>
      </c>
      <c r="G331" s="24">
        <f t="shared" ref="G331:H331" si="336">F331</f>
        <v>45828</v>
      </c>
      <c r="H331" s="26">
        <f t="shared" si="336"/>
        <v>45828</v>
      </c>
      <c r="I331" s="14" t="s">
        <v>90</v>
      </c>
      <c r="K331" s="27">
        <v>4000000.0</v>
      </c>
      <c r="L331" s="29" t="s">
        <v>1203</v>
      </c>
      <c r="M331" s="31"/>
      <c r="N331" s="31"/>
      <c r="O331" s="31"/>
      <c r="Q331" s="36"/>
      <c r="R331" s="36"/>
      <c r="S331" s="36"/>
      <c r="T331" s="36"/>
      <c r="V331" s="31"/>
    </row>
    <row r="332">
      <c r="A332" s="14" t="s">
        <v>679</v>
      </c>
      <c r="B332" s="14" t="s">
        <v>1812</v>
      </c>
      <c r="C332" s="14" t="s">
        <v>1813</v>
      </c>
      <c r="D332" s="14" t="s">
        <v>40</v>
      </c>
      <c r="E332" s="20" t="str">
        <f t="shared" si="2"/>
        <v>junio 2025</v>
      </c>
      <c r="F332" s="22">
        <v>45828.0</v>
      </c>
      <c r="G332" s="24">
        <f t="shared" ref="G332:H332" si="337">F332</f>
        <v>45828</v>
      </c>
      <c r="H332" s="26">
        <f t="shared" si="337"/>
        <v>45828</v>
      </c>
      <c r="I332" s="14" t="s">
        <v>90</v>
      </c>
      <c r="K332" s="27">
        <v>4000000.0</v>
      </c>
      <c r="L332" s="29" t="s">
        <v>1203</v>
      </c>
      <c r="M332" s="31"/>
      <c r="N332" s="31"/>
      <c r="O332" s="31"/>
      <c r="Q332" s="36"/>
      <c r="R332" s="36"/>
      <c r="S332" s="36"/>
      <c r="T332" s="36"/>
      <c r="V332" s="31"/>
    </row>
    <row r="333">
      <c r="A333" s="14" t="s">
        <v>679</v>
      </c>
      <c r="B333" s="14" t="s">
        <v>1814</v>
      </c>
      <c r="C333" s="14" t="s">
        <v>1815</v>
      </c>
      <c r="D333" s="14" t="s">
        <v>40</v>
      </c>
      <c r="E333" s="20" t="str">
        <f t="shared" si="2"/>
        <v>junio 2025</v>
      </c>
      <c r="F333" s="22">
        <v>45828.0</v>
      </c>
      <c r="G333" s="24">
        <f t="shared" ref="G333:H333" si="338">F333</f>
        <v>45828</v>
      </c>
      <c r="H333" s="26">
        <f t="shared" si="338"/>
        <v>45828</v>
      </c>
      <c r="I333" s="14" t="s">
        <v>90</v>
      </c>
      <c r="K333" s="27">
        <v>8.0E7</v>
      </c>
      <c r="L333" s="29" t="s">
        <v>1210</v>
      </c>
      <c r="M333" s="31"/>
      <c r="N333" s="31"/>
      <c r="O333" s="31"/>
      <c r="Q333" s="36"/>
      <c r="R333" s="36"/>
      <c r="S333" s="36"/>
      <c r="T333" s="36"/>
      <c r="V333" s="31"/>
    </row>
    <row r="334">
      <c r="A334" s="14" t="s">
        <v>679</v>
      </c>
      <c r="B334" s="14" t="s">
        <v>1818</v>
      </c>
      <c r="C334" s="14" t="s">
        <v>1819</v>
      </c>
      <c r="D334" s="14" t="s">
        <v>40</v>
      </c>
      <c r="E334" s="20" t="str">
        <f t="shared" si="2"/>
        <v>junio 2025</v>
      </c>
      <c r="F334" s="22">
        <v>45828.0</v>
      </c>
      <c r="G334" s="24">
        <f t="shared" ref="G334:H334" si="339">F334</f>
        <v>45828</v>
      </c>
      <c r="H334" s="26">
        <f t="shared" si="339"/>
        <v>45828</v>
      </c>
      <c r="I334" s="14" t="s">
        <v>90</v>
      </c>
      <c r="K334" s="27">
        <v>4.0E7</v>
      </c>
      <c r="L334" s="29" t="s">
        <v>1008</v>
      </c>
      <c r="M334" s="31"/>
      <c r="N334" s="31"/>
      <c r="O334" s="31"/>
      <c r="Q334" s="36"/>
      <c r="R334" s="36"/>
      <c r="S334" s="36"/>
      <c r="T334" s="36"/>
      <c r="V334" s="31"/>
    </row>
    <row r="335">
      <c r="A335" s="14" t="s">
        <v>1787</v>
      </c>
      <c r="B335" s="14" t="s">
        <v>1821</v>
      </c>
      <c r="C335" s="15" t="s">
        <v>1822</v>
      </c>
      <c r="D335" s="14" t="s">
        <v>40</v>
      </c>
      <c r="E335" s="20" t="str">
        <f t="shared" si="2"/>
        <v>junio 2025</v>
      </c>
      <c r="F335" s="22">
        <v>45814.0</v>
      </c>
      <c r="G335" s="24">
        <f t="shared" ref="G335:H335" si="340">F335</f>
        <v>45814</v>
      </c>
      <c r="H335" s="26">
        <f t="shared" si="340"/>
        <v>45814</v>
      </c>
      <c r="I335" s="14" t="s">
        <v>90</v>
      </c>
      <c r="K335" s="27">
        <v>3.0E7</v>
      </c>
      <c r="L335" s="29" t="s">
        <v>1008</v>
      </c>
      <c r="M335" s="31"/>
      <c r="N335" s="14" t="s">
        <v>84</v>
      </c>
      <c r="O335" s="31"/>
      <c r="Q335" s="36"/>
      <c r="R335" s="36"/>
      <c r="S335" s="36"/>
      <c r="T335" s="36"/>
      <c r="V335" s="31"/>
    </row>
    <row r="336">
      <c r="A336" s="14" t="s">
        <v>1787</v>
      </c>
      <c r="B336" s="14" t="s">
        <v>1823</v>
      </c>
      <c r="C336" s="15" t="s">
        <v>1824</v>
      </c>
      <c r="D336" s="14" t="s">
        <v>40</v>
      </c>
      <c r="E336" s="20" t="str">
        <f t="shared" si="2"/>
        <v>junio 2025</v>
      </c>
      <c r="F336" s="22">
        <v>45814.0</v>
      </c>
      <c r="G336" s="24">
        <f t="shared" ref="G336:H336" si="341">F336</f>
        <v>45814</v>
      </c>
      <c r="H336" s="26">
        <f t="shared" si="341"/>
        <v>45814</v>
      </c>
      <c r="I336" s="14" t="s">
        <v>90</v>
      </c>
      <c r="K336" s="27">
        <v>6.0E7</v>
      </c>
      <c r="L336" s="29" t="s">
        <v>1210</v>
      </c>
      <c r="M336" s="31"/>
      <c r="N336" s="14" t="s">
        <v>84</v>
      </c>
      <c r="O336" s="31"/>
      <c r="Q336" s="36"/>
      <c r="R336" s="36"/>
      <c r="S336" s="36"/>
      <c r="T336" s="36"/>
      <c r="V336" s="31"/>
    </row>
    <row r="337">
      <c r="A337" s="14" t="s">
        <v>1464</v>
      </c>
      <c r="B337" s="14" t="s">
        <v>1825</v>
      </c>
      <c r="C337" s="15" t="s">
        <v>1826</v>
      </c>
      <c r="D337" s="14" t="s">
        <v>40</v>
      </c>
      <c r="E337" s="20" t="str">
        <f t="shared" si="2"/>
        <v>junio 2025</v>
      </c>
      <c r="F337" s="22">
        <v>45809.0</v>
      </c>
      <c r="G337" s="24">
        <f t="shared" ref="G337:H337" si="342">F337</f>
        <v>45809</v>
      </c>
      <c r="H337" s="26">
        <f t="shared" si="342"/>
        <v>45809</v>
      </c>
      <c r="I337" s="14" t="s">
        <v>90</v>
      </c>
      <c r="K337" s="27">
        <v>9.0E7</v>
      </c>
      <c r="L337" s="29" t="s">
        <v>1210</v>
      </c>
      <c r="M337" s="31"/>
      <c r="N337" s="31"/>
      <c r="O337" s="31"/>
      <c r="Q337" s="36"/>
      <c r="R337" s="36"/>
      <c r="S337" s="36"/>
      <c r="T337" s="36"/>
      <c r="V337" s="31"/>
    </row>
    <row r="338">
      <c r="A338" s="14" t="s">
        <v>1464</v>
      </c>
      <c r="B338" s="14" t="s">
        <v>1827</v>
      </c>
      <c r="C338" s="15" t="s">
        <v>1828</v>
      </c>
      <c r="D338" s="14" t="s">
        <v>40</v>
      </c>
      <c r="E338" s="20" t="str">
        <f t="shared" si="2"/>
        <v>junio 2025</v>
      </c>
      <c r="F338" s="22">
        <v>45810.0</v>
      </c>
      <c r="G338" s="24">
        <f t="shared" ref="G338:H338" si="343">F338</f>
        <v>45810</v>
      </c>
      <c r="H338" s="26">
        <f t="shared" si="343"/>
        <v>45810</v>
      </c>
      <c r="I338" s="14" t="s">
        <v>90</v>
      </c>
      <c r="K338" s="27">
        <v>4000000.0</v>
      </c>
      <c r="L338" s="29" t="s">
        <v>1203</v>
      </c>
      <c r="M338" s="31"/>
      <c r="N338" s="31"/>
      <c r="O338" s="31"/>
      <c r="Q338" s="36"/>
      <c r="R338" s="36"/>
      <c r="S338" s="36"/>
      <c r="T338" s="36"/>
      <c r="V338" s="31"/>
    </row>
    <row r="339">
      <c r="A339" s="14" t="s">
        <v>1075</v>
      </c>
      <c r="B339" s="14" t="s">
        <v>1829</v>
      </c>
      <c r="C339" s="15" t="s">
        <v>1830</v>
      </c>
      <c r="D339" s="108" t="s">
        <v>40</v>
      </c>
      <c r="E339" s="20" t="str">
        <f t="shared" si="2"/>
        <v>junio 2025</v>
      </c>
      <c r="F339" s="22">
        <v>45813.0</v>
      </c>
      <c r="G339" s="24">
        <f t="shared" ref="G339:H339" si="344">F339</f>
        <v>45813</v>
      </c>
      <c r="H339" s="26">
        <f t="shared" si="344"/>
        <v>45813</v>
      </c>
      <c r="I339" s="108" t="s">
        <v>90</v>
      </c>
      <c r="J339" s="34"/>
      <c r="K339" s="199">
        <v>4.0E7</v>
      </c>
      <c r="L339" s="29"/>
      <c r="M339" s="31"/>
      <c r="N339" s="31"/>
      <c r="O339" s="31"/>
      <c r="Q339" s="36"/>
      <c r="R339" s="36"/>
      <c r="S339" s="36"/>
      <c r="T339" s="36"/>
      <c r="V339" s="31"/>
    </row>
    <row r="340">
      <c r="A340" s="14" t="s">
        <v>1075</v>
      </c>
      <c r="B340" s="14" t="s">
        <v>1831</v>
      </c>
      <c r="C340" s="15" t="s">
        <v>1832</v>
      </c>
      <c r="D340" s="108" t="s">
        <v>40</v>
      </c>
      <c r="E340" s="20" t="str">
        <f t="shared" si="2"/>
        <v>junio 2025</v>
      </c>
      <c r="F340" s="22">
        <v>45813.0</v>
      </c>
      <c r="G340" s="24">
        <f t="shared" ref="G340:H340" si="345">F340</f>
        <v>45813</v>
      </c>
      <c r="H340" s="26">
        <f t="shared" si="345"/>
        <v>45813</v>
      </c>
      <c r="I340" s="108" t="s">
        <v>90</v>
      </c>
      <c r="J340" s="34"/>
      <c r="K340" s="199">
        <v>4.0E7</v>
      </c>
      <c r="L340" s="29"/>
      <c r="M340" s="31"/>
      <c r="N340" s="31"/>
      <c r="O340" s="31"/>
      <c r="Q340" s="36"/>
      <c r="R340" s="36"/>
      <c r="S340" s="36"/>
      <c r="T340" s="36"/>
      <c r="V340" s="31"/>
    </row>
    <row r="341">
      <c r="A341" s="14" t="s">
        <v>1464</v>
      </c>
      <c r="B341" s="14" t="s">
        <v>1834</v>
      </c>
      <c r="C341" s="15" t="s">
        <v>1835</v>
      </c>
      <c r="D341" s="14" t="s">
        <v>40</v>
      </c>
      <c r="E341" s="20" t="str">
        <f t="shared" si="2"/>
        <v>junio 2025</v>
      </c>
      <c r="F341" s="22">
        <v>45817.0</v>
      </c>
      <c r="G341" s="24">
        <f t="shared" ref="G341:H341" si="346">F341</f>
        <v>45817</v>
      </c>
      <c r="H341" s="26">
        <f t="shared" si="346"/>
        <v>45817</v>
      </c>
      <c r="I341" s="14" t="s">
        <v>259</v>
      </c>
      <c r="J341" s="14" t="s">
        <v>304</v>
      </c>
      <c r="K341" s="27">
        <v>1.1E8</v>
      </c>
      <c r="L341" s="29" t="s">
        <v>1836</v>
      </c>
      <c r="M341" s="14"/>
      <c r="N341" s="14"/>
      <c r="O341" s="14"/>
      <c r="P341" s="14" t="s">
        <v>339</v>
      </c>
      <c r="Q341" s="36"/>
      <c r="R341" s="36"/>
      <c r="S341" s="36"/>
      <c r="T341" s="36"/>
      <c r="V341" s="31"/>
    </row>
    <row r="342">
      <c r="A342" s="14" t="s">
        <v>1464</v>
      </c>
      <c r="B342" s="14" t="s">
        <v>1837</v>
      </c>
      <c r="C342" s="15" t="s">
        <v>1838</v>
      </c>
      <c r="D342" s="14" t="s">
        <v>40</v>
      </c>
      <c r="E342" s="20" t="str">
        <f t="shared" si="2"/>
        <v>junio 2025</v>
      </c>
      <c r="F342" s="22">
        <v>45818.0</v>
      </c>
      <c r="G342" s="24">
        <f t="shared" ref="G342:H342" si="347">F342</f>
        <v>45818</v>
      </c>
      <c r="H342" s="26">
        <f t="shared" si="347"/>
        <v>45818</v>
      </c>
      <c r="I342" s="14" t="s">
        <v>259</v>
      </c>
      <c r="J342" s="14" t="s">
        <v>426</v>
      </c>
      <c r="K342" s="27">
        <v>2.0E7</v>
      </c>
      <c r="L342" s="29" t="s">
        <v>1203</v>
      </c>
      <c r="M342" s="31"/>
      <c r="N342" s="31"/>
      <c r="O342" s="31"/>
      <c r="Q342" s="36"/>
      <c r="R342" s="36"/>
      <c r="S342" s="36"/>
      <c r="T342" s="36"/>
      <c r="V342" s="31"/>
    </row>
    <row r="343">
      <c r="A343" s="14" t="s">
        <v>1045</v>
      </c>
      <c r="B343" s="14" t="s">
        <v>1839</v>
      </c>
      <c r="C343" s="15" t="s">
        <v>1840</v>
      </c>
      <c r="D343" s="14" t="s">
        <v>40</v>
      </c>
      <c r="E343" s="20" t="str">
        <f t="shared" si="2"/>
        <v>junio 2025</v>
      </c>
      <c r="F343" s="22">
        <v>45820.0</v>
      </c>
      <c r="G343" s="24">
        <f t="shared" ref="G343:H343" si="348">F343</f>
        <v>45820</v>
      </c>
      <c r="H343" s="26">
        <f t="shared" si="348"/>
        <v>45820</v>
      </c>
      <c r="I343" s="14" t="s">
        <v>90</v>
      </c>
      <c r="K343" s="27">
        <v>2.5E7</v>
      </c>
      <c r="L343" s="29" t="s">
        <v>887</v>
      </c>
      <c r="M343" s="31"/>
      <c r="N343" s="31"/>
      <c r="O343" s="31"/>
      <c r="Q343" s="36"/>
      <c r="R343" s="36"/>
      <c r="S343" s="36"/>
      <c r="T343" s="36"/>
      <c r="V343" s="31"/>
    </row>
    <row r="344">
      <c r="A344" s="14" t="s">
        <v>1787</v>
      </c>
      <c r="B344" s="14" t="s">
        <v>1841</v>
      </c>
      <c r="C344" s="15" t="s">
        <v>1842</v>
      </c>
      <c r="D344" s="14" t="s">
        <v>40</v>
      </c>
      <c r="E344" s="20" t="str">
        <f t="shared" si="2"/>
        <v>junio 2025</v>
      </c>
      <c r="F344" s="22">
        <v>45826.0</v>
      </c>
      <c r="G344" s="24">
        <f t="shared" ref="G344:H344" si="349">F344</f>
        <v>45826</v>
      </c>
      <c r="H344" s="26">
        <f t="shared" si="349"/>
        <v>45826</v>
      </c>
      <c r="I344" s="14" t="s">
        <v>90</v>
      </c>
      <c r="K344" s="27">
        <v>4.0E7</v>
      </c>
      <c r="L344" s="29" t="s">
        <v>1843</v>
      </c>
      <c r="M344" s="31"/>
      <c r="N344" s="31"/>
      <c r="O344" s="31"/>
      <c r="Q344" s="36"/>
      <c r="R344" s="36"/>
      <c r="S344" s="36"/>
      <c r="T344" s="36"/>
      <c r="V344" s="31"/>
    </row>
    <row r="345">
      <c r="A345" s="14" t="s">
        <v>1464</v>
      </c>
      <c r="B345" s="14" t="s">
        <v>1844</v>
      </c>
      <c r="C345" s="15" t="s">
        <v>1845</v>
      </c>
      <c r="D345" s="14" t="s">
        <v>40</v>
      </c>
      <c r="E345" s="20" t="str">
        <f t="shared" si="2"/>
        <v>junio 2025</v>
      </c>
      <c r="F345" s="22">
        <v>45826.0</v>
      </c>
      <c r="G345" s="24">
        <f t="shared" ref="G345:H345" si="350">F345</f>
        <v>45826</v>
      </c>
      <c r="H345" s="26">
        <f t="shared" si="350"/>
        <v>45826</v>
      </c>
      <c r="I345" s="14" t="s">
        <v>259</v>
      </c>
      <c r="J345" s="14" t="s">
        <v>426</v>
      </c>
      <c r="K345" s="27">
        <v>3.0E7</v>
      </c>
      <c r="L345" s="29" t="s">
        <v>1016</v>
      </c>
      <c r="M345" s="31"/>
      <c r="N345" s="31"/>
      <c r="O345" s="31"/>
      <c r="Q345" s="36"/>
      <c r="R345" s="36"/>
      <c r="S345" s="36"/>
      <c r="T345" s="36"/>
      <c r="V345" s="31"/>
    </row>
    <row r="346">
      <c r="A346" s="14" t="s">
        <v>736</v>
      </c>
      <c r="B346" s="14" t="s">
        <v>1846</v>
      </c>
      <c r="C346" s="15" t="s">
        <v>1847</v>
      </c>
      <c r="D346" s="14" t="s">
        <v>40</v>
      </c>
      <c r="E346" s="20" t="str">
        <f t="shared" si="2"/>
        <v>junio 2025</v>
      </c>
      <c r="F346" s="22">
        <v>45825.0</v>
      </c>
      <c r="G346" s="24">
        <f t="shared" ref="G346:H346" si="351">F346</f>
        <v>45825</v>
      </c>
      <c r="H346" s="26">
        <f t="shared" si="351"/>
        <v>45825</v>
      </c>
      <c r="I346" s="14" t="s">
        <v>90</v>
      </c>
      <c r="K346" s="27">
        <v>6.0E7</v>
      </c>
      <c r="L346" s="29" t="s">
        <v>1153</v>
      </c>
      <c r="M346" s="31"/>
      <c r="N346" s="31"/>
      <c r="O346" s="31"/>
      <c r="Q346" s="36"/>
      <c r="R346" s="36"/>
      <c r="S346" s="36"/>
      <c r="T346" s="36"/>
      <c r="V346" s="31"/>
    </row>
    <row r="347">
      <c r="A347" s="14" t="s">
        <v>736</v>
      </c>
      <c r="B347" s="14" t="s">
        <v>1848</v>
      </c>
      <c r="C347" s="15" t="s">
        <v>1849</v>
      </c>
      <c r="D347" s="14" t="s">
        <v>40</v>
      </c>
      <c r="E347" s="20" t="str">
        <f t="shared" si="2"/>
        <v>junio 2025</v>
      </c>
      <c r="F347" s="22">
        <v>45827.0</v>
      </c>
      <c r="G347" s="24">
        <f t="shared" ref="G347:H347" si="352">F347</f>
        <v>45827</v>
      </c>
      <c r="H347" s="26">
        <f t="shared" si="352"/>
        <v>45827</v>
      </c>
      <c r="I347" s="14" t="s">
        <v>90</v>
      </c>
      <c r="K347" s="27">
        <v>3000000.0</v>
      </c>
      <c r="L347" s="29" t="s">
        <v>1016</v>
      </c>
      <c r="M347" s="31"/>
      <c r="N347" s="31"/>
      <c r="O347" s="31"/>
      <c r="Q347" s="36"/>
      <c r="R347" s="36"/>
      <c r="S347" s="36"/>
      <c r="T347" s="36"/>
      <c r="V347" s="31"/>
    </row>
    <row r="348">
      <c r="A348" s="14" t="s">
        <v>736</v>
      </c>
      <c r="B348" s="14" t="s">
        <v>1850</v>
      </c>
      <c r="C348" s="15" t="s">
        <v>1851</v>
      </c>
      <c r="D348" s="14" t="s">
        <v>40</v>
      </c>
      <c r="E348" s="20" t="str">
        <f t="shared" si="2"/>
        <v>junio 2025</v>
      </c>
      <c r="F348" s="22">
        <v>45826.0</v>
      </c>
      <c r="G348" s="24">
        <f t="shared" ref="G348:H348" si="353">F348</f>
        <v>45826</v>
      </c>
      <c r="H348" s="26">
        <f t="shared" si="353"/>
        <v>45826</v>
      </c>
      <c r="I348" s="14" t="s">
        <v>90</v>
      </c>
      <c r="K348" s="27">
        <v>3000000.0</v>
      </c>
      <c r="L348" s="29" t="s">
        <v>1016</v>
      </c>
      <c r="M348" s="31"/>
      <c r="N348" s="31"/>
      <c r="O348" s="31"/>
      <c r="Q348" s="36"/>
      <c r="R348" s="36"/>
      <c r="S348" s="36"/>
      <c r="T348" s="36"/>
      <c r="V348" s="31"/>
    </row>
    <row r="349">
      <c r="A349" s="14" t="s">
        <v>1787</v>
      </c>
      <c r="B349" s="14" t="s">
        <v>1852</v>
      </c>
      <c r="C349" s="15" t="s">
        <v>1853</v>
      </c>
      <c r="D349" s="14" t="s">
        <v>40</v>
      </c>
      <c r="E349" s="20" t="str">
        <f t="shared" si="2"/>
        <v>junio 2025</v>
      </c>
      <c r="F349" s="22">
        <v>45829.0</v>
      </c>
      <c r="G349" s="24">
        <f t="shared" ref="G349:H349" si="354">F349</f>
        <v>45829</v>
      </c>
      <c r="H349" s="26">
        <f t="shared" si="354"/>
        <v>45829</v>
      </c>
      <c r="I349" s="14" t="s">
        <v>90</v>
      </c>
      <c r="K349" s="27">
        <v>5000000.0</v>
      </c>
      <c r="L349" s="29" t="s">
        <v>1016</v>
      </c>
      <c r="M349" s="31"/>
      <c r="N349" s="31"/>
      <c r="O349" s="31"/>
      <c r="Q349" s="36"/>
      <c r="R349" s="36"/>
      <c r="S349" s="36"/>
      <c r="T349" s="36"/>
      <c r="V349" s="31"/>
    </row>
    <row r="350">
      <c r="A350" s="14" t="s">
        <v>736</v>
      </c>
      <c r="B350" s="14" t="s">
        <v>1854</v>
      </c>
      <c r="C350" s="15" t="s">
        <v>1855</v>
      </c>
      <c r="D350" s="14" t="s">
        <v>40</v>
      </c>
      <c r="E350" s="20" t="str">
        <f t="shared" si="2"/>
        <v>junio 2025</v>
      </c>
      <c r="F350" s="22">
        <v>45834.0</v>
      </c>
      <c r="G350" s="24">
        <f t="shared" ref="G350:H350" si="355">F350</f>
        <v>45834</v>
      </c>
      <c r="H350" s="26">
        <f t="shared" si="355"/>
        <v>45834</v>
      </c>
      <c r="I350" s="14" t="s">
        <v>90</v>
      </c>
      <c r="K350" s="27">
        <v>1.0E7</v>
      </c>
      <c r="L350" s="78"/>
      <c r="M350" s="31"/>
      <c r="N350" s="31"/>
      <c r="O350" s="31"/>
      <c r="Q350" s="36"/>
      <c r="R350" s="36"/>
      <c r="S350" s="36"/>
      <c r="T350" s="36"/>
      <c r="V350" s="31"/>
    </row>
    <row r="351">
      <c r="A351" s="14" t="s">
        <v>36</v>
      </c>
      <c r="B351" s="14" t="s">
        <v>1856</v>
      </c>
      <c r="C351" s="15" t="s">
        <v>1857</v>
      </c>
      <c r="D351" s="14" t="s">
        <v>40</v>
      </c>
      <c r="E351" s="20" t="str">
        <f t="shared" si="2"/>
        <v>julio 2025</v>
      </c>
      <c r="F351" s="22">
        <v>45840.0</v>
      </c>
      <c r="G351" s="24">
        <f t="shared" ref="G351:H351" si="356">F351</f>
        <v>45840</v>
      </c>
      <c r="H351" s="26">
        <f t="shared" si="356"/>
        <v>45840</v>
      </c>
      <c r="I351" s="14" t="s">
        <v>90</v>
      </c>
      <c r="K351" s="27">
        <v>8.0E7</v>
      </c>
      <c r="L351" s="29" t="s">
        <v>1153</v>
      </c>
      <c r="M351" s="31"/>
      <c r="N351" s="31"/>
      <c r="O351" s="31"/>
      <c r="Q351" s="36"/>
      <c r="R351" s="36"/>
      <c r="S351" s="36"/>
      <c r="T351" s="36"/>
      <c r="V351" s="31"/>
    </row>
    <row r="352">
      <c r="A352" s="108" t="s">
        <v>1075</v>
      </c>
      <c r="B352" s="108" t="s">
        <v>1858</v>
      </c>
      <c r="C352" s="202" t="s">
        <v>1859</v>
      </c>
      <c r="D352" s="108" t="s">
        <v>40</v>
      </c>
      <c r="E352" s="20" t="str">
        <f t="shared" si="2"/>
        <v>julio 2025</v>
      </c>
      <c r="F352" s="22">
        <v>45854.0</v>
      </c>
      <c r="G352" s="24">
        <f t="shared" ref="G352:H352" si="357">F352</f>
        <v>45854</v>
      </c>
      <c r="H352" s="26">
        <f t="shared" si="357"/>
        <v>45854</v>
      </c>
      <c r="I352" s="108" t="s">
        <v>90</v>
      </c>
      <c r="J352" s="34"/>
      <c r="K352" s="199"/>
      <c r="L352" s="29" t="s">
        <v>1153</v>
      </c>
      <c r="M352" s="31"/>
      <c r="N352" s="31"/>
      <c r="O352" s="31"/>
      <c r="Q352" s="36"/>
      <c r="R352" s="36"/>
      <c r="S352" s="36"/>
      <c r="T352" s="36"/>
      <c r="V352" s="31"/>
    </row>
    <row r="353">
      <c r="A353" s="108" t="s">
        <v>1075</v>
      </c>
      <c r="B353" s="108" t="s">
        <v>1860</v>
      </c>
      <c r="C353" s="202" t="s">
        <v>1861</v>
      </c>
      <c r="D353" s="123" t="s">
        <v>133</v>
      </c>
      <c r="E353" s="20" t="str">
        <f t="shared" si="2"/>
        <v>julio 2025</v>
      </c>
      <c r="F353" s="22">
        <v>45839.0</v>
      </c>
      <c r="G353" s="24">
        <f t="shared" ref="G353:H353" si="358">F353</f>
        <v>45839</v>
      </c>
      <c r="H353" s="26">
        <f t="shared" si="358"/>
        <v>45839</v>
      </c>
      <c r="I353" s="108" t="s">
        <v>1865</v>
      </c>
      <c r="J353" s="34"/>
      <c r="K353" s="203"/>
      <c r="L353" s="29"/>
      <c r="M353" s="31"/>
      <c r="N353" s="31"/>
      <c r="O353" s="31"/>
      <c r="Q353" s="36"/>
      <c r="R353" s="36"/>
      <c r="S353" s="36"/>
      <c r="T353" s="36"/>
      <c r="V353" s="31"/>
    </row>
    <row r="354">
      <c r="A354" s="14" t="s">
        <v>736</v>
      </c>
      <c r="B354" s="14" t="s">
        <v>1866</v>
      </c>
      <c r="C354" s="15" t="s">
        <v>1867</v>
      </c>
      <c r="D354" s="14" t="s">
        <v>40</v>
      </c>
      <c r="E354" s="20" t="str">
        <f t="shared" si="2"/>
        <v>julio 2025</v>
      </c>
      <c r="F354" s="22">
        <v>45842.0</v>
      </c>
      <c r="G354" s="24">
        <f t="shared" ref="G354:H354" si="359">F354</f>
        <v>45842</v>
      </c>
      <c r="H354" s="26">
        <f t="shared" si="359"/>
        <v>45842</v>
      </c>
      <c r="I354" s="14" t="s">
        <v>90</v>
      </c>
      <c r="K354" s="27">
        <v>1.0E7</v>
      </c>
      <c r="L354" s="29" t="s">
        <v>1016</v>
      </c>
      <c r="M354" s="31"/>
      <c r="N354" s="31"/>
      <c r="O354" s="31"/>
      <c r="Q354" s="36"/>
      <c r="R354" s="36"/>
      <c r="S354" s="36"/>
      <c r="T354" s="36"/>
      <c r="V354" s="31"/>
    </row>
    <row r="355">
      <c r="A355" s="14" t="s">
        <v>736</v>
      </c>
      <c r="B355" s="14" t="s">
        <v>1868</v>
      </c>
      <c r="C355" s="15" t="s">
        <v>1869</v>
      </c>
      <c r="D355" s="14" t="s">
        <v>40</v>
      </c>
      <c r="E355" s="20" t="str">
        <f t="shared" si="2"/>
        <v>julio 2025</v>
      </c>
      <c r="F355" s="22">
        <v>45843.0</v>
      </c>
      <c r="G355" s="24">
        <f t="shared" ref="G355:H355" si="360">F355</f>
        <v>45843</v>
      </c>
      <c r="H355" s="26">
        <f t="shared" si="360"/>
        <v>45843</v>
      </c>
      <c r="I355" s="14" t="s">
        <v>90</v>
      </c>
      <c r="K355" s="27">
        <v>2.5E7</v>
      </c>
      <c r="L355" s="29" t="s">
        <v>887</v>
      </c>
      <c r="M355" s="31"/>
      <c r="N355" s="31"/>
      <c r="O355" s="31"/>
      <c r="Q355" s="36"/>
      <c r="R355" s="36"/>
      <c r="S355" s="36"/>
      <c r="T355" s="36"/>
      <c r="V355" s="31"/>
    </row>
    <row r="356">
      <c r="A356" s="14" t="s">
        <v>1787</v>
      </c>
      <c r="B356" s="14" t="s">
        <v>1870</v>
      </c>
      <c r="C356" s="15" t="s">
        <v>1871</v>
      </c>
      <c r="D356" s="14" t="s">
        <v>40</v>
      </c>
      <c r="E356" s="20" t="str">
        <f t="shared" si="2"/>
        <v>julio 2025</v>
      </c>
      <c r="F356" s="22">
        <v>45841.0</v>
      </c>
      <c r="G356" s="24">
        <f t="shared" ref="G356:H356" si="361">F356</f>
        <v>45841</v>
      </c>
      <c r="H356" s="26">
        <f t="shared" si="361"/>
        <v>45841</v>
      </c>
      <c r="I356" s="14" t="s">
        <v>90</v>
      </c>
      <c r="K356" s="27">
        <v>1.0E7</v>
      </c>
      <c r="L356" s="29" t="s">
        <v>1016</v>
      </c>
      <c r="M356" s="31"/>
      <c r="N356" s="31"/>
      <c r="O356" s="31"/>
      <c r="Q356" s="36"/>
      <c r="R356" s="36"/>
      <c r="S356" s="36"/>
      <c r="T356" s="36"/>
      <c r="V356" s="31"/>
    </row>
    <row r="357">
      <c r="A357" s="14" t="s">
        <v>1045</v>
      </c>
      <c r="B357" s="14" t="s">
        <v>1872</v>
      </c>
      <c r="C357" s="14" t="s">
        <v>1873</v>
      </c>
      <c r="D357" s="14" t="s">
        <v>40</v>
      </c>
      <c r="E357" s="20" t="str">
        <f t="shared" si="2"/>
        <v>julio 2025</v>
      </c>
      <c r="F357" s="22">
        <v>45842.0</v>
      </c>
      <c r="G357" s="24">
        <f t="shared" ref="G357:H357" si="362">F357</f>
        <v>45842</v>
      </c>
      <c r="H357" s="26">
        <f t="shared" si="362"/>
        <v>45842</v>
      </c>
      <c r="I357" s="14" t="s">
        <v>259</v>
      </c>
      <c r="J357" s="14" t="s">
        <v>285</v>
      </c>
      <c r="K357" s="27">
        <v>2.0E7</v>
      </c>
      <c r="L357" s="29" t="s">
        <v>1203</v>
      </c>
      <c r="M357" s="31"/>
      <c r="N357" s="31"/>
      <c r="O357" s="31"/>
      <c r="Q357" s="36"/>
      <c r="R357" s="36"/>
      <c r="S357" s="36"/>
      <c r="T357" s="36"/>
      <c r="V357" s="31"/>
    </row>
    <row r="358">
      <c r="A358" s="14" t="s">
        <v>1045</v>
      </c>
      <c r="B358" s="14" t="s">
        <v>1874</v>
      </c>
      <c r="C358" s="14" t="s">
        <v>1875</v>
      </c>
      <c r="D358" s="14" t="s">
        <v>40</v>
      </c>
      <c r="E358" s="20" t="str">
        <f t="shared" si="2"/>
        <v>julio 2025</v>
      </c>
      <c r="F358" s="22">
        <v>45845.0</v>
      </c>
      <c r="G358" s="24">
        <f t="shared" ref="G358:H358" si="363">F358</f>
        <v>45845</v>
      </c>
      <c r="H358" s="26">
        <f t="shared" si="363"/>
        <v>45845</v>
      </c>
      <c r="I358" s="14" t="s">
        <v>90</v>
      </c>
      <c r="K358" s="27">
        <v>2.0E7</v>
      </c>
      <c r="L358" s="29" t="s">
        <v>1203</v>
      </c>
      <c r="M358" s="31"/>
      <c r="N358" s="31"/>
      <c r="O358" s="31"/>
      <c r="Q358" s="36"/>
      <c r="R358" s="36"/>
      <c r="S358" s="36"/>
      <c r="T358" s="36"/>
      <c r="V358" s="31"/>
    </row>
    <row r="359">
      <c r="A359" s="14" t="s">
        <v>1045</v>
      </c>
      <c r="B359" s="14" t="s">
        <v>1876</v>
      </c>
      <c r="C359" s="14" t="s">
        <v>1877</v>
      </c>
      <c r="D359" s="14" t="s">
        <v>40</v>
      </c>
      <c r="E359" s="20" t="str">
        <f t="shared" si="2"/>
        <v>julio 2025</v>
      </c>
      <c r="F359" s="22">
        <v>45847.0</v>
      </c>
      <c r="G359" s="24">
        <f t="shared" ref="G359:H359" si="364">F359</f>
        <v>45847</v>
      </c>
      <c r="H359" s="26">
        <f t="shared" si="364"/>
        <v>45847</v>
      </c>
      <c r="I359" s="14" t="s">
        <v>259</v>
      </c>
      <c r="J359" s="14" t="s">
        <v>1709</v>
      </c>
      <c r="K359" s="204">
        <v>7.0E8</v>
      </c>
      <c r="L359" s="205" t="s">
        <v>1878</v>
      </c>
      <c r="M359" s="14"/>
      <c r="N359" s="14"/>
      <c r="O359" s="14"/>
      <c r="P359" s="14" t="s">
        <v>84</v>
      </c>
      <c r="Q359" s="36"/>
      <c r="R359" s="36"/>
      <c r="S359" s="36"/>
      <c r="T359" s="36"/>
      <c r="V359" s="31"/>
    </row>
    <row r="360">
      <c r="A360" s="14" t="s">
        <v>1045</v>
      </c>
      <c r="B360" s="14" t="s">
        <v>1879</v>
      </c>
      <c r="C360" s="14" t="s">
        <v>1880</v>
      </c>
      <c r="D360" s="14" t="s">
        <v>133</v>
      </c>
      <c r="E360" s="20" t="str">
        <f t="shared" si="2"/>
        <v>julio 2025</v>
      </c>
      <c r="F360" s="22">
        <v>45847.0</v>
      </c>
      <c r="G360" s="24">
        <f t="shared" ref="G360:H360" si="365">F360</f>
        <v>45847</v>
      </c>
      <c r="H360" s="26">
        <f t="shared" si="365"/>
        <v>45847</v>
      </c>
      <c r="I360" s="14" t="s">
        <v>1865</v>
      </c>
      <c r="M360" s="14"/>
      <c r="N360" s="14"/>
      <c r="O360" s="14"/>
      <c r="P360" s="14" t="s">
        <v>84</v>
      </c>
      <c r="Q360" s="36"/>
      <c r="R360" s="36"/>
      <c r="S360" s="36"/>
      <c r="T360" s="36"/>
      <c r="V360" s="31"/>
    </row>
    <row r="361">
      <c r="A361" s="14" t="s">
        <v>1045</v>
      </c>
      <c r="B361" s="14" t="s">
        <v>1881</v>
      </c>
      <c r="C361" s="14" t="s">
        <v>1882</v>
      </c>
      <c r="D361" s="14" t="s">
        <v>133</v>
      </c>
      <c r="E361" s="20" t="str">
        <f t="shared" si="2"/>
        <v>julio 2025</v>
      </c>
      <c r="F361" s="22">
        <v>45847.0</v>
      </c>
      <c r="G361" s="24">
        <f t="shared" ref="G361:H361" si="366">F361</f>
        <v>45847</v>
      </c>
      <c r="H361" s="26">
        <f t="shared" si="366"/>
        <v>45847</v>
      </c>
      <c r="I361" s="14" t="s">
        <v>1865</v>
      </c>
      <c r="M361" s="14"/>
      <c r="N361" s="14"/>
      <c r="O361" s="14"/>
      <c r="P361" s="14" t="s">
        <v>84</v>
      </c>
      <c r="Q361" s="36"/>
      <c r="R361" s="36"/>
      <c r="S361" s="36"/>
      <c r="T361" s="36"/>
      <c r="V361" s="31"/>
    </row>
    <row r="362">
      <c r="A362" s="14" t="s">
        <v>1045</v>
      </c>
      <c r="B362" s="14" t="s">
        <v>1883</v>
      </c>
      <c r="C362" s="14" t="s">
        <v>1884</v>
      </c>
      <c r="D362" s="14" t="s">
        <v>133</v>
      </c>
      <c r="E362" s="20" t="str">
        <f t="shared" si="2"/>
        <v>julio 2025</v>
      </c>
      <c r="F362" s="22">
        <v>45847.0</v>
      </c>
      <c r="G362" s="24">
        <f t="shared" ref="G362:H362" si="367">F362</f>
        <v>45847</v>
      </c>
      <c r="H362" s="26">
        <f t="shared" si="367"/>
        <v>45847</v>
      </c>
      <c r="I362" s="14" t="s">
        <v>1865</v>
      </c>
      <c r="M362" s="14"/>
      <c r="N362" s="14"/>
      <c r="O362" s="14"/>
      <c r="P362" s="14" t="s">
        <v>84</v>
      </c>
      <c r="Q362" s="36"/>
      <c r="R362" s="36"/>
      <c r="S362" s="36"/>
      <c r="T362" s="36"/>
      <c r="V362" s="31"/>
    </row>
    <row r="363">
      <c r="A363" s="14" t="s">
        <v>1045</v>
      </c>
      <c r="B363" s="14" t="s">
        <v>1885</v>
      </c>
      <c r="C363" s="14" t="s">
        <v>1886</v>
      </c>
      <c r="D363" s="14" t="s">
        <v>133</v>
      </c>
      <c r="E363" s="20" t="str">
        <f t="shared" si="2"/>
        <v>julio 2025</v>
      </c>
      <c r="F363" s="22">
        <v>45847.0</v>
      </c>
      <c r="G363" s="24">
        <f t="shared" ref="G363:H363" si="368">F363</f>
        <v>45847</v>
      </c>
      <c r="H363" s="26">
        <f t="shared" si="368"/>
        <v>45847</v>
      </c>
      <c r="I363" s="14" t="s">
        <v>1865</v>
      </c>
      <c r="M363" s="14"/>
      <c r="N363" s="14"/>
      <c r="O363" s="14"/>
      <c r="P363" s="14" t="s">
        <v>84</v>
      </c>
      <c r="Q363" s="36"/>
      <c r="R363" s="36"/>
      <c r="S363" s="36"/>
      <c r="T363" s="36"/>
      <c r="V363" s="31"/>
    </row>
    <row r="364">
      <c r="A364" s="14" t="s">
        <v>1045</v>
      </c>
      <c r="B364" s="14" t="s">
        <v>1887</v>
      </c>
      <c r="C364" s="14" t="s">
        <v>1888</v>
      </c>
      <c r="D364" s="14" t="s">
        <v>133</v>
      </c>
      <c r="E364" s="20" t="str">
        <f t="shared" si="2"/>
        <v>julio 2025</v>
      </c>
      <c r="F364" s="22">
        <v>45847.0</v>
      </c>
      <c r="G364" s="24">
        <f t="shared" ref="G364:H364" si="369">F364</f>
        <v>45847</v>
      </c>
      <c r="H364" s="26">
        <f t="shared" si="369"/>
        <v>45847</v>
      </c>
      <c r="I364" s="14" t="s">
        <v>1865</v>
      </c>
      <c r="M364" s="14"/>
      <c r="N364" s="14"/>
      <c r="O364" s="14"/>
      <c r="P364" s="14" t="s">
        <v>84</v>
      </c>
      <c r="Q364" s="36"/>
      <c r="R364" s="36"/>
      <c r="S364" s="36"/>
      <c r="T364" s="36"/>
      <c r="V364" s="31"/>
    </row>
    <row r="365">
      <c r="A365" s="14" t="s">
        <v>1045</v>
      </c>
      <c r="B365" s="14" t="s">
        <v>1889</v>
      </c>
      <c r="C365" s="14" t="s">
        <v>1890</v>
      </c>
      <c r="D365" s="14" t="s">
        <v>133</v>
      </c>
      <c r="E365" s="20" t="str">
        <f t="shared" si="2"/>
        <v>julio 2025</v>
      </c>
      <c r="F365" s="22">
        <v>45847.0</v>
      </c>
      <c r="G365" s="24">
        <f t="shared" ref="G365:H365" si="370">F365</f>
        <v>45847</v>
      </c>
      <c r="H365" s="26">
        <f t="shared" si="370"/>
        <v>45847</v>
      </c>
      <c r="I365" s="14" t="s">
        <v>1865</v>
      </c>
      <c r="M365" s="14"/>
      <c r="N365" s="14"/>
      <c r="O365" s="14"/>
      <c r="P365" s="14" t="s">
        <v>84</v>
      </c>
      <c r="Q365" s="36"/>
      <c r="R365" s="36"/>
      <c r="S365" s="36"/>
      <c r="T365" s="36"/>
      <c r="V365" s="31"/>
    </row>
    <row r="366">
      <c r="A366" s="14" t="s">
        <v>1045</v>
      </c>
      <c r="B366" s="14" t="s">
        <v>1891</v>
      </c>
      <c r="C366" s="14" t="s">
        <v>1892</v>
      </c>
      <c r="D366" s="14" t="s">
        <v>133</v>
      </c>
      <c r="E366" s="20" t="str">
        <f t="shared" si="2"/>
        <v>julio 2025</v>
      </c>
      <c r="F366" s="22">
        <v>45847.0</v>
      </c>
      <c r="G366" s="24">
        <f t="shared" ref="G366:H366" si="371">F366</f>
        <v>45847</v>
      </c>
      <c r="H366" s="26">
        <f t="shared" si="371"/>
        <v>45847</v>
      </c>
      <c r="I366" s="14" t="s">
        <v>1865</v>
      </c>
      <c r="M366" s="14"/>
      <c r="N366" s="14"/>
      <c r="O366" s="14"/>
      <c r="P366" s="14" t="s">
        <v>84</v>
      </c>
      <c r="Q366" s="36"/>
      <c r="R366" s="36"/>
      <c r="S366" s="36"/>
      <c r="T366" s="36"/>
      <c r="V366" s="31"/>
    </row>
    <row r="367">
      <c r="A367" s="108" t="s">
        <v>1075</v>
      </c>
      <c r="B367" s="108" t="s">
        <v>1858</v>
      </c>
      <c r="C367" s="202" t="s">
        <v>1859</v>
      </c>
      <c r="D367" s="108" t="s">
        <v>40</v>
      </c>
      <c r="E367" s="20" t="str">
        <f t="shared" si="2"/>
        <v>julio 2025</v>
      </c>
      <c r="F367" s="22">
        <v>45854.0</v>
      </c>
      <c r="G367" s="24">
        <f t="shared" ref="G367:H367" si="372">F367</f>
        <v>45854</v>
      </c>
      <c r="H367" s="26">
        <f t="shared" si="372"/>
        <v>45854</v>
      </c>
      <c r="I367" s="123" t="s">
        <v>425</v>
      </c>
      <c r="J367" s="34"/>
      <c r="K367" s="199">
        <v>8.0E8</v>
      </c>
      <c r="L367" s="205"/>
      <c r="M367" s="14"/>
      <c r="N367" s="14"/>
      <c r="O367" s="14"/>
      <c r="P367" s="14"/>
      <c r="Q367" s="36"/>
      <c r="R367" s="36"/>
      <c r="S367" s="36"/>
      <c r="T367" s="36"/>
      <c r="V367" s="31"/>
    </row>
    <row r="368">
      <c r="A368" s="14" t="s">
        <v>679</v>
      </c>
      <c r="B368" s="14" t="s">
        <v>312</v>
      </c>
      <c r="C368" s="14" t="s">
        <v>184</v>
      </c>
      <c r="D368" s="14" t="s">
        <v>40</v>
      </c>
      <c r="E368" s="20" t="str">
        <f t="shared" si="2"/>
        <v>julio 2025</v>
      </c>
      <c r="F368" s="22">
        <v>45840.0</v>
      </c>
      <c r="G368" s="24">
        <f t="shared" ref="G368:H368" si="373">F368</f>
        <v>45840</v>
      </c>
      <c r="H368" s="26">
        <f t="shared" si="373"/>
        <v>45840</v>
      </c>
      <c r="I368" s="14" t="s">
        <v>259</v>
      </c>
      <c r="J368" s="14" t="s">
        <v>1709</v>
      </c>
      <c r="K368" s="27">
        <v>1.0E10</v>
      </c>
      <c r="L368" s="29" t="s">
        <v>1897</v>
      </c>
      <c r="M368" s="14"/>
      <c r="N368" s="14"/>
      <c r="O368" s="14"/>
      <c r="P368" s="14" t="s">
        <v>84</v>
      </c>
      <c r="Q368" s="36"/>
      <c r="R368" s="36"/>
      <c r="S368" s="36"/>
      <c r="T368" s="36"/>
      <c r="V368" s="31"/>
    </row>
    <row r="369">
      <c r="A369" s="14" t="s">
        <v>679</v>
      </c>
      <c r="B369" s="14" t="s">
        <v>1901</v>
      </c>
      <c r="C369" s="14" t="s">
        <v>1902</v>
      </c>
      <c r="D369" s="14" t="s">
        <v>40</v>
      </c>
      <c r="E369" s="20" t="str">
        <f t="shared" si="2"/>
        <v>julio 2025</v>
      </c>
      <c r="F369" s="22">
        <v>45845.0</v>
      </c>
      <c r="G369" s="24">
        <f t="shared" ref="G369:H369" si="374">F369</f>
        <v>45845</v>
      </c>
      <c r="H369" s="26">
        <f t="shared" si="374"/>
        <v>45845</v>
      </c>
      <c r="I369" s="14" t="s">
        <v>90</v>
      </c>
      <c r="K369" s="27">
        <v>1.5E8</v>
      </c>
      <c r="L369" s="29" t="s">
        <v>1908</v>
      </c>
      <c r="M369" s="31"/>
      <c r="N369" s="31"/>
      <c r="O369" s="31"/>
      <c r="Q369" s="36"/>
      <c r="R369" s="36"/>
      <c r="S369" s="36"/>
      <c r="T369" s="36"/>
      <c r="V369" s="31"/>
    </row>
    <row r="370">
      <c r="A370" s="14" t="s">
        <v>679</v>
      </c>
      <c r="B370" s="14" t="s">
        <v>1901</v>
      </c>
      <c r="C370" s="14" t="s">
        <v>1902</v>
      </c>
      <c r="D370" s="14" t="s">
        <v>40</v>
      </c>
      <c r="E370" s="20" t="str">
        <f t="shared" si="2"/>
        <v>julio 2025</v>
      </c>
      <c r="F370" s="22">
        <v>45845.0</v>
      </c>
      <c r="G370" s="24">
        <f t="shared" ref="G370:H370" si="375">F370</f>
        <v>45845</v>
      </c>
      <c r="H370" s="26">
        <f t="shared" si="375"/>
        <v>45845</v>
      </c>
      <c r="I370" s="14" t="s">
        <v>1596</v>
      </c>
      <c r="K370" s="27">
        <v>2.5E7</v>
      </c>
      <c r="L370" s="29"/>
      <c r="M370" s="31"/>
      <c r="N370" s="31"/>
      <c r="O370" s="31"/>
      <c r="Q370" s="36"/>
      <c r="R370" s="36"/>
      <c r="S370" s="36"/>
      <c r="T370" s="36"/>
      <c r="V370" s="31"/>
    </row>
    <row r="371">
      <c r="A371" s="14" t="s">
        <v>1012</v>
      </c>
      <c r="B371" s="14" t="s">
        <v>1915</v>
      </c>
      <c r="C371" s="14" t="s">
        <v>1916</v>
      </c>
      <c r="D371" s="14" t="s">
        <v>133</v>
      </c>
      <c r="E371" s="20" t="str">
        <f t="shared" si="2"/>
        <v>julio 2025</v>
      </c>
      <c r="F371" s="22">
        <v>45840.0</v>
      </c>
      <c r="G371" s="24">
        <f t="shared" ref="G371:H371" si="376">F371</f>
        <v>45840</v>
      </c>
      <c r="H371" s="26">
        <f t="shared" si="376"/>
        <v>45840</v>
      </c>
      <c r="I371" s="14" t="s">
        <v>1865</v>
      </c>
      <c r="K371" s="219">
        <v>9.0E8</v>
      </c>
      <c r="L371" s="205" t="s">
        <v>1923</v>
      </c>
      <c r="M371" s="31"/>
      <c r="N371" s="31"/>
      <c r="O371" s="31"/>
      <c r="Q371" s="36"/>
      <c r="R371" s="36"/>
      <c r="S371" s="36"/>
      <c r="T371" s="36"/>
      <c r="V371" s="31"/>
    </row>
    <row r="372">
      <c r="A372" s="14" t="s">
        <v>1012</v>
      </c>
      <c r="B372" s="14" t="s">
        <v>1925</v>
      </c>
      <c r="C372" s="14" t="s">
        <v>1926</v>
      </c>
      <c r="D372" s="14" t="s">
        <v>133</v>
      </c>
      <c r="E372" s="20" t="str">
        <f t="shared" si="2"/>
        <v>julio 2025</v>
      </c>
      <c r="F372" s="22">
        <v>45849.0</v>
      </c>
      <c r="G372" s="24">
        <f t="shared" ref="G372:H372" si="377">F372</f>
        <v>45849</v>
      </c>
      <c r="H372" s="26">
        <f t="shared" si="377"/>
        <v>45849</v>
      </c>
      <c r="I372" s="14" t="s">
        <v>1865</v>
      </c>
      <c r="M372" s="31"/>
      <c r="N372" s="31"/>
      <c r="O372" s="31"/>
      <c r="Q372" s="36"/>
      <c r="R372" s="36"/>
      <c r="S372" s="36"/>
      <c r="T372" s="36"/>
      <c r="V372" s="31"/>
    </row>
    <row r="373">
      <c r="A373" s="14" t="s">
        <v>1012</v>
      </c>
      <c r="B373" s="14" t="s">
        <v>1927</v>
      </c>
      <c r="C373" s="14" t="s">
        <v>1928</v>
      </c>
      <c r="D373" s="14" t="s">
        <v>133</v>
      </c>
      <c r="E373" s="20" t="str">
        <f t="shared" si="2"/>
        <v>julio 2025</v>
      </c>
      <c r="F373" s="22">
        <v>45847.0</v>
      </c>
      <c r="G373" s="24">
        <f t="shared" ref="G373:H373" si="378">F373</f>
        <v>45847</v>
      </c>
      <c r="H373" s="26">
        <f t="shared" si="378"/>
        <v>45847</v>
      </c>
      <c r="I373" s="14" t="s">
        <v>1865</v>
      </c>
      <c r="M373" s="31"/>
      <c r="N373" s="31"/>
      <c r="O373" s="31"/>
      <c r="Q373" s="36"/>
      <c r="R373" s="36"/>
      <c r="S373" s="36"/>
      <c r="T373" s="36"/>
      <c r="V373" s="31"/>
    </row>
    <row r="374">
      <c r="A374" s="14" t="s">
        <v>1012</v>
      </c>
      <c r="B374" s="14" t="s">
        <v>1929</v>
      </c>
      <c r="C374" s="14" t="s">
        <v>1930</v>
      </c>
      <c r="D374" s="14" t="s">
        <v>133</v>
      </c>
      <c r="E374" s="20" t="str">
        <f t="shared" si="2"/>
        <v>julio 2025</v>
      </c>
      <c r="F374" s="22">
        <v>45847.0</v>
      </c>
      <c r="G374" s="24">
        <f t="shared" ref="G374:H374" si="379">F374</f>
        <v>45847</v>
      </c>
      <c r="H374" s="26">
        <f t="shared" si="379"/>
        <v>45847</v>
      </c>
      <c r="I374" s="14" t="s">
        <v>1865</v>
      </c>
      <c r="M374" s="31"/>
      <c r="N374" s="31"/>
      <c r="O374" s="31"/>
      <c r="Q374" s="36"/>
      <c r="R374" s="36"/>
      <c r="S374" s="36"/>
      <c r="T374" s="36"/>
      <c r="V374" s="31"/>
    </row>
    <row r="375">
      <c r="A375" s="14" t="s">
        <v>1787</v>
      </c>
      <c r="B375" s="14" t="s">
        <v>1932</v>
      </c>
      <c r="C375" s="14" t="s">
        <v>1933</v>
      </c>
      <c r="D375" s="14" t="s">
        <v>40</v>
      </c>
      <c r="E375" s="20" t="str">
        <f t="shared" si="2"/>
        <v>julio 2025</v>
      </c>
      <c r="F375" s="22">
        <v>45848.0</v>
      </c>
      <c r="G375" s="24">
        <f t="shared" ref="G375:H375" si="380">F375</f>
        <v>45848</v>
      </c>
      <c r="H375" s="26">
        <f t="shared" si="380"/>
        <v>45848</v>
      </c>
      <c r="I375" s="14" t="s">
        <v>90</v>
      </c>
      <c r="K375" s="27">
        <v>2.0E7</v>
      </c>
      <c r="L375" s="29" t="s">
        <v>1934</v>
      </c>
      <c r="M375" s="31"/>
      <c r="N375" s="14" t="s">
        <v>84</v>
      </c>
      <c r="O375" s="31"/>
      <c r="Q375" s="36"/>
      <c r="R375" s="36"/>
      <c r="S375" s="36"/>
      <c r="T375" s="36"/>
      <c r="V375" s="31"/>
    </row>
    <row r="376">
      <c r="A376" s="14" t="s">
        <v>1787</v>
      </c>
      <c r="B376" s="14" t="s">
        <v>1935</v>
      </c>
      <c r="C376" s="15" t="s">
        <v>1936</v>
      </c>
      <c r="D376" s="14" t="s">
        <v>133</v>
      </c>
      <c r="E376" s="20" t="str">
        <f t="shared" si="2"/>
        <v>julio 2025</v>
      </c>
      <c r="F376" s="22">
        <v>45849.0</v>
      </c>
      <c r="G376" s="24">
        <f t="shared" ref="G376:H376" si="381">F376</f>
        <v>45849</v>
      </c>
      <c r="H376" s="26">
        <f t="shared" si="381"/>
        <v>45849</v>
      </c>
      <c r="I376" s="14" t="s">
        <v>1865</v>
      </c>
      <c r="K376" s="27">
        <v>3.5E8</v>
      </c>
      <c r="L376" s="29" t="s">
        <v>1938</v>
      </c>
      <c r="M376" s="14"/>
      <c r="N376" s="14" t="s">
        <v>84</v>
      </c>
      <c r="O376" s="14"/>
      <c r="P376" s="14" t="s">
        <v>84</v>
      </c>
      <c r="Q376" s="36"/>
      <c r="R376" s="36"/>
      <c r="S376" s="36"/>
      <c r="T376" s="36"/>
      <c r="V376" s="31"/>
    </row>
    <row r="377">
      <c r="A377" s="14" t="s">
        <v>1787</v>
      </c>
      <c r="B377" s="14" t="s">
        <v>1941</v>
      </c>
      <c r="C377" s="15" t="s">
        <v>1943</v>
      </c>
      <c r="D377" s="14" t="s">
        <v>40</v>
      </c>
      <c r="E377" s="20" t="str">
        <f t="shared" si="2"/>
        <v>julio 2025</v>
      </c>
      <c r="F377" s="22">
        <v>45853.0</v>
      </c>
      <c r="G377" s="24">
        <f t="shared" ref="G377:H377" si="382">F377</f>
        <v>45853</v>
      </c>
      <c r="H377" s="26">
        <f t="shared" si="382"/>
        <v>45853</v>
      </c>
      <c r="I377" s="14" t="s">
        <v>90</v>
      </c>
      <c r="K377" s="27">
        <v>4.0E7</v>
      </c>
      <c r="L377" s="29" t="s">
        <v>1210</v>
      </c>
      <c r="M377" s="31"/>
      <c r="N377" s="14" t="s">
        <v>84</v>
      </c>
      <c r="O377" s="31"/>
      <c r="Q377" s="36"/>
      <c r="R377" s="36"/>
      <c r="S377" s="36"/>
      <c r="T377" s="36"/>
      <c r="V377" s="31"/>
    </row>
    <row r="378">
      <c r="A378" s="14" t="s">
        <v>117</v>
      </c>
      <c r="B378" s="14" t="s">
        <v>1952</v>
      </c>
      <c r="C378" s="14" t="s">
        <v>1953</v>
      </c>
      <c r="D378" s="14" t="s">
        <v>133</v>
      </c>
      <c r="E378" s="20" t="str">
        <f t="shared" si="2"/>
        <v>julio 2025</v>
      </c>
      <c r="F378" s="22">
        <v>45839.0</v>
      </c>
      <c r="G378" s="24">
        <f t="shared" ref="G378:H378" si="383">F378</f>
        <v>45839</v>
      </c>
      <c r="H378" s="26">
        <f t="shared" si="383"/>
        <v>45839</v>
      </c>
      <c r="I378" s="14" t="s">
        <v>1865</v>
      </c>
      <c r="K378" s="222">
        <v>6.5E9</v>
      </c>
      <c r="L378" s="205" t="s">
        <v>1962</v>
      </c>
      <c r="M378" s="14"/>
      <c r="N378" s="14" t="s">
        <v>84</v>
      </c>
      <c r="O378" s="14"/>
      <c r="P378" s="14" t="s">
        <v>84</v>
      </c>
      <c r="Q378" s="36"/>
      <c r="R378" s="36"/>
      <c r="S378" s="36"/>
      <c r="T378" s="36"/>
      <c r="V378" s="31"/>
    </row>
    <row r="379">
      <c r="A379" s="14" t="s">
        <v>117</v>
      </c>
      <c r="B379" s="14" t="s">
        <v>1952</v>
      </c>
      <c r="C379" s="14" t="s">
        <v>1968</v>
      </c>
      <c r="D379" s="14" t="s">
        <v>133</v>
      </c>
      <c r="E379" s="20" t="str">
        <f t="shared" si="2"/>
        <v>julio 2025</v>
      </c>
      <c r="F379" s="22">
        <v>45839.0</v>
      </c>
      <c r="G379" s="24">
        <f t="shared" ref="G379:H379" si="384">F379</f>
        <v>45839</v>
      </c>
      <c r="H379" s="26">
        <f t="shared" si="384"/>
        <v>45839</v>
      </c>
      <c r="I379" s="14" t="s">
        <v>1865</v>
      </c>
      <c r="M379" s="14"/>
      <c r="N379" s="14" t="s">
        <v>84</v>
      </c>
      <c r="O379" s="14"/>
      <c r="P379" s="14" t="s">
        <v>84</v>
      </c>
      <c r="Q379" s="36"/>
      <c r="R379" s="36"/>
      <c r="S379" s="36"/>
      <c r="T379" s="36"/>
      <c r="V379" s="31"/>
    </row>
    <row r="380">
      <c r="A380" s="14" t="s">
        <v>117</v>
      </c>
      <c r="B380" s="14" t="s">
        <v>1952</v>
      </c>
      <c r="C380" s="14" t="s">
        <v>1979</v>
      </c>
      <c r="D380" s="14" t="s">
        <v>133</v>
      </c>
      <c r="E380" s="20" t="str">
        <f t="shared" si="2"/>
        <v>julio 2025</v>
      </c>
      <c r="F380" s="22">
        <v>45839.0</v>
      </c>
      <c r="G380" s="24">
        <f t="shared" ref="G380:H380" si="385">F380</f>
        <v>45839</v>
      </c>
      <c r="H380" s="26">
        <f t="shared" si="385"/>
        <v>45839</v>
      </c>
      <c r="I380" s="14" t="s">
        <v>1865</v>
      </c>
      <c r="M380" s="14"/>
      <c r="N380" s="14" t="s">
        <v>84</v>
      </c>
      <c r="O380" s="14"/>
      <c r="P380" s="14" t="s">
        <v>84</v>
      </c>
      <c r="Q380" s="36"/>
      <c r="R380" s="36"/>
      <c r="S380" s="36"/>
      <c r="T380" s="36"/>
      <c r="V380" s="31"/>
    </row>
    <row r="381">
      <c r="A381" s="14" t="s">
        <v>117</v>
      </c>
      <c r="B381" s="14" t="s">
        <v>1952</v>
      </c>
      <c r="C381" s="14" t="s">
        <v>1985</v>
      </c>
      <c r="D381" s="14" t="s">
        <v>133</v>
      </c>
      <c r="E381" s="20" t="str">
        <f t="shared" si="2"/>
        <v>julio 2025</v>
      </c>
      <c r="F381" s="22">
        <v>45839.0</v>
      </c>
      <c r="G381" s="24">
        <f t="shared" ref="G381:H381" si="386">F381</f>
        <v>45839</v>
      </c>
      <c r="H381" s="26">
        <f t="shared" si="386"/>
        <v>45839</v>
      </c>
      <c r="I381" s="14" t="s">
        <v>1865</v>
      </c>
      <c r="M381" s="14"/>
      <c r="N381" s="14" t="s">
        <v>84</v>
      </c>
      <c r="O381" s="14"/>
      <c r="P381" s="14" t="s">
        <v>84</v>
      </c>
      <c r="Q381" s="36"/>
      <c r="R381" s="36"/>
      <c r="S381" s="36"/>
      <c r="T381" s="36"/>
      <c r="V381" s="31"/>
    </row>
    <row r="382">
      <c r="A382" s="14" t="s">
        <v>117</v>
      </c>
      <c r="B382" s="14" t="s">
        <v>1952</v>
      </c>
      <c r="C382" s="225" t="s">
        <v>1990</v>
      </c>
      <c r="D382" s="14" t="s">
        <v>133</v>
      </c>
      <c r="E382" s="20" t="str">
        <f t="shared" si="2"/>
        <v>julio 2025</v>
      </c>
      <c r="F382" s="22">
        <v>45839.0</v>
      </c>
      <c r="G382" s="24">
        <f t="shared" ref="G382:H382" si="387">F382</f>
        <v>45839</v>
      </c>
      <c r="H382" s="26">
        <f t="shared" si="387"/>
        <v>45839</v>
      </c>
      <c r="I382" s="14" t="s">
        <v>1865</v>
      </c>
      <c r="M382" s="14"/>
      <c r="N382" s="14" t="s">
        <v>84</v>
      </c>
      <c r="O382" s="14"/>
      <c r="P382" s="14" t="s">
        <v>84</v>
      </c>
      <c r="Q382" s="36"/>
      <c r="R382" s="36"/>
      <c r="S382" s="36"/>
      <c r="T382" s="36"/>
      <c r="V382" s="31"/>
    </row>
    <row r="383">
      <c r="A383" s="14" t="s">
        <v>117</v>
      </c>
      <c r="B383" s="14" t="s">
        <v>1952</v>
      </c>
      <c r="C383" s="225" t="s">
        <v>1999</v>
      </c>
      <c r="D383" s="14" t="s">
        <v>133</v>
      </c>
      <c r="E383" s="20" t="str">
        <f t="shared" si="2"/>
        <v>julio 2025</v>
      </c>
      <c r="F383" s="22">
        <v>45839.0</v>
      </c>
      <c r="G383" s="24">
        <f t="shared" ref="G383:H383" si="388">F383</f>
        <v>45839</v>
      </c>
      <c r="H383" s="26">
        <f t="shared" si="388"/>
        <v>45839</v>
      </c>
      <c r="I383" s="14" t="s">
        <v>1865</v>
      </c>
      <c r="M383" s="14"/>
      <c r="N383" s="14" t="s">
        <v>84</v>
      </c>
      <c r="O383" s="14"/>
      <c r="P383" s="14" t="s">
        <v>84</v>
      </c>
      <c r="Q383" s="36"/>
      <c r="R383" s="36"/>
      <c r="S383" s="36"/>
      <c r="T383" s="36"/>
      <c r="V383" s="31"/>
    </row>
    <row r="384">
      <c r="A384" s="14" t="s">
        <v>117</v>
      </c>
      <c r="B384" s="14" t="s">
        <v>1952</v>
      </c>
      <c r="C384" s="14" t="s">
        <v>2005</v>
      </c>
      <c r="D384" s="14" t="s">
        <v>133</v>
      </c>
      <c r="E384" s="20" t="str">
        <f t="shared" si="2"/>
        <v>julio 2025</v>
      </c>
      <c r="F384" s="22">
        <v>45839.0</v>
      </c>
      <c r="G384" s="24">
        <f t="shared" ref="G384:H384" si="389">F384</f>
        <v>45839</v>
      </c>
      <c r="H384" s="26">
        <f t="shared" si="389"/>
        <v>45839</v>
      </c>
      <c r="I384" s="14" t="s">
        <v>1865</v>
      </c>
      <c r="M384" s="14"/>
      <c r="N384" s="14" t="s">
        <v>84</v>
      </c>
      <c r="O384" s="14"/>
      <c r="P384" s="14" t="s">
        <v>84</v>
      </c>
      <c r="Q384" s="36"/>
      <c r="R384" s="36"/>
      <c r="S384" s="36"/>
      <c r="T384" s="36"/>
      <c r="V384" s="31"/>
    </row>
    <row r="385">
      <c r="A385" s="14" t="s">
        <v>117</v>
      </c>
      <c r="B385" s="14" t="s">
        <v>1952</v>
      </c>
      <c r="C385" s="14" t="s">
        <v>2013</v>
      </c>
      <c r="D385" s="14" t="s">
        <v>133</v>
      </c>
      <c r="E385" s="20" t="str">
        <f t="shared" si="2"/>
        <v>julio 2025</v>
      </c>
      <c r="F385" s="22">
        <v>45839.0</v>
      </c>
      <c r="G385" s="24">
        <f t="shared" ref="G385:H385" si="390">F385</f>
        <v>45839</v>
      </c>
      <c r="H385" s="26">
        <f t="shared" si="390"/>
        <v>45839</v>
      </c>
      <c r="I385" s="14" t="s">
        <v>1865</v>
      </c>
      <c r="M385" s="14"/>
      <c r="N385" s="14" t="s">
        <v>84</v>
      </c>
      <c r="O385" s="14"/>
      <c r="P385" s="14" t="s">
        <v>84</v>
      </c>
      <c r="Q385" s="36"/>
      <c r="R385" s="36"/>
      <c r="S385" s="36"/>
      <c r="T385" s="36"/>
      <c r="V385" s="31"/>
    </row>
    <row r="386">
      <c r="A386" s="14" t="s">
        <v>117</v>
      </c>
      <c r="B386" s="14" t="s">
        <v>1952</v>
      </c>
      <c r="C386" s="14" t="s">
        <v>2020</v>
      </c>
      <c r="D386" s="14" t="s">
        <v>133</v>
      </c>
      <c r="E386" s="20" t="str">
        <f t="shared" si="2"/>
        <v>julio 2025</v>
      </c>
      <c r="F386" s="22">
        <v>45839.0</v>
      </c>
      <c r="G386" s="24">
        <f t="shared" ref="G386:H386" si="391">F386</f>
        <v>45839</v>
      </c>
      <c r="H386" s="26">
        <f t="shared" si="391"/>
        <v>45839</v>
      </c>
      <c r="I386" s="14" t="s">
        <v>1865</v>
      </c>
      <c r="M386" s="14"/>
      <c r="N386" s="14" t="s">
        <v>84</v>
      </c>
      <c r="O386" s="14"/>
      <c r="P386" s="14" t="s">
        <v>84</v>
      </c>
      <c r="Q386" s="36"/>
      <c r="R386" s="36"/>
      <c r="S386" s="36"/>
      <c r="T386" s="36"/>
      <c r="V386" s="31"/>
    </row>
    <row r="387">
      <c r="A387" s="14" t="s">
        <v>117</v>
      </c>
      <c r="B387" s="14" t="s">
        <v>1952</v>
      </c>
      <c r="C387" s="14" t="s">
        <v>2026</v>
      </c>
      <c r="D387" s="14" t="s">
        <v>133</v>
      </c>
      <c r="E387" s="20" t="str">
        <f t="shared" si="2"/>
        <v>julio 2025</v>
      </c>
      <c r="F387" s="22">
        <v>45839.0</v>
      </c>
      <c r="G387" s="24">
        <f t="shared" ref="G387:H387" si="392">F387</f>
        <v>45839</v>
      </c>
      <c r="H387" s="26">
        <f t="shared" si="392"/>
        <v>45839</v>
      </c>
      <c r="I387" s="14" t="s">
        <v>1865</v>
      </c>
      <c r="M387" s="14"/>
      <c r="N387" s="14" t="s">
        <v>84</v>
      </c>
      <c r="O387" s="14"/>
      <c r="P387" s="14" t="s">
        <v>84</v>
      </c>
      <c r="Q387" s="36"/>
      <c r="R387" s="36"/>
      <c r="S387" s="36"/>
      <c r="T387" s="36"/>
      <c r="V387" s="31"/>
    </row>
    <row r="388">
      <c r="A388" s="14" t="s">
        <v>117</v>
      </c>
      <c r="B388" s="14" t="s">
        <v>1952</v>
      </c>
      <c r="C388" s="14" t="s">
        <v>2028</v>
      </c>
      <c r="D388" s="14" t="s">
        <v>133</v>
      </c>
      <c r="E388" s="20" t="str">
        <f t="shared" si="2"/>
        <v>julio 2025</v>
      </c>
      <c r="F388" s="22">
        <v>45839.0</v>
      </c>
      <c r="G388" s="24">
        <f t="shared" ref="G388:H388" si="393">F388</f>
        <v>45839</v>
      </c>
      <c r="H388" s="26">
        <f t="shared" si="393"/>
        <v>45839</v>
      </c>
      <c r="I388" s="14" t="s">
        <v>1865</v>
      </c>
      <c r="M388" s="14"/>
      <c r="N388" s="14" t="s">
        <v>84</v>
      </c>
      <c r="O388" s="14"/>
      <c r="P388" s="14" t="s">
        <v>84</v>
      </c>
      <c r="Q388" s="36"/>
      <c r="R388" s="36"/>
      <c r="S388" s="36"/>
      <c r="T388" s="36"/>
      <c r="V388" s="31"/>
    </row>
    <row r="389">
      <c r="A389" s="14" t="s">
        <v>117</v>
      </c>
      <c r="B389" s="14" t="s">
        <v>1952</v>
      </c>
      <c r="C389" s="14" t="s">
        <v>2030</v>
      </c>
      <c r="D389" s="14" t="s">
        <v>133</v>
      </c>
      <c r="E389" s="20" t="str">
        <f t="shared" si="2"/>
        <v>julio 2025</v>
      </c>
      <c r="F389" s="22">
        <v>45839.0</v>
      </c>
      <c r="G389" s="24">
        <f t="shared" ref="G389:H389" si="394">F389</f>
        <v>45839</v>
      </c>
      <c r="H389" s="26">
        <f t="shared" si="394"/>
        <v>45839</v>
      </c>
      <c r="I389" s="14" t="s">
        <v>1865</v>
      </c>
      <c r="M389" s="14"/>
      <c r="N389" s="14" t="s">
        <v>84</v>
      </c>
      <c r="O389" s="14"/>
      <c r="P389" s="14" t="s">
        <v>84</v>
      </c>
      <c r="Q389" s="36"/>
      <c r="R389" s="36"/>
      <c r="S389" s="36"/>
      <c r="T389" s="36"/>
      <c r="V389" s="31"/>
    </row>
    <row r="390">
      <c r="A390" s="14" t="s">
        <v>117</v>
      </c>
      <c r="B390" s="14" t="s">
        <v>1952</v>
      </c>
      <c r="C390" s="14" t="s">
        <v>2033</v>
      </c>
      <c r="D390" s="14" t="s">
        <v>133</v>
      </c>
      <c r="E390" s="20" t="str">
        <f t="shared" si="2"/>
        <v>julio 2025</v>
      </c>
      <c r="F390" s="22">
        <v>45839.0</v>
      </c>
      <c r="G390" s="24">
        <f t="shared" ref="G390:H390" si="395">F390</f>
        <v>45839</v>
      </c>
      <c r="H390" s="26">
        <f t="shared" si="395"/>
        <v>45839</v>
      </c>
      <c r="I390" s="14" t="s">
        <v>1865</v>
      </c>
      <c r="M390" s="14"/>
      <c r="N390" s="14" t="s">
        <v>84</v>
      </c>
      <c r="O390" s="14"/>
      <c r="P390" s="14" t="s">
        <v>84</v>
      </c>
      <c r="Q390" s="36"/>
      <c r="R390" s="36"/>
      <c r="S390" s="36"/>
      <c r="T390" s="36"/>
      <c r="V390" s="31"/>
    </row>
    <row r="391">
      <c r="A391" s="14" t="s">
        <v>117</v>
      </c>
      <c r="B391" s="14" t="s">
        <v>1952</v>
      </c>
      <c r="C391" s="14" t="s">
        <v>2038</v>
      </c>
      <c r="D391" s="14" t="s">
        <v>133</v>
      </c>
      <c r="E391" s="20" t="str">
        <f t="shared" si="2"/>
        <v>julio 2025</v>
      </c>
      <c r="F391" s="22">
        <v>45839.0</v>
      </c>
      <c r="G391" s="24">
        <f t="shared" ref="G391:H391" si="396">F391</f>
        <v>45839</v>
      </c>
      <c r="H391" s="26">
        <f t="shared" si="396"/>
        <v>45839</v>
      </c>
      <c r="I391" s="14" t="s">
        <v>1865</v>
      </c>
      <c r="M391" s="14"/>
      <c r="N391" s="14" t="s">
        <v>84</v>
      </c>
      <c r="O391" s="14"/>
      <c r="P391" s="14" t="s">
        <v>84</v>
      </c>
      <c r="Q391" s="36"/>
      <c r="R391" s="36"/>
      <c r="S391" s="36"/>
      <c r="T391" s="36"/>
      <c r="V391" s="31"/>
    </row>
    <row r="392">
      <c r="A392" s="14" t="s">
        <v>117</v>
      </c>
      <c r="B392" s="14" t="s">
        <v>1952</v>
      </c>
      <c r="C392" s="14" t="s">
        <v>2051</v>
      </c>
      <c r="D392" s="14" t="s">
        <v>133</v>
      </c>
      <c r="E392" s="20" t="str">
        <f t="shared" si="2"/>
        <v>julio 2025</v>
      </c>
      <c r="F392" s="22">
        <v>45839.0</v>
      </c>
      <c r="G392" s="24">
        <f t="shared" ref="G392:H392" si="397">F392</f>
        <v>45839</v>
      </c>
      <c r="H392" s="26">
        <f t="shared" si="397"/>
        <v>45839</v>
      </c>
      <c r="I392" s="14" t="s">
        <v>1865</v>
      </c>
      <c r="M392" s="14"/>
      <c r="N392" s="14" t="s">
        <v>84</v>
      </c>
      <c r="O392" s="14"/>
      <c r="P392" s="14" t="s">
        <v>84</v>
      </c>
      <c r="Q392" s="36"/>
      <c r="R392" s="36"/>
      <c r="S392" s="36"/>
      <c r="T392" s="36"/>
      <c r="V392" s="31"/>
    </row>
    <row r="393">
      <c r="A393" s="14" t="s">
        <v>117</v>
      </c>
      <c r="B393" s="14" t="s">
        <v>1952</v>
      </c>
      <c r="C393" s="14" t="s">
        <v>2054</v>
      </c>
      <c r="D393" s="14" t="s">
        <v>133</v>
      </c>
      <c r="E393" s="20" t="str">
        <f t="shared" si="2"/>
        <v>julio 2025</v>
      </c>
      <c r="F393" s="22">
        <v>45839.0</v>
      </c>
      <c r="G393" s="24">
        <f t="shared" ref="G393:H393" si="398">F393</f>
        <v>45839</v>
      </c>
      <c r="H393" s="26">
        <f t="shared" si="398"/>
        <v>45839</v>
      </c>
      <c r="I393" s="14" t="s">
        <v>1865</v>
      </c>
      <c r="M393" s="14"/>
      <c r="N393" s="14" t="s">
        <v>84</v>
      </c>
      <c r="O393" s="14"/>
      <c r="P393" s="14" t="s">
        <v>84</v>
      </c>
      <c r="Q393" s="36"/>
      <c r="R393" s="36"/>
      <c r="S393" s="36"/>
      <c r="T393" s="36"/>
      <c r="V393" s="31"/>
    </row>
    <row r="394">
      <c r="A394" s="14" t="s">
        <v>117</v>
      </c>
      <c r="B394" s="14" t="s">
        <v>1952</v>
      </c>
      <c r="C394" s="14" t="s">
        <v>2063</v>
      </c>
      <c r="D394" s="14" t="s">
        <v>133</v>
      </c>
      <c r="E394" s="20" t="str">
        <f t="shared" si="2"/>
        <v>julio 2025</v>
      </c>
      <c r="F394" s="22">
        <v>45839.0</v>
      </c>
      <c r="G394" s="24">
        <f t="shared" ref="G394:H394" si="399">F394</f>
        <v>45839</v>
      </c>
      <c r="H394" s="26">
        <f t="shared" si="399"/>
        <v>45839</v>
      </c>
      <c r="I394" s="14" t="s">
        <v>1865</v>
      </c>
      <c r="M394" s="14"/>
      <c r="N394" s="14" t="s">
        <v>84</v>
      </c>
      <c r="O394" s="14"/>
      <c r="P394" s="14" t="s">
        <v>84</v>
      </c>
      <c r="Q394" s="36"/>
      <c r="R394" s="36"/>
      <c r="S394" s="36"/>
      <c r="T394" s="36"/>
      <c r="V394" s="31"/>
    </row>
    <row r="395">
      <c r="A395" s="14" t="s">
        <v>117</v>
      </c>
      <c r="B395" s="14" t="s">
        <v>1952</v>
      </c>
      <c r="C395" s="14" t="s">
        <v>2069</v>
      </c>
      <c r="D395" s="14" t="s">
        <v>133</v>
      </c>
      <c r="E395" s="20" t="str">
        <f t="shared" si="2"/>
        <v>julio 2025</v>
      </c>
      <c r="F395" s="22">
        <v>45839.0</v>
      </c>
      <c r="G395" s="24">
        <f t="shared" ref="G395:H395" si="400">F395</f>
        <v>45839</v>
      </c>
      <c r="H395" s="26">
        <f t="shared" si="400"/>
        <v>45839</v>
      </c>
      <c r="I395" s="14" t="s">
        <v>1865</v>
      </c>
      <c r="M395" s="14"/>
      <c r="N395" s="14" t="s">
        <v>84</v>
      </c>
      <c r="O395" s="14"/>
      <c r="P395" s="14" t="s">
        <v>84</v>
      </c>
      <c r="Q395" s="36"/>
      <c r="R395" s="36"/>
      <c r="S395" s="36"/>
      <c r="T395" s="36"/>
      <c r="V395" s="31"/>
    </row>
    <row r="396">
      <c r="A396" s="14" t="s">
        <v>117</v>
      </c>
      <c r="B396" s="14" t="s">
        <v>1952</v>
      </c>
      <c r="C396" s="14" t="s">
        <v>2074</v>
      </c>
      <c r="D396" s="14" t="s">
        <v>133</v>
      </c>
      <c r="E396" s="20" t="str">
        <f t="shared" si="2"/>
        <v>julio 2025</v>
      </c>
      <c r="F396" s="22">
        <v>45839.0</v>
      </c>
      <c r="G396" s="24">
        <f t="shared" ref="G396:H396" si="401">F396</f>
        <v>45839</v>
      </c>
      <c r="H396" s="26">
        <f t="shared" si="401"/>
        <v>45839</v>
      </c>
      <c r="I396" s="14" t="s">
        <v>1865</v>
      </c>
      <c r="M396" s="14"/>
      <c r="N396" s="14" t="s">
        <v>84</v>
      </c>
      <c r="O396" s="14"/>
      <c r="P396" s="14" t="s">
        <v>84</v>
      </c>
      <c r="Q396" s="36"/>
      <c r="R396" s="36"/>
      <c r="S396" s="36"/>
      <c r="T396" s="36"/>
      <c r="V396" s="31"/>
    </row>
    <row r="397">
      <c r="A397" s="14" t="s">
        <v>117</v>
      </c>
      <c r="B397" s="14" t="s">
        <v>1952</v>
      </c>
      <c r="C397" s="14" t="s">
        <v>2082</v>
      </c>
      <c r="D397" s="14" t="s">
        <v>133</v>
      </c>
      <c r="E397" s="20" t="str">
        <f t="shared" si="2"/>
        <v>julio 2025</v>
      </c>
      <c r="F397" s="22">
        <v>45839.0</v>
      </c>
      <c r="G397" s="24">
        <f t="shared" ref="G397:H397" si="402">F397</f>
        <v>45839</v>
      </c>
      <c r="H397" s="26">
        <f t="shared" si="402"/>
        <v>45839</v>
      </c>
      <c r="I397" s="14" t="s">
        <v>1865</v>
      </c>
      <c r="M397" s="14"/>
      <c r="N397" s="14" t="s">
        <v>84</v>
      </c>
      <c r="O397" s="14"/>
      <c r="P397" s="14" t="s">
        <v>84</v>
      </c>
      <c r="Q397" s="36"/>
      <c r="R397" s="36"/>
      <c r="S397" s="36"/>
      <c r="T397" s="36"/>
      <c r="V397" s="31"/>
    </row>
    <row r="398">
      <c r="A398" s="14" t="s">
        <v>117</v>
      </c>
      <c r="B398" s="14" t="s">
        <v>1952</v>
      </c>
      <c r="C398" s="14" t="s">
        <v>2089</v>
      </c>
      <c r="D398" s="14" t="s">
        <v>133</v>
      </c>
      <c r="E398" s="20" t="str">
        <f t="shared" si="2"/>
        <v>julio 2025</v>
      </c>
      <c r="F398" s="22">
        <v>45839.0</v>
      </c>
      <c r="G398" s="24">
        <f t="shared" ref="G398:H398" si="403">F398</f>
        <v>45839</v>
      </c>
      <c r="H398" s="26">
        <f t="shared" si="403"/>
        <v>45839</v>
      </c>
      <c r="I398" s="14" t="s">
        <v>1865</v>
      </c>
      <c r="M398" s="14"/>
      <c r="N398" s="14" t="s">
        <v>84</v>
      </c>
      <c r="O398" s="14"/>
      <c r="P398" s="14" t="s">
        <v>84</v>
      </c>
      <c r="Q398" s="36"/>
      <c r="R398" s="36"/>
      <c r="S398" s="36"/>
      <c r="T398" s="36"/>
      <c r="V398" s="31"/>
    </row>
    <row r="399">
      <c r="A399" s="14" t="s">
        <v>117</v>
      </c>
      <c r="B399" s="14" t="s">
        <v>1952</v>
      </c>
      <c r="C399" s="14" t="s">
        <v>2094</v>
      </c>
      <c r="D399" s="14" t="s">
        <v>133</v>
      </c>
      <c r="E399" s="20" t="str">
        <f t="shared" si="2"/>
        <v>julio 2025</v>
      </c>
      <c r="F399" s="22">
        <v>45839.0</v>
      </c>
      <c r="G399" s="24">
        <f t="shared" ref="G399:H399" si="404">F399</f>
        <v>45839</v>
      </c>
      <c r="H399" s="26">
        <f t="shared" si="404"/>
        <v>45839</v>
      </c>
      <c r="I399" s="14" t="s">
        <v>1865</v>
      </c>
      <c r="M399" s="14"/>
      <c r="N399" s="14" t="s">
        <v>84</v>
      </c>
      <c r="O399" s="14"/>
      <c r="P399" s="14" t="s">
        <v>84</v>
      </c>
      <c r="Q399" s="36"/>
      <c r="R399" s="36"/>
      <c r="S399" s="36"/>
      <c r="T399" s="36"/>
      <c r="V399" s="31"/>
    </row>
    <row r="400">
      <c r="A400" s="14" t="s">
        <v>117</v>
      </c>
      <c r="B400" s="14" t="s">
        <v>1952</v>
      </c>
      <c r="C400" s="14" t="s">
        <v>2104</v>
      </c>
      <c r="D400" s="14" t="s">
        <v>133</v>
      </c>
      <c r="E400" s="20" t="str">
        <f t="shared" si="2"/>
        <v>julio 2025</v>
      </c>
      <c r="F400" s="22">
        <v>45839.0</v>
      </c>
      <c r="G400" s="24">
        <f t="shared" ref="G400:H400" si="405">F400</f>
        <v>45839</v>
      </c>
      <c r="H400" s="26">
        <f t="shared" si="405"/>
        <v>45839</v>
      </c>
      <c r="I400" s="14" t="s">
        <v>1865</v>
      </c>
      <c r="M400" s="14"/>
      <c r="N400" s="14" t="s">
        <v>84</v>
      </c>
      <c r="O400" s="14"/>
      <c r="P400" s="14" t="s">
        <v>84</v>
      </c>
      <c r="Q400" s="36"/>
      <c r="R400" s="36"/>
      <c r="S400" s="36"/>
      <c r="T400" s="36"/>
      <c r="V400" s="31"/>
    </row>
    <row r="401">
      <c r="A401" s="14" t="s">
        <v>117</v>
      </c>
      <c r="B401" s="14" t="s">
        <v>1952</v>
      </c>
      <c r="C401" s="14" t="s">
        <v>2111</v>
      </c>
      <c r="D401" s="14" t="s">
        <v>133</v>
      </c>
      <c r="E401" s="20" t="str">
        <f t="shared" si="2"/>
        <v>julio 2025</v>
      </c>
      <c r="F401" s="22">
        <v>45839.0</v>
      </c>
      <c r="G401" s="24">
        <f t="shared" ref="G401:H401" si="406">F401</f>
        <v>45839</v>
      </c>
      <c r="H401" s="26">
        <f t="shared" si="406"/>
        <v>45839</v>
      </c>
      <c r="I401" s="14" t="s">
        <v>1865</v>
      </c>
      <c r="M401" s="14"/>
      <c r="N401" s="14" t="s">
        <v>84</v>
      </c>
      <c r="O401" s="14"/>
      <c r="P401" s="14" t="s">
        <v>84</v>
      </c>
      <c r="Q401" s="36"/>
      <c r="R401" s="36"/>
      <c r="S401" s="36"/>
      <c r="T401" s="36"/>
      <c r="V401" s="31"/>
    </row>
    <row r="402">
      <c r="A402" s="14" t="s">
        <v>117</v>
      </c>
      <c r="B402" s="14" t="s">
        <v>1952</v>
      </c>
      <c r="C402" s="14" t="s">
        <v>2118</v>
      </c>
      <c r="D402" s="14" t="s">
        <v>133</v>
      </c>
      <c r="E402" s="20" t="str">
        <f t="shared" si="2"/>
        <v>julio 2025</v>
      </c>
      <c r="F402" s="22">
        <v>45839.0</v>
      </c>
      <c r="G402" s="24">
        <f t="shared" ref="G402:H402" si="407">F402</f>
        <v>45839</v>
      </c>
      <c r="H402" s="26">
        <f t="shared" si="407"/>
        <v>45839</v>
      </c>
      <c r="I402" s="14" t="s">
        <v>1865</v>
      </c>
      <c r="M402" s="14"/>
      <c r="N402" s="14" t="s">
        <v>84</v>
      </c>
      <c r="O402" s="14"/>
      <c r="P402" s="14" t="s">
        <v>84</v>
      </c>
      <c r="Q402" s="36"/>
      <c r="R402" s="36"/>
      <c r="S402" s="36"/>
      <c r="T402" s="36"/>
      <c r="V402" s="31"/>
    </row>
    <row r="403">
      <c r="A403" s="14" t="s">
        <v>117</v>
      </c>
      <c r="B403" s="14" t="s">
        <v>1952</v>
      </c>
      <c r="C403" s="14" t="s">
        <v>2119</v>
      </c>
      <c r="D403" s="14" t="s">
        <v>133</v>
      </c>
      <c r="E403" s="20" t="str">
        <f t="shared" si="2"/>
        <v>julio 2025</v>
      </c>
      <c r="F403" s="22">
        <v>45839.0</v>
      </c>
      <c r="G403" s="24">
        <f t="shared" ref="G403:H403" si="408">F403</f>
        <v>45839</v>
      </c>
      <c r="H403" s="26">
        <f t="shared" si="408"/>
        <v>45839</v>
      </c>
      <c r="I403" s="14" t="s">
        <v>1865</v>
      </c>
      <c r="M403" s="14"/>
      <c r="N403" s="14" t="s">
        <v>84</v>
      </c>
      <c r="O403" s="14"/>
      <c r="P403" s="14" t="s">
        <v>84</v>
      </c>
      <c r="Q403" s="36"/>
      <c r="R403" s="36"/>
      <c r="S403" s="36"/>
      <c r="T403" s="36"/>
      <c r="V403" s="31"/>
    </row>
    <row r="404">
      <c r="A404" s="14" t="s">
        <v>117</v>
      </c>
      <c r="B404" s="14" t="s">
        <v>1952</v>
      </c>
      <c r="C404" s="14" t="s">
        <v>2120</v>
      </c>
      <c r="D404" s="14" t="s">
        <v>133</v>
      </c>
      <c r="E404" s="20" t="str">
        <f t="shared" si="2"/>
        <v>julio 2025</v>
      </c>
      <c r="F404" s="22">
        <v>45839.0</v>
      </c>
      <c r="G404" s="24">
        <f t="shared" ref="G404:H404" si="409">F404</f>
        <v>45839</v>
      </c>
      <c r="H404" s="26">
        <f t="shared" si="409"/>
        <v>45839</v>
      </c>
      <c r="I404" s="14" t="s">
        <v>1865</v>
      </c>
      <c r="M404" s="14"/>
      <c r="N404" s="14" t="s">
        <v>84</v>
      </c>
      <c r="O404" s="14"/>
      <c r="P404" s="14" t="s">
        <v>84</v>
      </c>
      <c r="Q404" s="36"/>
      <c r="R404" s="36"/>
      <c r="S404" s="36"/>
      <c r="T404" s="36"/>
      <c r="V404" s="31"/>
    </row>
    <row r="405">
      <c r="A405" s="14" t="s">
        <v>117</v>
      </c>
      <c r="B405" s="14" t="s">
        <v>1952</v>
      </c>
      <c r="C405" s="14" t="s">
        <v>2121</v>
      </c>
      <c r="D405" s="14" t="s">
        <v>133</v>
      </c>
      <c r="E405" s="20" t="str">
        <f t="shared" si="2"/>
        <v>julio 2025</v>
      </c>
      <c r="F405" s="22">
        <v>45839.0</v>
      </c>
      <c r="G405" s="24">
        <f t="shared" ref="G405:H405" si="410">F405</f>
        <v>45839</v>
      </c>
      <c r="H405" s="26">
        <f t="shared" si="410"/>
        <v>45839</v>
      </c>
      <c r="I405" s="14" t="s">
        <v>1865</v>
      </c>
      <c r="M405" s="14"/>
      <c r="N405" s="14" t="s">
        <v>84</v>
      </c>
      <c r="O405" s="14"/>
      <c r="P405" s="14" t="s">
        <v>84</v>
      </c>
      <c r="Q405" s="36"/>
      <c r="R405" s="36"/>
      <c r="S405" s="36"/>
      <c r="T405" s="36"/>
      <c r="V405" s="31"/>
    </row>
    <row r="406">
      <c r="A406" s="14" t="s">
        <v>117</v>
      </c>
      <c r="B406" s="14" t="s">
        <v>1952</v>
      </c>
      <c r="C406" s="14" t="s">
        <v>2122</v>
      </c>
      <c r="D406" s="14" t="s">
        <v>133</v>
      </c>
      <c r="E406" s="20" t="str">
        <f t="shared" si="2"/>
        <v>julio 2025</v>
      </c>
      <c r="F406" s="22">
        <v>45839.0</v>
      </c>
      <c r="G406" s="24">
        <f t="shared" ref="G406:H406" si="411">F406</f>
        <v>45839</v>
      </c>
      <c r="H406" s="26">
        <f t="shared" si="411"/>
        <v>45839</v>
      </c>
      <c r="I406" s="14" t="s">
        <v>1865</v>
      </c>
      <c r="M406" s="14"/>
      <c r="N406" s="14" t="s">
        <v>84</v>
      </c>
      <c r="O406" s="14"/>
      <c r="P406" s="14" t="s">
        <v>84</v>
      </c>
      <c r="Q406" s="36"/>
      <c r="R406" s="36"/>
      <c r="S406" s="36"/>
      <c r="T406" s="36"/>
      <c r="V406" s="31"/>
    </row>
    <row r="407">
      <c r="A407" s="14" t="s">
        <v>117</v>
      </c>
      <c r="B407" s="14" t="s">
        <v>1952</v>
      </c>
      <c r="C407" s="14" t="s">
        <v>2123</v>
      </c>
      <c r="D407" s="14" t="s">
        <v>133</v>
      </c>
      <c r="E407" s="20" t="str">
        <f t="shared" si="2"/>
        <v>julio 2025</v>
      </c>
      <c r="F407" s="22">
        <v>45839.0</v>
      </c>
      <c r="G407" s="24">
        <f t="shared" ref="G407:H407" si="412">F407</f>
        <v>45839</v>
      </c>
      <c r="H407" s="26">
        <f t="shared" si="412"/>
        <v>45839</v>
      </c>
      <c r="I407" s="14" t="s">
        <v>1865</v>
      </c>
      <c r="M407" s="14"/>
      <c r="N407" s="14" t="s">
        <v>84</v>
      </c>
      <c r="O407" s="14"/>
      <c r="P407" s="14" t="s">
        <v>84</v>
      </c>
      <c r="Q407" s="36"/>
      <c r="R407" s="36"/>
      <c r="S407" s="36"/>
      <c r="T407" s="36"/>
      <c r="V407" s="31"/>
    </row>
    <row r="408">
      <c r="A408" s="14" t="s">
        <v>208</v>
      </c>
      <c r="B408" s="37" t="s">
        <v>2124</v>
      </c>
      <c r="C408" s="14" t="s">
        <v>2125</v>
      </c>
      <c r="D408" s="14" t="s">
        <v>133</v>
      </c>
      <c r="E408" s="20" t="str">
        <f t="shared" si="2"/>
        <v>junio 2025</v>
      </c>
      <c r="F408" s="22">
        <v>45814.0</v>
      </c>
      <c r="G408" s="24">
        <f t="shared" ref="G408:H408" si="413">F408</f>
        <v>45814</v>
      </c>
      <c r="H408" s="26">
        <f t="shared" si="413"/>
        <v>45814</v>
      </c>
      <c r="I408" s="14" t="s">
        <v>1865</v>
      </c>
      <c r="J408" s="14" t="s">
        <v>2126</v>
      </c>
      <c r="K408" s="222">
        <v>7.0E8</v>
      </c>
      <c r="L408" s="205">
        <v>1.79</v>
      </c>
      <c r="M408" s="31"/>
      <c r="N408" s="14" t="s">
        <v>84</v>
      </c>
      <c r="O408" s="31"/>
      <c r="Q408" s="36"/>
      <c r="R408" s="36"/>
      <c r="S408" s="36"/>
      <c r="T408" s="36"/>
      <c r="V408" s="31"/>
    </row>
    <row r="409">
      <c r="A409" s="14" t="s">
        <v>208</v>
      </c>
      <c r="B409" s="37" t="s">
        <v>2127</v>
      </c>
      <c r="C409" s="14" t="s">
        <v>2128</v>
      </c>
      <c r="D409" s="14" t="s">
        <v>133</v>
      </c>
      <c r="E409" s="20" t="str">
        <f t="shared" si="2"/>
        <v>julio 2025</v>
      </c>
      <c r="F409" s="22">
        <v>45839.0</v>
      </c>
      <c r="G409" s="24">
        <f t="shared" ref="G409:H409" si="414">F409</f>
        <v>45839</v>
      </c>
      <c r="H409" s="26">
        <f t="shared" si="414"/>
        <v>45839</v>
      </c>
      <c r="I409" s="14" t="s">
        <v>1865</v>
      </c>
      <c r="J409" s="14" t="s">
        <v>2129</v>
      </c>
      <c r="K409" s="27">
        <v>4.0E8</v>
      </c>
      <c r="L409" s="29" t="s">
        <v>2130</v>
      </c>
      <c r="M409" s="31"/>
      <c r="N409" s="14" t="s">
        <v>133</v>
      </c>
      <c r="O409" s="31"/>
      <c r="Q409" s="36"/>
      <c r="R409" s="36"/>
      <c r="S409" s="36"/>
      <c r="T409" s="36"/>
      <c r="V409" s="31"/>
    </row>
    <row r="410">
      <c r="A410" s="14" t="s">
        <v>208</v>
      </c>
      <c r="B410" s="37" t="s">
        <v>2131</v>
      </c>
      <c r="C410" s="14" t="s">
        <v>2132</v>
      </c>
      <c r="D410" s="14" t="s">
        <v>40</v>
      </c>
      <c r="E410" s="20" t="str">
        <f t="shared" si="2"/>
        <v>julio 2025</v>
      </c>
      <c r="F410" s="22">
        <v>45842.0</v>
      </c>
      <c r="G410" s="24">
        <f t="shared" ref="G410:H410" si="415">F410</f>
        <v>45842</v>
      </c>
      <c r="H410" s="26">
        <f t="shared" si="415"/>
        <v>45842</v>
      </c>
      <c r="I410" s="14" t="s">
        <v>90</v>
      </c>
      <c r="K410" s="27">
        <v>4.0E7</v>
      </c>
      <c r="L410" s="29" t="s">
        <v>887</v>
      </c>
      <c r="M410" s="31"/>
      <c r="N410" s="31"/>
      <c r="O410" s="31"/>
      <c r="Q410" s="36"/>
      <c r="R410" s="36"/>
      <c r="S410" s="36"/>
      <c r="T410" s="36"/>
      <c r="V410" s="31"/>
    </row>
    <row r="411">
      <c r="A411" s="14" t="s">
        <v>208</v>
      </c>
      <c r="B411" s="37" t="s">
        <v>2137</v>
      </c>
      <c r="C411" s="14" t="s">
        <v>2138</v>
      </c>
      <c r="D411" s="14" t="s">
        <v>133</v>
      </c>
      <c r="E411" s="20" t="str">
        <f t="shared" si="2"/>
        <v>julio 2025</v>
      </c>
      <c r="F411" s="22">
        <v>45845.0</v>
      </c>
      <c r="G411" s="24">
        <f t="shared" ref="G411:H411" si="416">F411</f>
        <v>45845</v>
      </c>
      <c r="H411" s="26">
        <f t="shared" si="416"/>
        <v>45845</v>
      </c>
      <c r="I411" s="14" t="s">
        <v>1865</v>
      </c>
      <c r="J411" s="14" t="s">
        <v>1579</v>
      </c>
      <c r="K411" s="27">
        <v>1.0E9</v>
      </c>
      <c r="L411" s="29">
        <v>1.99</v>
      </c>
      <c r="M411" s="31"/>
      <c r="N411" s="14" t="s">
        <v>84</v>
      </c>
      <c r="O411" s="31"/>
      <c r="Q411" s="36"/>
      <c r="R411" s="36"/>
      <c r="S411" s="36"/>
      <c r="T411" s="36"/>
      <c r="V411" s="31"/>
    </row>
    <row r="412">
      <c r="A412" s="14" t="s">
        <v>208</v>
      </c>
      <c r="B412" s="37" t="s">
        <v>2149</v>
      </c>
      <c r="C412" s="14" t="s">
        <v>2150</v>
      </c>
      <c r="D412" s="14" t="s">
        <v>133</v>
      </c>
      <c r="E412" s="20" t="str">
        <f t="shared" si="2"/>
        <v>julio 2025</v>
      </c>
      <c r="F412" s="22">
        <v>45848.0</v>
      </c>
      <c r="G412" s="24">
        <f t="shared" ref="G412:H412" si="417">F412</f>
        <v>45848</v>
      </c>
      <c r="H412" s="26">
        <f t="shared" si="417"/>
        <v>45848</v>
      </c>
      <c r="I412" s="14" t="s">
        <v>1865</v>
      </c>
      <c r="J412" s="14" t="s">
        <v>2154</v>
      </c>
      <c r="K412" s="27">
        <v>4.0E8</v>
      </c>
      <c r="L412" s="29" t="s">
        <v>2155</v>
      </c>
      <c r="M412" s="31"/>
      <c r="N412" s="14" t="s">
        <v>84</v>
      </c>
      <c r="O412" s="31"/>
      <c r="Q412" s="36"/>
      <c r="R412" s="36"/>
      <c r="S412" s="36"/>
      <c r="T412" s="36"/>
      <c r="V412" s="31"/>
    </row>
    <row r="413">
      <c r="A413" s="14" t="s">
        <v>36</v>
      </c>
      <c r="B413" s="14" t="s">
        <v>2156</v>
      </c>
      <c r="C413" s="14" t="s">
        <v>2157</v>
      </c>
      <c r="D413" s="14" t="s">
        <v>40</v>
      </c>
      <c r="E413" s="20" t="str">
        <f t="shared" si="2"/>
        <v>julio 2025</v>
      </c>
      <c r="F413" s="22">
        <v>45853.0</v>
      </c>
      <c r="G413" s="24">
        <f t="shared" ref="G413:H413" si="418">F413</f>
        <v>45853</v>
      </c>
      <c r="H413" s="26">
        <f t="shared" si="418"/>
        <v>45853</v>
      </c>
      <c r="I413" s="14" t="s">
        <v>259</v>
      </c>
      <c r="J413" s="14" t="s">
        <v>2160</v>
      </c>
      <c r="K413" s="27">
        <v>3.0E8</v>
      </c>
      <c r="L413" s="29" t="s">
        <v>1153</v>
      </c>
      <c r="M413" s="14"/>
      <c r="N413" s="14"/>
      <c r="O413" s="14"/>
      <c r="P413" s="14" t="s">
        <v>84</v>
      </c>
      <c r="Q413" s="36"/>
      <c r="R413" s="36"/>
      <c r="S413" s="36"/>
      <c r="T413" s="36"/>
      <c r="V413" s="31"/>
    </row>
    <row r="414">
      <c r="A414" s="14" t="s">
        <v>36</v>
      </c>
      <c r="B414" s="14" t="s">
        <v>2162</v>
      </c>
      <c r="C414" s="14" t="s">
        <v>2163</v>
      </c>
      <c r="D414" s="14" t="s">
        <v>133</v>
      </c>
      <c r="E414" s="20" t="str">
        <f t="shared" si="2"/>
        <v>julio 2025</v>
      </c>
      <c r="F414" s="22">
        <v>45854.0</v>
      </c>
      <c r="G414" s="24">
        <f t="shared" ref="G414:H414" si="419">F414</f>
        <v>45854</v>
      </c>
      <c r="H414" s="26">
        <f t="shared" si="419"/>
        <v>45854</v>
      </c>
      <c r="I414" s="14" t="s">
        <v>1865</v>
      </c>
      <c r="J414" s="14" t="s">
        <v>1306</v>
      </c>
      <c r="K414" s="27">
        <v>9.0E8</v>
      </c>
      <c r="L414" s="29" t="s">
        <v>2164</v>
      </c>
      <c r="M414" s="14"/>
      <c r="N414" s="14"/>
      <c r="O414" s="14"/>
      <c r="P414" s="14" t="s">
        <v>84</v>
      </c>
      <c r="Q414" s="36"/>
      <c r="R414" s="36"/>
      <c r="S414" s="36"/>
      <c r="T414" s="36"/>
      <c r="V414" s="31"/>
    </row>
    <row r="415">
      <c r="A415" s="14" t="s">
        <v>736</v>
      </c>
      <c r="B415" s="14" t="s">
        <v>2166</v>
      </c>
      <c r="C415" s="14" t="s">
        <v>2167</v>
      </c>
      <c r="D415" s="14" t="s">
        <v>40</v>
      </c>
      <c r="E415" s="20" t="str">
        <f t="shared" si="2"/>
        <v>julio 2025</v>
      </c>
      <c r="F415" s="22">
        <v>45855.0</v>
      </c>
      <c r="G415" s="24">
        <f t="shared" ref="G415:H415" si="420">F415</f>
        <v>45855</v>
      </c>
      <c r="H415" s="26">
        <f t="shared" si="420"/>
        <v>45855</v>
      </c>
      <c r="I415" s="14" t="s">
        <v>90</v>
      </c>
      <c r="K415" s="27">
        <v>5000000.0</v>
      </c>
      <c r="L415" s="29" t="s">
        <v>1016</v>
      </c>
      <c r="M415" s="31"/>
      <c r="N415" s="31"/>
      <c r="O415" s="31"/>
      <c r="Q415" s="36"/>
      <c r="R415" s="36"/>
      <c r="S415" s="36"/>
      <c r="T415" s="36"/>
      <c r="V415" s="31"/>
    </row>
    <row r="416">
      <c r="A416" s="14" t="s">
        <v>736</v>
      </c>
      <c r="B416" s="14" t="s">
        <v>2171</v>
      </c>
      <c r="C416" s="14" t="s">
        <v>2172</v>
      </c>
      <c r="D416" s="14" t="s">
        <v>40</v>
      </c>
      <c r="E416" s="20" t="str">
        <f t="shared" si="2"/>
        <v>julio 2025</v>
      </c>
      <c r="F416" s="22">
        <v>45855.0</v>
      </c>
      <c r="G416" s="24">
        <f t="shared" ref="G416:H416" si="421">F416</f>
        <v>45855</v>
      </c>
      <c r="H416" s="26">
        <f t="shared" si="421"/>
        <v>45855</v>
      </c>
      <c r="I416" s="14" t="s">
        <v>259</v>
      </c>
      <c r="J416" s="14" t="s">
        <v>1709</v>
      </c>
      <c r="K416" s="27">
        <v>2.0E7</v>
      </c>
      <c r="L416" s="29" t="s">
        <v>1016</v>
      </c>
      <c r="M416" s="31"/>
      <c r="N416" s="31"/>
      <c r="O416" s="31"/>
      <c r="Q416" s="36"/>
      <c r="R416" s="36"/>
      <c r="S416" s="36"/>
      <c r="T416" s="36"/>
      <c r="V416" s="31"/>
    </row>
    <row r="417">
      <c r="A417" s="14" t="s">
        <v>736</v>
      </c>
      <c r="B417" s="31" t="s">
        <v>2173</v>
      </c>
      <c r="C417" s="14" t="s">
        <v>2174</v>
      </c>
      <c r="D417" s="14" t="s">
        <v>40</v>
      </c>
      <c r="E417" s="20" t="str">
        <f t="shared" si="2"/>
        <v>julio 2025</v>
      </c>
      <c r="F417" s="22">
        <v>45856.0</v>
      </c>
      <c r="G417" s="24">
        <f t="shared" ref="G417:H417" si="422">F417</f>
        <v>45856</v>
      </c>
      <c r="H417" s="26">
        <f t="shared" si="422"/>
        <v>45856</v>
      </c>
      <c r="I417" s="14" t="s">
        <v>90</v>
      </c>
      <c r="K417" s="27">
        <v>8.0E7</v>
      </c>
      <c r="L417" s="29" t="s">
        <v>1660</v>
      </c>
      <c r="M417" s="31"/>
      <c r="N417" s="31"/>
      <c r="O417" s="31"/>
      <c r="Q417" s="36"/>
      <c r="R417" s="36"/>
      <c r="S417" s="36"/>
      <c r="T417" s="36"/>
      <c r="V417" s="31"/>
    </row>
    <row r="418">
      <c r="A418" s="14" t="s">
        <v>1787</v>
      </c>
      <c r="B418" s="14" t="s">
        <v>2175</v>
      </c>
      <c r="C418" s="14" t="s">
        <v>2176</v>
      </c>
      <c r="D418" s="14" t="s">
        <v>40</v>
      </c>
      <c r="E418" s="20" t="str">
        <f t="shared" si="2"/>
        <v>julio 2025</v>
      </c>
      <c r="F418" s="22">
        <v>45860.0</v>
      </c>
      <c r="G418" s="24">
        <f t="shared" ref="G418:H418" si="423">F418</f>
        <v>45860</v>
      </c>
      <c r="H418" s="26">
        <f t="shared" si="423"/>
        <v>45860</v>
      </c>
      <c r="I418" s="14" t="s">
        <v>90</v>
      </c>
      <c r="K418" s="27">
        <v>1.0E7</v>
      </c>
      <c r="L418" s="29" t="s">
        <v>1203</v>
      </c>
      <c r="M418" s="31"/>
      <c r="N418" s="14" t="s">
        <v>84</v>
      </c>
      <c r="O418" s="31"/>
      <c r="Q418" s="36"/>
      <c r="R418" s="36"/>
      <c r="S418" s="36"/>
      <c r="T418" s="36"/>
      <c r="V418" s="31"/>
    </row>
    <row r="419">
      <c r="A419" s="14" t="s">
        <v>1012</v>
      </c>
      <c r="B419" s="14" t="s">
        <v>2179</v>
      </c>
      <c r="C419" s="14" t="s">
        <v>2180</v>
      </c>
      <c r="D419" s="14" t="s">
        <v>133</v>
      </c>
      <c r="E419" s="20" t="str">
        <f t="shared" si="2"/>
        <v>julio 2025</v>
      </c>
      <c r="F419" s="22">
        <v>45861.0</v>
      </c>
      <c r="G419" s="24">
        <f t="shared" ref="G419:H419" si="424">F419</f>
        <v>45861</v>
      </c>
      <c r="H419" s="26">
        <f t="shared" si="424"/>
        <v>45861</v>
      </c>
      <c r="I419" s="14" t="s">
        <v>1865</v>
      </c>
      <c r="J419" s="14" t="s">
        <v>2182</v>
      </c>
      <c r="K419" s="27">
        <v>4.0E8</v>
      </c>
      <c r="L419" s="29" t="s">
        <v>2185</v>
      </c>
      <c r="M419" s="14"/>
      <c r="N419" s="14"/>
      <c r="O419" s="14"/>
      <c r="P419" s="14" t="s">
        <v>75</v>
      </c>
      <c r="Q419" s="36"/>
      <c r="R419" s="36"/>
      <c r="S419" s="36"/>
      <c r="T419" s="36"/>
      <c r="V419" s="31"/>
    </row>
    <row r="420">
      <c r="A420" s="14" t="s">
        <v>1045</v>
      </c>
      <c r="B420" s="14" t="s">
        <v>2189</v>
      </c>
      <c r="C420" s="14" t="s">
        <v>2190</v>
      </c>
      <c r="D420" s="14" t="s">
        <v>133</v>
      </c>
      <c r="E420" s="20" t="str">
        <f t="shared" si="2"/>
        <v>julio 2025</v>
      </c>
      <c r="F420" s="22">
        <v>45868.0</v>
      </c>
      <c r="G420" s="24">
        <f t="shared" ref="G420:H420" si="425">F420</f>
        <v>45868</v>
      </c>
      <c r="H420" s="26">
        <f t="shared" si="425"/>
        <v>45868</v>
      </c>
      <c r="I420" s="14" t="s">
        <v>1865</v>
      </c>
      <c r="J420" s="14" t="s">
        <v>2196</v>
      </c>
      <c r="K420" s="27">
        <v>3.0E8</v>
      </c>
      <c r="L420" s="29" t="s">
        <v>2197</v>
      </c>
      <c r="M420" s="14"/>
      <c r="N420" s="14"/>
      <c r="O420" s="14"/>
      <c r="P420" s="14" t="s">
        <v>84</v>
      </c>
      <c r="Q420" s="36"/>
      <c r="R420" s="36"/>
      <c r="S420" s="36"/>
      <c r="T420" s="36"/>
      <c r="V420" s="31"/>
    </row>
    <row r="421">
      <c r="A421" s="14" t="s">
        <v>736</v>
      </c>
      <c r="B421" s="14" t="s">
        <v>2202</v>
      </c>
      <c r="C421" s="14" t="s">
        <v>2203</v>
      </c>
      <c r="D421" s="14" t="s">
        <v>40</v>
      </c>
      <c r="E421" s="20" t="str">
        <f t="shared" si="2"/>
        <v>julio 2025</v>
      </c>
      <c r="F421" s="22">
        <v>45868.0</v>
      </c>
      <c r="G421" s="24">
        <f t="shared" ref="G421:H421" si="426">F421</f>
        <v>45868</v>
      </c>
      <c r="H421" s="26">
        <f t="shared" si="426"/>
        <v>45868</v>
      </c>
      <c r="I421" s="14" t="s">
        <v>90</v>
      </c>
      <c r="K421" s="27">
        <v>1.0E7</v>
      </c>
      <c r="L421" s="29" t="s">
        <v>1016</v>
      </c>
      <c r="M421" s="31"/>
      <c r="N421" s="31"/>
      <c r="O421" s="31"/>
      <c r="Q421" s="36"/>
      <c r="R421" s="36"/>
      <c r="S421" s="36"/>
      <c r="T421" s="36"/>
      <c r="V421" s="31"/>
    </row>
    <row r="422">
      <c r="A422" s="14" t="s">
        <v>1787</v>
      </c>
      <c r="B422" s="14" t="s">
        <v>2204</v>
      </c>
      <c r="C422" s="14" t="s">
        <v>2205</v>
      </c>
      <c r="D422" s="14" t="s">
        <v>40</v>
      </c>
      <c r="E422" s="20" t="str">
        <f t="shared" si="2"/>
        <v>agosto 2025</v>
      </c>
      <c r="F422" s="22">
        <v>45870.0</v>
      </c>
      <c r="G422" s="24">
        <f t="shared" ref="G422:H422" si="427">F422</f>
        <v>45870</v>
      </c>
      <c r="H422" s="26">
        <f t="shared" si="427"/>
        <v>45870</v>
      </c>
      <c r="I422" s="14" t="s">
        <v>90</v>
      </c>
      <c r="K422" s="27">
        <v>6.0E8</v>
      </c>
      <c r="L422" s="29" t="s">
        <v>1660</v>
      </c>
      <c r="M422" s="14"/>
      <c r="N422" s="14" t="s">
        <v>84</v>
      </c>
      <c r="O422" s="14"/>
      <c r="P422" s="14" t="s">
        <v>84</v>
      </c>
      <c r="Q422" s="36"/>
      <c r="R422" s="36"/>
      <c r="S422" s="36"/>
      <c r="T422" s="36"/>
      <c r="V422" s="31"/>
    </row>
    <row r="423">
      <c r="A423" s="14" t="s">
        <v>1787</v>
      </c>
      <c r="B423" s="14" t="s">
        <v>2206</v>
      </c>
      <c r="C423" s="14" t="s">
        <v>2207</v>
      </c>
      <c r="D423" s="14" t="s">
        <v>40</v>
      </c>
      <c r="E423" s="20" t="str">
        <f t="shared" si="2"/>
        <v>agosto 2025</v>
      </c>
      <c r="F423" s="22">
        <v>45873.0</v>
      </c>
      <c r="G423" s="24">
        <f t="shared" ref="G423:H423" si="428">F423</f>
        <v>45873</v>
      </c>
      <c r="H423" s="26">
        <f t="shared" si="428"/>
        <v>45873</v>
      </c>
      <c r="I423" s="14" t="s">
        <v>90</v>
      </c>
      <c r="K423" s="27">
        <v>6.0E7</v>
      </c>
      <c r="L423" s="29" t="s">
        <v>1210</v>
      </c>
      <c r="M423" s="31"/>
      <c r="N423" s="14" t="s">
        <v>84</v>
      </c>
      <c r="O423" s="31"/>
      <c r="Q423" s="36"/>
      <c r="R423" s="36"/>
      <c r="S423" s="36"/>
      <c r="T423" s="36"/>
      <c r="V423" s="31"/>
    </row>
    <row r="424">
      <c r="A424" s="14" t="s">
        <v>36</v>
      </c>
      <c r="B424" s="14" t="s">
        <v>2156</v>
      </c>
      <c r="C424" s="14" t="s">
        <v>2157</v>
      </c>
      <c r="D424" s="14" t="s">
        <v>40</v>
      </c>
      <c r="E424" s="20" t="str">
        <f t="shared" si="2"/>
        <v>agosto 2025</v>
      </c>
      <c r="F424" s="22">
        <v>45873.0</v>
      </c>
      <c r="G424" s="24">
        <f t="shared" ref="G424:H424" si="429">F424</f>
        <v>45873</v>
      </c>
      <c r="H424" s="26">
        <f t="shared" si="429"/>
        <v>45873</v>
      </c>
      <c r="I424" s="14" t="s">
        <v>1596</v>
      </c>
      <c r="K424" s="27">
        <v>1.7E8</v>
      </c>
      <c r="L424" s="62">
        <v>0.018</v>
      </c>
      <c r="M424" s="31"/>
      <c r="N424" s="31"/>
      <c r="O424" s="31"/>
      <c r="Q424" s="36"/>
      <c r="R424" s="36"/>
      <c r="S424" s="36"/>
      <c r="T424" s="36"/>
      <c r="V424" s="31"/>
    </row>
    <row r="425">
      <c r="A425" s="14" t="s">
        <v>736</v>
      </c>
      <c r="B425" s="37" t="s">
        <v>2208</v>
      </c>
      <c r="C425" s="254" t="s">
        <v>2209</v>
      </c>
      <c r="D425" s="14" t="s">
        <v>40</v>
      </c>
      <c r="E425" s="20" t="str">
        <f t="shared" si="2"/>
        <v>julio 2025</v>
      </c>
      <c r="F425" s="22">
        <v>45867.0</v>
      </c>
      <c r="G425" s="24">
        <f t="shared" ref="G425:H425" si="430">F425</f>
        <v>45867</v>
      </c>
      <c r="H425" s="26">
        <f t="shared" si="430"/>
        <v>45867</v>
      </c>
      <c r="I425" s="14" t="s">
        <v>90</v>
      </c>
      <c r="K425" s="222">
        <v>8.0E8</v>
      </c>
      <c r="L425" s="255" t="s">
        <v>2210</v>
      </c>
      <c r="M425" s="256"/>
      <c r="N425" s="256" t="s">
        <v>84</v>
      </c>
      <c r="O425" s="256"/>
      <c r="P425" s="256" t="s">
        <v>84</v>
      </c>
      <c r="Q425" s="36"/>
      <c r="R425" s="36"/>
      <c r="S425" s="36"/>
      <c r="T425" s="36"/>
      <c r="V425" s="31"/>
    </row>
    <row r="426">
      <c r="A426" s="14" t="s">
        <v>736</v>
      </c>
      <c r="B426" s="37" t="s">
        <v>2208</v>
      </c>
      <c r="C426" s="254" t="s">
        <v>2211</v>
      </c>
      <c r="D426" s="14" t="s">
        <v>40</v>
      </c>
      <c r="E426" s="20" t="str">
        <f t="shared" si="2"/>
        <v>agosto 2025</v>
      </c>
      <c r="F426" s="22">
        <v>45870.0</v>
      </c>
      <c r="G426" s="24">
        <f t="shared" ref="G426:H426" si="431">F426</f>
        <v>45870</v>
      </c>
      <c r="H426" s="26">
        <f t="shared" si="431"/>
        <v>45870</v>
      </c>
      <c r="I426" s="14" t="s">
        <v>90</v>
      </c>
      <c r="M426" s="256"/>
      <c r="N426" s="256" t="s">
        <v>84</v>
      </c>
      <c r="O426" s="256"/>
      <c r="Q426" s="36"/>
      <c r="R426" s="36"/>
      <c r="S426" s="36"/>
      <c r="T426" s="36"/>
      <c r="V426" s="31"/>
    </row>
    <row r="427">
      <c r="A427" s="14" t="s">
        <v>736</v>
      </c>
      <c r="B427" s="37" t="s">
        <v>2208</v>
      </c>
      <c r="C427" s="254" t="s">
        <v>2212</v>
      </c>
      <c r="D427" s="14" t="s">
        <v>40</v>
      </c>
      <c r="E427" s="20" t="str">
        <f t="shared" si="2"/>
        <v>agosto 2025</v>
      </c>
      <c r="F427" s="22">
        <v>45870.0</v>
      </c>
      <c r="G427" s="24">
        <f t="shared" ref="G427:H427" si="432">F427</f>
        <v>45870</v>
      </c>
      <c r="H427" s="26">
        <f t="shared" si="432"/>
        <v>45870</v>
      </c>
      <c r="I427" s="14" t="s">
        <v>90</v>
      </c>
      <c r="M427" s="256"/>
      <c r="N427" s="256" t="s">
        <v>84</v>
      </c>
      <c r="O427" s="256"/>
      <c r="Q427" s="36"/>
      <c r="R427" s="36"/>
      <c r="S427" s="36"/>
      <c r="T427" s="36"/>
      <c r="V427" s="31"/>
    </row>
    <row r="428">
      <c r="A428" s="14" t="s">
        <v>736</v>
      </c>
      <c r="B428" s="37" t="s">
        <v>2208</v>
      </c>
      <c r="C428" s="254" t="s">
        <v>2213</v>
      </c>
      <c r="D428" s="14" t="s">
        <v>40</v>
      </c>
      <c r="E428" s="20" t="str">
        <f t="shared" si="2"/>
        <v>agosto 2025</v>
      </c>
      <c r="F428" s="22">
        <v>45870.0</v>
      </c>
      <c r="G428" s="24">
        <f t="shared" ref="G428:H428" si="433">F428</f>
        <v>45870</v>
      </c>
      <c r="H428" s="26">
        <f t="shared" si="433"/>
        <v>45870</v>
      </c>
      <c r="I428" s="14" t="s">
        <v>90</v>
      </c>
      <c r="M428" s="256"/>
      <c r="N428" s="256" t="s">
        <v>84</v>
      </c>
      <c r="O428" s="256"/>
      <c r="Q428" s="36"/>
      <c r="R428" s="36"/>
      <c r="S428" s="36"/>
      <c r="T428" s="36"/>
      <c r="V428" s="31"/>
    </row>
    <row r="429">
      <c r="A429" s="14" t="s">
        <v>736</v>
      </c>
      <c r="B429" s="37" t="s">
        <v>2208</v>
      </c>
      <c r="C429" s="254" t="s">
        <v>2214</v>
      </c>
      <c r="D429" s="14" t="s">
        <v>40</v>
      </c>
      <c r="E429" s="20" t="str">
        <f t="shared" si="2"/>
        <v>agosto 2025</v>
      </c>
      <c r="F429" s="22">
        <v>45870.0</v>
      </c>
      <c r="G429" s="24">
        <f t="shared" ref="G429:H429" si="434">F429</f>
        <v>45870</v>
      </c>
      <c r="H429" s="26">
        <f t="shared" si="434"/>
        <v>45870</v>
      </c>
      <c r="I429" s="14" t="s">
        <v>90</v>
      </c>
      <c r="M429" s="256"/>
      <c r="N429" s="256" t="s">
        <v>84</v>
      </c>
      <c r="O429" s="256"/>
      <c r="Q429" s="36"/>
      <c r="R429" s="36"/>
      <c r="S429" s="36"/>
      <c r="T429" s="36"/>
      <c r="V429" s="31"/>
    </row>
    <row r="430">
      <c r="A430" s="14" t="s">
        <v>736</v>
      </c>
      <c r="B430" s="37" t="s">
        <v>2208</v>
      </c>
      <c r="C430" s="254" t="s">
        <v>2219</v>
      </c>
      <c r="D430" s="14" t="s">
        <v>40</v>
      </c>
      <c r="E430" s="20" t="str">
        <f t="shared" si="2"/>
        <v>agosto 2025</v>
      </c>
      <c r="F430" s="22">
        <v>45870.0</v>
      </c>
      <c r="G430" s="24">
        <f t="shared" ref="G430:H430" si="435">F430</f>
        <v>45870</v>
      </c>
      <c r="H430" s="26">
        <f t="shared" si="435"/>
        <v>45870</v>
      </c>
      <c r="I430" s="14" t="s">
        <v>90</v>
      </c>
      <c r="M430" s="256"/>
      <c r="N430" s="256" t="s">
        <v>84</v>
      </c>
      <c r="O430" s="256"/>
      <c r="Q430" s="36"/>
      <c r="R430" s="36"/>
      <c r="S430" s="36"/>
      <c r="T430" s="36"/>
      <c r="V430" s="31"/>
    </row>
    <row r="431">
      <c r="A431" s="14" t="s">
        <v>736</v>
      </c>
      <c r="B431" s="37" t="s">
        <v>2208</v>
      </c>
      <c r="C431" s="254" t="s">
        <v>2230</v>
      </c>
      <c r="D431" s="14" t="s">
        <v>40</v>
      </c>
      <c r="E431" s="20" t="str">
        <f t="shared" si="2"/>
        <v>agosto 2025</v>
      </c>
      <c r="F431" s="22">
        <v>45870.0</v>
      </c>
      <c r="G431" s="24">
        <f t="shared" ref="G431:H431" si="436">F431</f>
        <v>45870</v>
      </c>
      <c r="H431" s="26">
        <f t="shared" si="436"/>
        <v>45870</v>
      </c>
      <c r="I431" s="14" t="s">
        <v>90</v>
      </c>
      <c r="M431" s="256"/>
      <c r="N431" s="256" t="s">
        <v>84</v>
      </c>
      <c r="O431" s="256"/>
      <c r="Q431" s="36"/>
      <c r="R431" s="36"/>
      <c r="S431" s="36"/>
      <c r="T431" s="36"/>
      <c r="V431" s="31"/>
    </row>
    <row r="432">
      <c r="A432" s="14" t="s">
        <v>736</v>
      </c>
      <c r="B432" s="37" t="s">
        <v>2208</v>
      </c>
      <c r="C432" s="254" t="s">
        <v>2237</v>
      </c>
      <c r="D432" s="14" t="s">
        <v>40</v>
      </c>
      <c r="E432" s="20" t="str">
        <f t="shared" si="2"/>
        <v>agosto 2025</v>
      </c>
      <c r="F432" s="22">
        <v>45870.0</v>
      </c>
      <c r="G432" s="24">
        <f t="shared" ref="G432:H432" si="437">F432</f>
        <v>45870</v>
      </c>
      <c r="H432" s="26">
        <f t="shared" si="437"/>
        <v>45870</v>
      </c>
      <c r="I432" s="14" t="s">
        <v>90</v>
      </c>
      <c r="M432" s="256"/>
      <c r="N432" s="256" t="s">
        <v>84</v>
      </c>
      <c r="O432" s="256"/>
      <c r="Q432" s="36"/>
      <c r="R432" s="36"/>
      <c r="S432" s="36"/>
      <c r="T432" s="36"/>
      <c r="V432" s="31"/>
    </row>
    <row r="433">
      <c r="A433" s="14" t="s">
        <v>736</v>
      </c>
      <c r="B433" s="37" t="s">
        <v>2208</v>
      </c>
      <c r="C433" s="254" t="s">
        <v>2246</v>
      </c>
      <c r="D433" s="14" t="s">
        <v>40</v>
      </c>
      <c r="E433" s="20" t="str">
        <f t="shared" si="2"/>
        <v>agosto 2025</v>
      </c>
      <c r="F433" s="22">
        <v>45870.0</v>
      </c>
      <c r="G433" s="24">
        <f t="shared" ref="G433:H433" si="438">F433</f>
        <v>45870</v>
      </c>
      <c r="H433" s="26">
        <f t="shared" si="438"/>
        <v>45870</v>
      </c>
      <c r="I433" s="14" t="s">
        <v>90</v>
      </c>
      <c r="M433" s="256"/>
      <c r="N433" s="256" t="s">
        <v>84</v>
      </c>
      <c r="O433" s="256"/>
      <c r="Q433" s="36"/>
      <c r="R433" s="36"/>
      <c r="S433" s="36"/>
      <c r="T433" s="36"/>
      <c r="V433" s="31"/>
    </row>
    <row r="434">
      <c r="A434" s="14" t="s">
        <v>736</v>
      </c>
      <c r="B434" s="37" t="s">
        <v>2208</v>
      </c>
      <c r="C434" s="254" t="s">
        <v>2252</v>
      </c>
      <c r="D434" s="14" t="s">
        <v>40</v>
      </c>
      <c r="E434" s="20" t="str">
        <f t="shared" si="2"/>
        <v>agosto 2025</v>
      </c>
      <c r="F434" s="22">
        <v>45870.0</v>
      </c>
      <c r="G434" s="24">
        <f t="shared" ref="G434:H434" si="439">F434</f>
        <v>45870</v>
      </c>
      <c r="H434" s="26">
        <f t="shared" si="439"/>
        <v>45870</v>
      </c>
      <c r="I434" s="14" t="s">
        <v>90</v>
      </c>
      <c r="M434" s="256"/>
      <c r="N434" s="256" t="s">
        <v>84</v>
      </c>
      <c r="O434" s="256"/>
      <c r="Q434" s="36"/>
      <c r="R434" s="36"/>
      <c r="S434" s="36"/>
      <c r="T434" s="36"/>
      <c r="V434" s="31"/>
    </row>
    <row r="435">
      <c r="A435" s="14" t="s">
        <v>736</v>
      </c>
      <c r="B435" s="37" t="s">
        <v>2208</v>
      </c>
      <c r="C435" s="254" t="s">
        <v>2259</v>
      </c>
      <c r="D435" s="14" t="s">
        <v>40</v>
      </c>
      <c r="E435" s="20" t="str">
        <f t="shared" si="2"/>
        <v>agosto 2025</v>
      </c>
      <c r="F435" s="22">
        <v>45870.0</v>
      </c>
      <c r="G435" s="24">
        <f t="shared" ref="G435:H435" si="440">F435</f>
        <v>45870</v>
      </c>
      <c r="H435" s="26">
        <f t="shared" si="440"/>
        <v>45870</v>
      </c>
      <c r="I435" s="14" t="s">
        <v>90</v>
      </c>
      <c r="M435" s="256"/>
      <c r="N435" s="256" t="s">
        <v>84</v>
      </c>
      <c r="O435" s="256"/>
      <c r="Q435" s="36"/>
      <c r="R435" s="36"/>
      <c r="S435" s="36"/>
      <c r="T435" s="36"/>
      <c r="V435" s="31"/>
    </row>
    <row r="436">
      <c r="A436" s="14" t="s">
        <v>736</v>
      </c>
      <c r="B436" s="37" t="s">
        <v>2208</v>
      </c>
      <c r="C436" s="254" t="s">
        <v>2273</v>
      </c>
      <c r="D436" s="14" t="s">
        <v>40</v>
      </c>
      <c r="E436" s="20" t="str">
        <f t="shared" si="2"/>
        <v>agosto 2025</v>
      </c>
      <c r="F436" s="22">
        <v>45870.0</v>
      </c>
      <c r="G436" s="24">
        <f t="shared" ref="G436:H436" si="441">F436</f>
        <v>45870</v>
      </c>
      <c r="H436" s="26">
        <f t="shared" si="441"/>
        <v>45870</v>
      </c>
      <c r="I436" s="14" t="s">
        <v>90</v>
      </c>
      <c r="M436" s="256"/>
      <c r="N436" s="256" t="s">
        <v>84</v>
      </c>
      <c r="O436" s="256"/>
      <c r="Q436" s="36"/>
      <c r="R436" s="36"/>
      <c r="S436" s="36"/>
      <c r="T436" s="36"/>
      <c r="V436" s="31"/>
    </row>
    <row r="437">
      <c r="A437" s="14" t="s">
        <v>736</v>
      </c>
      <c r="B437" s="37" t="s">
        <v>2208</v>
      </c>
      <c r="C437" s="254" t="s">
        <v>2281</v>
      </c>
      <c r="D437" s="14" t="s">
        <v>40</v>
      </c>
      <c r="E437" s="20" t="str">
        <f t="shared" si="2"/>
        <v>agosto 2025</v>
      </c>
      <c r="F437" s="22">
        <v>45870.0</v>
      </c>
      <c r="G437" s="24">
        <f t="shared" ref="G437:H437" si="442">F437</f>
        <v>45870</v>
      </c>
      <c r="H437" s="26">
        <f t="shared" si="442"/>
        <v>45870</v>
      </c>
      <c r="I437" s="14" t="s">
        <v>90</v>
      </c>
      <c r="M437" s="256"/>
      <c r="N437" s="256" t="s">
        <v>84</v>
      </c>
      <c r="O437" s="256"/>
      <c r="Q437" s="36"/>
      <c r="R437" s="36"/>
      <c r="S437" s="36"/>
      <c r="T437" s="36"/>
      <c r="V437" s="31"/>
    </row>
    <row r="438">
      <c r="A438" s="14" t="s">
        <v>736</v>
      </c>
      <c r="B438" s="37" t="s">
        <v>2208</v>
      </c>
      <c r="C438" s="254" t="s">
        <v>2290</v>
      </c>
      <c r="D438" s="14" t="s">
        <v>40</v>
      </c>
      <c r="E438" s="20" t="str">
        <f t="shared" si="2"/>
        <v>agosto 2025</v>
      </c>
      <c r="F438" s="22">
        <v>45870.0</v>
      </c>
      <c r="G438" s="24">
        <f t="shared" ref="G438:H438" si="443">F438</f>
        <v>45870</v>
      </c>
      <c r="H438" s="26">
        <f t="shared" si="443"/>
        <v>45870</v>
      </c>
      <c r="I438" s="14" t="s">
        <v>90</v>
      </c>
      <c r="M438" s="256"/>
      <c r="N438" s="256" t="s">
        <v>84</v>
      </c>
      <c r="O438" s="256"/>
      <c r="Q438" s="36"/>
      <c r="R438" s="36"/>
      <c r="S438" s="36"/>
      <c r="T438" s="36"/>
      <c r="V438" s="31"/>
    </row>
    <row r="439">
      <c r="A439" s="14" t="s">
        <v>736</v>
      </c>
      <c r="B439" s="37" t="s">
        <v>2208</v>
      </c>
      <c r="C439" s="254" t="s">
        <v>2306</v>
      </c>
      <c r="D439" s="14" t="s">
        <v>40</v>
      </c>
      <c r="E439" s="20" t="str">
        <f t="shared" si="2"/>
        <v>agosto 2025</v>
      </c>
      <c r="F439" s="22">
        <v>45882.0</v>
      </c>
      <c r="G439" s="24">
        <f t="shared" ref="G439:H439" si="444">F439</f>
        <v>45882</v>
      </c>
      <c r="H439" s="26">
        <f t="shared" si="444"/>
        <v>45882</v>
      </c>
      <c r="I439" s="14" t="s">
        <v>90</v>
      </c>
      <c r="M439" s="256"/>
      <c r="N439" s="256" t="s">
        <v>84</v>
      </c>
      <c r="O439" s="256"/>
      <c r="Q439" s="36"/>
      <c r="R439" s="36"/>
      <c r="S439" s="36"/>
      <c r="T439" s="36"/>
      <c r="V439" s="31"/>
    </row>
    <row r="440">
      <c r="A440" s="14" t="s">
        <v>736</v>
      </c>
      <c r="B440" s="37" t="s">
        <v>2208</v>
      </c>
      <c r="C440" s="254" t="s">
        <v>2317</v>
      </c>
      <c r="D440" s="14" t="s">
        <v>40</v>
      </c>
      <c r="E440" s="20" t="str">
        <f t="shared" si="2"/>
        <v>agosto 2025</v>
      </c>
      <c r="F440" s="22">
        <v>45870.0</v>
      </c>
      <c r="G440" s="24">
        <f t="shared" ref="G440:H440" si="445">F440</f>
        <v>45870</v>
      </c>
      <c r="H440" s="26">
        <f t="shared" si="445"/>
        <v>45870</v>
      </c>
      <c r="I440" s="14" t="s">
        <v>90</v>
      </c>
      <c r="M440" s="256"/>
      <c r="N440" s="256" t="s">
        <v>84</v>
      </c>
      <c r="O440" s="256"/>
      <c r="Q440" s="36"/>
      <c r="R440" s="36"/>
      <c r="S440" s="36"/>
      <c r="T440" s="36"/>
      <c r="V440" s="31"/>
    </row>
    <row r="441">
      <c r="A441" s="14" t="s">
        <v>736</v>
      </c>
      <c r="B441" s="37" t="s">
        <v>2208</v>
      </c>
      <c r="C441" s="254" t="s">
        <v>2326</v>
      </c>
      <c r="D441" s="14" t="s">
        <v>40</v>
      </c>
      <c r="E441" s="20" t="str">
        <f t="shared" si="2"/>
        <v>agosto 2025</v>
      </c>
      <c r="F441" s="22">
        <v>45870.0</v>
      </c>
      <c r="G441" s="24">
        <f t="shared" ref="G441:H441" si="446">F441</f>
        <v>45870</v>
      </c>
      <c r="H441" s="26">
        <f t="shared" si="446"/>
        <v>45870</v>
      </c>
      <c r="I441" s="14" t="s">
        <v>90</v>
      </c>
      <c r="M441" s="256"/>
      <c r="N441" s="256" t="s">
        <v>84</v>
      </c>
      <c r="O441" s="256"/>
      <c r="Q441" s="36"/>
      <c r="R441" s="36"/>
      <c r="S441" s="36"/>
      <c r="T441" s="36"/>
      <c r="V441" s="31"/>
    </row>
    <row r="442">
      <c r="A442" s="14" t="s">
        <v>736</v>
      </c>
      <c r="B442" s="37" t="s">
        <v>2208</v>
      </c>
      <c r="C442" s="254" t="s">
        <v>2340</v>
      </c>
      <c r="D442" s="14" t="s">
        <v>40</v>
      </c>
      <c r="E442" s="20" t="str">
        <f t="shared" si="2"/>
        <v>agosto 2025</v>
      </c>
      <c r="F442" s="22">
        <v>45870.0</v>
      </c>
      <c r="G442" s="24">
        <f t="shared" ref="G442:H442" si="447">F442</f>
        <v>45870</v>
      </c>
      <c r="H442" s="26">
        <f t="shared" si="447"/>
        <v>45870</v>
      </c>
      <c r="I442" s="14" t="s">
        <v>90</v>
      </c>
      <c r="M442" s="256"/>
      <c r="N442" s="256" t="s">
        <v>84</v>
      </c>
      <c r="O442" s="256"/>
      <c r="Q442" s="36"/>
      <c r="R442" s="36"/>
      <c r="S442" s="36"/>
      <c r="T442" s="36"/>
      <c r="V442" s="31"/>
    </row>
    <row r="443">
      <c r="A443" s="14" t="s">
        <v>736</v>
      </c>
      <c r="B443" s="37" t="s">
        <v>2208</v>
      </c>
      <c r="C443" s="254" t="s">
        <v>2349</v>
      </c>
      <c r="D443" s="14" t="s">
        <v>40</v>
      </c>
      <c r="E443" s="20" t="str">
        <f t="shared" si="2"/>
        <v>agosto 2025</v>
      </c>
      <c r="F443" s="22">
        <v>45870.0</v>
      </c>
      <c r="G443" s="24">
        <f t="shared" ref="G443:H443" si="448">F443</f>
        <v>45870</v>
      </c>
      <c r="H443" s="26">
        <f t="shared" si="448"/>
        <v>45870</v>
      </c>
      <c r="I443" s="14" t="s">
        <v>90</v>
      </c>
      <c r="M443" s="256"/>
      <c r="N443" s="256" t="s">
        <v>84</v>
      </c>
      <c r="O443" s="256"/>
      <c r="Q443" s="36"/>
      <c r="R443" s="36"/>
      <c r="S443" s="36"/>
      <c r="T443" s="36"/>
      <c r="V443" s="31"/>
    </row>
    <row r="444">
      <c r="A444" s="14" t="s">
        <v>736</v>
      </c>
      <c r="B444" s="37" t="s">
        <v>2208</v>
      </c>
      <c r="C444" s="254" t="s">
        <v>2360</v>
      </c>
      <c r="D444" s="14" t="s">
        <v>40</v>
      </c>
      <c r="E444" s="20" t="str">
        <f t="shared" si="2"/>
        <v>agosto 2025</v>
      </c>
      <c r="F444" s="22">
        <v>45870.0</v>
      </c>
      <c r="G444" s="24">
        <f t="shared" ref="G444:H444" si="449">F444</f>
        <v>45870</v>
      </c>
      <c r="H444" s="26">
        <f t="shared" si="449"/>
        <v>45870</v>
      </c>
      <c r="I444" s="14" t="s">
        <v>90</v>
      </c>
      <c r="M444" s="256"/>
      <c r="N444" s="256" t="s">
        <v>84</v>
      </c>
      <c r="O444" s="256"/>
      <c r="Q444" s="36"/>
      <c r="R444" s="36"/>
      <c r="S444" s="36"/>
      <c r="T444" s="36"/>
      <c r="V444" s="31"/>
    </row>
    <row r="445">
      <c r="A445" s="14" t="s">
        <v>736</v>
      </c>
      <c r="B445" s="37" t="s">
        <v>2208</v>
      </c>
      <c r="C445" s="254" t="s">
        <v>2367</v>
      </c>
      <c r="D445" s="14" t="s">
        <v>40</v>
      </c>
      <c r="E445" s="20" t="str">
        <f t="shared" si="2"/>
        <v>agosto 2025</v>
      </c>
      <c r="F445" s="22">
        <v>45870.0</v>
      </c>
      <c r="G445" s="24">
        <f t="shared" ref="G445:H445" si="450">F445</f>
        <v>45870</v>
      </c>
      <c r="H445" s="26">
        <f t="shared" si="450"/>
        <v>45870</v>
      </c>
      <c r="I445" s="14" t="s">
        <v>90</v>
      </c>
      <c r="M445" s="256"/>
      <c r="N445" s="256" t="s">
        <v>84</v>
      </c>
      <c r="O445" s="256"/>
      <c r="Q445" s="36"/>
      <c r="R445" s="36"/>
      <c r="S445" s="36"/>
      <c r="T445" s="36"/>
      <c r="V445" s="31"/>
    </row>
    <row r="446">
      <c r="A446" s="14" t="s">
        <v>736</v>
      </c>
      <c r="B446" s="37" t="s">
        <v>2208</v>
      </c>
      <c r="C446" s="254" t="s">
        <v>2372</v>
      </c>
      <c r="D446" s="14" t="s">
        <v>40</v>
      </c>
      <c r="E446" s="20" t="str">
        <f t="shared" si="2"/>
        <v>agosto 2025</v>
      </c>
      <c r="F446" s="22">
        <v>45873.0</v>
      </c>
      <c r="G446" s="24">
        <f t="shared" ref="G446:H446" si="451">F446</f>
        <v>45873</v>
      </c>
      <c r="H446" s="26">
        <f t="shared" si="451"/>
        <v>45873</v>
      </c>
      <c r="I446" s="14" t="s">
        <v>90</v>
      </c>
      <c r="M446" s="256"/>
      <c r="N446" s="256" t="s">
        <v>84</v>
      </c>
      <c r="O446" s="256"/>
      <c r="Q446" s="36"/>
      <c r="R446" s="36"/>
      <c r="S446" s="36"/>
      <c r="T446" s="36"/>
      <c r="V446" s="31"/>
    </row>
    <row r="447">
      <c r="A447" s="14" t="s">
        <v>736</v>
      </c>
      <c r="B447" s="14" t="s">
        <v>2381</v>
      </c>
      <c r="C447" s="279" t="s">
        <v>2383</v>
      </c>
      <c r="D447" s="14" t="s">
        <v>40</v>
      </c>
      <c r="E447" s="20" t="str">
        <f t="shared" si="2"/>
        <v>agosto 2025</v>
      </c>
      <c r="F447" s="22">
        <v>45870.0</v>
      </c>
      <c r="G447" s="24">
        <f t="shared" ref="G447:H447" si="452">F447</f>
        <v>45870</v>
      </c>
      <c r="H447" s="26">
        <f t="shared" si="452"/>
        <v>45870</v>
      </c>
      <c r="I447" s="14" t="s">
        <v>90</v>
      </c>
      <c r="K447" s="27">
        <v>6.0E7</v>
      </c>
      <c r="L447" s="29" t="s">
        <v>1660</v>
      </c>
      <c r="M447" s="31"/>
      <c r="N447" s="31"/>
      <c r="O447" s="31"/>
      <c r="Q447" s="36"/>
      <c r="R447" s="36"/>
      <c r="S447" s="36"/>
      <c r="T447" s="36"/>
      <c r="V447" s="31"/>
    </row>
    <row r="448">
      <c r="A448" s="14" t="s">
        <v>736</v>
      </c>
      <c r="B448" s="14" t="s">
        <v>1866</v>
      </c>
      <c r="C448" s="279" t="s">
        <v>2385</v>
      </c>
      <c r="D448" s="14" t="s">
        <v>40</v>
      </c>
      <c r="E448" s="20" t="str">
        <f t="shared" si="2"/>
        <v>agosto 2025</v>
      </c>
      <c r="F448" s="22">
        <v>45890.0</v>
      </c>
      <c r="G448" s="24">
        <f t="shared" ref="G448:H448" si="453">F448</f>
        <v>45890</v>
      </c>
      <c r="H448" s="26">
        <f t="shared" si="453"/>
        <v>45890</v>
      </c>
      <c r="I448" s="14" t="s">
        <v>90</v>
      </c>
      <c r="K448" s="27"/>
      <c r="L448" s="29" t="s">
        <v>1203</v>
      </c>
      <c r="M448" s="31"/>
      <c r="N448" s="31"/>
      <c r="O448" s="31"/>
      <c r="Q448" s="36"/>
      <c r="R448" s="36"/>
      <c r="S448" s="36"/>
      <c r="T448" s="36"/>
      <c r="V448" s="31"/>
    </row>
    <row r="449">
      <c r="A449" s="14" t="s">
        <v>736</v>
      </c>
      <c r="B449" s="14" t="s">
        <v>1866</v>
      </c>
      <c r="C449" s="279" t="s">
        <v>2389</v>
      </c>
      <c r="D449" s="14" t="s">
        <v>40</v>
      </c>
      <c r="E449" s="20" t="str">
        <f t="shared" si="2"/>
        <v>agosto 2025</v>
      </c>
      <c r="F449" s="22">
        <v>45883.0</v>
      </c>
      <c r="G449" s="24">
        <f t="shared" ref="G449:H449" si="454">F449</f>
        <v>45883</v>
      </c>
      <c r="H449" s="26">
        <f t="shared" si="454"/>
        <v>45883</v>
      </c>
      <c r="I449" s="14" t="s">
        <v>90</v>
      </c>
      <c r="K449" s="27"/>
      <c r="L449" s="29" t="s">
        <v>1203</v>
      </c>
      <c r="M449" s="31"/>
      <c r="N449" s="31"/>
      <c r="O449" s="31"/>
      <c r="Q449" s="36"/>
      <c r="R449" s="36"/>
      <c r="S449" s="36"/>
      <c r="T449" s="36"/>
      <c r="V449" s="31"/>
    </row>
    <row r="450">
      <c r="A450" s="108" t="s">
        <v>1075</v>
      </c>
      <c r="B450" s="123" t="s">
        <v>2156</v>
      </c>
      <c r="C450" s="279" t="s">
        <v>2394</v>
      </c>
      <c r="D450" s="14" t="s">
        <v>133</v>
      </c>
      <c r="E450" s="20" t="str">
        <f t="shared" si="2"/>
        <v>agosto 2025</v>
      </c>
      <c r="F450" s="22">
        <v>45883.0</v>
      </c>
      <c r="G450" s="24">
        <f t="shared" ref="G450:H450" si="455">F450</f>
        <v>45883</v>
      </c>
      <c r="H450" s="26">
        <f t="shared" si="455"/>
        <v>45883</v>
      </c>
      <c r="I450" s="14" t="s">
        <v>2398</v>
      </c>
      <c r="J450" s="14"/>
      <c r="K450" s="27">
        <v>1.0E9</v>
      </c>
      <c r="L450" s="29" t="s">
        <v>360</v>
      </c>
      <c r="M450" s="14"/>
      <c r="N450" s="31"/>
      <c r="O450" s="14"/>
      <c r="P450" s="14" t="s">
        <v>47</v>
      </c>
      <c r="Q450" s="36"/>
      <c r="R450" s="36"/>
      <c r="S450" s="36"/>
      <c r="T450" s="36"/>
      <c r="V450" s="31"/>
    </row>
    <row r="451">
      <c r="A451" s="14" t="s">
        <v>1012</v>
      </c>
      <c r="B451" s="14" t="s">
        <v>2403</v>
      </c>
      <c r="C451" s="279" t="s">
        <v>2404</v>
      </c>
      <c r="D451" s="14" t="s">
        <v>133</v>
      </c>
      <c r="E451" s="20" t="str">
        <f t="shared" si="2"/>
        <v>agosto 2025</v>
      </c>
      <c r="F451" s="22">
        <v>45877.0</v>
      </c>
      <c r="G451" s="24">
        <f t="shared" ref="G451:H451" si="456">F451</f>
        <v>45877</v>
      </c>
      <c r="H451" s="26">
        <f t="shared" si="456"/>
        <v>45877</v>
      </c>
      <c r="I451" s="14" t="s">
        <v>1865</v>
      </c>
      <c r="J451" s="14" t="s">
        <v>2410</v>
      </c>
      <c r="K451" s="27">
        <v>3.5E8</v>
      </c>
      <c r="L451" s="29" t="s">
        <v>2413</v>
      </c>
      <c r="M451" s="31"/>
      <c r="N451" s="31"/>
      <c r="O451" s="31"/>
      <c r="Q451" s="36"/>
      <c r="R451" s="36"/>
      <c r="S451" s="36"/>
      <c r="T451" s="36"/>
      <c r="V451" s="31"/>
    </row>
    <row r="452">
      <c r="A452" s="14" t="s">
        <v>1012</v>
      </c>
      <c r="B452" s="14" t="s">
        <v>2403</v>
      </c>
      <c r="C452" s="279" t="s">
        <v>2418</v>
      </c>
      <c r="D452" s="14" t="s">
        <v>133</v>
      </c>
      <c r="E452" s="20" t="str">
        <f t="shared" si="2"/>
        <v>agosto 2025</v>
      </c>
      <c r="F452" s="22">
        <v>45877.0</v>
      </c>
      <c r="G452" s="24">
        <f t="shared" ref="G452:H452" si="457">F452</f>
        <v>45877</v>
      </c>
      <c r="H452" s="26">
        <f t="shared" si="457"/>
        <v>45877</v>
      </c>
      <c r="I452" s="14" t="s">
        <v>1865</v>
      </c>
      <c r="J452" s="14" t="s">
        <v>2410</v>
      </c>
      <c r="L452" s="29" t="s">
        <v>2413</v>
      </c>
      <c r="M452" s="31"/>
      <c r="N452" s="31"/>
      <c r="O452" s="31"/>
      <c r="Q452" s="36"/>
      <c r="R452" s="36"/>
      <c r="S452" s="36"/>
      <c r="T452" s="36"/>
      <c r="V452" s="31"/>
    </row>
    <row r="453">
      <c r="A453" s="14" t="s">
        <v>1045</v>
      </c>
      <c r="B453" s="14" t="s">
        <v>2429</v>
      </c>
      <c r="C453" s="279" t="s">
        <v>2430</v>
      </c>
      <c r="D453" s="14" t="s">
        <v>40</v>
      </c>
      <c r="E453" s="20" t="str">
        <f t="shared" si="2"/>
        <v>agosto 2025</v>
      </c>
      <c r="F453" s="22">
        <v>45875.0</v>
      </c>
      <c r="G453" s="24">
        <f t="shared" ref="G453:H453" si="458">F453</f>
        <v>45875</v>
      </c>
      <c r="H453" s="26">
        <f t="shared" si="458"/>
        <v>45875</v>
      </c>
      <c r="I453" s="14" t="s">
        <v>90</v>
      </c>
      <c r="K453" s="27">
        <v>2.0E7</v>
      </c>
      <c r="L453" s="29" t="s">
        <v>1008</v>
      </c>
      <c r="M453" s="31"/>
      <c r="N453" s="31"/>
      <c r="O453" s="31"/>
      <c r="Q453" s="36"/>
      <c r="R453" s="36"/>
      <c r="S453" s="36"/>
      <c r="T453" s="36"/>
      <c r="V453" s="31"/>
    </row>
    <row r="454">
      <c r="A454" s="14" t="s">
        <v>1045</v>
      </c>
      <c r="B454" s="14" t="s">
        <v>2434</v>
      </c>
      <c r="C454" s="279" t="s">
        <v>2435</v>
      </c>
      <c r="D454" s="14" t="s">
        <v>133</v>
      </c>
      <c r="E454" s="20" t="str">
        <f t="shared" si="2"/>
        <v>agosto 2025</v>
      </c>
      <c r="F454" s="22">
        <v>45877.0</v>
      </c>
      <c r="G454" s="24">
        <f t="shared" ref="G454:H454" si="459">F454</f>
        <v>45877</v>
      </c>
      <c r="H454" s="26">
        <f t="shared" si="459"/>
        <v>45877</v>
      </c>
      <c r="I454" s="14" t="s">
        <v>1865</v>
      </c>
      <c r="K454" s="27">
        <v>5.0E7</v>
      </c>
      <c r="L454" s="29" t="s">
        <v>1836</v>
      </c>
      <c r="M454" s="14"/>
      <c r="N454" s="14"/>
      <c r="O454" s="14"/>
      <c r="P454" s="14" t="s">
        <v>75</v>
      </c>
      <c r="Q454" s="36"/>
      <c r="R454" s="36"/>
      <c r="S454" s="36"/>
      <c r="T454" s="36"/>
      <c r="V454" s="31"/>
    </row>
    <row r="455">
      <c r="A455" s="14" t="s">
        <v>1045</v>
      </c>
      <c r="B455" s="14" t="s">
        <v>2442</v>
      </c>
      <c r="C455" s="279" t="s">
        <v>2444</v>
      </c>
      <c r="D455" s="14" t="s">
        <v>40</v>
      </c>
      <c r="E455" s="20" t="str">
        <f t="shared" si="2"/>
        <v>agosto 2025</v>
      </c>
      <c r="F455" s="22">
        <v>45877.0</v>
      </c>
      <c r="G455" s="24">
        <f t="shared" ref="G455:H455" si="460">F455</f>
        <v>45877</v>
      </c>
      <c r="H455" s="26">
        <f t="shared" si="460"/>
        <v>45877</v>
      </c>
      <c r="I455" s="14" t="s">
        <v>90</v>
      </c>
      <c r="K455" s="27">
        <v>2.5E8</v>
      </c>
      <c r="L455" s="29" t="s">
        <v>2447</v>
      </c>
      <c r="M455" s="31"/>
      <c r="N455" s="31"/>
      <c r="O455" s="31"/>
      <c r="Q455" s="36"/>
      <c r="R455" s="36"/>
      <c r="S455" s="36"/>
      <c r="T455" s="36"/>
      <c r="V455" s="31"/>
    </row>
    <row r="456">
      <c r="A456" s="14" t="s">
        <v>1787</v>
      </c>
      <c r="B456" s="14" t="s">
        <v>2452</v>
      </c>
      <c r="C456" s="279" t="s">
        <v>2454</v>
      </c>
      <c r="D456" s="14" t="s">
        <v>40</v>
      </c>
      <c r="E456" s="20" t="str">
        <f t="shared" si="2"/>
        <v>agosto 2025</v>
      </c>
      <c r="F456" s="22">
        <v>45880.0</v>
      </c>
      <c r="G456" s="24">
        <f t="shared" ref="G456:H456" si="461">F456</f>
        <v>45880</v>
      </c>
      <c r="H456" s="26">
        <f t="shared" si="461"/>
        <v>45880</v>
      </c>
      <c r="I456" s="14" t="s">
        <v>90</v>
      </c>
      <c r="K456" s="27">
        <v>5.0E7</v>
      </c>
      <c r="L456" s="29" t="s">
        <v>1210</v>
      </c>
      <c r="M456" s="31"/>
      <c r="N456" s="14" t="s">
        <v>84</v>
      </c>
      <c r="O456" s="31"/>
      <c r="Q456" s="36"/>
      <c r="R456" s="36"/>
      <c r="S456" s="36"/>
      <c r="T456" s="36"/>
      <c r="V456" s="31"/>
    </row>
    <row r="457">
      <c r="A457" s="14" t="s">
        <v>1787</v>
      </c>
      <c r="B457" s="14" t="s">
        <v>2465</v>
      </c>
      <c r="C457" s="279" t="s">
        <v>2466</v>
      </c>
      <c r="D457" s="14" t="s">
        <v>40</v>
      </c>
      <c r="E457" s="20" t="str">
        <f t="shared" si="2"/>
        <v>agosto 2025</v>
      </c>
      <c r="F457" s="22">
        <v>45880.0</v>
      </c>
      <c r="G457" s="24">
        <f t="shared" ref="G457:H457" si="462">F457</f>
        <v>45880</v>
      </c>
      <c r="H457" s="26">
        <f t="shared" si="462"/>
        <v>45880</v>
      </c>
      <c r="I457" s="14" t="s">
        <v>90</v>
      </c>
      <c r="K457" s="27">
        <v>8000000.0</v>
      </c>
      <c r="L457" s="29" t="s">
        <v>1203</v>
      </c>
      <c r="M457" s="31"/>
      <c r="N457" s="14" t="s">
        <v>84</v>
      </c>
      <c r="O457" s="31"/>
      <c r="Q457" s="36"/>
      <c r="R457" s="36"/>
      <c r="S457" s="36"/>
      <c r="T457" s="36"/>
      <c r="V457" s="31"/>
    </row>
    <row r="458">
      <c r="A458" s="14" t="s">
        <v>1464</v>
      </c>
      <c r="B458" s="14" t="s">
        <v>2475</v>
      </c>
      <c r="C458" s="279" t="s">
        <v>2476</v>
      </c>
      <c r="D458" s="14" t="s">
        <v>133</v>
      </c>
      <c r="E458" s="20" t="str">
        <f t="shared" si="2"/>
        <v>agosto 2025</v>
      </c>
      <c r="F458" s="22">
        <v>45874.0</v>
      </c>
      <c r="G458" s="24">
        <f t="shared" ref="G458:H458" si="463">F458</f>
        <v>45874</v>
      </c>
      <c r="H458" s="26">
        <f t="shared" si="463"/>
        <v>45874</v>
      </c>
      <c r="I458" s="14" t="s">
        <v>1865</v>
      </c>
      <c r="K458" s="27">
        <v>2.5E8</v>
      </c>
      <c r="L458" s="29" t="s">
        <v>2477</v>
      </c>
      <c r="M458" s="14"/>
      <c r="N458" s="14" t="s">
        <v>84</v>
      </c>
      <c r="O458" s="14"/>
      <c r="P458" s="14"/>
      <c r="Q458" s="36"/>
      <c r="R458" s="36"/>
      <c r="S458" s="36"/>
      <c r="T458" s="36"/>
      <c r="V458" s="31"/>
    </row>
    <row r="459">
      <c r="A459" s="14" t="s">
        <v>208</v>
      </c>
      <c r="B459" s="14" t="s">
        <v>2478</v>
      </c>
      <c r="C459" s="279" t="s">
        <v>2479</v>
      </c>
      <c r="D459" s="14" t="s">
        <v>133</v>
      </c>
      <c r="E459" s="20" t="str">
        <f t="shared" si="2"/>
        <v>agosto 2025</v>
      </c>
      <c r="F459" s="22">
        <v>45873.0</v>
      </c>
      <c r="G459" s="24">
        <f t="shared" ref="G459:H459" si="464">F459</f>
        <v>45873</v>
      </c>
      <c r="H459" s="26">
        <f t="shared" si="464"/>
        <v>45873</v>
      </c>
      <c r="I459" s="14" t="s">
        <v>1865</v>
      </c>
      <c r="J459" s="14" t="s">
        <v>2126</v>
      </c>
      <c r="K459" s="27">
        <v>1.5E8</v>
      </c>
      <c r="L459" s="29">
        <v>1.99</v>
      </c>
      <c r="M459" s="31"/>
      <c r="N459" s="14" t="s">
        <v>84</v>
      </c>
      <c r="O459" s="31"/>
      <c r="Q459" s="36"/>
      <c r="R459" s="36"/>
      <c r="S459" s="36"/>
      <c r="T459" s="36"/>
      <c r="V459" s="31"/>
    </row>
    <row r="460">
      <c r="A460" s="14" t="s">
        <v>679</v>
      </c>
      <c r="B460" s="14" t="s">
        <v>2480</v>
      </c>
      <c r="C460" s="279" t="s">
        <v>2481</v>
      </c>
      <c r="D460" s="14" t="s">
        <v>40</v>
      </c>
      <c r="E460" s="20" t="str">
        <f t="shared" si="2"/>
        <v>agosto 2025</v>
      </c>
      <c r="F460" s="22">
        <v>45881.0</v>
      </c>
      <c r="G460" s="24">
        <f t="shared" ref="G460:H460" si="465">F460</f>
        <v>45881</v>
      </c>
      <c r="H460" s="26">
        <f t="shared" si="465"/>
        <v>45881</v>
      </c>
      <c r="I460" s="14" t="s">
        <v>90</v>
      </c>
      <c r="K460" s="14">
        <v>8.0E7</v>
      </c>
      <c r="M460" s="31"/>
      <c r="N460" s="31"/>
      <c r="O460" s="31"/>
    </row>
    <row r="461">
      <c r="A461" s="14" t="s">
        <v>208</v>
      </c>
      <c r="B461" s="14" t="s">
        <v>2482</v>
      </c>
      <c r="C461" s="279" t="s">
        <v>2483</v>
      </c>
      <c r="D461" s="14" t="s">
        <v>40</v>
      </c>
      <c r="E461" s="20" t="str">
        <f t="shared" si="2"/>
        <v>agosto 2025</v>
      </c>
      <c r="F461" s="22">
        <v>45888.0</v>
      </c>
      <c r="G461" s="24">
        <f t="shared" ref="G461:H461" si="466">F461</f>
        <v>45888</v>
      </c>
      <c r="H461" s="26">
        <f t="shared" si="466"/>
        <v>45888</v>
      </c>
      <c r="I461" s="14" t="s">
        <v>259</v>
      </c>
      <c r="K461" s="27">
        <v>2.5E9</v>
      </c>
      <c r="L461" s="78"/>
      <c r="M461" s="31"/>
      <c r="N461" s="14" t="s">
        <v>133</v>
      </c>
      <c r="O461" s="31"/>
      <c r="Q461" s="36"/>
      <c r="R461" s="36"/>
      <c r="S461" s="36"/>
      <c r="T461" s="36"/>
      <c r="V461" s="31"/>
    </row>
    <row r="462">
      <c r="A462" s="14" t="s">
        <v>208</v>
      </c>
      <c r="B462" s="14" t="s">
        <v>2484</v>
      </c>
      <c r="C462" s="279" t="s">
        <v>2485</v>
      </c>
      <c r="D462" s="14" t="s">
        <v>133</v>
      </c>
      <c r="E462" s="20" t="str">
        <f t="shared" si="2"/>
        <v>agosto 2025</v>
      </c>
      <c r="F462" s="22">
        <v>45884.0</v>
      </c>
      <c r="G462" s="24">
        <f t="shared" ref="G462:H462" si="467">F462</f>
        <v>45884</v>
      </c>
      <c r="H462" s="26">
        <f t="shared" si="467"/>
        <v>45884</v>
      </c>
      <c r="I462" s="14" t="s">
        <v>2398</v>
      </c>
      <c r="J462" s="14" t="s">
        <v>2486</v>
      </c>
      <c r="K462" s="27">
        <v>2.5E8</v>
      </c>
      <c r="L462" s="29">
        <v>1.99</v>
      </c>
      <c r="M462" s="31"/>
      <c r="N462" s="14" t="s">
        <v>84</v>
      </c>
      <c r="O462" s="31"/>
      <c r="Q462" s="36"/>
      <c r="R462" s="36"/>
      <c r="S462" s="36"/>
      <c r="T462" s="36"/>
      <c r="V462" s="31"/>
    </row>
    <row r="463">
      <c r="A463" s="14" t="s">
        <v>36</v>
      </c>
      <c r="B463" s="37" t="s">
        <v>2487</v>
      </c>
      <c r="C463" s="279" t="s">
        <v>2488</v>
      </c>
      <c r="D463" s="14" t="s">
        <v>40</v>
      </c>
      <c r="E463" s="20" t="str">
        <f t="shared" si="2"/>
        <v>agosto 2025</v>
      </c>
      <c r="F463" s="22">
        <v>45891.0</v>
      </c>
      <c r="G463" s="24">
        <f t="shared" ref="G463:H463" si="468">F463</f>
        <v>45891</v>
      </c>
      <c r="H463" s="26">
        <f t="shared" si="468"/>
        <v>45891</v>
      </c>
      <c r="I463" s="14" t="s">
        <v>90</v>
      </c>
      <c r="K463" s="27">
        <v>1.5E7</v>
      </c>
      <c r="L463" s="29" t="s">
        <v>2489</v>
      </c>
      <c r="M463" s="14"/>
      <c r="N463" s="14"/>
      <c r="O463" s="14"/>
      <c r="P463" s="14"/>
      <c r="Q463" s="36"/>
      <c r="R463" s="36"/>
      <c r="S463" s="36"/>
      <c r="T463" s="36"/>
      <c r="V463" s="31"/>
    </row>
    <row r="464">
      <c r="A464" s="14" t="s">
        <v>36</v>
      </c>
      <c r="B464" s="37" t="s">
        <v>2490</v>
      </c>
      <c r="C464" s="279" t="s">
        <v>2491</v>
      </c>
      <c r="D464" s="14" t="s">
        <v>40</v>
      </c>
      <c r="E464" s="20" t="str">
        <f t="shared" si="2"/>
        <v>agosto 2025</v>
      </c>
      <c r="F464" s="22">
        <v>45892.0</v>
      </c>
      <c r="G464" s="24">
        <f t="shared" ref="G464:H464" si="469">F464</f>
        <v>45892</v>
      </c>
      <c r="H464" s="26">
        <f t="shared" si="469"/>
        <v>45892</v>
      </c>
      <c r="I464" s="14" t="s">
        <v>90</v>
      </c>
      <c r="K464" s="27">
        <v>1.0E8</v>
      </c>
      <c r="L464" s="29" t="s">
        <v>2492</v>
      </c>
      <c r="M464" s="14"/>
      <c r="N464" s="14"/>
      <c r="O464" s="14" t="s">
        <v>40</v>
      </c>
      <c r="P464" s="14" t="s">
        <v>2493</v>
      </c>
      <c r="Q464" s="36"/>
      <c r="R464" s="36"/>
      <c r="S464" s="36"/>
      <c r="T464" s="36"/>
      <c r="V464" s="31"/>
    </row>
    <row r="465">
      <c r="A465" s="14" t="s">
        <v>36</v>
      </c>
      <c r="B465" s="14" t="s">
        <v>2494</v>
      </c>
      <c r="C465" s="279" t="s">
        <v>2495</v>
      </c>
      <c r="D465" s="14" t="s">
        <v>40</v>
      </c>
      <c r="E465" s="20" t="str">
        <f t="shared" si="2"/>
        <v>agosto 2025</v>
      </c>
      <c r="F465" s="22">
        <v>45889.0</v>
      </c>
      <c r="G465" s="24">
        <f t="shared" ref="G465:H465" si="470">F465</f>
        <v>45889</v>
      </c>
      <c r="H465" s="26">
        <f t="shared" si="470"/>
        <v>45889</v>
      </c>
      <c r="I465" s="14" t="s">
        <v>90</v>
      </c>
      <c r="K465" s="27">
        <v>2.0E7</v>
      </c>
      <c r="L465" s="29" t="s">
        <v>2489</v>
      </c>
      <c r="M465" s="31"/>
      <c r="N465" s="31"/>
      <c r="O465" s="31"/>
      <c r="Q465" s="36"/>
      <c r="R465" s="36"/>
      <c r="S465" s="36"/>
      <c r="T465" s="36"/>
      <c r="V465" s="31"/>
    </row>
    <row r="466">
      <c r="A466" s="14" t="s">
        <v>208</v>
      </c>
      <c r="B466" s="14" t="s">
        <v>2496</v>
      </c>
      <c r="C466" s="279" t="s">
        <v>2497</v>
      </c>
      <c r="D466" s="14" t="s">
        <v>40</v>
      </c>
      <c r="E466" s="20" t="str">
        <f t="shared" si="2"/>
        <v>agosto 2025</v>
      </c>
      <c r="F466" s="22">
        <v>45891.0</v>
      </c>
      <c r="G466" s="24">
        <f t="shared" ref="G466:H466" si="471">F466</f>
        <v>45891</v>
      </c>
      <c r="H466" s="26">
        <f t="shared" si="471"/>
        <v>45891</v>
      </c>
      <c r="I466" s="14" t="s">
        <v>90</v>
      </c>
      <c r="K466" s="27">
        <v>2.0E7</v>
      </c>
      <c r="L466" s="29" t="s">
        <v>2498</v>
      </c>
      <c r="M466" s="31"/>
      <c r="N466" s="14" t="s">
        <v>84</v>
      </c>
      <c r="O466" s="31"/>
      <c r="Q466" s="36"/>
      <c r="R466" s="36"/>
      <c r="S466" s="36"/>
      <c r="T466" s="36"/>
      <c r="V466" s="31"/>
    </row>
    <row r="467">
      <c r="A467" s="14" t="s">
        <v>36</v>
      </c>
      <c r="B467" s="14" t="s">
        <v>2499</v>
      </c>
      <c r="C467" s="279" t="s">
        <v>2500</v>
      </c>
      <c r="D467" s="14" t="s">
        <v>40</v>
      </c>
      <c r="E467" s="20" t="str">
        <f t="shared" si="2"/>
        <v>agosto 2025</v>
      </c>
      <c r="F467" s="22">
        <v>45898.0</v>
      </c>
      <c r="G467" s="24">
        <f t="shared" ref="G467:H467" si="472">F467</f>
        <v>45898</v>
      </c>
      <c r="H467" s="26">
        <f t="shared" si="472"/>
        <v>45898</v>
      </c>
      <c r="I467" s="14" t="s">
        <v>90</v>
      </c>
      <c r="K467" s="27">
        <v>5.0E7</v>
      </c>
      <c r="L467" s="29" t="s">
        <v>887</v>
      </c>
      <c r="M467" s="31"/>
      <c r="N467" s="31"/>
      <c r="O467" s="31"/>
      <c r="Q467" s="36"/>
      <c r="R467" s="36"/>
      <c r="S467" s="36"/>
      <c r="T467" s="36"/>
      <c r="V467" s="31"/>
    </row>
    <row r="468">
      <c r="A468" s="14" t="s">
        <v>1787</v>
      </c>
      <c r="B468" s="37" t="s">
        <v>2501</v>
      </c>
      <c r="C468" s="279" t="s">
        <v>2502</v>
      </c>
      <c r="D468" s="14" t="s">
        <v>40</v>
      </c>
      <c r="E468" s="20" t="str">
        <f t="shared" si="2"/>
        <v>septiembre 2025</v>
      </c>
      <c r="F468" s="22">
        <v>45901.0</v>
      </c>
      <c r="G468" s="24">
        <f t="shared" ref="G468:H468" si="473">F468</f>
        <v>45901</v>
      </c>
      <c r="H468" s="26">
        <f t="shared" si="473"/>
        <v>45901</v>
      </c>
      <c r="I468" s="14" t="s">
        <v>90</v>
      </c>
      <c r="K468" s="27">
        <v>3.0E7</v>
      </c>
      <c r="L468" s="29" t="s">
        <v>2503</v>
      </c>
      <c r="M468" s="31"/>
      <c r="N468" s="14" t="s">
        <v>84</v>
      </c>
      <c r="O468" s="31"/>
      <c r="Q468" s="36"/>
      <c r="R468" s="36"/>
      <c r="S468" s="36"/>
      <c r="T468" s="36"/>
      <c r="V468" s="31"/>
    </row>
    <row r="469">
      <c r="A469" s="14" t="s">
        <v>1787</v>
      </c>
      <c r="B469" s="37" t="s">
        <v>2504</v>
      </c>
      <c r="C469" s="279" t="s">
        <v>2505</v>
      </c>
      <c r="D469" s="14" t="s">
        <v>40</v>
      </c>
      <c r="E469" s="20" t="str">
        <f t="shared" si="2"/>
        <v>septiembre 2025</v>
      </c>
      <c r="F469" s="22">
        <v>45901.0</v>
      </c>
      <c r="G469" s="24">
        <f t="shared" ref="G469:H469" si="474">F469</f>
        <v>45901</v>
      </c>
      <c r="H469" s="26">
        <f t="shared" si="474"/>
        <v>45901</v>
      </c>
      <c r="I469" s="14" t="s">
        <v>90</v>
      </c>
      <c r="K469" s="27">
        <v>3.0E7</v>
      </c>
      <c r="L469" s="29" t="s">
        <v>2503</v>
      </c>
      <c r="M469" s="31"/>
      <c r="N469" s="14" t="s">
        <v>84</v>
      </c>
      <c r="O469" s="31"/>
      <c r="Q469" s="36"/>
      <c r="R469" s="36"/>
      <c r="S469" s="36"/>
      <c r="T469" s="36"/>
      <c r="V469" s="31"/>
    </row>
    <row r="470">
      <c r="A470" s="14" t="s">
        <v>1787</v>
      </c>
      <c r="B470" s="37" t="s">
        <v>2506</v>
      </c>
      <c r="C470" s="279" t="s">
        <v>2507</v>
      </c>
      <c r="D470" s="14" t="s">
        <v>40</v>
      </c>
      <c r="E470" s="20" t="str">
        <f t="shared" si="2"/>
        <v>septiembre 2025</v>
      </c>
      <c r="F470" s="22">
        <v>45901.0</v>
      </c>
      <c r="G470" s="24">
        <f t="shared" ref="G470:H470" si="475">F470</f>
        <v>45901</v>
      </c>
      <c r="H470" s="26">
        <f t="shared" si="475"/>
        <v>45901</v>
      </c>
      <c r="I470" s="14" t="s">
        <v>90</v>
      </c>
      <c r="K470" s="27">
        <v>1.8E8</v>
      </c>
      <c r="L470" s="29" t="s">
        <v>1660</v>
      </c>
      <c r="M470" s="14"/>
      <c r="N470" s="14" t="s">
        <v>84</v>
      </c>
      <c r="O470" s="14"/>
      <c r="P470" s="14" t="s">
        <v>84</v>
      </c>
      <c r="Q470" s="36"/>
      <c r="R470" s="36"/>
      <c r="S470" s="36"/>
      <c r="T470" s="36"/>
      <c r="V470" s="31"/>
    </row>
    <row r="471">
      <c r="A471" s="14" t="s">
        <v>1787</v>
      </c>
      <c r="B471" s="14" t="s">
        <v>2508</v>
      </c>
      <c r="C471" s="279" t="s">
        <v>2509</v>
      </c>
      <c r="D471" s="14" t="s">
        <v>40</v>
      </c>
      <c r="E471" s="20" t="str">
        <f t="shared" si="2"/>
        <v>septiembre 2025</v>
      </c>
      <c r="F471" s="22">
        <v>45901.0</v>
      </c>
      <c r="G471" s="24">
        <f t="shared" ref="G471:H471" si="476">F471</f>
        <v>45901</v>
      </c>
      <c r="H471" s="26">
        <f t="shared" si="476"/>
        <v>45901</v>
      </c>
      <c r="I471" s="14" t="s">
        <v>90</v>
      </c>
      <c r="K471" s="27">
        <v>1.0E7</v>
      </c>
      <c r="L471" s="29" t="s">
        <v>1203</v>
      </c>
      <c r="M471" s="31"/>
      <c r="N471" s="14" t="s">
        <v>84</v>
      </c>
      <c r="O471" s="31"/>
      <c r="Q471" s="36"/>
      <c r="R471" s="36"/>
      <c r="S471" s="36"/>
      <c r="T471" s="36"/>
      <c r="V471" s="31"/>
    </row>
    <row r="472">
      <c r="A472" s="14" t="s">
        <v>1787</v>
      </c>
      <c r="B472" s="14" t="s">
        <v>2510</v>
      </c>
      <c r="C472" s="279" t="s">
        <v>2511</v>
      </c>
      <c r="D472" s="14" t="s">
        <v>40</v>
      </c>
      <c r="E472" s="20" t="str">
        <f t="shared" si="2"/>
        <v>septiembre 2025</v>
      </c>
      <c r="F472" s="22">
        <v>45902.0</v>
      </c>
      <c r="G472" s="24">
        <f t="shared" ref="G472:H472" si="477">F472</f>
        <v>45902</v>
      </c>
      <c r="H472" s="26">
        <f t="shared" si="477"/>
        <v>45902</v>
      </c>
      <c r="I472" s="14" t="s">
        <v>90</v>
      </c>
      <c r="K472" s="27">
        <v>1.0E7</v>
      </c>
      <c r="L472" s="29" t="s">
        <v>1203</v>
      </c>
      <c r="M472" s="31"/>
      <c r="N472" s="14" t="s">
        <v>84</v>
      </c>
      <c r="O472" s="31"/>
      <c r="Q472" s="36"/>
      <c r="R472" s="36"/>
      <c r="S472" s="36"/>
      <c r="T472" s="36"/>
      <c r="V472" s="31"/>
    </row>
    <row r="473">
      <c r="A473" s="14" t="s">
        <v>1045</v>
      </c>
      <c r="B473" s="14" t="s">
        <v>2512</v>
      </c>
      <c r="C473" s="279" t="s">
        <v>2513</v>
      </c>
      <c r="D473" s="14" t="s">
        <v>40</v>
      </c>
      <c r="E473" s="20" t="str">
        <f t="shared" si="2"/>
        <v>septiembre 2025</v>
      </c>
      <c r="F473" s="22">
        <v>45901.0</v>
      </c>
      <c r="G473" s="24">
        <f t="shared" ref="G473:H473" si="478">F473</f>
        <v>45901</v>
      </c>
      <c r="H473" s="26">
        <f t="shared" si="478"/>
        <v>45901</v>
      </c>
      <c r="I473" s="14" t="s">
        <v>90</v>
      </c>
      <c r="K473" s="27">
        <v>4.0E8</v>
      </c>
      <c r="L473" s="29" t="s">
        <v>2514</v>
      </c>
      <c r="M473" s="14"/>
      <c r="N473" s="14" t="s">
        <v>84</v>
      </c>
      <c r="O473" s="14"/>
      <c r="P473" s="14" t="s">
        <v>75</v>
      </c>
      <c r="Q473" s="36"/>
      <c r="R473" s="36"/>
      <c r="S473" s="36"/>
      <c r="T473" s="36"/>
      <c r="V473" s="31"/>
    </row>
    <row r="474">
      <c r="A474" s="14" t="s">
        <v>1045</v>
      </c>
      <c r="B474" s="14" t="s">
        <v>2515</v>
      </c>
      <c r="C474" s="279" t="s">
        <v>2516</v>
      </c>
      <c r="D474" s="14" t="s">
        <v>133</v>
      </c>
      <c r="E474" s="20" t="str">
        <f t="shared" si="2"/>
        <v>septiembre 2025</v>
      </c>
      <c r="F474" s="22">
        <v>45902.0</v>
      </c>
      <c r="G474" s="24">
        <f t="shared" ref="G474:H474" si="479">F474</f>
        <v>45902</v>
      </c>
      <c r="H474" s="26">
        <f t="shared" si="479"/>
        <v>45902</v>
      </c>
      <c r="I474" s="14" t="s">
        <v>1865</v>
      </c>
      <c r="K474" s="27">
        <v>1.5E8</v>
      </c>
      <c r="L474" s="29" t="s">
        <v>2517</v>
      </c>
      <c r="M474" s="31"/>
      <c r="N474" s="14" t="s">
        <v>84</v>
      </c>
      <c r="O474" s="31"/>
      <c r="Q474" s="36"/>
      <c r="R474" s="36"/>
      <c r="S474" s="36"/>
      <c r="T474" s="36"/>
      <c r="V474" s="31"/>
    </row>
    <row r="475">
      <c r="A475" s="14" t="s">
        <v>117</v>
      </c>
      <c r="B475" s="14" t="s">
        <v>2518</v>
      </c>
      <c r="C475" s="279" t="s">
        <v>2519</v>
      </c>
      <c r="D475" s="14" t="s">
        <v>133</v>
      </c>
      <c r="E475" s="20" t="str">
        <f t="shared" si="2"/>
        <v>septiembre 2025</v>
      </c>
      <c r="F475" s="22">
        <v>45902.0</v>
      </c>
      <c r="G475" s="24">
        <f t="shared" ref="G475:H475" si="480">F475</f>
        <v>45902</v>
      </c>
      <c r="H475" s="26">
        <f t="shared" si="480"/>
        <v>45902</v>
      </c>
      <c r="I475" s="14" t="s">
        <v>1865</v>
      </c>
      <c r="K475" s="27">
        <v>2.5E8</v>
      </c>
      <c r="L475" s="29" t="s">
        <v>2520</v>
      </c>
      <c r="M475" s="31"/>
      <c r="N475" s="14" t="s">
        <v>84</v>
      </c>
      <c r="O475" s="31"/>
      <c r="Q475" s="36"/>
      <c r="R475" s="36"/>
      <c r="S475" s="36"/>
      <c r="T475" s="36"/>
      <c r="V475" s="31"/>
    </row>
    <row r="476">
      <c r="A476" s="14" t="s">
        <v>1787</v>
      </c>
      <c r="B476" s="14" t="s">
        <v>2521</v>
      </c>
      <c r="C476" s="279" t="s">
        <v>2522</v>
      </c>
      <c r="D476" s="14" t="s">
        <v>40</v>
      </c>
      <c r="E476" s="20" t="str">
        <f t="shared" si="2"/>
        <v>septiembre 2025</v>
      </c>
      <c r="F476" s="22">
        <v>45902.0</v>
      </c>
      <c r="G476" s="24">
        <f t="shared" ref="G476:H476" si="481">F476</f>
        <v>45902</v>
      </c>
      <c r="H476" s="26">
        <f t="shared" si="481"/>
        <v>45902</v>
      </c>
      <c r="I476" s="14" t="s">
        <v>259</v>
      </c>
      <c r="K476" s="27">
        <v>2.0E8</v>
      </c>
      <c r="L476" s="14" t="s">
        <v>2523</v>
      </c>
      <c r="M476" s="14"/>
      <c r="N476" s="14" t="s">
        <v>84</v>
      </c>
      <c r="O476" s="14"/>
      <c r="P476" s="14" t="s">
        <v>84</v>
      </c>
      <c r="Q476" s="36"/>
      <c r="R476" s="36"/>
      <c r="S476" s="36"/>
      <c r="T476" s="36"/>
      <c r="V476" s="31"/>
    </row>
    <row r="477">
      <c r="A477" s="14" t="s">
        <v>679</v>
      </c>
      <c r="B477" s="14" t="s">
        <v>2524</v>
      </c>
      <c r="C477" s="279" t="s">
        <v>2525</v>
      </c>
      <c r="D477" s="14" t="s">
        <v>40</v>
      </c>
      <c r="E477" s="20" t="str">
        <f t="shared" si="2"/>
        <v>septiembre 2025</v>
      </c>
      <c r="F477" s="22">
        <v>45902.0</v>
      </c>
      <c r="G477" s="24">
        <f t="shared" ref="G477:H477" si="482">F477</f>
        <v>45902</v>
      </c>
      <c r="H477" s="26">
        <f t="shared" si="482"/>
        <v>45902</v>
      </c>
      <c r="I477" s="14" t="s">
        <v>90</v>
      </c>
      <c r="K477" s="27">
        <v>1.5E8</v>
      </c>
      <c r="L477" s="29" t="s">
        <v>2413</v>
      </c>
      <c r="M477" s="31"/>
      <c r="N477" s="14" t="s">
        <v>84</v>
      </c>
      <c r="O477" s="31"/>
      <c r="Q477" s="36"/>
      <c r="R477" s="36"/>
      <c r="S477" s="36"/>
      <c r="T477" s="36"/>
      <c r="V477" s="31"/>
    </row>
    <row r="478">
      <c r="A478" s="14" t="s">
        <v>679</v>
      </c>
      <c r="B478" s="14" t="s">
        <v>2526</v>
      </c>
      <c r="C478" s="279" t="s">
        <v>2527</v>
      </c>
      <c r="D478" s="14" t="s">
        <v>40</v>
      </c>
      <c r="E478" s="20" t="str">
        <f t="shared" si="2"/>
        <v>septiembre 2025</v>
      </c>
      <c r="F478" s="22">
        <v>45904.0</v>
      </c>
      <c r="G478" s="24">
        <f t="shared" ref="G478:H478" si="483">F478</f>
        <v>45904</v>
      </c>
      <c r="H478" s="26">
        <f t="shared" si="483"/>
        <v>45904</v>
      </c>
      <c r="I478" s="14" t="s">
        <v>90</v>
      </c>
      <c r="K478" s="27">
        <v>1.8E8</v>
      </c>
      <c r="L478" s="29" t="s">
        <v>2413</v>
      </c>
      <c r="M478" s="31"/>
      <c r="N478" s="14" t="s">
        <v>84</v>
      </c>
      <c r="O478" s="31"/>
      <c r="Q478" s="36"/>
      <c r="R478" s="36"/>
      <c r="S478" s="36"/>
      <c r="T478" s="36"/>
      <c r="V478" s="31"/>
    </row>
    <row r="479">
      <c r="A479" s="14" t="s">
        <v>736</v>
      </c>
      <c r="B479" s="14" t="s">
        <v>2528</v>
      </c>
      <c r="C479" s="279" t="s">
        <v>2529</v>
      </c>
      <c r="D479" s="14" t="s">
        <v>40</v>
      </c>
      <c r="E479" s="20" t="str">
        <f t="shared" si="2"/>
        <v>septiembre 2025</v>
      </c>
      <c r="F479" s="22">
        <v>45903.0</v>
      </c>
      <c r="G479" s="24">
        <f t="shared" ref="G479:H479" si="484">F479</f>
        <v>45903</v>
      </c>
      <c r="H479" s="26">
        <f t="shared" si="484"/>
        <v>45903</v>
      </c>
      <c r="I479" s="14" t="s">
        <v>259</v>
      </c>
      <c r="K479" s="27">
        <v>2.0E7</v>
      </c>
      <c r="L479" s="29" t="s">
        <v>1203</v>
      </c>
      <c r="M479" s="31"/>
      <c r="N479" s="14" t="s">
        <v>84</v>
      </c>
      <c r="O479" s="31"/>
      <c r="Q479" s="36"/>
      <c r="R479" s="36"/>
      <c r="S479" s="36"/>
      <c r="T479" s="36"/>
      <c r="V479" s="31"/>
    </row>
    <row r="480">
      <c r="A480" s="14" t="s">
        <v>736</v>
      </c>
      <c r="B480" s="14" t="s">
        <v>2530</v>
      </c>
      <c r="C480" s="279" t="s">
        <v>2531</v>
      </c>
      <c r="D480" s="14" t="s">
        <v>40</v>
      </c>
      <c r="E480" s="20" t="str">
        <f t="shared" si="2"/>
        <v>septiembre 2025</v>
      </c>
      <c r="F480" s="22">
        <v>45905.0</v>
      </c>
      <c r="G480" s="24">
        <f t="shared" ref="G480:H480" si="485">F480</f>
        <v>45905</v>
      </c>
      <c r="H480" s="26">
        <f t="shared" si="485"/>
        <v>45905</v>
      </c>
      <c r="I480" s="14" t="s">
        <v>90</v>
      </c>
      <c r="K480" s="27">
        <v>5000000.0</v>
      </c>
      <c r="L480" s="29" t="s">
        <v>1203</v>
      </c>
      <c r="M480" s="31"/>
      <c r="N480" s="14" t="s">
        <v>84</v>
      </c>
      <c r="O480" s="31"/>
      <c r="Q480" s="36"/>
      <c r="R480" s="36"/>
      <c r="S480" s="36"/>
      <c r="T480" s="36"/>
      <c r="V480" s="31"/>
    </row>
    <row r="481">
      <c r="A481" s="14" t="s">
        <v>36</v>
      </c>
      <c r="B481" s="14" t="s">
        <v>2532</v>
      </c>
      <c r="C481" s="279" t="s">
        <v>2533</v>
      </c>
      <c r="D481" s="14" t="s">
        <v>133</v>
      </c>
      <c r="E481" s="20" t="str">
        <f t="shared" si="2"/>
        <v>septiembre 2025</v>
      </c>
      <c r="F481" s="22">
        <v>45905.0</v>
      </c>
      <c r="G481" s="24">
        <f t="shared" ref="G481:H481" si="486">F481</f>
        <v>45905</v>
      </c>
      <c r="H481" s="26">
        <f t="shared" si="486"/>
        <v>45905</v>
      </c>
      <c r="I481" s="14" t="s">
        <v>1865</v>
      </c>
      <c r="K481" s="27">
        <v>2.0E8</v>
      </c>
      <c r="L481" s="29" t="s">
        <v>2534</v>
      </c>
      <c r="M481" s="31"/>
      <c r="N481" s="31"/>
      <c r="O481" s="31"/>
      <c r="Q481" s="36"/>
      <c r="R481" s="36"/>
      <c r="S481" s="36"/>
      <c r="T481" s="36"/>
      <c r="V481" s="31"/>
    </row>
    <row r="482">
      <c r="A482" s="14" t="s">
        <v>36</v>
      </c>
      <c r="B482" s="14" t="s">
        <v>2535</v>
      </c>
      <c r="C482" s="279" t="s">
        <v>2536</v>
      </c>
      <c r="D482" s="14" t="s">
        <v>133</v>
      </c>
      <c r="E482" s="20" t="str">
        <f t="shared" si="2"/>
        <v>septiembre 2025</v>
      </c>
      <c r="F482" s="22">
        <v>45905.0</v>
      </c>
      <c r="G482" s="24">
        <f t="shared" ref="G482:H482" si="487">F482</f>
        <v>45905</v>
      </c>
      <c r="H482" s="26">
        <f t="shared" si="487"/>
        <v>45905</v>
      </c>
      <c r="I482" s="14" t="s">
        <v>1865</v>
      </c>
      <c r="K482" s="27">
        <v>2.0E7</v>
      </c>
      <c r="L482" s="29" t="s">
        <v>2503</v>
      </c>
      <c r="M482" s="31"/>
      <c r="N482" s="31"/>
      <c r="O482" s="31"/>
      <c r="Q482" s="36"/>
      <c r="R482" s="36"/>
      <c r="S482" s="36"/>
      <c r="T482" s="36"/>
      <c r="V482" s="31"/>
    </row>
    <row r="483">
      <c r="A483" s="14" t="s">
        <v>1045</v>
      </c>
      <c r="B483" s="14" t="s">
        <v>2537</v>
      </c>
      <c r="C483" s="279" t="s">
        <v>2538</v>
      </c>
      <c r="D483" s="14" t="s">
        <v>40</v>
      </c>
      <c r="E483" s="20" t="str">
        <f t="shared" si="2"/>
        <v>septiembre 2025</v>
      </c>
      <c r="F483" s="22">
        <v>45905.0</v>
      </c>
      <c r="G483" s="24">
        <f t="shared" ref="G483:H483" si="488">F483</f>
        <v>45905</v>
      </c>
      <c r="H483" s="26">
        <f t="shared" si="488"/>
        <v>45905</v>
      </c>
      <c r="I483" s="14" t="s">
        <v>90</v>
      </c>
      <c r="K483" s="27">
        <v>5.0E7</v>
      </c>
      <c r="L483" s="29" t="s">
        <v>2503</v>
      </c>
      <c r="M483" s="31"/>
      <c r="N483" s="14" t="s">
        <v>84</v>
      </c>
      <c r="O483" s="31"/>
      <c r="Q483" s="36"/>
      <c r="R483" s="36"/>
      <c r="S483" s="36"/>
      <c r="T483" s="36"/>
      <c r="V483" s="31"/>
    </row>
    <row r="484">
      <c r="A484" s="14" t="s">
        <v>1045</v>
      </c>
      <c r="B484" s="14" t="s">
        <v>2539</v>
      </c>
      <c r="C484" s="279" t="s">
        <v>2540</v>
      </c>
      <c r="D484" s="14" t="s">
        <v>40</v>
      </c>
      <c r="E484" s="20" t="str">
        <f t="shared" si="2"/>
        <v>septiembre 2025</v>
      </c>
      <c r="F484" s="22">
        <v>45905.0</v>
      </c>
      <c r="G484" s="24">
        <f t="shared" ref="G484:H484" si="489">F484</f>
        <v>45905</v>
      </c>
      <c r="H484" s="26">
        <f t="shared" si="489"/>
        <v>45905</v>
      </c>
      <c r="I484" s="14" t="s">
        <v>90</v>
      </c>
      <c r="K484" s="27">
        <v>5.0E7</v>
      </c>
      <c r="L484" s="29" t="s">
        <v>2503</v>
      </c>
      <c r="M484" s="31"/>
      <c r="N484" s="14" t="s">
        <v>84</v>
      </c>
      <c r="O484" s="31"/>
      <c r="Q484" s="36"/>
      <c r="R484" s="36"/>
      <c r="S484" s="36"/>
      <c r="T484" s="36"/>
      <c r="V484" s="31"/>
    </row>
    <row r="485">
      <c r="A485" s="14" t="s">
        <v>1045</v>
      </c>
      <c r="B485" s="14" t="s">
        <v>2541</v>
      </c>
      <c r="C485" s="279" t="s">
        <v>2542</v>
      </c>
      <c r="D485" s="14" t="s">
        <v>133</v>
      </c>
      <c r="E485" s="20" t="str">
        <f t="shared" si="2"/>
        <v>agosto 2025</v>
      </c>
      <c r="F485" s="22">
        <v>45888.0</v>
      </c>
      <c r="G485" s="24">
        <f t="shared" ref="G485:H485" si="490">F485</f>
        <v>45888</v>
      </c>
      <c r="H485" s="26">
        <f t="shared" si="490"/>
        <v>45888</v>
      </c>
      <c r="I485" s="14" t="s">
        <v>1865</v>
      </c>
      <c r="K485" s="27">
        <v>4.0E7</v>
      </c>
      <c r="L485" s="15" t="s">
        <v>2543</v>
      </c>
      <c r="M485" s="31"/>
      <c r="N485" s="14" t="s">
        <v>84</v>
      </c>
      <c r="O485" s="31"/>
      <c r="Q485" s="36"/>
      <c r="R485" s="36"/>
      <c r="S485" s="36"/>
      <c r="T485" s="36"/>
      <c r="V485" s="31"/>
    </row>
    <row r="486">
      <c r="A486" s="14" t="s">
        <v>1787</v>
      </c>
      <c r="B486" s="14" t="s">
        <v>2544</v>
      </c>
      <c r="C486" s="279" t="s">
        <v>2545</v>
      </c>
      <c r="D486" s="14" t="s">
        <v>40</v>
      </c>
      <c r="E486" s="20" t="str">
        <f t="shared" si="2"/>
        <v>septiembre 2025</v>
      </c>
      <c r="F486" s="22">
        <v>45908.0</v>
      </c>
      <c r="G486" s="24">
        <f t="shared" ref="G486:H486" si="491">F486</f>
        <v>45908</v>
      </c>
      <c r="H486" s="26">
        <f t="shared" si="491"/>
        <v>45908</v>
      </c>
      <c r="I486" s="14" t="s">
        <v>90</v>
      </c>
      <c r="K486" s="27">
        <v>1.5E8</v>
      </c>
      <c r="L486" s="29" t="s">
        <v>2413</v>
      </c>
      <c r="M486" s="31"/>
      <c r="N486" s="14" t="s">
        <v>84</v>
      </c>
      <c r="O486" s="14" t="s">
        <v>40</v>
      </c>
      <c r="Q486" s="36"/>
      <c r="R486" s="36"/>
      <c r="S486" s="36"/>
      <c r="T486" s="36"/>
      <c r="V486" s="31"/>
    </row>
    <row r="487">
      <c r="A487" s="14" t="s">
        <v>1787</v>
      </c>
      <c r="B487" s="14" t="s">
        <v>2546</v>
      </c>
      <c r="C487" s="279" t="s">
        <v>2547</v>
      </c>
      <c r="D487" s="14" t="s">
        <v>40</v>
      </c>
      <c r="E487" s="20" t="str">
        <f t="shared" si="2"/>
        <v>septiembre 2025</v>
      </c>
      <c r="F487" s="22">
        <v>45910.0</v>
      </c>
      <c r="G487" s="24">
        <f t="shared" ref="G487:H487" si="492">F487</f>
        <v>45910</v>
      </c>
      <c r="H487" s="26">
        <f t="shared" si="492"/>
        <v>45910</v>
      </c>
      <c r="I487" s="14" t="s">
        <v>90</v>
      </c>
      <c r="K487" s="27">
        <v>2.0E7</v>
      </c>
      <c r="L487" s="29" t="s">
        <v>1203</v>
      </c>
      <c r="M487" s="31"/>
      <c r="N487" s="14" t="s">
        <v>84</v>
      </c>
      <c r="O487" s="31"/>
      <c r="Q487" s="36"/>
      <c r="R487" s="36"/>
      <c r="S487" s="36"/>
      <c r="T487" s="36"/>
      <c r="V487" s="31"/>
    </row>
    <row r="488">
      <c r="A488" s="14" t="s">
        <v>1787</v>
      </c>
      <c r="B488" s="19" t="s">
        <v>2548</v>
      </c>
      <c r="C488" s="279" t="s">
        <v>2549</v>
      </c>
      <c r="D488" s="14" t="s">
        <v>40</v>
      </c>
      <c r="E488" s="20" t="str">
        <f t="shared" si="2"/>
        <v>septiembre 2025</v>
      </c>
      <c r="F488" s="22">
        <v>45910.0</v>
      </c>
      <c r="G488" s="24">
        <f t="shared" ref="G488:H488" si="493">F488</f>
        <v>45910</v>
      </c>
      <c r="H488" s="26">
        <f t="shared" si="493"/>
        <v>45910</v>
      </c>
      <c r="I488" s="14" t="s">
        <v>90</v>
      </c>
      <c r="K488" s="27">
        <v>1.0E7</v>
      </c>
      <c r="L488" s="29" t="s">
        <v>1203</v>
      </c>
      <c r="M488" s="31"/>
      <c r="N488" s="14" t="s">
        <v>84</v>
      </c>
      <c r="O488" s="31"/>
      <c r="Q488" s="36"/>
      <c r="R488" s="36"/>
      <c r="S488" s="36"/>
      <c r="T488" s="36"/>
      <c r="V488" s="31"/>
    </row>
    <row r="489">
      <c r="A489" s="14" t="s">
        <v>208</v>
      </c>
      <c r="B489" s="14" t="s">
        <v>2550</v>
      </c>
      <c r="C489" s="279" t="s">
        <v>2551</v>
      </c>
      <c r="D489" s="14" t="s">
        <v>133</v>
      </c>
      <c r="E489" s="20" t="str">
        <f t="shared" si="2"/>
        <v>septiembre 2025</v>
      </c>
      <c r="F489" s="22">
        <v>45905.0</v>
      </c>
      <c r="G489" s="24">
        <f t="shared" ref="G489:H489" si="494">F489</f>
        <v>45905</v>
      </c>
      <c r="H489" s="26">
        <f t="shared" si="494"/>
        <v>45905</v>
      </c>
      <c r="I489" s="14" t="s">
        <v>1865</v>
      </c>
      <c r="K489" s="27">
        <v>3.7E8</v>
      </c>
      <c r="L489" s="37" t="s">
        <v>2552</v>
      </c>
      <c r="M489" s="14"/>
      <c r="N489" s="14" t="s">
        <v>84</v>
      </c>
      <c r="O489" s="14"/>
      <c r="P489" s="14" t="s">
        <v>84</v>
      </c>
      <c r="Q489" s="36"/>
      <c r="R489" s="36"/>
      <c r="S489" s="36"/>
      <c r="T489" s="36"/>
      <c r="V489" s="31"/>
    </row>
    <row r="490">
      <c r="A490" s="14" t="s">
        <v>208</v>
      </c>
      <c r="B490" s="14" t="s">
        <v>2553</v>
      </c>
      <c r="C490" s="279" t="s">
        <v>2554</v>
      </c>
      <c r="D490" s="14" t="s">
        <v>133</v>
      </c>
      <c r="E490" s="20" t="str">
        <f t="shared" si="2"/>
        <v>septiembre 2025</v>
      </c>
      <c r="F490" s="22">
        <v>45910.0</v>
      </c>
      <c r="G490" s="24">
        <f t="shared" ref="G490:H490" si="495">F490</f>
        <v>45910</v>
      </c>
      <c r="H490" s="26">
        <f t="shared" si="495"/>
        <v>45910</v>
      </c>
      <c r="I490" s="14" t="s">
        <v>1865</v>
      </c>
      <c r="K490" s="27">
        <v>3.2E8</v>
      </c>
      <c r="L490" s="14" t="s">
        <v>2555</v>
      </c>
      <c r="M490" s="14"/>
      <c r="N490" s="14" t="s">
        <v>84</v>
      </c>
      <c r="O490" s="14"/>
      <c r="P490" s="14" t="s">
        <v>84</v>
      </c>
      <c r="Q490" s="36"/>
      <c r="R490" s="36"/>
      <c r="S490" s="36"/>
      <c r="T490" s="36"/>
      <c r="V490" s="31"/>
    </row>
    <row r="491">
      <c r="A491" s="14" t="s">
        <v>679</v>
      </c>
      <c r="B491" s="14" t="s">
        <v>2556</v>
      </c>
      <c r="C491" s="279" t="s">
        <v>2557</v>
      </c>
      <c r="D491" s="14" t="s">
        <v>40</v>
      </c>
      <c r="E491" s="20" t="str">
        <f t="shared" si="2"/>
        <v>septiembre 2025</v>
      </c>
      <c r="F491" s="22">
        <v>45910.0</v>
      </c>
      <c r="G491" s="24">
        <f t="shared" ref="G491:H491" si="496">F491</f>
        <v>45910</v>
      </c>
      <c r="H491" s="26">
        <f t="shared" si="496"/>
        <v>45910</v>
      </c>
      <c r="I491" s="14" t="s">
        <v>90</v>
      </c>
      <c r="K491" s="27">
        <v>1.5E8</v>
      </c>
      <c r="L491" s="29" t="s">
        <v>2413</v>
      </c>
      <c r="M491" s="31"/>
      <c r="N491" s="31"/>
      <c r="O491" s="31"/>
      <c r="Q491" s="36"/>
      <c r="R491" s="36"/>
      <c r="S491" s="36"/>
      <c r="T491" s="36"/>
      <c r="V491" s="31"/>
    </row>
    <row r="492">
      <c r="A492" s="14" t="s">
        <v>1012</v>
      </c>
      <c r="B492" s="14" t="s">
        <v>2558</v>
      </c>
      <c r="C492" s="279" t="s">
        <v>2559</v>
      </c>
      <c r="D492" s="14" t="s">
        <v>133</v>
      </c>
      <c r="E492" s="20" t="str">
        <f t="shared" si="2"/>
        <v>septiembre 2025</v>
      </c>
      <c r="F492" s="22">
        <v>45911.0</v>
      </c>
      <c r="G492" s="24">
        <f t="shared" ref="G492:H492" si="497">F492</f>
        <v>45911</v>
      </c>
      <c r="H492" s="26">
        <f t="shared" si="497"/>
        <v>45911</v>
      </c>
      <c r="I492" s="14" t="s">
        <v>1865</v>
      </c>
      <c r="K492" s="27">
        <v>2.0E8</v>
      </c>
      <c r="L492" s="29" t="s">
        <v>2447</v>
      </c>
      <c r="M492" s="31"/>
      <c r="N492" s="14" t="s">
        <v>84</v>
      </c>
      <c r="O492" s="31"/>
      <c r="Q492" s="36"/>
      <c r="R492" s="36"/>
      <c r="S492" s="36"/>
      <c r="T492" s="36"/>
      <c r="V492" s="31"/>
    </row>
    <row r="493">
      <c r="A493" s="14" t="s">
        <v>736</v>
      </c>
      <c r="B493" s="14" t="s">
        <v>2560</v>
      </c>
      <c r="C493" s="279" t="s">
        <v>2561</v>
      </c>
      <c r="D493" s="14" t="s">
        <v>40</v>
      </c>
      <c r="E493" s="20" t="str">
        <f t="shared" si="2"/>
        <v>septiembre 2025</v>
      </c>
      <c r="F493" s="22">
        <v>45912.0</v>
      </c>
      <c r="G493" s="24">
        <f t="shared" ref="G493:H493" si="498">F493</f>
        <v>45912</v>
      </c>
      <c r="H493" s="26">
        <f t="shared" si="498"/>
        <v>45912</v>
      </c>
      <c r="I493" s="14" t="s">
        <v>259</v>
      </c>
      <c r="J493" s="14" t="s">
        <v>304</v>
      </c>
      <c r="K493" s="27">
        <v>4.0E7</v>
      </c>
      <c r="L493" s="29" t="s">
        <v>2562</v>
      </c>
      <c r="M493" s="31"/>
      <c r="N493" s="14" t="s">
        <v>84</v>
      </c>
      <c r="O493" s="31"/>
      <c r="Q493" s="36"/>
      <c r="R493" s="36"/>
      <c r="S493" s="36"/>
      <c r="T493" s="36"/>
      <c r="V493" s="31"/>
    </row>
    <row r="494">
      <c r="A494" s="14" t="s">
        <v>1787</v>
      </c>
      <c r="B494" s="14" t="s">
        <v>2564</v>
      </c>
      <c r="C494" s="279" t="s">
        <v>2565</v>
      </c>
      <c r="D494" s="14" t="s">
        <v>40</v>
      </c>
      <c r="E494" s="20" t="str">
        <f t="shared" si="2"/>
        <v>septiembre 2025</v>
      </c>
      <c r="F494" s="22">
        <v>45913.0</v>
      </c>
      <c r="G494" s="24">
        <f t="shared" ref="G494:H494" si="499">F494</f>
        <v>45913</v>
      </c>
      <c r="H494" s="26">
        <f t="shared" si="499"/>
        <v>45913</v>
      </c>
      <c r="I494" s="14" t="s">
        <v>90</v>
      </c>
      <c r="K494" s="27">
        <v>1.5E8</v>
      </c>
      <c r="L494" s="78"/>
      <c r="M494" s="31"/>
      <c r="N494" s="14" t="s">
        <v>84</v>
      </c>
      <c r="O494" s="31"/>
      <c r="Q494" s="36"/>
      <c r="R494" s="36"/>
      <c r="S494" s="36"/>
      <c r="T494" s="36"/>
      <c r="V494" s="31"/>
    </row>
    <row r="495">
      <c r="A495" s="14" t="s">
        <v>1464</v>
      </c>
      <c r="B495" s="14" t="s">
        <v>2571</v>
      </c>
      <c r="C495" s="279" t="s">
        <v>2572</v>
      </c>
      <c r="D495" s="14" t="s">
        <v>40</v>
      </c>
      <c r="E495" s="20" t="str">
        <f t="shared" si="2"/>
        <v>septiembre 2025</v>
      </c>
      <c r="F495" s="22">
        <v>45912.0</v>
      </c>
      <c r="G495" s="24">
        <f t="shared" ref="G495:H495" si="500">F495</f>
        <v>45912</v>
      </c>
      <c r="H495" s="26">
        <f t="shared" si="500"/>
        <v>45912</v>
      </c>
      <c r="I495" s="14" t="s">
        <v>90</v>
      </c>
      <c r="K495" s="27">
        <v>2.0E7</v>
      </c>
      <c r="L495" s="29" t="s">
        <v>1016</v>
      </c>
      <c r="M495" s="31"/>
      <c r="N495" s="14" t="s">
        <v>84</v>
      </c>
      <c r="O495" s="31"/>
      <c r="Q495" s="36"/>
      <c r="R495" s="36"/>
      <c r="S495" s="36"/>
      <c r="T495" s="36"/>
      <c r="V495" s="31"/>
    </row>
    <row r="496">
      <c r="A496" s="14" t="s">
        <v>1045</v>
      </c>
      <c r="B496" s="14" t="s">
        <v>2574</v>
      </c>
      <c r="C496" s="279" t="s">
        <v>2575</v>
      </c>
      <c r="D496" s="14" t="s">
        <v>40</v>
      </c>
      <c r="E496" s="20" t="str">
        <f t="shared" si="2"/>
        <v>agosto 2025</v>
      </c>
      <c r="F496" s="22">
        <v>45888.0</v>
      </c>
      <c r="G496" s="24">
        <f t="shared" ref="G496:H496" si="501">F496</f>
        <v>45888</v>
      </c>
      <c r="H496" s="26">
        <f t="shared" si="501"/>
        <v>45888</v>
      </c>
      <c r="I496" s="14" t="s">
        <v>90</v>
      </c>
      <c r="K496" s="27">
        <v>1.0E7</v>
      </c>
      <c r="L496" s="29" t="s">
        <v>1016</v>
      </c>
      <c r="M496" s="31"/>
      <c r="N496" s="14" t="s">
        <v>84</v>
      </c>
      <c r="O496" s="31"/>
      <c r="Q496" s="36"/>
      <c r="R496" s="36"/>
      <c r="S496" s="36"/>
      <c r="T496" s="36"/>
      <c r="V496" s="31"/>
    </row>
    <row r="497">
      <c r="A497" s="14" t="s">
        <v>1075</v>
      </c>
      <c r="B497" s="14" t="s">
        <v>2576</v>
      </c>
      <c r="C497" s="14" t="s">
        <v>2577</v>
      </c>
      <c r="D497" s="14" t="s">
        <v>133</v>
      </c>
      <c r="E497" s="20" t="str">
        <f t="shared" si="2"/>
        <v>septiembre 2025</v>
      </c>
      <c r="F497" s="22">
        <v>45916.0</v>
      </c>
      <c r="G497" s="24">
        <f t="shared" ref="G497:H497" si="502">F497</f>
        <v>45916</v>
      </c>
      <c r="H497" s="26">
        <f t="shared" si="502"/>
        <v>45916</v>
      </c>
      <c r="I497" s="14" t="s">
        <v>1865</v>
      </c>
      <c r="K497" s="27">
        <v>8.0E7</v>
      </c>
      <c r="L497" s="29" t="s">
        <v>951</v>
      </c>
      <c r="M497" s="31"/>
      <c r="N497" s="31"/>
      <c r="O497" s="31"/>
      <c r="Q497" s="36"/>
      <c r="R497" s="36"/>
      <c r="S497" s="36"/>
      <c r="T497" s="36"/>
      <c r="V497" s="31"/>
    </row>
    <row r="498">
      <c r="A498" s="34" t="s">
        <v>679</v>
      </c>
      <c r="B498" s="34" t="s">
        <v>2524</v>
      </c>
      <c r="C498" s="14" t="s">
        <v>2525</v>
      </c>
      <c r="D498" s="34" t="s">
        <v>40</v>
      </c>
      <c r="E498" s="20" t="str">
        <f t="shared" si="2"/>
        <v>septiembre 2025</v>
      </c>
      <c r="F498" s="22">
        <v>45917.0</v>
      </c>
      <c r="G498" s="24">
        <f t="shared" ref="G498:H498" si="503">F498</f>
        <v>45917</v>
      </c>
      <c r="H498" s="26">
        <f t="shared" si="503"/>
        <v>45917</v>
      </c>
      <c r="I498" s="123" t="s">
        <v>1596</v>
      </c>
      <c r="J498" s="34"/>
      <c r="K498" s="297">
        <v>5.0E7</v>
      </c>
      <c r="L498" s="123">
        <v>2.5</v>
      </c>
      <c r="M498" s="34"/>
      <c r="N498" s="34"/>
      <c r="O498" s="34"/>
      <c r="P498" s="34"/>
      <c r="Q498" s="298"/>
      <c r="R498" s="298"/>
      <c r="S498" s="298"/>
      <c r="T498" s="298"/>
      <c r="U498" s="34"/>
      <c r="V498" s="34"/>
      <c r="W498" s="34"/>
      <c r="X498" s="34"/>
      <c r="Y498" s="34"/>
      <c r="Z498" s="34"/>
      <c r="AA498" s="34"/>
      <c r="AB498" s="34"/>
      <c r="AC498" s="34"/>
      <c r="AD498" s="34"/>
      <c r="AE498" s="34"/>
    </row>
    <row r="499">
      <c r="A499" s="14" t="s">
        <v>679</v>
      </c>
      <c r="B499" s="14" t="s">
        <v>2580</v>
      </c>
      <c r="C499" s="14" t="s">
        <v>2581</v>
      </c>
      <c r="D499" s="14" t="s">
        <v>40</v>
      </c>
      <c r="E499" s="20" t="str">
        <f t="shared" si="2"/>
        <v>septiembre 2025</v>
      </c>
      <c r="F499" s="22">
        <v>45916.0</v>
      </c>
      <c r="G499" s="24">
        <f t="shared" ref="G499:H499" si="504">F499</f>
        <v>45916</v>
      </c>
      <c r="H499" s="26">
        <f t="shared" si="504"/>
        <v>45916</v>
      </c>
      <c r="I499" s="14" t="s">
        <v>90</v>
      </c>
      <c r="K499" s="27">
        <v>1.7E8</v>
      </c>
      <c r="L499" s="29" t="s">
        <v>2413</v>
      </c>
      <c r="M499" s="31"/>
      <c r="N499" s="31"/>
      <c r="O499" s="31"/>
      <c r="Q499" s="36"/>
      <c r="R499" s="36"/>
      <c r="S499" s="36"/>
      <c r="T499" s="36"/>
      <c r="V499" s="31"/>
    </row>
    <row r="500">
      <c r="A500" s="14" t="s">
        <v>36</v>
      </c>
      <c r="B500" s="14" t="s">
        <v>2583</v>
      </c>
      <c r="C500" s="14" t="s">
        <v>2584</v>
      </c>
      <c r="D500" s="14" t="s">
        <v>133</v>
      </c>
      <c r="E500" s="20" t="str">
        <f t="shared" si="2"/>
        <v>septiembre 2025</v>
      </c>
      <c r="F500" s="22">
        <v>45916.0</v>
      </c>
      <c r="G500" s="24">
        <f t="shared" ref="G500:H500" si="505">F500</f>
        <v>45916</v>
      </c>
      <c r="H500" s="26">
        <f t="shared" si="505"/>
        <v>45916</v>
      </c>
      <c r="I500" s="14" t="s">
        <v>1865</v>
      </c>
      <c r="K500" s="27">
        <v>2.0E8</v>
      </c>
      <c r="L500" s="29" t="s">
        <v>2585</v>
      </c>
      <c r="M500" s="14"/>
      <c r="N500" s="14" t="s">
        <v>84</v>
      </c>
      <c r="O500" s="14"/>
      <c r="P500" s="14" t="s">
        <v>2586</v>
      </c>
      <c r="Q500" s="36"/>
      <c r="R500" s="36"/>
      <c r="S500" s="36"/>
      <c r="T500" s="36"/>
      <c r="V500" s="31"/>
    </row>
    <row r="501">
      <c r="A501" s="14" t="s">
        <v>117</v>
      </c>
      <c r="B501" s="14" t="s">
        <v>2588</v>
      </c>
      <c r="C501" s="14" t="s">
        <v>2589</v>
      </c>
      <c r="D501" s="14" t="s">
        <v>40</v>
      </c>
      <c r="E501" s="20" t="str">
        <f t="shared" si="2"/>
        <v>septiembre 2025</v>
      </c>
      <c r="F501" s="22">
        <v>45919.0</v>
      </c>
      <c r="G501" s="24">
        <f t="shared" ref="G501:H501" si="506">F501</f>
        <v>45919</v>
      </c>
      <c r="H501" s="26">
        <f t="shared" si="506"/>
        <v>45919</v>
      </c>
      <c r="I501" s="14" t="s">
        <v>259</v>
      </c>
      <c r="K501" s="27">
        <v>6.0E8</v>
      </c>
      <c r="L501" s="29" t="s">
        <v>2590</v>
      </c>
      <c r="M501" s="14"/>
      <c r="N501" s="14" t="s">
        <v>84</v>
      </c>
      <c r="O501" s="14" t="s">
        <v>40</v>
      </c>
      <c r="P501" s="14" t="s">
        <v>2591</v>
      </c>
      <c r="Q501" s="36"/>
      <c r="R501" s="36"/>
      <c r="S501" s="36"/>
      <c r="T501" s="36"/>
      <c r="V501" s="31"/>
    </row>
    <row r="502">
      <c r="A502" s="14" t="s">
        <v>1045</v>
      </c>
      <c r="B502" s="14" t="s">
        <v>2593</v>
      </c>
      <c r="C502" s="14" t="s">
        <v>2594</v>
      </c>
      <c r="D502" s="14" t="s">
        <v>40</v>
      </c>
      <c r="E502" s="20" t="str">
        <f t="shared" si="2"/>
        <v>septiembre 2025</v>
      </c>
      <c r="F502" s="22">
        <v>45919.0</v>
      </c>
      <c r="G502" s="24">
        <f t="shared" ref="G502:H502" si="507">F502</f>
        <v>45919</v>
      </c>
      <c r="H502" s="26">
        <f t="shared" si="507"/>
        <v>45919</v>
      </c>
      <c r="I502" s="14" t="s">
        <v>90</v>
      </c>
      <c r="K502" s="27">
        <v>1.5E8</v>
      </c>
      <c r="L502" s="29" t="s">
        <v>1836</v>
      </c>
      <c r="M502" s="14"/>
      <c r="N502" s="14" t="s">
        <v>84</v>
      </c>
      <c r="O502" s="14"/>
      <c r="P502" s="14" t="s">
        <v>2595</v>
      </c>
      <c r="Q502" s="36"/>
      <c r="R502" s="36"/>
      <c r="S502" s="36"/>
      <c r="T502" s="36"/>
      <c r="V502" s="31"/>
    </row>
    <row r="503">
      <c r="A503" s="14" t="s">
        <v>1045</v>
      </c>
      <c r="B503" s="14" t="s">
        <v>2596</v>
      </c>
      <c r="C503" s="14" t="s">
        <v>2597</v>
      </c>
      <c r="D503" s="14" t="s">
        <v>40</v>
      </c>
      <c r="E503" s="20" t="str">
        <f t="shared" si="2"/>
        <v>septiembre 2025</v>
      </c>
      <c r="F503" s="22">
        <v>45922.0</v>
      </c>
      <c r="G503" s="24">
        <f t="shared" ref="G503:H503" si="508">F503</f>
        <v>45922</v>
      </c>
      <c r="H503" s="26">
        <f t="shared" si="508"/>
        <v>45922</v>
      </c>
      <c r="I503" s="14" t="s">
        <v>90</v>
      </c>
      <c r="K503" s="27">
        <v>4.0E7</v>
      </c>
      <c r="L503" s="29" t="s">
        <v>1153</v>
      </c>
      <c r="M503" s="31"/>
      <c r="N503" s="14" t="s">
        <v>84</v>
      </c>
      <c r="O503" s="31"/>
      <c r="Q503" s="36"/>
      <c r="R503" s="36"/>
      <c r="S503" s="36"/>
      <c r="T503" s="36"/>
      <c r="V503" s="31"/>
    </row>
    <row r="504">
      <c r="A504" s="14" t="s">
        <v>36</v>
      </c>
      <c r="B504" s="14" t="s">
        <v>2599</v>
      </c>
      <c r="C504" s="14" t="s">
        <v>2600</v>
      </c>
      <c r="D504" s="14" t="s">
        <v>133</v>
      </c>
      <c r="E504" s="20" t="str">
        <f t="shared" si="2"/>
        <v>septiembre 2025</v>
      </c>
      <c r="F504" s="22">
        <v>45922.0</v>
      </c>
      <c r="G504" s="24">
        <f t="shared" ref="G504:H504" si="509">F504</f>
        <v>45922</v>
      </c>
      <c r="H504" s="26">
        <f t="shared" si="509"/>
        <v>45922</v>
      </c>
      <c r="I504" s="14" t="s">
        <v>1865</v>
      </c>
      <c r="K504" s="27">
        <v>2.0E8</v>
      </c>
      <c r="L504" s="29" t="s">
        <v>2585</v>
      </c>
      <c r="M504" s="14"/>
      <c r="N504" s="14" t="s">
        <v>84</v>
      </c>
      <c r="O504" s="14"/>
      <c r="P504" s="14" t="s">
        <v>62</v>
      </c>
      <c r="Q504" s="36"/>
      <c r="R504" s="36"/>
      <c r="S504" s="36"/>
      <c r="T504" s="36"/>
      <c r="V504" s="31"/>
    </row>
    <row r="505">
      <c r="A505" s="14" t="s">
        <v>36</v>
      </c>
      <c r="B505" s="14" t="s">
        <v>2602</v>
      </c>
      <c r="C505" s="14" t="s">
        <v>2603</v>
      </c>
      <c r="D505" s="14" t="s">
        <v>133</v>
      </c>
      <c r="E505" s="20" t="str">
        <f t="shared" si="2"/>
        <v>septiembre 2025</v>
      </c>
      <c r="F505" s="22">
        <v>45922.0</v>
      </c>
      <c r="G505" s="24">
        <f t="shared" ref="G505:H505" si="510">F505</f>
        <v>45922</v>
      </c>
      <c r="H505" s="26">
        <f t="shared" si="510"/>
        <v>45922</v>
      </c>
      <c r="I505" s="14" t="s">
        <v>1865</v>
      </c>
      <c r="K505" s="27">
        <v>2.0E8</v>
      </c>
      <c r="L505" s="29" t="s">
        <v>2585</v>
      </c>
      <c r="M505" s="14"/>
      <c r="N505" s="14" t="s">
        <v>84</v>
      </c>
      <c r="O505" s="14"/>
      <c r="P505" s="14" t="s">
        <v>62</v>
      </c>
      <c r="Q505" s="36"/>
      <c r="R505" s="36"/>
      <c r="S505" s="36"/>
      <c r="T505" s="36"/>
      <c r="V505" s="31"/>
    </row>
    <row r="506">
      <c r="A506" s="14" t="s">
        <v>1075</v>
      </c>
      <c r="B506" s="14" t="s">
        <v>2605</v>
      </c>
      <c r="C506" s="14" t="s">
        <v>2606</v>
      </c>
      <c r="D506" s="14" t="s">
        <v>40</v>
      </c>
      <c r="E506" s="20" t="str">
        <f t="shared" si="2"/>
        <v>septiembre 2025</v>
      </c>
      <c r="F506" s="22">
        <v>45922.0</v>
      </c>
      <c r="G506" s="24">
        <f t="shared" ref="G506:H506" si="511">F506</f>
        <v>45922</v>
      </c>
      <c r="H506" s="26">
        <f t="shared" si="511"/>
        <v>45922</v>
      </c>
      <c r="I506" s="14" t="s">
        <v>90</v>
      </c>
      <c r="K506" s="27">
        <v>2.0E7</v>
      </c>
      <c r="L506" s="29" t="s">
        <v>2607</v>
      </c>
      <c r="M506" s="31"/>
      <c r="N506" s="14" t="s">
        <v>84</v>
      </c>
      <c r="O506" s="31"/>
      <c r="Q506" s="36"/>
      <c r="R506" s="36"/>
      <c r="S506" s="36"/>
      <c r="T506" s="36"/>
      <c r="V506" s="31"/>
    </row>
    <row r="507">
      <c r="A507" s="14" t="s">
        <v>1045</v>
      </c>
      <c r="B507" s="14" t="s">
        <v>2608</v>
      </c>
      <c r="C507" s="14" t="s">
        <v>2609</v>
      </c>
      <c r="D507" s="14" t="s">
        <v>40</v>
      </c>
      <c r="E507" s="20" t="str">
        <f t="shared" si="2"/>
        <v>septiembre 2025</v>
      </c>
      <c r="F507" s="22">
        <v>45923.0</v>
      </c>
      <c r="G507" s="24">
        <f t="shared" ref="G507:H507" si="512">F507</f>
        <v>45923</v>
      </c>
      <c r="H507" s="26">
        <f t="shared" si="512"/>
        <v>45923</v>
      </c>
      <c r="I507" s="14" t="s">
        <v>90</v>
      </c>
      <c r="K507" s="27">
        <v>5.0E7</v>
      </c>
      <c r="L507" s="29" t="s">
        <v>2610</v>
      </c>
      <c r="M507" s="14"/>
      <c r="N507" s="14" t="s">
        <v>84</v>
      </c>
      <c r="O507" s="14"/>
      <c r="P507" s="14" t="s">
        <v>62</v>
      </c>
      <c r="Q507" s="36"/>
      <c r="R507" s="36"/>
      <c r="S507" s="36"/>
      <c r="T507" s="36"/>
      <c r="V507" s="31"/>
    </row>
    <row r="508">
      <c r="A508" s="14" t="s">
        <v>1012</v>
      </c>
      <c r="B508" s="14" t="s">
        <v>2611</v>
      </c>
      <c r="C508" s="14" t="s">
        <v>2612</v>
      </c>
      <c r="D508" s="14" t="s">
        <v>133</v>
      </c>
      <c r="E508" s="20" t="str">
        <f t="shared" si="2"/>
        <v>septiembre 2025</v>
      </c>
      <c r="F508" s="22">
        <v>45923.0</v>
      </c>
      <c r="G508" s="24">
        <f t="shared" ref="G508:H508" si="513">F508</f>
        <v>45923</v>
      </c>
      <c r="H508" s="26">
        <f t="shared" si="513"/>
        <v>45923</v>
      </c>
      <c r="I508" s="14" t="s">
        <v>1865</v>
      </c>
      <c r="K508" s="27">
        <v>1.0E8</v>
      </c>
      <c r="L508" s="29" t="s">
        <v>2614</v>
      </c>
      <c r="M508" s="31"/>
      <c r="N508" s="14" t="s">
        <v>84</v>
      </c>
      <c r="O508" s="31"/>
      <c r="Q508" s="36"/>
      <c r="R508" s="36"/>
      <c r="S508" s="36"/>
      <c r="T508" s="36"/>
      <c r="V508" s="31"/>
    </row>
    <row r="509">
      <c r="A509" s="14" t="s">
        <v>36</v>
      </c>
      <c r="B509" s="14" t="s">
        <v>2615</v>
      </c>
      <c r="C509" s="14" t="s">
        <v>2616</v>
      </c>
      <c r="D509" s="14" t="s">
        <v>133</v>
      </c>
      <c r="E509" s="20" t="str">
        <f t="shared" si="2"/>
        <v>septiembre 2025</v>
      </c>
      <c r="F509" s="22">
        <v>45923.0</v>
      </c>
      <c r="G509" s="24">
        <f t="shared" ref="G509:H509" si="514">F509</f>
        <v>45923</v>
      </c>
      <c r="H509" s="26">
        <f t="shared" si="514"/>
        <v>45923</v>
      </c>
      <c r="I509" s="14" t="s">
        <v>1865</v>
      </c>
      <c r="K509" s="27">
        <v>1.0E8</v>
      </c>
      <c r="L509" s="29" t="s">
        <v>2585</v>
      </c>
      <c r="M509" s="14"/>
      <c r="N509" s="14" t="s">
        <v>84</v>
      </c>
      <c r="O509" s="31"/>
      <c r="P509" s="14" t="s">
        <v>2617</v>
      </c>
      <c r="Q509" s="36"/>
      <c r="R509" s="36"/>
      <c r="S509" s="36"/>
      <c r="T509" s="36"/>
      <c r="V509" s="31"/>
    </row>
    <row r="510">
      <c r="A510" s="14" t="s">
        <v>1045</v>
      </c>
      <c r="B510" s="14" t="s">
        <v>2619</v>
      </c>
      <c r="C510" s="14" t="s">
        <v>2620</v>
      </c>
      <c r="D510" s="14" t="s">
        <v>40</v>
      </c>
      <c r="E510" s="20" t="str">
        <f t="shared" si="2"/>
        <v>septiembre 2025</v>
      </c>
      <c r="F510" s="22">
        <v>45930.0</v>
      </c>
      <c r="G510" s="24">
        <f t="shared" ref="G510:H510" si="515">F510</f>
        <v>45930</v>
      </c>
      <c r="H510" s="26">
        <f t="shared" si="515"/>
        <v>45930</v>
      </c>
      <c r="I510" s="14" t="s">
        <v>90</v>
      </c>
      <c r="K510" s="27">
        <v>1.0E8</v>
      </c>
      <c r="L510" s="15" t="s">
        <v>2621</v>
      </c>
      <c r="M510" s="31"/>
      <c r="N510" s="14" t="s">
        <v>84</v>
      </c>
      <c r="O510" s="31"/>
      <c r="Q510" s="36"/>
      <c r="R510" s="36"/>
      <c r="S510" s="36"/>
      <c r="T510" s="36"/>
      <c r="V510" s="31"/>
    </row>
    <row r="511">
      <c r="A511" s="14" t="s">
        <v>1045</v>
      </c>
      <c r="B511" s="14" t="s">
        <v>2622</v>
      </c>
      <c r="C511" s="14" t="s">
        <v>2623</v>
      </c>
      <c r="D511" s="14" t="s">
        <v>133</v>
      </c>
      <c r="E511" s="20" t="str">
        <f t="shared" si="2"/>
        <v>octubre 2025</v>
      </c>
      <c r="F511" s="22">
        <v>45931.0</v>
      </c>
      <c r="G511" s="24">
        <f t="shared" ref="G511:H511" si="516">F511</f>
        <v>45931</v>
      </c>
      <c r="H511" s="26">
        <f t="shared" si="516"/>
        <v>45931</v>
      </c>
      <c r="I511" s="14" t="s">
        <v>1865</v>
      </c>
      <c r="K511" s="27">
        <v>1.0E8</v>
      </c>
      <c r="L511" s="29" t="s">
        <v>2447</v>
      </c>
      <c r="M511" s="14"/>
      <c r="N511" s="14" t="s">
        <v>84</v>
      </c>
      <c r="O511" s="31"/>
      <c r="P511" s="14" t="s">
        <v>2624</v>
      </c>
      <c r="Q511" s="36"/>
      <c r="R511" s="36"/>
      <c r="S511" s="36"/>
      <c r="T511" s="36"/>
      <c r="V511" s="31"/>
    </row>
    <row r="512">
      <c r="A512" s="108" t="s">
        <v>1075</v>
      </c>
      <c r="B512" s="123" t="s">
        <v>2625</v>
      </c>
      <c r="C512" s="14" t="s">
        <v>2626</v>
      </c>
      <c r="D512" s="14" t="s">
        <v>40</v>
      </c>
      <c r="E512" s="20" t="str">
        <f t="shared" si="2"/>
        <v>octubre 2025</v>
      </c>
      <c r="F512" s="22">
        <v>45932.0</v>
      </c>
      <c r="G512" s="24">
        <f t="shared" ref="G512:H512" si="517">F512</f>
        <v>45932</v>
      </c>
      <c r="H512" s="26">
        <f t="shared" si="517"/>
        <v>45932</v>
      </c>
      <c r="I512" s="123" t="s">
        <v>90</v>
      </c>
      <c r="J512" s="34"/>
      <c r="K512" s="198">
        <v>1.2E8</v>
      </c>
      <c r="L512" s="29"/>
      <c r="M512" s="14"/>
      <c r="N512" s="14"/>
      <c r="O512" s="31"/>
      <c r="P512" s="14"/>
      <c r="Q512" s="36"/>
      <c r="R512" s="36"/>
      <c r="S512" s="36"/>
      <c r="T512" s="36"/>
      <c r="V512" s="31"/>
    </row>
    <row r="513">
      <c r="A513" s="108" t="s">
        <v>1075</v>
      </c>
      <c r="B513" s="108" t="s">
        <v>2628</v>
      </c>
      <c r="C513" s="14" t="s">
        <v>2629</v>
      </c>
      <c r="D513" s="123" t="s">
        <v>133</v>
      </c>
      <c r="E513" s="20" t="str">
        <f t="shared" si="2"/>
        <v>octubre 2025</v>
      </c>
      <c r="F513" s="22">
        <v>45931.0</v>
      </c>
      <c r="G513" s="24">
        <f t="shared" ref="G513:H513" si="518">F513</f>
        <v>45931</v>
      </c>
      <c r="H513" s="26">
        <f t="shared" si="518"/>
        <v>45931</v>
      </c>
      <c r="I513" s="108" t="s">
        <v>2398</v>
      </c>
      <c r="J513" s="34"/>
      <c r="K513" s="199">
        <v>3.5E8</v>
      </c>
      <c r="L513" s="29">
        <v>1.99</v>
      </c>
      <c r="M513" s="14"/>
      <c r="N513" s="14" t="s">
        <v>133</v>
      </c>
      <c r="O513" s="31"/>
      <c r="P513" s="14" t="s">
        <v>2630</v>
      </c>
      <c r="Q513" s="36"/>
      <c r="R513" s="36"/>
      <c r="S513" s="36"/>
      <c r="T513" s="36"/>
      <c r="V513" s="31"/>
    </row>
    <row r="514">
      <c r="A514" s="14" t="s">
        <v>1787</v>
      </c>
      <c r="B514" s="14" t="s">
        <v>2632</v>
      </c>
      <c r="C514" s="14" t="s">
        <v>2633</v>
      </c>
      <c r="D514" s="14" t="s">
        <v>40</v>
      </c>
      <c r="E514" s="20" t="str">
        <f t="shared" si="2"/>
        <v>octubre 2025</v>
      </c>
      <c r="F514" s="22">
        <v>45931.0</v>
      </c>
      <c r="G514" s="24">
        <f t="shared" ref="G514:H514" si="519">F514</f>
        <v>45931</v>
      </c>
      <c r="H514" s="26">
        <f t="shared" si="519"/>
        <v>45931</v>
      </c>
      <c r="I514" s="14" t="s">
        <v>90</v>
      </c>
      <c r="K514" s="27">
        <v>4.5E7</v>
      </c>
      <c r="L514" s="29" t="s">
        <v>2634</v>
      </c>
      <c r="M514" s="31"/>
      <c r="N514" s="14" t="s">
        <v>84</v>
      </c>
      <c r="O514" s="31"/>
      <c r="Q514" s="36"/>
      <c r="R514" s="36"/>
      <c r="S514" s="36"/>
      <c r="T514" s="36"/>
      <c r="V514" s="31"/>
    </row>
    <row r="515">
      <c r="A515" s="14" t="s">
        <v>1787</v>
      </c>
      <c r="B515" s="14" t="s">
        <v>2635</v>
      </c>
      <c r="C515" s="14" t="s">
        <v>2636</v>
      </c>
      <c r="D515" s="14" t="s">
        <v>40</v>
      </c>
      <c r="E515" s="20" t="str">
        <f t="shared" si="2"/>
        <v>octubre 2025</v>
      </c>
      <c r="F515" s="22">
        <v>45932.0</v>
      </c>
      <c r="G515" s="24">
        <f t="shared" ref="G515:H515" si="520">F515</f>
        <v>45932</v>
      </c>
      <c r="H515" s="26">
        <f t="shared" si="520"/>
        <v>45932</v>
      </c>
      <c r="I515" s="14" t="s">
        <v>90</v>
      </c>
      <c r="K515" s="27">
        <v>1.0E7</v>
      </c>
      <c r="L515" s="29" t="s">
        <v>1203</v>
      </c>
      <c r="M515" s="31"/>
      <c r="N515" s="14" t="s">
        <v>84</v>
      </c>
      <c r="O515" s="31"/>
      <c r="Q515" s="36"/>
      <c r="R515" s="36"/>
      <c r="S515" s="36"/>
      <c r="T515" s="36"/>
      <c r="V515" s="31"/>
    </row>
    <row r="516">
      <c r="A516" s="14" t="s">
        <v>1787</v>
      </c>
      <c r="B516" s="14" t="s">
        <v>2638</v>
      </c>
      <c r="C516" s="14" t="s">
        <v>2639</v>
      </c>
      <c r="D516" s="14" t="s">
        <v>40</v>
      </c>
      <c r="E516" s="20" t="str">
        <f t="shared" si="2"/>
        <v>octubre 2025</v>
      </c>
      <c r="F516" s="22">
        <v>45932.0</v>
      </c>
      <c r="G516" s="24">
        <f t="shared" ref="G516:H516" si="521">F516</f>
        <v>45932</v>
      </c>
      <c r="H516" s="26">
        <f t="shared" si="521"/>
        <v>45932</v>
      </c>
      <c r="I516" s="14" t="s">
        <v>90</v>
      </c>
      <c r="K516" s="27">
        <v>1.0E8</v>
      </c>
      <c r="L516" s="29" t="s">
        <v>2640</v>
      </c>
      <c r="M516" s="14"/>
      <c r="N516" s="14" t="s">
        <v>84</v>
      </c>
      <c r="O516" s="31"/>
      <c r="P516" s="14" t="s">
        <v>2641</v>
      </c>
      <c r="Q516" s="36"/>
      <c r="R516" s="36"/>
      <c r="S516" s="36"/>
      <c r="T516" s="36"/>
      <c r="V516" s="31"/>
    </row>
    <row r="517">
      <c r="A517" s="14" t="s">
        <v>1787</v>
      </c>
      <c r="B517" s="14" t="s">
        <v>2642</v>
      </c>
      <c r="C517" s="14" t="s">
        <v>2643</v>
      </c>
      <c r="D517" s="14" t="s">
        <v>40</v>
      </c>
      <c r="E517" s="20" t="str">
        <f t="shared" si="2"/>
        <v>octubre 2025</v>
      </c>
      <c r="F517" s="22">
        <v>45932.0</v>
      </c>
      <c r="G517" s="24">
        <f t="shared" ref="G517:H517" si="522">F517</f>
        <v>45932</v>
      </c>
      <c r="H517" s="26">
        <f t="shared" si="522"/>
        <v>45932</v>
      </c>
      <c r="I517" s="14" t="s">
        <v>90</v>
      </c>
      <c r="K517" s="27">
        <v>1.0E8</v>
      </c>
      <c r="L517" s="29" t="s">
        <v>1210</v>
      </c>
      <c r="M517" s="31"/>
      <c r="N517" s="14" t="s">
        <v>84</v>
      </c>
      <c r="O517" s="31"/>
      <c r="Q517" s="36"/>
      <c r="R517" s="36"/>
      <c r="S517" s="36"/>
      <c r="T517" s="36"/>
      <c r="V517" s="31"/>
    </row>
    <row r="518">
      <c r="A518" s="14" t="s">
        <v>1787</v>
      </c>
      <c r="B518" s="14" t="s">
        <v>2642</v>
      </c>
      <c r="C518" s="14" t="s">
        <v>2644</v>
      </c>
      <c r="D518" s="14" t="s">
        <v>40</v>
      </c>
      <c r="E518" s="20" t="str">
        <f t="shared" si="2"/>
        <v>octubre 2025</v>
      </c>
      <c r="F518" s="22">
        <v>45932.0</v>
      </c>
      <c r="G518" s="24">
        <f t="shared" ref="G518:H518" si="523">F518</f>
        <v>45932</v>
      </c>
      <c r="H518" s="26">
        <f t="shared" si="523"/>
        <v>45932</v>
      </c>
      <c r="I518" s="14" t="s">
        <v>90</v>
      </c>
      <c r="K518" s="27">
        <v>1.0E8</v>
      </c>
      <c r="L518" s="29" t="s">
        <v>1210</v>
      </c>
      <c r="M518" s="31"/>
      <c r="N518" s="14" t="s">
        <v>84</v>
      </c>
      <c r="O518" s="31"/>
      <c r="Q518" s="36"/>
      <c r="R518" s="36"/>
      <c r="S518" s="36"/>
      <c r="T518" s="36"/>
      <c r="V518" s="31"/>
    </row>
    <row r="519">
      <c r="A519" s="14" t="s">
        <v>1787</v>
      </c>
      <c r="B519" s="14" t="s">
        <v>2648</v>
      </c>
      <c r="C519" s="14" t="s">
        <v>2649</v>
      </c>
      <c r="D519" s="14" t="s">
        <v>40</v>
      </c>
      <c r="E519" s="20" t="str">
        <f t="shared" si="2"/>
        <v>octubre 2025</v>
      </c>
      <c r="F519" s="22">
        <v>45932.0</v>
      </c>
      <c r="G519" s="24">
        <f t="shared" ref="G519:H519" si="524">F519</f>
        <v>45932</v>
      </c>
      <c r="H519" s="26">
        <f t="shared" si="524"/>
        <v>45932</v>
      </c>
      <c r="I519" s="14" t="s">
        <v>90</v>
      </c>
      <c r="K519" s="27">
        <v>4.0E7</v>
      </c>
      <c r="L519" s="29" t="s">
        <v>1008</v>
      </c>
      <c r="M519" s="31"/>
      <c r="N519" s="14" t="s">
        <v>84</v>
      </c>
      <c r="O519" s="31"/>
      <c r="Q519" s="36"/>
      <c r="R519" s="36"/>
      <c r="S519" s="36"/>
      <c r="T519" s="36"/>
      <c r="V519" s="31"/>
    </row>
    <row r="520">
      <c r="A520" s="14" t="s">
        <v>1787</v>
      </c>
      <c r="B520" s="14" t="s">
        <v>2653</v>
      </c>
      <c r="C520" s="14" t="s">
        <v>2654</v>
      </c>
      <c r="D520" s="14" t="s">
        <v>40</v>
      </c>
      <c r="E520" s="20" t="str">
        <f t="shared" si="2"/>
        <v>octubre 2025</v>
      </c>
      <c r="F520" s="22">
        <v>45933.0</v>
      </c>
      <c r="G520" s="24">
        <f t="shared" ref="G520:H520" si="525">F520</f>
        <v>45933</v>
      </c>
      <c r="H520" s="26">
        <f t="shared" si="525"/>
        <v>45933</v>
      </c>
      <c r="I520" s="14" t="s">
        <v>90</v>
      </c>
      <c r="K520" s="27">
        <v>9.0E7</v>
      </c>
      <c r="L520" s="29" t="s">
        <v>1210</v>
      </c>
      <c r="M520" s="31"/>
      <c r="N520" s="14" t="s">
        <v>84</v>
      </c>
      <c r="O520" s="31"/>
      <c r="Q520" s="36"/>
      <c r="R520" s="36"/>
      <c r="S520" s="36"/>
      <c r="T520" s="36"/>
      <c r="V520" s="31"/>
    </row>
    <row r="521">
      <c r="A521" s="14" t="s">
        <v>1012</v>
      </c>
      <c r="B521" s="14" t="s">
        <v>2656</v>
      </c>
      <c r="C521" s="14" t="s">
        <v>2657</v>
      </c>
      <c r="D521" s="14" t="s">
        <v>40</v>
      </c>
      <c r="E521" s="20" t="str">
        <f t="shared" si="2"/>
        <v>octubre 2025</v>
      </c>
      <c r="F521" s="22">
        <v>45931.0</v>
      </c>
      <c r="G521" s="24">
        <f t="shared" ref="G521:H521" si="526">F521</f>
        <v>45931</v>
      </c>
      <c r="H521" s="26">
        <f t="shared" si="526"/>
        <v>45931</v>
      </c>
      <c r="I521" s="14" t="s">
        <v>90</v>
      </c>
      <c r="K521" s="27">
        <v>1.0E8</v>
      </c>
      <c r="L521" s="29" t="s">
        <v>2658</v>
      </c>
      <c r="M521" s="31"/>
      <c r="N521" s="14" t="s">
        <v>84</v>
      </c>
      <c r="O521" s="31"/>
      <c r="Q521" s="36"/>
      <c r="R521" s="36"/>
      <c r="S521" s="36"/>
      <c r="T521" s="36"/>
      <c r="V521" s="31"/>
    </row>
    <row r="522">
      <c r="A522" s="14" t="s">
        <v>1012</v>
      </c>
      <c r="B522" s="14" t="s">
        <v>2659</v>
      </c>
      <c r="C522" s="14" t="s">
        <v>2660</v>
      </c>
      <c r="D522" s="14" t="s">
        <v>40</v>
      </c>
      <c r="E522" s="20" t="str">
        <f t="shared" si="2"/>
        <v>octubre 2025</v>
      </c>
      <c r="F522" s="22">
        <v>45931.0</v>
      </c>
      <c r="G522" s="24">
        <f t="shared" ref="G522:H522" si="527">F522</f>
        <v>45931</v>
      </c>
      <c r="H522" s="26">
        <f t="shared" si="527"/>
        <v>45931</v>
      </c>
      <c r="I522" s="14" t="s">
        <v>90</v>
      </c>
      <c r="K522" s="27">
        <v>1.5E8</v>
      </c>
      <c r="L522" s="29" t="s">
        <v>2661</v>
      </c>
      <c r="M522" s="31"/>
      <c r="N522" s="14" t="s">
        <v>84</v>
      </c>
      <c r="O522" s="31"/>
      <c r="Q522" s="36"/>
      <c r="R522" s="36"/>
      <c r="S522" s="36"/>
      <c r="T522" s="36"/>
      <c r="V522" s="31"/>
    </row>
    <row r="523">
      <c r="A523" s="14" t="s">
        <v>1045</v>
      </c>
      <c r="B523" s="14" t="s">
        <v>2662</v>
      </c>
      <c r="C523" s="14" t="s">
        <v>2663</v>
      </c>
      <c r="D523" s="14" t="s">
        <v>40</v>
      </c>
      <c r="E523" s="20" t="str">
        <f t="shared" si="2"/>
        <v>octubre 2025</v>
      </c>
      <c r="F523" s="22">
        <v>45933.0</v>
      </c>
      <c r="G523" s="24">
        <f t="shared" ref="G523:H523" si="528">F523</f>
        <v>45933</v>
      </c>
      <c r="H523" s="26">
        <f t="shared" si="528"/>
        <v>45933</v>
      </c>
      <c r="I523" s="14" t="s">
        <v>90</v>
      </c>
      <c r="K523" s="27">
        <v>2.5E7</v>
      </c>
      <c r="L523" s="29" t="s">
        <v>1008</v>
      </c>
      <c r="M523" s="31"/>
      <c r="N523" s="14" t="s">
        <v>84</v>
      </c>
      <c r="O523" s="31"/>
      <c r="Q523" s="36"/>
      <c r="R523" s="36"/>
      <c r="S523" s="36"/>
      <c r="T523" s="36"/>
      <c r="V523" s="31"/>
    </row>
    <row r="524">
      <c r="A524" s="14" t="s">
        <v>1787</v>
      </c>
      <c r="B524" s="14" t="s">
        <v>2664</v>
      </c>
      <c r="C524" s="14" t="s">
        <v>2665</v>
      </c>
      <c r="D524" s="14" t="s">
        <v>40</v>
      </c>
      <c r="E524" s="20" t="str">
        <f t="shared" si="2"/>
        <v>octubre 2025</v>
      </c>
      <c r="F524" s="22">
        <v>45936.0</v>
      </c>
      <c r="G524" s="24">
        <f t="shared" ref="G524:H524" si="529">F524</f>
        <v>45936</v>
      </c>
      <c r="H524" s="26">
        <f t="shared" si="529"/>
        <v>45936</v>
      </c>
      <c r="I524" s="14" t="s">
        <v>90</v>
      </c>
      <c r="K524" s="27">
        <v>1.0E7</v>
      </c>
      <c r="L524" s="29" t="s">
        <v>1203</v>
      </c>
      <c r="M524" s="31"/>
      <c r="N524" s="14" t="s">
        <v>84</v>
      </c>
      <c r="O524" s="31"/>
      <c r="Q524" s="36"/>
      <c r="R524" s="36"/>
      <c r="S524" s="36"/>
      <c r="T524" s="36"/>
      <c r="V524" s="31"/>
    </row>
    <row r="525">
      <c r="A525" s="14" t="s">
        <v>736</v>
      </c>
      <c r="B525" s="14" t="s">
        <v>2668</v>
      </c>
      <c r="C525" s="14" t="s">
        <v>2669</v>
      </c>
      <c r="D525" s="14" t="s">
        <v>40</v>
      </c>
      <c r="E525" s="20" t="str">
        <f t="shared" si="2"/>
        <v>octubre 2025</v>
      </c>
      <c r="F525" s="22">
        <v>45932.0</v>
      </c>
      <c r="G525" s="24">
        <f t="shared" ref="G525:H525" si="530">F525</f>
        <v>45932</v>
      </c>
      <c r="H525" s="26">
        <f t="shared" si="530"/>
        <v>45932</v>
      </c>
      <c r="I525" s="14" t="s">
        <v>90</v>
      </c>
      <c r="K525" s="27">
        <v>1.0E7</v>
      </c>
      <c r="L525" s="29" t="s">
        <v>1203</v>
      </c>
      <c r="M525" s="31"/>
      <c r="N525" s="14" t="s">
        <v>84</v>
      </c>
      <c r="O525" s="31"/>
      <c r="Q525" s="36"/>
      <c r="R525" s="36"/>
      <c r="S525" s="36"/>
      <c r="T525" s="36"/>
      <c r="V525" s="31"/>
    </row>
    <row r="526">
      <c r="A526" s="14" t="s">
        <v>1787</v>
      </c>
      <c r="B526" s="14" t="s">
        <v>2670</v>
      </c>
      <c r="C526" s="14" t="s">
        <v>2671</v>
      </c>
      <c r="D526" s="14" t="s">
        <v>40</v>
      </c>
      <c r="E526" s="20" t="str">
        <f t="shared" si="2"/>
        <v>octubre 2025</v>
      </c>
      <c r="F526" s="22">
        <v>45937.0</v>
      </c>
      <c r="G526" s="24">
        <f t="shared" ref="G526:H526" si="531">F526</f>
        <v>45937</v>
      </c>
      <c r="H526" s="26">
        <f t="shared" si="531"/>
        <v>45937</v>
      </c>
      <c r="I526" s="14" t="s">
        <v>90</v>
      </c>
      <c r="K526" s="27">
        <v>1.0E7</v>
      </c>
      <c r="L526" s="29" t="s">
        <v>1203</v>
      </c>
      <c r="M526" s="31"/>
      <c r="N526" s="14" t="s">
        <v>84</v>
      </c>
      <c r="O526" s="31"/>
      <c r="Q526" s="36"/>
      <c r="R526" s="36"/>
      <c r="S526" s="36"/>
      <c r="T526" s="36"/>
      <c r="V526" s="31"/>
    </row>
    <row r="527">
      <c r="A527" s="14" t="s">
        <v>736</v>
      </c>
      <c r="B527" s="14" t="s">
        <v>2672</v>
      </c>
      <c r="C527" s="95" t="s">
        <v>2673</v>
      </c>
      <c r="D527" s="14" t="s">
        <v>40</v>
      </c>
      <c r="E527" s="20" t="str">
        <f t="shared" si="2"/>
        <v>octubre 2025</v>
      </c>
      <c r="F527" s="22">
        <v>45939.0</v>
      </c>
      <c r="G527" s="24">
        <f t="shared" ref="G527:H527" si="532">F527</f>
        <v>45939</v>
      </c>
      <c r="H527" s="26">
        <f t="shared" si="532"/>
        <v>45939</v>
      </c>
      <c r="I527" s="14" t="s">
        <v>90</v>
      </c>
      <c r="K527" s="27">
        <v>1.0E7</v>
      </c>
      <c r="L527" s="29" t="s">
        <v>1203</v>
      </c>
      <c r="M527" s="31"/>
      <c r="N527" s="14" t="s">
        <v>84</v>
      </c>
      <c r="O527" s="31"/>
      <c r="Q527" s="36"/>
      <c r="R527" s="36"/>
      <c r="S527" s="36"/>
      <c r="T527" s="36"/>
      <c r="V527" s="31"/>
    </row>
    <row r="528">
      <c r="A528" s="37" t="s">
        <v>66</v>
      </c>
      <c r="B528" s="14" t="s">
        <v>2674</v>
      </c>
      <c r="C528" s="14" t="s">
        <v>2675</v>
      </c>
      <c r="D528" s="14" t="s">
        <v>133</v>
      </c>
      <c r="E528" s="20" t="str">
        <f t="shared" si="2"/>
        <v>octubre 2025</v>
      </c>
      <c r="F528" s="22">
        <v>45932.0</v>
      </c>
      <c r="G528" s="24">
        <f t="shared" ref="G528:H528" si="533">F528</f>
        <v>45932</v>
      </c>
      <c r="H528" s="26">
        <f t="shared" si="533"/>
        <v>45932</v>
      </c>
      <c r="I528" s="14" t="s">
        <v>1865</v>
      </c>
      <c r="K528" s="27">
        <v>2.0E8</v>
      </c>
      <c r="L528" s="29" t="s">
        <v>1008</v>
      </c>
      <c r="M528" s="156"/>
      <c r="N528" s="14" t="s">
        <v>84</v>
      </c>
      <c r="O528" s="14" t="s">
        <v>40</v>
      </c>
      <c r="P528" s="156" t="s">
        <v>2676</v>
      </c>
      <c r="Q528" s="36"/>
      <c r="R528" s="36"/>
      <c r="S528" s="36"/>
      <c r="T528" s="36"/>
      <c r="V528" s="31"/>
    </row>
    <row r="529">
      <c r="A529" s="37" t="s">
        <v>66</v>
      </c>
      <c r="B529" s="14" t="s">
        <v>2678</v>
      </c>
      <c r="C529" s="14" t="s">
        <v>2679</v>
      </c>
      <c r="D529" s="14" t="s">
        <v>133</v>
      </c>
      <c r="E529" s="20" t="str">
        <f t="shared" si="2"/>
        <v>octubre 2025</v>
      </c>
      <c r="F529" s="22">
        <v>45937.0</v>
      </c>
      <c r="G529" s="24">
        <f t="shared" ref="G529:H529" si="534">F529</f>
        <v>45937</v>
      </c>
      <c r="H529" s="26">
        <f t="shared" si="534"/>
        <v>45937</v>
      </c>
      <c r="I529" s="14" t="s">
        <v>1865</v>
      </c>
      <c r="K529" s="27">
        <v>3.0E8</v>
      </c>
      <c r="L529" s="29" t="s">
        <v>2680</v>
      </c>
      <c r="M529" s="156"/>
      <c r="N529" s="14" t="s">
        <v>84</v>
      </c>
      <c r="O529" s="14" t="s">
        <v>40</v>
      </c>
      <c r="P529" s="156" t="s">
        <v>2681</v>
      </c>
      <c r="Q529" s="36"/>
      <c r="R529" s="36"/>
      <c r="S529" s="36"/>
      <c r="T529" s="36"/>
      <c r="V529" s="31"/>
    </row>
    <row r="530">
      <c r="A530" s="14" t="s">
        <v>1045</v>
      </c>
      <c r="B530" s="14" t="s">
        <v>2682</v>
      </c>
      <c r="C530" s="14" t="s">
        <v>2683</v>
      </c>
      <c r="D530" s="14" t="s">
        <v>40</v>
      </c>
      <c r="E530" s="20" t="str">
        <f t="shared" si="2"/>
        <v>octubre 2025</v>
      </c>
      <c r="F530" s="22">
        <v>45936.0</v>
      </c>
      <c r="G530" s="24">
        <f t="shared" ref="G530:H530" si="535">F530</f>
        <v>45936</v>
      </c>
      <c r="H530" s="26">
        <f t="shared" si="535"/>
        <v>45936</v>
      </c>
      <c r="I530" s="14" t="s">
        <v>90</v>
      </c>
      <c r="K530" s="27">
        <v>5.0E7</v>
      </c>
      <c r="L530" s="15" t="s">
        <v>2661</v>
      </c>
      <c r="M530" s="31"/>
      <c r="N530" s="14" t="s">
        <v>84</v>
      </c>
      <c r="O530" s="31"/>
      <c r="Q530" s="36"/>
      <c r="R530" s="36"/>
      <c r="S530" s="36"/>
      <c r="T530" s="36"/>
      <c r="V530" s="31"/>
    </row>
    <row r="531">
      <c r="A531" s="14" t="s">
        <v>1045</v>
      </c>
      <c r="B531" s="14" t="s">
        <v>2684</v>
      </c>
      <c r="C531" s="14" t="s">
        <v>2685</v>
      </c>
      <c r="D531" s="14" t="s">
        <v>40</v>
      </c>
      <c r="E531" s="20" t="str">
        <f t="shared" si="2"/>
        <v>octubre 2025</v>
      </c>
      <c r="F531" s="22">
        <v>45936.0</v>
      </c>
      <c r="G531" s="24">
        <f t="shared" ref="G531:H531" si="536">F531</f>
        <v>45936</v>
      </c>
      <c r="H531" s="26">
        <f t="shared" si="536"/>
        <v>45936</v>
      </c>
      <c r="I531" s="14" t="s">
        <v>90</v>
      </c>
      <c r="K531" s="27">
        <v>2.5E7</v>
      </c>
      <c r="L531" s="29" t="s">
        <v>1008</v>
      </c>
      <c r="M531" s="31"/>
      <c r="N531" s="14" t="s">
        <v>84</v>
      </c>
      <c r="O531" s="31"/>
      <c r="Q531" s="36"/>
      <c r="R531" s="36"/>
      <c r="S531" s="36"/>
      <c r="T531" s="36"/>
      <c r="V531" s="31"/>
    </row>
    <row r="532">
      <c r="A532" s="14" t="s">
        <v>1045</v>
      </c>
      <c r="B532" s="14" t="s">
        <v>2686</v>
      </c>
      <c r="C532" s="14" t="s">
        <v>2687</v>
      </c>
      <c r="D532" s="14" t="s">
        <v>40</v>
      </c>
      <c r="E532" s="20" t="str">
        <f t="shared" si="2"/>
        <v>octubre 2025</v>
      </c>
      <c r="F532" s="22">
        <v>45937.0</v>
      </c>
      <c r="G532" s="24">
        <f t="shared" ref="G532:H532" si="537">F532</f>
        <v>45937</v>
      </c>
      <c r="H532" s="26">
        <f t="shared" si="537"/>
        <v>45937</v>
      </c>
      <c r="I532" s="14" t="s">
        <v>90</v>
      </c>
      <c r="K532" s="27">
        <v>1.0E7</v>
      </c>
      <c r="L532" s="29" t="s">
        <v>1203</v>
      </c>
      <c r="M532" s="31"/>
      <c r="N532" s="14" t="s">
        <v>84</v>
      </c>
      <c r="O532" s="31"/>
      <c r="Q532" s="36"/>
      <c r="R532" s="36"/>
      <c r="S532" s="36"/>
      <c r="T532" s="36"/>
      <c r="V532" s="31"/>
    </row>
    <row r="533">
      <c r="A533" s="14" t="s">
        <v>1045</v>
      </c>
      <c r="B533" s="14" t="s">
        <v>2688</v>
      </c>
      <c r="C533" s="14" t="s">
        <v>2689</v>
      </c>
      <c r="D533" s="14" t="s">
        <v>133</v>
      </c>
      <c r="E533" s="20" t="str">
        <f t="shared" si="2"/>
        <v>octubre 2025</v>
      </c>
      <c r="F533" s="22">
        <v>45938.0</v>
      </c>
      <c r="G533" s="24">
        <f t="shared" ref="G533:H533" si="538">F533</f>
        <v>45938</v>
      </c>
      <c r="H533" s="26">
        <f t="shared" si="538"/>
        <v>45938</v>
      </c>
      <c r="I533" s="14" t="s">
        <v>1865</v>
      </c>
      <c r="K533" s="27">
        <v>1.0E8</v>
      </c>
      <c r="L533" s="29" t="s">
        <v>2447</v>
      </c>
      <c r="M533" s="14"/>
      <c r="N533" s="14" t="s">
        <v>84</v>
      </c>
      <c r="O533" s="14" t="s">
        <v>40</v>
      </c>
      <c r="P533" s="14" t="s">
        <v>2624</v>
      </c>
      <c r="Q533" s="36"/>
      <c r="R533" s="36"/>
      <c r="S533" s="36"/>
      <c r="T533" s="36"/>
      <c r="V533" s="31"/>
    </row>
    <row r="534">
      <c r="A534" s="14" t="s">
        <v>1045</v>
      </c>
      <c r="B534" s="14" t="s">
        <v>2690</v>
      </c>
      <c r="C534" s="14" t="s">
        <v>2691</v>
      </c>
      <c r="D534" s="14" t="s">
        <v>133</v>
      </c>
      <c r="E534" s="20" t="str">
        <f t="shared" si="2"/>
        <v>octubre 2025</v>
      </c>
      <c r="F534" s="22">
        <v>45939.0</v>
      </c>
      <c r="G534" s="24">
        <f t="shared" ref="G534:H534" si="539">F534</f>
        <v>45939</v>
      </c>
      <c r="H534" s="26">
        <f t="shared" si="539"/>
        <v>45939</v>
      </c>
      <c r="I534" s="14" t="s">
        <v>2398</v>
      </c>
      <c r="K534" s="27">
        <v>1.8E8</v>
      </c>
      <c r="L534" s="29" t="s">
        <v>2692</v>
      </c>
      <c r="M534" s="14"/>
      <c r="N534" s="14" t="s">
        <v>84</v>
      </c>
      <c r="O534" s="14" t="s">
        <v>40</v>
      </c>
      <c r="P534" s="14" t="s">
        <v>2693</v>
      </c>
      <c r="Q534" s="36"/>
      <c r="R534" s="36"/>
      <c r="S534" s="36"/>
      <c r="T534" s="36"/>
      <c r="V534" s="31"/>
    </row>
    <row r="535">
      <c r="A535" s="14" t="s">
        <v>1787</v>
      </c>
      <c r="B535" s="14" t="s">
        <v>2694</v>
      </c>
      <c r="C535" s="14" t="s">
        <v>2695</v>
      </c>
      <c r="D535" s="14" t="s">
        <v>40</v>
      </c>
      <c r="E535" s="20" t="str">
        <f t="shared" si="2"/>
        <v>octubre 2025</v>
      </c>
      <c r="F535" s="22">
        <v>45940.0</v>
      </c>
      <c r="G535" s="24">
        <f t="shared" ref="G535:H535" si="540">F535</f>
        <v>45940</v>
      </c>
      <c r="H535" s="26">
        <f t="shared" si="540"/>
        <v>45940</v>
      </c>
      <c r="I535" s="14" t="s">
        <v>259</v>
      </c>
      <c r="K535" s="27">
        <v>6.0E7</v>
      </c>
      <c r="L535" s="29" t="s">
        <v>2634</v>
      </c>
      <c r="M535" s="31"/>
      <c r="N535" s="14" t="s">
        <v>84</v>
      </c>
      <c r="O535" s="14" t="s">
        <v>40</v>
      </c>
      <c r="Q535" s="36"/>
      <c r="R535" s="36"/>
      <c r="S535" s="36"/>
      <c r="T535" s="36"/>
      <c r="V535" s="31"/>
    </row>
    <row r="536">
      <c r="A536" s="14" t="s">
        <v>36</v>
      </c>
      <c r="B536" s="14" t="s">
        <v>2696</v>
      </c>
      <c r="C536" s="14" t="s">
        <v>2697</v>
      </c>
      <c r="D536" s="14" t="s">
        <v>40</v>
      </c>
      <c r="E536" s="20" t="str">
        <f t="shared" si="2"/>
        <v>octubre 2025</v>
      </c>
      <c r="F536" s="22">
        <v>45940.0</v>
      </c>
      <c r="G536" s="24">
        <f t="shared" ref="G536:H536" si="541">F536</f>
        <v>45940</v>
      </c>
      <c r="H536" s="26">
        <f t="shared" si="541"/>
        <v>45940</v>
      </c>
      <c r="I536" s="14" t="s">
        <v>259</v>
      </c>
      <c r="K536" s="27">
        <v>6.5E8</v>
      </c>
      <c r="L536" s="29" t="s">
        <v>2520</v>
      </c>
      <c r="M536" s="14"/>
      <c r="N536" s="14" t="s">
        <v>84</v>
      </c>
      <c r="O536" s="14" t="s">
        <v>40</v>
      </c>
      <c r="P536" s="14" t="s">
        <v>2698</v>
      </c>
      <c r="Q536" s="36"/>
      <c r="R536" s="36"/>
      <c r="S536" s="36"/>
      <c r="T536" s="36"/>
      <c r="V536" s="31"/>
    </row>
    <row r="537">
      <c r="A537" s="14" t="s">
        <v>117</v>
      </c>
      <c r="B537" s="14" t="s">
        <v>2699</v>
      </c>
      <c r="C537" s="14" t="s">
        <v>576</v>
      </c>
      <c r="D537" s="14" t="s">
        <v>40</v>
      </c>
      <c r="E537" s="20" t="str">
        <f t="shared" si="2"/>
        <v>octubre 2025</v>
      </c>
      <c r="F537" s="22">
        <v>45931.0</v>
      </c>
      <c r="G537" s="24">
        <f t="shared" ref="G537:H537" si="542">F537</f>
        <v>45931</v>
      </c>
      <c r="H537" s="26">
        <f t="shared" si="542"/>
        <v>45931</v>
      </c>
      <c r="I537" s="14" t="s">
        <v>90</v>
      </c>
      <c r="K537" s="27">
        <v>5.0E7</v>
      </c>
      <c r="L537" s="29" t="s">
        <v>2700</v>
      </c>
      <c r="M537" s="31"/>
      <c r="N537" s="14" t="s">
        <v>84</v>
      </c>
      <c r="O537" s="31"/>
      <c r="Q537" s="36"/>
      <c r="R537" s="36"/>
      <c r="S537" s="36"/>
      <c r="T537" s="36"/>
      <c r="V537" s="31"/>
    </row>
    <row r="538">
      <c r="A538" s="14" t="s">
        <v>117</v>
      </c>
      <c r="B538" s="14" t="s">
        <v>2701</v>
      </c>
      <c r="C538" s="14" t="s">
        <v>2702</v>
      </c>
      <c r="D538" s="14" t="s">
        <v>40</v>
      </c>
      <c r="E538" s="20" t="str">
        <f t="shared" si="2"/>
        <v>octubre 2025</v>
      </c>
      <c r="F538" s="22">
        <v>45940.0</v>
      </c>
      <c r="G538" s="24">
        <f t="shared" ref="G538:H538" si="543">F538</f>
        <v>45940</v>
      </c>
      <c r="H538" s="26">
        <f t="shared" si="543"/>
        <v>45940</v>
      </c>
      <c r="I538" s="14" t="s">
        <v>90</v>
      </c>
      <c r="K538" s="27">
        <v>6.0E7</v>
      </c>
      <c r="L538" s="29" t="s">
        <v>1153</v>
      </c>
      <c r="M538" s="31"/>
      <c r="N538" s="14" t="s">
        <v>84</v>
      </c>
      <c r="O538" s="31"/>
      <c r="Q538" s="36"/>
      <c r="R538" s="36"/>
      <c r="S538" s="36"/>
      <c r="T538" s="36"/>
      <c r="V538" s="31"/>
    </row>
    <row r="539">
      <c r="A539" s="14" t="s">
        <v>1045</v>
      </c>
      <c r="B539" s="14" t="s">
        <v>2703</v>
      </c>
      <c r="C539" s="14" t="s">
        <v>2704</v>
      </c>
      <c r="D539" s="14" t="s">
        <v>133</v>
      </c>
      <c r="E539" s="20" t="str">
        <f t="shared" si="2"/>
        <v>octubre 2025</v>
      </c>
      <c r="F539" s="22">
        <v>45944.0</v>
      </c>
      <c r="G539" s="24">
        <f t="shared" ref="G539:H539" si="544">F539</f>
        <v>45944</v>
      </c>
      <c r="H539" s="26">
        <f t="shared" si="544"/>
        <v>45944</v>
      </c>
      <c r="I539" s="14" t="s">
        <v>1865</v>
      </c>
      <c r="K539" s="27">
        <v>1.7E9</v>
      </c>
      <c r="L539" s="29" t="s">
        <v>2705</v>
      </c>
      <c r="M539" s="14"/>
      <c r="N539" s="14" t="s">
        <v>84</v>
      </c>
      <c r="O539" s="14" t="s">
        <v>40</v>
      </c>
      <c r="P539" s="14" t="s">
        <v>2706</v>
      </c>
      <c r="Q539" s="36"/>
      <c r="R539" s="36"/>
      <c r="S539" s="36"/>
      <c r="T539" s="36"/>
      <c r="V539" s="31"/>
    </row>
    <row r="540">
      <c r="A540" s="14" t="s">
        <v>1045</v>
      </c>
      <c r="B540" s="14" t="s">
        <v>2707</v>
      </c>
      <c r="C540" s="14" t="s">
        <v>2708</v>
      </c>
      <c r="D540" s="14" t="s">
        <v>40</v>
      </c>
      <c r="E540" s="20" t="str">
        <f t="shared" si="2"/>
        <v>octubre 2025</v>
      </c>
      <c r="F540" s="22">
        <v>45944.0</v>
      </c>
      <c r="G540" s="24">
        <f t="shared" ref="G540:H540" si="545">F540</f>
        <v>45944</v>
      </c>
      <c r="H540" s="26">
        <f t="shared" si="545"/>
        <v>45944</v>
      </c>
      <c r="I540" s="14" t="s">
        <v>90</v>
      </c>
      <c r="K540" s="27">
        <v>2.5E7</v>
      </c>
      <c r="L540" s="29" t="s">
        <v>1008</v>
      </c>
      <c r="M540" s="31"/>
      <c r="N540" s="14" t="s">
        <v>133</v>
      </c>
      <c r="O540" s="31"/>
      <c r="Q540" s="36"/>
      <c r="R540" s="36"/>
      <c r="S540" s="36"/>
      <c r="T540" s="36"/>
      <c r="V540" s="31"/>
    </row>
    <row r="541">
      <c r="A541" s="14" t="s">
        <v>1045</v>
      </c>
      <c r="B541" s="14" t="s">
        <v>2709</v>
      </c>
      <c r="C541" s="14" t="s">
        <v>2710</v>
      </c>
      <c r="D541" s="14" t="s">
        <v>40</v>
      </c>
      <c r="E541" s="20" t="str">
        <f t="shared" si="2"/>
        <v>octubre 2025</v>
      </c>
      <c r="F541" s="22">
        <v>45944.0</v>
      </c>
      <c r="G541" s="24">
        <f t="shared" ref="G541:H541" si="546">F541</f>
        <v>45944</v>
      </c>
      <c r="H541" s="26">
        <f t="shared" si="546"/>
        <v>45944</v>
      </c>
      <c r="I541" s="14" t="s">
        <v>90</v>
      </c>
      <c r="K541" s="27">
        <v>1.0E7</v>
      </c>
      <c r="L541" s="29" t="s">
        <v>1203</v>
      </c>
      <c r="M541" s="31"/>
      <c r="N541" s="14" t="s">
        <v>133</v>
      </c>
      <c r="O541" s="31"/>
      <c r="Q541" s="36"/>
      <c r="R541" s="36"/>
      <c r="S541" s="36"/>
      <c r="T541" s="36"/>
      <c r="V541" s="31"/>
    </row>
    <row r="542">
      <c r="A542" s="14" t="s">
        <v>1045</v>
      </c>
      <c r="B542" s="14" t="s">
        <v>2711</v>
      </c>
      <c r="C542" s="14" t="s">
        <v>2712</v>
      </c>
      <c r="D542" s="14" t="s">
        <v>40</v>
      </c>
      <c r="E542" s="20" t="str">
        <f t="shared" si="2"/>
        <v>octubre 2025</v>
      </c>
      <c r="F542" s="22">
        <v>45945.0</v>
      </c>
      <c r="G542" s="24">
        <f t="shared" ref="G542:H542" si="547">F542</f>
        <v>45945</v>
      </c>
      <c r="H542" s="26">
        <f t="shared" si="547"/>
        <v>45945</v>
      </c>
      <c r="I542" s="14" t="s">
        <v>90</v>
      </c>
      <c r="K542" s="27">
        <v>1.0E8</v>
      </c>
      <c r="L542" s="29" t="s">
        <v>1210</v>
      </c>
      <c r="M542" s="14"/>
      <c r="N542" s="14" t="s">
        <v>84</v>
      </c>
      <c r="O542" s="31"/>
      <c r="P542" s="14" t="s">
        <v>2713</v>
      </c>
      <c r="Q542" s="36"/>
      <c r="R542" s="36"/>
      <c r="S542" s="36"/>
      <c r="T542" s="36"/>
      <c r="V542" s="31"/>
    </row>
    <row r="543">
      <c r="A543" s="14" t="s">
        <v>1045</v>
      </c>
      <c r="B543" s="14" t="s">
        <v>2714</v>
      </c>
      <c r="C543" s="14" t="s">
        <v>2715</v>
      </c>
      <c r="D543" s="14" t="s">
        <v>40</v>
      </c>
      <c r="E543" s="20" t="str">
        <f t="shared" si="2"/>
        <v>octubre 2025</v>
      </c>
      <c r="F543" s="22">
        <v>45945.0</v>
      </c>
      <c r="G543" s="24">
        <f t="shared" ref="G543:H543" si="548">F543</f>
        <v>45945</v>
      </c>
      <c r="H543" s="26">
        <f t="shared" si="548"/>
        <v>45945</v>
      </c>
      <c r="I543" s="14" t="s">
        <v>90</v>
      </c>
      <c r="K543" s="27">
        <v>1.0E7</v>
      </c>
      <c r="L543" s="29" t="s">
        <v>1203</v>
      </c>
      <c r="M543" s="31"/>
      <c r="N543" s="14" t="s">
        <v>84</v>
      </c>
      <c r="O543" s="31"/>
      <c r="Q543" s="36"/>
      <c r="R543" s="36"/>
      <c r="S543" s="36"/>
      <c r="T543" s="36"/>
      <c r="V543" s="31"/>
    </row>
    <row r="544">
      <c r="A544" s="14" t="s">
        <v>1045</v>
      </c>
      <c r="B544" s="14" t="s">
        <v>2716</v>
      </c>
      <c r="C544" s="14" t="s">
        <v>2717</v>
      </c>
      <c r="D544" s="14" t="s">
        <v>40</v>
      </c>
      <c r="E544" s="20" t="str">
        <f t="shared" si="2"/>
        <v>octubre 2025</v>
      </c>
      <c r="F544" s="22">
        <v>45946.0</v>
      </c>
      <c r="G544" s="24">
        <f t="shared" ref="G544:H544" si="549">F544</f>
        <v>45946</v>
      </c>
      <c r="H544" s="26">
        <f t="shared" si="549"/>
        <v>45946</v>
      </c>
      <c r="I544" s="14" t="s">
        <v>90</v>
      </c>
      <c r="K544" s="27">
        <v>1.0E8</v>
      </c>
      <c r="L544" s="29" t="s">
        <v>1210</v>
      </c>
      <c r="M544" s="14"/>
      <c r="N544" s="14" t="s">
        <v>84</v>
      </c>
      <c r="O544" s="31"/>
      <c r="P544" s="14" t="s">
        <v>2718</v>
      </c>
      <c r="Q544" s="36"/>
      <c r="R544" s="36"/>
      <c r="S544" s="36"/>
      <c r="T544" s="36"/>
      <c r="V544" s="31"/>
    </row>
    <row r="545">
      <c r="A545" s="108" t="s">
        <v>1075</v>
      </c>
      <c r="B545" s="14" t="s">
        <v>2719</v>
      </c>
      <c r="C545" s="14" t="s">
        <v>2720</v>
      </c>
      <c r="D545" s="14" t="s">
        <v>40</v>
      </c>
      <c r="E545" s="20" t="str">
        <f t="shared" si="2"/>
        <v>octubre 2025</v>
      </c>
      <c r="F545" s="22">
        <v>45947.0</v>
      </c>
      <c r="G545" s="24">
        <f t="shared" ref="G545:H545" si="550">F545</f>
        <v>45947</v>
      </c>
      <c r="H545" s="26">
        <f t="shared" si="550"/>
        <v>45947</v>
      </c>
      <c r="I545" s="14" t="s">
        <v>90</v>
      </c>
      <c r="K545" s="27">
        <v>2.0E8</v>
      </c>
      <c r="L545" s="29" t="s">
        <v>2721</v>
      </c>
      <c r="M545" s="14"/>
      <c r="N545" s="14" t="s">
        <v>84</v>
      </c>
      <c r="O545" s="31"/>
      <c r="P545" s="14" t="s">
        <v>2722</v>
      </c>
      <c r="Q545" s="36"/>
      <c r="R545" s="36"/>
      <c r="S545" s="36"/>
      <c r="T545" s="36"/>
      <c r="V545" s="31"/>
    </row>
    <row r="546">
      <c r="A546" s="108" t="s">
        <v>1075</v>
      </c>
      <c r="B546" s="14" t="s">
        <v>2723</v>
      </c>
      <c r="C546" s="14" t="s">
        <v>2724</v>
      </c>
      <c r="D546" s="14" t="s">
        <v>40</v>
      </c>
      <c r="E546" s="20" t="str">
        <f t="shared" si="2"/>
        <v>octubre 2025</v>
      </c>
      <c r="F546" s="22">
        <v>45947.0</v>
      </c>
      <c r="G546" s="24">
        <f t="shared" ref="G546:H546" si="551">F546</f>
        <v>45947</v>
      </c>
      <c r="H546" s="26">
        <f t="shared" si="551"/>
        <v>45947</v>
      </c>
      <c r="I546" s="14" t="s">
        <v>90</v>
      </c>
      <c r="K546" s="27">
        <v>1.2E8</v>
      </c>
      <c r="L546" s="29" t="s">
        <v>1210</v>
      </c>
      <c r="M546" s="14"/>
      <c r="N546" s="14" t="s">
        <v>84</v>
      </c>
      <c r="O546" s="31"/>
      <c r="P546" s="14" t="s">
        <v>2630</v>
      </c>
      <c r="Q546" s="36"/>
      <c r="R546" s="36"/>
      <c r="S546" s="36"/>
      <c r="T546" s="36"/>
      <c r="V546" s="31"/>
    </row>
    <row r="547">
      <c r="A547" s="14" t="s">
        <v>208</v>
      </c>
      <c r="B547" s="14" t="s">
        <v>2725</v>
      </c>
      <c r="C547" s="14" t="s">
        <v>2726</v>
      </c>
      <c r="D547" s="14" t="s">
        <v>133</v>
      </c>
      <c r="E547" s="20" t="str">
        <f t="shared" si="2"/>
        <v>octubre 2025</v>
      </c>
      <c r="F547" s="22">
        <v>45947.0</v>
      </c>
      <c r="G547" s="24">
        <f t="shared" ref="G547:H547" si="552">F547</f>
        <v>45947</v>
      </c>
      <c r="H547" s="26">
        <f t="shared" si="552"/>
        <v>45947</v>
      </c>
      <c r="I547" s="14" t="s">
        <v>2398</v>
      </c>
      <c r="K547" s="27">
        <v>3.0E8</v>
      </c>
      <c r="L547" s="29" t="s">
        <v>2727</v>
      </c>
      <c r="M547" s="14"/>
      <c r="N547" s="14" t="s">
        <v>133</v>
      </c>
      <c r="O547" s="31"/>
      <c r="P547" s="14" t="s">
        <v>2630</v>
      </c>
      <c r="Q547" s="36"/>
      <c r="R547" s="36"/>
      <c r="S547" s="36"/>
      <c r="T547" s="36"/>
      <c r="V547" s="31"/>
    </row>
    <row r="548">
      <c r="A548" s="14" t="s">
        <v>1045</v>
      </c>
      <c r="B548" s="14" t="s">
        <v>2728</v>
      </c>
      <c r="C548" s="14" t="s">
        <v>2729</v>
      </c>
      <c r="D548" s="14" t="s">
        <v>40</v>
      </c>
      <c r="E548" s="20" t="str">
        <f t="shared" si="2"/>
        <v>octubre 2025</v>
      </c>
      <c r="F548" s="22">
        <v>45951.0</v>
      </c>
      <c r="G548" s="24">
        <f t="shared" ref="G548:H548" si="553">F548</f>
        <v>45951</v>
      </c>
      <c r="H548" s="26">
        <f t="shared" si="553"/>
        <v>45951</v>
      </c>
      <c r="I548" s="14" t="s">
        <v>90</v>
      </c>
      <c r="K548" s="27">
        <v>3.0E7</v>
      </c>
      <c r="L548" s="29" t="s">
        <v>1008</v>
      </c>
      <c r="M548" s="31"/>
      <c r="N548" s="14" t="s">
        <v>84</v>
      </c>
      <c r="O548" s="31"/>
      <c r="Q548" s="36"/>
      <c r="R548" s="36"/>
      <c r="S548" s="36"/>
      <c r="T548" s="36"/>
      <c r="V548" s="31"/>
    </row>
    <row r="549">
      <c r="A549" s="14" t="s">
        <v>679</v>
      </c>
      <c r="B549" s="14" t="s">
        <v>2730</v>
      </c>
      <c r="C549" s="14" t="s">
        <v>2731</v>
      </c>
      <c r="D549" s="14" t="s">
        <v>40</v>
      </c>
      <c r="E549" s="20" t="str">
        <f t="shared" si="2"/>
        <v>octubre 2025</v>
      </c>
      <c r="F549" s="22">
        <v>45953.0</v>
      </c>
      <c r="G549" s="24">
        <f t="shared" ref="G549:H549" si="554">F549</f>
        <v>45953</v>
      </c>
      <c r="H549" s="26">
        <f t="shared" si="554"/>
        <v>45953</v>
      </c>
      <c r="I549" s="14" t="s">
        <v>90</v>
      </c>
      <c r="K549" s="27">
        <v>7.0E8</v>
      </c>
      <c r="L549" s="29" t="s">
        <v>2732</v>
      </c>
      <c r="M549" s="31"/>
      <c r="N549" s="14" t="s">
        <v>84</v>
      </c>
      <c r="O549" s="31"/>
      <c r="Q549" s="36"/>
      <c r="R549" s="36"/>
      <c r="S549" s="36"/>
      <c r="T549" s="36"/>
      <c r="V549" s="31"/>
    </row>
    <row r="550">
      <c r="A550" s="14" t="s">
        <v>679</v>
      </c>
      <c r="B550" s="14" t="s">
        <v>2733</v>
      </c>
      <c r="C550" s="14" t="s">
        <v>2734</v>
      </c>
      <c r="D550" s="14" t="s">
        <v>40</v>
      </c>
      <c r="E550" s="20" t="str">
        <f t="shared" si="2"/>
        <v>octubre 2025</v>
      </c>
      <c r="F550" s="22">
        <v>45954.0</v>
      </c>
      <c r="G550" s="24">
        <f t="shared" ref="G550:H550" si="555">F550</f>
        <v>45954</v>
      </c>
      <c r="H550" s="26">
        <f t="shared" si="555"/>
        <v>45954</v>
      </c>
      <c r="I550" s="14" t="s">
        <v>90</v>
      </c>
      <c r="K550" s="27">
        <v>7.0E8</v>
      </c>
      <c r="L550" s="29" t="s">
        <v>2732</v>
      </c>
      <c r="M550" s="31"/>
      <c r="N550" s="14" t="s">
        <v>84</v>
      </c>
      <c r="O550" s="31"/>
      <c r="Q550" s="36"/>
      <c r="R550" s="36"/>
      <c r="S550" s="36"/>
      <c r="T550" s="36"/>
      <c r="V550" s="31"/>
    </row>
    <row r="551">
      <c r="A551" s="14" t="s">
        <v>117</v>
      </c>
      <c r="B551" s="14" t="s">
        <v>2735</v>
      </c>
      <c r="C551" s="14" t="s">
        <v>2736</v>
      </c>
      <c r="D551" s="14" t="s">
        <v>133</v>
      </c>
      <c r="E551" s="20" t="str">
        <f t="shared" si="2"/>
        <v>octubre 2025</v>
      </c>
      <c r="F551" s="22">
        <v>45955.0</v>
      </c>
      <c r="G551" s="24">
        <f t="shared" ref="G551:H551" si="556">F551</f>
        <v>45955</v>
      </c>
      <c r="H551" s="26">
        <f t="shared" si="556"/>
        <v>45955</v>
      </c>
      <c r="I551" s="14" t="s">
        <v>2398</v>
      </c>
      <c r="K551" s="27">
        <v>3.0E8</v>
      </c>
      <c r="L551" s="29" t="s">
        <v>2737</v>
      </c>
      <c r="M551" s="14"/>
      <c r="N551" s="14" t="s">
        <v>84</v>
      </c>
      <c r="O551" s="14" t="s">
        <v>40</v>
      </c>
      <c r="P551" s="14" t="s">
        <v>2493</v>
      </c>
      <c r="Q551" s="36"/>
      <c r="R551" s="36"/>
      <c r="S551" s="36"/>
      <c r="T551" s="36"/>
      <c r="V551" s="31"/>
    </row>
    <row r="552">
      <c r="A552" s="14" t="s">
        <v>1787</v>
      </c>
      <c r="B552" s="14" t="s">
        <v>2738</v>
      </c>
      <c r="C552" s="14" t="s">
        <v>2739</v>
      </c>
      <c r="D552" s="14" t="s">
        <v>40</v>
      </c>
      <c r="E552" s="20" t="str">
        <f t="shared" si="2"/>
        <v>octubre 2025</v>
      </c>
      <c r="F552" s="22">
        <v>45957.0</v>
      </c>
      <c r="G552" s="24">
        <f t="shared" ref="G552:H552" si="557">F552</f>
        <v>45957</v>
      </c>
      <c r="H552" s="26">
        <f t="shared" si="557"/>
        <v>45957</v>
      </c>
      <c r="I552" s="14" t="s">
        <v>90</v>
      </c>
      <c r="K552" s="27">
        <v>3.0E7</v>
      </c>
      <c r="L552" s="29" t="s">
        <v>1934</v>
      </c>
      <c r="M552" s="31"/>
      <c r="N552" s="14" t="s">
        <v>84</v>
      </c>
      <c r="O552" s="31"/>
      <c r="Q552" s="36"/>
      <c r="R552" s="36"/>
      <c r="S552" s="36"/>
      <c r="T552" s="36"/>
      <c r="V552" s="31"/>
    </row>
    <row r="553">
      <c r="A553" s="14" t="s">
        <v>36</v>
      </c>
      <c r="B553" s="14" t="s">
        <v>2740</v>
      </c>
      <c r="C553" s="14" t="s">
        <v>2741</v>
      </c>
      <c r="D553" s="14" t="s">
        <v>133</v>
      </c>
      <c r="E553" s="20" t="str">
        <f t="shared" si="2"/>
        <v>octubre 2025</v>
      </c>
      <c r="F553" s="22">
        <v>45953.0</v>
      </c>
      <c r="G553" s="24">
        <f t="shared" ref="G553:H553" si="558">F553</f>
        <v>45953</v>
      </c>
      <c r="H553" s="26">
        <f t="shared" si="558"/>
        <v>45953</v>
      </c>
      <c r="I553" s="14" t="s">
        <v>2398</v>
      </c>
      <c r="K553" s="27">
        <v>6.0E8</v>
      </c>
      <c r="L553" s="29" t="s">
        <v>2555</v>
      </c>
      <c r="M553" s="31"/>
      <c r="N553" s="14" t="s">
        <v>84</v>
      </c>
      <c r="O553" s="14" t="s">
        <v>40</v>
      </c>
      <c r="Q553" s="36"/>
      <c r="R553" s="36"/>
      <c r="S553" s="36"/>
      <c r="T553" s="36"/>
      <c r="V553" s="31"/>
    </row>
    <row r="554">
      <c r="A554" s="14" t="s">
        <v>736</v>
      </c>
      <c r="B554" s="14" t="s">
        <v>2742</v>
      </c>
      <c r="C554" s="14" t="s">
        <v>2743</v>
      </c>
      <c r="D554" s="14" t="s">
        <v>40</v>
      </c>
      <c r="E554" s="20" t="str">
        <f t="shared" si="2"/>
        <v>octubre 2025</v>
      </c>
      <c r="F554" s="22">
        <v>45958.0</v>
      </c>
      <c r="G554" s="24">
        <f t="shared" ref="G554:H554" si="559">F554</f>
        <v>45958</v>
      </c>
      <c r="H554" s="26">
        <f t="shared" si="559"/>
        <v>45958</v>
      </c>
      <c r="I554" s="14" t="s">
        <v>90</v>
      </c>
      <c r="K554" s="88"/>
      <c r="L554" s="78"/>
      <c r="M554" s="31"/>
      <c r="N554" s="14" t="s">
        <v>84</v>
      </c>
      <c r="O554" s="14" t="s">
        <v>133</v>
      </c>
      <c r="Q554" s="36"/>
      <c r="R554" s="36"/>
      <c r="S554" s="36"/>
      <c r="T554" s="36"/>
      <c r="V554" s="31"/>
    </row>
    <row r="555">
      <c r="A555" s="14" t="s">
        <v>1787</v>
      </c>
      <c r="B555" s="14" t="s">
        <v>2744</v>
      </c>
      <c r="C555" s="14" t="s">
        <v>2745</v>
      </c>
      <c r="D555" s="14" t="s">
        <v>40</v>
      </c>
      <c r="E555" s="20" t="str">
        <f t="shared" si="2"/>
        <v>octubre 2025</v>
      </c>
      <c r="F555" s="22">
        <v>45958.0</v>
      </c>
      <c r="G555" s="24">
        <f t="shared" ref="G555:H555" si="560">F555</f>
        <v>45958</v>
      </c>
      <c r="H555" s="26">
        <f t="shared" si="560"/>
        <v>45958</v>
      </c>
      <c r="I555" s="14" t="s">
        <v>90</v>
      </c>
      <c r="K555" s="27">
        <v>3000000.0</v>
      </c>
      <c r="L555" s="29" t="s">
        <v>1203</v>
      </c>
      <c r="M555" s="31"/>
      <c r="N555" s="31"/>
      <c r="O555" s="31"/>
      <c r="Q555" s="36"/>
      <c r="R555" s="36"/>
      <c r="S555" s="36"/>
      <c r="T555" s="36"/>
      <c r="V555" s="31"/>
    </row>
    <row r="556">
      <c r="A556" s="14" t="s">
        <v>1045</v>
      </c>
      <c r="B556" s="14" t="s">
        <v>2746</v>
      </c>
      <c r="C556" s="14" t="s">
        <v>2747</v>
      </c>
      <c r="D556" s="14" t="s">
        <v>40</v>
      </c>
      <c r="E556" s="20" t="str">
        <f t="shared" si="2"/>
        <v>octubre 2025</v>
      </c>
      <c r="F556" s="22">
        <v>45952.0</v>
      </c>
      <c r="G556" s="24">
        <f t="shared" ref="G556:H556" si="561">F556</f>
        <v>45952</v>
      </c>
      <c r="H556" s="26">
        <f t="shared" si="561"/>
        <v>45952</v>
      </c>
      <c r="I556" s="14" t="s">
        <v>90</v>
      </c>
      <c r="K556" s="27">
        <v>1.5E8</v>
      </c>
      <c r="L556" s="37" t="s">
        <v>2748</v>
      </c>
      <c r="M556" s="31"/>
      <c r="N556" s="14" t="s">
        <v>84</v>
      </c>
      <c r="O556" s="14" t="s">
        <v>40</v>
      </c>
      <c r="Q556" s="36"/>
      <c r="R556" s="36"/>
      <c r="S556" s="36"/>
      <c r="T556" s="36"/>
      <c r="V556" s="31"/>
    </row>
    <row r="557">
      <c r="A557" s="14" t="s">
        <v>1045</v>
      </c>
      <c r="B557" s="14" t="s">
        <v>2749</v>
      </c>
      <c r="C557" s="14" t="s">
        <v>2750</v>
      </c>
      <c r="D557" s="14" t="s">
        <v>40</v>
      </c>
      <c r="E557" s="20" t="str">
        <f t="shared" si="2"/>
        <v>octubre 2025</v>
      </c>
      <c r="F557" s="22">
        <v>45953.0</v>
      </c>
      <c r="G557" s="24">
        <f t="shared" ref="G557:H557" si="562">F557</f>
        <v>45953</v>
      </c>
      <c r="H557" s="26">
        <f t="shared" si="562"/>
        <v>45953</v>
      </c>
      <c r="I557" s="14" t="s">
        <v>2398</v>
      </c>
      <c r="K557" s="27">
        <v>2.7E8</v>
      </c>
      <c r="L557" s="29" t="s">
        <v>2751</v>
      </c>
      <c r="M557" s="31"/>
      <c r="N557" s="31"/>
      <c r="O557" s="31"/>
      <c r="Q557" s="36"/>
      <c r="R557" s="36"/>
      <c r="S557" s="36"/>
      <c r="T557" s="36"/>
      <c r="V557" s="31"/>
    </row>
    <row r="558">
      <c r="A558" s="14" t="s">
        <v>1045</v>
      </c>
      <c r="B558" s="14" t="s">
        <v>2752</v>
      </c>
      <c r="C558" s="14" t="s">
        <v>2753</v>
      </c>
      <c r="D558" s="14" t="s">
        <v>40</v>
      </c>
      <c r="E558" s="20" t="str">
        <f t="shared" si="2"/>
        <v>octubre 2025</v>
      </c>
      <c r="F558" s="22">
        <v>45959.0</v>
      </c>
      <c r="G558" s="24">
        <f t="shared" ref="G558:H558" si="563">F558</f>
        <v>45959</v>
      </c>
      <c r="H558" s="26">
        <f t="shared" si="563"/>
        <v>45959</v>
      </c>
      <c r="I558" s="14" t="s">
        <v>90</v>
      </c>
      <c r="K558" s="27">
        <v>8.0E7</v>
      </c>
      <c r="L558" s="29" t="s">
        <v>1210</v>
      </c>
      <c r="M558" s="31"/>
      <c r="N558" s="14" t="s">
        <v>84</v>
      </c>
      <c r="O558" s="31"/>
      <c r="Q558" s="36"/>
      <c r="R558" s="36"/>
      <c r="S558" s="36"/>
      <c r="T558" s="36"/>
      <c r="V558" s="31"/>
    </row>
    <row r="559">
      <c r="A559" s="37" t="s">
        <v>66</v>
      </c>
      <c r="B559" s="14" t="s">
        <v>2754</v>
      </c>
      <c r="C559" s="14" t="s">
        <v>2755</v>
      </c>
      <c r="D559" s="14" t="s">
        <v>40</v>
      </c>
      <c r="E559" s="20" t="str">
        <f t="shared" si="2"/>
        <v>octubre 2025</v>
      </c>
      <c r="F559" s="22">
        <v>45948.0</v>
      </c>
      <c r="G559" s="24">
        <f t="shared" ref="G559:H559" si="564">F559</f>
        <v>45948</v>
      </c>
      <c r="H559" s="26">
        <f t="shared" si="564"/>
        <v>45948</v>
      </c>
      <c r="I559" s="14" t="s">
        <v>1865</v>
      </c>
      <c r="K559" s="27">
        <v>8.0E8</v>
      </c>
      <c r="L559" s="29" t="s">
        <v>2756</v>
      </c>
      <c r="M559" s="31"/>
      <c r="N559" s="14" t="s">
        <v>133</v>
      </c>
      <c r="O559" s="14" t="s">
        <v>40</v>
      </c>
      <c r="Q559" s="36"/>
      <c r="R559" s="36"/>
      <c r="S559" s="36"/>
      <c r="T559" s="36"/>
      <c r="V559" s="31"/>
    </row>
    <row r="560">
      <c r="A560" s="14" t="s">
        <v>1012</v>
      </c>
      <c r="B560" s="14" t="s">
        <v>2757</v>
      </c>
      <c r="C560" s="14" t="s">
        <v>2758</v>
      </c>
      <c r="D560" s="14" t="s">
        <v>40</v>
      </c>
      <c r="E560" s="20" t="str">
        <f t="shared" si="2"/>
        <v>octubre 2025</v>
      </c>
      <c r="F560" s="22">
        <v>45950.0</v>
      </c>
      <c r="G560" s="24">
        <f t="shared" ref="G560:H560" si="565">F560</f>
        <v>45950</v>
      </c>
      <c r="H560" s="26">
        <f t="shared" si="565"/>
        <v>45950</v>
      </c>
      <c r="I560" s="14" t="s">
        <v>90</v>
      </c>
      <c r="K560" s="27">
        <v>8.0E7</v>
      </c>
      <c r="L560" s="29" t="s">
        <v>2759</v>
      </c>
      <c r="M560" s="31"/>
      <c r="N560" s="14" t="s">
        <v>84</v>
      </c>
      <c r="O560" s="14" t="s">
        <v>133</v>
      </c>
      <c r="Q560" s="36"/>
      <c r="R560" s="36"/>
      <c r="S560" s="36"/>
      <c r="T560" s="36"/>
      <c r="V560" s="31"/>
    </row>
    <row r="561">
      <c r="A561" s="14" t="s">
        <v>679</v>
      </c>
      <c r="B561" s="14" t="s">
        <v>2760</v>
      </c>
      <c r="C561" s="14" t="s">
        <v>2761</v>
      </c>
      <c r="D561" s="14" t="s">
        <v>40</v>
      </c>
      <c r="E561" s="20" t="str">
        <f t="shared" si="2"/>
        <v>octubre 2025</v>
      </c>
      <c r="F561" s="22">
        <v>45961.0</v>
      </c>
      <c r="G561" s="24">
        <f t="shared" ref="G561:H561" si="566">F561</f>
        <v>45961</v>
      </c>
      <c r="H561" s="26">
        <f t="shared" si="566"/>
        <v>45961</v>
      </c>
      <c r="I561" s="14" t="s">
        <v>90</v>
      </c>
      <c r="K561" s="27">
        <v>1.8E8</v>
      </c>
      <c r="L561" s="29" t="s">
        <v>2732</v>
      </c>
      <c r="M561" s="31"/>
      <c r="N561" s="14" t="s">
        <v>84</v>
      </c>
      <c r="O561" s="31"/>
      <c r="Q561" s="36"/>
      <c r="R561" s="36"/>
      <c r="S561" s="36"/>
      <c r="T561" s="36"/>
      <c r="V561" s="31"/>
    </row>
    <row r="562">
      <c r="A562" s="37" t="s">
        <v>66</v>
      </c>
      <c r="B562" s="14" t="s">
        <v>2762</v>
      </c>
      <c r="C562" s="14" t="s">
        <v>2763</v>
      </c>
      <c r="D562" s="14" t="s">
        <v>133</v>
      </c>
      <c r="E562" s="20" t="str">
        <f t="shared" si="2"/>
        <v>octubre 2025</v>
      </c>
      <c r="F562" s="22">
        <v>45932.0</v>
      </c>
      <c r="G562" s="24">
        <f t="shared" ref="G562:H562" si="567">F562</f>
        <v>45932</v>
      </c>
      <c r="H562" s="26">
        <f t="shared" si="567"/>
        <v>45932</v>
      </c>
      <c r="I562" s="14" t="s">
        <v>2398</v>
      </c>
      <c r="K562" s="27">
        <v>2.0E8</v>
      </c>
      <c r="L562" s="29" t="s">
        <v>2764</v>
      </c>
      <c r="M562" s="31"/>
      <c r="N562" s="14" t="s">
        <v>133</v>
      </c>
      <c r="O562" s="14" t="s">
        <v>40</v>
      </c>
      <c r="Q562" s="36"/>
      <c r="R562" s="36"/>
      <c r="S562" s="36"/>
      <c r="T562" s="36"/>
      <c r="V562" s="31"/>
    </row>
    <row r="563">
      <c r="A563" s="37" t="s">
        <v>208</v>
      </c>
      <c r="B563" s="14" t="s">
        <v>2765</v>
      </c>
      <c r="C563" s="14" t="s">
        <v>2766</v>
      </c>
      <c r="D563" s="14" t="s">
        <v>40</v>
      </c>
      <c r="E563" s="20" t="str">
        <f t="shared" si="2"/>
        <v>octubre 2025</v>
      </c>
      <c r="F563" s="22">
        <v>45955.0</v>
      </c>
      <c r="G563" s="24">
        <f t="shared" ref="G563:H563" si="568">F563</f>
        <v>45955</v>
      </c>
      <c r="H563" s="26">
        <f t="shared" si="568"/>
        <v>45955</v>
      </c>
      <c r="I563" s="14" t="s">
        <v>90</v>
      </c>
      <c r="K563" s="27">
        <v>2.0E7</v>
      </c>
      <c r="L563" s="29" t="s">
        <v>2764</v>
      </c>
      <c r="M563" s="31"/>
      <c r="N563" s="14" t="s">
        <v>84</v>
      </c>
      <c r="O563" s="14" t="s">
        <v>133</v>
      </c>
      <c r="Q563" s="36"/>
      <c r="R563" s="36"/>
      <c r="S563" s="36"/>
      <c r="T563" s="36"/>
      <c r="V563" s="31"/>
    </row>
    <row r="564">
      <c r="A564" s="37" t="s">
        <v>208</v>
      </c>
      <c r="B564" s="14" t="s">
        <v>2767</v>
      </c>
      <c r="C564" s="14" t="s">
        <v>2768</v>
      </c>
      <c r="D564" s="14" t="s">
        <v>133</v>
      </c>
      <c r="E564" s="20" t="str">
        <f t="shared" si="2"/>
        <v>octubre 2025</v>
      </c>
      <c r="F564" s="22">
        <v>45951.0</v>
      </c>
      <c r="G564" s="24">
        <f t="shared" ref="G564:H564" si="569">F564</f>
        <v>45951</v>
      </c>
      <c r="H564" s="26">
        <f t="shared" si="569"/>
        <v>45951</v>
      </c>
      <c r="I564" s="14" t="s">
        <v>2398</v>
      </c>
      <c r="K564" s="27">
        <v>1.5E8</v>
      </c>
      <c r="L564" s="29" t="s">
        <v>2769</v>
      </c>
      <c r="M564" s="31"/>
      <c r="N564" s="14" t="s">
        <v>84</v>
      </c>
      <c r="O564" s="14" t="s">
        <v>133</v>
      </c>
      <c r="Q564" s="36"/>
      <c r="R564" s="36"/>
      <c r="S564" s="36"/>
      <c r="T564" s="36"/>
      <c r="V564" s="31"/>
    </row>
    <row r="565">
      <c r="A565" s="14" t="s">
        <v>117</v>
      </c>
      <c r="B565" s="14" t="s">
        <v>2770</v>
      </c>
      <c r="C565" s="14" t="s">
        <v>2771</v>
      </c>
      <c r="D565" s="14" t="s">
        <v>133</v>
      </c>
      <c r="E565" s="20" t="str">
        <f t="shared" si="2"/>
        <v>octubre 2025</v>
      </c>
      <c r="F565" s="22">
        <v>45961.0</v>
      </c>
      <c r="G565" s="24">
        <f t="shared" ref="G565:H565" si="570">F565</f>
        <v>45961</v>
      </c>
      <c r="H565" s="26">
        <f t="shared" si="570"/>
        <v>45961</v>
      </c>
      <c r="I565" s="14" t="s">
        <v>1865</v>
      </c>
      <c r="J565" s="14" t="s">
        <v>2772</v>
      </c>
      <c r="K565" s="27">
        <v>7.0E8</v>
      </c>
      <c r="L565" s="29" t="s">
        <v>2737</v>
      </c>
      <c r="M565" s="31"/>
      <c r="N565" s="14" t="s">
        <v>84</v>
      </c>
      <c r="O565" s="14" t="s">
        <v>40</v>
      </c>
      <c r="Q565" s="36"/>
      <c r="R565" s="36"/>
      <c r="S565" s="36"/>
      <c r="T565" s="36"/>
      <c r="V565" s="31"/>
    </row>
    <row r="566">
      <c r="A566" s="14" t="s">
        <v>1045</v>
      </c>
      <c r="B566" s="14" t="s">
        <v>2773</v>
      </c>
      <c r="C566" s="14" t="s">
        <v>2774</v>
      </c>
      <c r="D566" s="14" t="s">
        <v>133</v>
      </c>
      <c r="E566" s="20" t="str">
        <f t="shared" si="2"/>
        <v>octubre 2025</v>
      </c>
      <c r="F566" s="22">
        <v>45959.0</v>
      </c>
      <c r="G566" s="24">
        <f t="shared" ref="G566:H566" si="571">F566</f>
        <v>45959</v>
      </c>
      <c r="H566" s="26">
        <f t="shared" si="571"/>
        <v>45959</v>
      </c>
      <c r="I566" s="14" t="s">
        <v>1865</v>
      </c>
      <c r="K566" s="27">
        <v>2.0E8</v>
      </c>
      <c r="L566" s="29" t="s">
        <v>2775</v>
      </c>
      <c r="M566" s="14"/>
      <c r="N566" s="14" t="s">
        <v>84</v>
      </c>
      <c r="O566" s="31"/>
      <c r="P566" s="14" t="s">
        <v>2776</v>
      </c>
      <c r="Q566" s="36"/>
      <c r="R566" s="36"/>
      <c r="S566" s="36"/>
      <c r="T566" s="36"/>
      <c r="V566" s="31"/>
    </row>
    <row r="567">
      <c r="A567" s="14" t="s">
        <v>1787</v>
      </c>
      <c r="B567" s="14" t="s">
        <v>2777</v>
      </c>
      <c r="C567" s="14" t="s">
        <v>2778</v>
      </c>
      <c r="D567" s="14" t="s">
        <v>40</v>
      </c>
      <c r="E567" s="20" t="str">
        <f t="shared" si="2"/>
        <v>noviembre 2025</v>
      </c>
      <c r="F567" s="22">
        <v>45962.0</v>
      </c>
      <c r="G567" s="24">
        <f t="shared" ref="G567:H567" si="572">F567</f>
        <v>45962</v>
      </c>
      <c r="H567" s="26">
        <f t="shared" si="572"/>
        <v>45962</v>
      </c>
      <c r="I567" s="14" t="s">
        <v>90</v>
      </c>
      <c r="K567" s="27">
        <v>7.0E7</v>
      </c>
      <c r="L567" s="29" t="s">
        <v>1210</v>
      </c>
      <c r="M567" s="31"/>
      <c r="N567" s="14" t="s">
        <v>84</v>
      </c>
      <c r="O567" s="31"/>
      <c r="Q567" s="36"/>
      <c r="R567" s="36"/>
      <c r="S567" s="36"/>
      <c r="T567" s="36"/>
      <c r="V567" s="31"/>
    </row>
    <row r="568">
      <c r="A568" s="14" t="s">
        <v>1787</v>
      </c>
      <c r="B568" s="14" t="s">
        <v>2779</v>
      </c>
      <c r="C568" s="14" t="s">
        <v>2780</v>
      </c>
      <c r="D568" s="14" t="s">
        <v>40</v>
      </c>
      <c r="E568" s="20" t="str">
        <f t="shared" si="2"/>
        <v>noviembre 2025</v>
      </c>
      <c r="F568" s="22">
        <v>45962.0</v>
      </c>
      <c r="G568" s="24">
        <f t="shared" ref="G568:H568" si="573">F568</f>
        <v>45962</v>
      </c>
      <c r="H568" s="26">
        <f t="shared" si="573"/>
        <v>45962</v>
      </c>
      <c r="I568" s="14" t="s">
        <v>90</v>
      </c>
      <c r="K568" s="27">
        <v>1.0E7</v>
      </c>
      <c r="L568" s="29" t="s">
        <v>2764</v>
      </c>
      <c r="M568" s="31"/>
      <c r="N568" s="14" t="s">
        <v>84</v>
      </c>
      <c r="O568" s="31"/>
      <c r="Q568" s="36"/>
      <c r="R568" s="36"/>
      <c r="S568" s="36"/>
      <c r="T568" s="36"/>
      <c r="V568" s="31"/>
    </row>
    <row r="569">
      <c r="A569" s="14" t="s">
        <v>1012</v>
      </c>
      <c r="B569" s="14" t="s">
        <v>2781</v>
      </c>
      <c r="C569" s="14" t="s">
        <v>2782</v>
      </c>
      <c r="D569" s="14" t="s">
        <v>133</v>
      </c>
      <c r="E569" s="20" t="str">
        <f t="shared" si="2"/>
        <v>noviembre 2025</v>
      </c>
      <c r="F569" s="22">
        <v>45962.0</v>
      </c>
      <c r="G569" s="24">
        <f t="shared" ref="G569:H569" si="574">F569</f>
        <v>45962</v>
      </c>
      <c r="H569" s="26">
        <f t="shared" si="574"/>
        <v>45962</v>
      </c>
      <c r="I569" s="14" t="s">
        <v>1865</v>
      </c>
      <c r="K569" s="27">
        <v>1.5E8</v>
      </c>
      <c r="L569" s="29" t="s">
        <v>2783</v>
      </c>
      <c r="M569" s="31"/>
      <c r="N569" s="14" t="s">
        <v>84</v>
      </c>
      <c r="O569" s="31"/>
      <c r="Q569" s="36"/>
      <c r="R569" s="36"/>
      <c r="S569" s="36"/>
      <c r="T569" s="36"/>
      <c r="V569" s="31"/>
    </row>
    <row r="570">
      <c r="A570" s="14" t="s">
        <v>1012</v>
      </c>
      <c r="B570" s="14" t="s">
        <v>2784</v>
      </c>
      <c r="C570" s="14" t="s">
        <v>2785</v>
      </c>
      <c r="D570" s="14" t="s">
        <v>133</v>
      </c>
      <c r="E570" s="20" t="str">
        <f t="shared" si="2"/>
        <v>noviembre 2025</v>
      </c>
      <c r="F570" s="22">
        <v>45965.0</v>
      </c>
      <c r="G570" s="24">
        <f t="shared" ref="G570:H570" si="575">F570</f>
        <v>45965</v>
      </c>
      <c r="H570" s="26">
        <f t="shared" si="575"/>
        <v>45965</v>
      </c>
      <c r="I570" s="14" t="s">
        <v>1865</v>
      </c>
      <c r="K570" s="27">
        <v>8.0E7</v>
      </c>
      <c r="L570" s="29" t="s">
        <v>2786</v>
      </c>
      <c r="M570" s="31"/>
      <c r="N570" s="14" t="s">
        <v>133</v>
      </c>
      <c r="O570" s="31"/>
      <c r="Q570" s="36"/>
      <c r="R570" s="36"/>
      <c r="S570" s="36"/>
      <c r="T570" s="36"/>
      <c r="V570" s="31"/>
    </row>
    <row r="571">
      <c r="A571" s="14" t="s">
        <v>1012</v>
      </c>
      <c r="B571" s="14" t="s">
        <v>2787</v>
      </c>
      <c r="C571" s="14" t="s">
        <v>2788</v>
      </c>
      <c r="D571" s="14" t="s">
        <v>133</v>
      </c>
      <c r="E571" s="20" t="str">
        <f t="shared" si="2"/>
        <v>noviembre 2025</v>
      </c>
      <c r="F571" s="22">
        <v>45965.0</v>
      </c>
      <c r="G571" s="24">
        <f t="shared" ref="G571:H571" si="576">F571</f>
        <v>45965</v>
      </c>
      <c r="H571" s="26">
        <f t="shared" si="576"/>
        <v>45965</v>
      </c>
      <c r="I571" s="14" t="s">
        <v>1865</v>
      </c>
      <c r="K571" s="27">
        <v>8.0E7</v>
      </c>
      <c r="L571" s="29" t="s">
        <v>2786</v>
      </c>
      <c r="M571" s="31"/>
      <c r="N571" s="14" t="s">
        <v>133</v>
      </c>
      <c r="O571" s="31"/>
      <c r="Q571" s="36"/>
      <c r="R571" s="36"/>
      <c r="S571" s="36"/>
      <c r="T571" s="36"/>
      <c r="V571" s="31"/>
    </row>
    <row r="572">
      <c r="A572" s="14" t="s">
        <v>1787</v>
      </c>
      <c r="B572" s="14" t="s">
        <v>2789</v>
      </c>
      <c r="C572" s="14" t="s">
        <v>2790</v>
      </c>
      <c r="D572" s="14" t="s">
        <v>40</v>
      </c>
      <c r="E572" s="20" t="str">
        <f t="shared" si="2"/>
        <v>noviembre 2025</v>
      </c>
      <c r="F572" s="22">
        <v>45965.0</v>
      </c>
      <c r="G572" s="24">
        <f t="shared" ref="G572:H572" si="577">F572</f>
        <v>45965</v>
      </c>
      <c r="H572" s="26">
        <f t="shared" si="577"/>
        <v>45965</v>
      </c>
      <c r="I572" s="14" t="s">
        <v>90</v>
      </c>
      <c r="K572" s="27">
        <v>1.5E7</v>
      </c>
      <c r="L572" s="29" t="s">
        <v>2764</v>
      </c>
      <c r="M572" s="31"/>
      <c r="N572" s="14" t="s">
        <v>84</v>
      </c>
      <c r="O572" s="31"/>
      <c r="Q572" s="36"/>
      <c r="R572" s="36"/>
      <c r="S572" s="36"/>
      <c r="T572" s="36"/>
      <c r="V572" s="31"/>
    </row>
    <row r="573">
      <c r="A573" s="14" t="s">
        <v>1787</v>
      </c>
      <c r="B573" s="14" t="s">
        <v>2791</v>
      </c>
      <c r="C573" s="14" t="s">
        <v>2792</v>
      </c>
      <c r="D573" s="14" t="s">
        <v>40</v>
      </c>
      <c r="E573" s="20" t="str">
        <f t="shared" si="2"/>
        <v>noviembre 2025</v>
      </c>
      <c r="F573" s="22">
        <v>45966.0</v>
      </c>
      <c r="G573" s="24">
        <f t="shared" ref="G573:H573" si="578">F573</f>
        <v>45966</v>
      </c>
      <c r="H573" s="26">
        <f t="shared" si="578"/>
        <v>45966</v>
      </c>
      <c r="I573" s="14" t="s">
        <v>90</v>
      </c>
      <c r="K573" s="27">
        <v>3.0E7</v>
      </c>
      <c r="L573" s="29" t="s">
        <v>1008</v>
      </c>
      <c r="M573" s="31"/>
      <c r="N573" s="14" t="s">
        <v>84</v>
      </c>
      <c r="O573" s="31"/>
      <c r="Q573" s="36"/>
      <c r="R573" s="36"/>
      <c r="S573" s="36"/>
      <c r="T573" s="36"/>
      <c r="V573" s="31"/>
    </row>
    <row r="574">
      <c r="A574" s="14" t="s">
        <v>36</v>
      </c>
      <c r="B574" s="14" t="s">
        <v>2793</v>
      </c>
      <c r="C574" s="14" t="s">
        <v>2794</v>
      </c>
      <c r="D574" s="14" t="s">
        <v>133</v>
      </c>
      <c r="E574" s="20" t="str">
        <f t="shared" si="2"/>
        <v>noviembre 2025</v>
      </c>
      <c r="F574" s="22">
        <v>45966.0</v>
      </c>
      <c r="G574" s="24">
        <f t="shared" ref="G574:H574" si="579">F574</f>
        <v>45966</v>
      </c>
      <c r="H574" s="26">
        <f t="shared" si="579"/>
        <v>45966</v>
      </c>
      <c r="I574" s="14" t="s">
        <v>2398</v>
      </c>
      <c r="K574" s="305">
        <v>4.0E9</v>
      </c>
      <c r="L574" s="14" t="s">
        <v>2795</v>
      </c>
      <c r="M574" s="14"/>
      <c r="N574" s="14" t="s">
        <v>84</v>
      </c>
      <c r="O574" s="14" t="s">
        <v>40</v>
      </c>
      <c r="P574" s="14" t="s">
        <v>2796</v>
      </c>
    </row>
    <row r="575">
      <c r="A575" s="14" t="s">
        <v>679</v>
      </c>
      <c r="B575" s="14" t="s">
        <v>2797</v>
      </c>
      <c r="C575" s="14" t="s">
        <v>2798</v>
      </c>
      <c r="D575" s="14" t="s">
        <v>40</v>
      </c>
      <c r="E575" s="20" t="str">
        <f t="shared" si="2"/>
        <v>noviembre 2025</v>
      </c>
      <c r="F575" s="22">
        <v>45966.0</v>
      </c>
      <c r="G575" s="24">
        <f t="shared" ref="G575:H575" si="580">F575</f>
        <v>45966</v>
      </c>
      <c r="H575" s="26">
        <f t="shared" si="580"/>
        <v>45966</v>
      </c>
      <c r="I575" s="14" t="s">
        <v>259</v>
      </c>
      <c r="K575" s="27">
        <v>8.0E7</v>
      </c>
      <c r="L575" s="29" t="s">
        <v>2799</v>
      </c>
      <c r="M575" s="31"/>
      <c r="N575" s="14" t="s">
        <v>84</v>
      </c>
      <c r="O575" s="31"/>
      <c r="Q575" s="36"/>
      <c r="R575" s="36"/>
      <c r="S575" s="36"/>
      <c r="T575" s="36"/>
      <c r="V575" s="31"/>
    </row>
    <row r="576">
      <c r="A576" s="14" t="s">
        <v>679</v>
      </c>
      <c r="B576" s="14" t="s">
        <v>2800</v>
      </c>
      <c r="C576" s="14" t="s">
        <v>2801</v>
      </c>
      <c r="D576" s="14" t="s">
        <v>40</v>
      </c>
      <c r="E576" s="20" t="str">
        <f t="shared" si="2"/>
        <v>noviembre 2025</v>
      </c>
      <c r="F576" s="22">
        <v>45966.0</v>
      </c>
      <c r="G576" s="24">
        <f t="shared" ref="G576:H576" si="581">F576</f>
        <v>45966</v>
      </c>
      <c r="H576" s="26">
        <f t="shared" si="581"/>
        <v>45966</v>
      </c>
      <c r="I576" s="14" t="s">
        <v>90</v>
      </c>
      <c r="K576" s="27">
        <v>3.0E7</v>
      </c>
      <c r="L576" s="29" t="s">
        <v>2802</v>
      </c>
      <c r="M576" s="31"/>
      <c r="N576" s="14" t="s">
        <v>84</v>
      </c>
      <c r="O576" s="31"/>
      <c r="Q576" s="36"/>
      <c r="R576" s="36"/>
      <c r="S576" s="36"/>
      <c r="T576" s="36"/>
      <c r="V576" s="31"/>
    </row>
    <row r="577">
      <c r="A577" s="14" t="s">
        <v>679</v>
      </c>
      <c r="B577" s="14" t="s">
        <v>2803</v>
      </c>
      <c r="C577" s="14" t="s">
        <v>2804</v>
      </c>
      <c r="D577" s="14" t="s">
        <v>40</v>
      </c>
      <c r="E577" s="20" t="str">
        <f t="shared" si="2"/>
        <v>noviembre 2025</v>
      </c>
      <c r="F577" s="22">
        <v>45966.0</v>
      </c>
      <c r="G577" s="24">
        <f t="shared" ref="G577:H577" si="582">F577</f>
        <v>45966</v>
      </c>
      <c r="H577" s="26">
        <f t="shared" si="582"/>
        <v>45966</v>
      </c>
      <c r="I577" s="14" t="s">
        <v>259</v>
      </c>
      <c r="K577" s="27">
        <v>1.8E8</v>
      </c>
      <c r="L577" s="29"/>
      <c r="M577" s="31"/>
      <c r="N577" s="14"/>
      <c r="O577" s="31"/>
      <c r="Q577" s="36"/>
      <c r="R577" s="36"/>
      <c r="S577" s="36"/>
      <c r="T577" s="36"/>
      <c r="V577" s="31"/>
    </row>
    <row r="578">
      <c r="A578" s="14" t="s">
        <v>1787</v>
      </c>
      <c r="B578" s="14" t="s">
        <v>2805</v>
      </c>
      <c r="C578" s="14" t="s">
        <v>2806</v>
      </c>
      <c r="D578" s="14" t="s">
        <v>40</v>
      </c>
      <c r="E578" s="20" t="str">
        <f t="shared" si="2"/>
        <v>noviembre 2025</v>
      </c>
      <c r="F578" s="22">
        <v>45967.0</v>
      </c>
      <c r="G578" s="24">
        <f t="shared" ref="G578:H578" si="583">F578</f>
        <v>45967</v>
      </c>
      <c r="H578" s="26">
        <f t="shared" si="583"/>
        <v>45967</v>
      </c>
      <c r="I578" s="14" t="s">
        <v>90</v>
      </c>
      <c r="K578" s="27">
        <v>1.0E7</v>
      </c>
      <c r="L578" s="29" t="s">
        <v>1203</v>
      </c>
      <c r="M578" s="31"/>
      <c r="N578" s="14" t="s">
        <v>84</v>
      </c>
      <c r="O578" s="31"/>
      <c r="Q578" s="36"/>
      <c r="R578" s="36"/>
      <c r="S578" s="36"/>
      <c r="T578" s="36"/>
      <c r="V578" s="31"/>
    </row>
    <row r="579">
      <c r="A579" s="14" t="s">
        <v>1787</v>
      </c>
      <c r="B579" s="14" t="s">
        <v>2807</v>
      </c>
      <c r="C579" s="14" t="s">
        <v>2808</v>
      </c>
      <c r="D579" s="14" t="s">
        <v>40</v>
      </c>
      <c r="E579" s="20" t="str">
        <f t="shared" si="2"/>
        <v>noviembre 2025</v>
      </c>
      <c r="F579" s="22">
        <v>45967.0</v>
      </c>
      <c r="G579" s="24">
        <f t="shared" ref="G579:H579" si="584">F579</f>
        <v>45967</v>
      </c>
      <c r="H579" s="26">
        <f t="shared" si="584"/>
        <v>45967</v>
      </c>
      <c r="I579" s="14" t="s">
        <v>90</v>
      </c>
      <c r="K579" s="27">
        <v>3.0E7</v>
      </c>
      <c r="L579" s="29" t="s">
        <v>1008</v>
      </c>
      <c r="M579" s="31"/>
      <c r="N579" s="14" t="s">
        <v>84</v>
      </c>
      <c r="O579" s="31"/>
      <c r="Q579" s="36"/>
      <c r="R579" s="36"/>
      <c r="S579" s="36"/>
      <c r="T579" s="36"/>
      <c r="V579" s="31"/>
    </row>
    <row r="580">
      <c r="A580" s="14" t="s">
        <v>1045</v>
      </c>
      <c r="B580" s="14" t="s">
        <v>2809</v>
      </c>
      <c r="C580" s="14" t="s">
        <v>2810</v>
      </c>
      <c r="D580" s="14" t="s">
        <v>40</v>
      </c>
      <c r="E580" s="20" t="str">
        <f t="shared" si="2"/>
        <v>noviembre 2025</v>
      </c>
      <c r="F580" s="22">
        <v>45967.0</v>
      </c>
      <c r="G580" s="24">
        <f t="shared" ref="G580:H580" si="585">F580</f>
        <v>45967</v>
      </c>
      <c r="H580" s="26">
        <f t="shared" si="585"/>
        <v>45967</v>
      </c>
      <c r="I580" s="14" t="s">
        <v>90</v>
      </c>
      <c r="K580" s="27">
        <v>2.0E7</v>
      </c>
      <c r="L580" s="29" t="s">
        <v>1008</v>
      </c>
      <c r="M580" s="31"/>
      <c r="N580" s="14" t="s">
        <v>84</v>
      </c>
      <c r="O580" s="31"/>
      <c r="Q580" s="36"/>
      <c r="R580" s="36"/>
      <c r="S580" s="36"/>
      <c r="T580" s="36"/>
      <c r="V580" s="31"/>
    </row>
    <row r="581">
      <c r="A581" s="14" t="s">
        <v>1012</v>
      </c>
      <c r="B581" s="14" t="s">
        <v>2811</v>
      </c>
      <c r="C581" s="14" t="s">
        <v>2812</v>
      </c>
      <c r="D581" s="14" t="s">
        <v>40</v>
      </c>
      <c r="E581" s="20" t="str">
        <f t="shared" si="2"/>
        <v>noviembre 2025</v>
      </c>
      <c r="F581" s="22">
        <v>45966.0</v>
      </c>
      <c r="G581" s="24">
        <f t="shared" ref="G581:H581" si="586">F581</f>
        <v>45966</v>
      </c>
      <c r="H581" s="26">
        <f t="shared" si="586"/>
        <v>45966</v>
      </c>
      <c r="I581" s="14" t="s">
        <v>90</v>
      </c>
      <c r="K581" s="14">
        <v>1.0E8</v>
      </c>
      <c r="L581" s="14" t="s">
        <v>1033</v>
      </c>
      <c r="M581" s="31"/>
      <c r="O581" s="14" t="s">
        <v>133</v>
      </c>
    </row>
    <row r="582">
      <c r="A582" s="14" t="s">
        <v>1012</v>
      </c>
      <c r="B582" s="14" t="s">
        <v>2813</v>
      </c>
      <c r="C582" s="14" t="s">
        <v>2814</v>
      </c>
      <c r="D582" s="14" t="s">
        <v>40</v>
      </c>
      <c r="E582" s="20" t="str">
        <f t="shared" si="2"/>
        <v>noviembre 2025</v>
      </c>
      <c r="F582" s="22">
        <v>45966.0</v>
      </c>
      <c r="G582" s="24">
        <f t="shared" ref="G582:H582" si="587">F582</f>
        <v>45966</v>
      </c>
      <c r="H582" s="26">
        <f t="shared" si="587"/>
        <v>45966</v>
      </c>
      <c r="I582" s="14" t="s">
        <v>90</v>
      </c>
      <c r="K582" s="27">
        <v>1.0E8</v>
      </c>
      <c r="L582" s="14" t="s">
        <v>1033</v>
      </c>
      <c r="M582" s="31"/>
      <c r="N582" s="14" t="s">
        <v>84</v>
      </c>
      <c r="O582" s="14" t="s">
        <v>133</v>
      </c>
      <c r="Q582" s="36"/>
      <c r="R582" s="36"/>
      <c r="S582" s="36"/>
      <c r="T582" s="36"/>
      <c r="V582" s="31"/>
    </row>
    <row r="583">
      <c r="A583" s="14" t="s">
        <v>1787</v>
      </c>
      <c r="B583" s="14" t="s">
        <v>2815</v>
      </c>
      <c r="C583" s="14" t="s">
        <v>2816</v>
      </c>
      <c r="D583" s="14" t="s">
        <v>40</v>
      </c>
      <c r="E583" s="20" t="str">
        <f t="shared" si="2"/>
        <v>noviembre 2025</v>
      </c>
      <c r="F583" s="22">
        <v>45968.0</v>
      </c>
      <c r="G583" s="24">
        <f t="shared" ref="G583:H583" si="588">F583</f>
        <v>45968</v>
      </c>
      <c r="H583" s="26">
        <f t="shared" si="588"/>
        <v>45968</v>
      </c>
      <c r="I583" s="14" t="s">
        <v>90</v>
      </c>
      <c r="K583" s="27">
        <v>3.0E7</v>
      </c>
      <c r="L583" s="29" t="s">
        <v>1008</v>
      </c>
      <c r="M583" s="31"/>
      <c r="N583" s="14" t="s">
        <v>84</v>
      </c>
      <c r="O583" s="31"/>
      <c r="Q583" s="36"/>
      <c r="R583" s="36"/>
      <c r="S583" s="36"/>
      <c r="T583" s="36"/>
      <c r="V583" s="31"/>
    </row>
    <row r="584">
      <c r="A584" s="14" t="s">
        <v>36</v>
      </c>
      <c r="B584" s="14" t="s">
        <v>2817</v>
      </c>
      <c r="C584" s="14" t="s">
        <v>2818</v>
      </c>
      <c r="D584" s="14" t="s">
        <v>133</v>
      </c>
      <c r="E584" s="20" t="str">
        <f t="shared" si="2"/>
        <v>noviembre 2025</v>
      </c>
      <c r="F584" s="22">
        <v>45967.0</v>
      </c>
      <c r="G584" s="24">
        <f t="shared" ref="G584:H584" si="589">F584</f>
        <v>45967</v>
      </c>
      <c r="H584" s="26">
        <f t="shared" si="589"/>
        <v>45967</v>
      </c>
      <c r="I584" s="14" t="s">
        <v>1865</v>
      </c>
      <c r="K584" s="27">
        <v>7.0E8</v>
      </c>
      <c r="L584" s="29" t="s">
        <v>2819</v>
      </c>
      <c r="M584" s="14"/>
      <c r="N584" s="14"/>
      <c r="O584" s="14" t="s">
        <v>40</v>
      </c>
      <c r="P584" s="14" t="s">
        <v>2820</v>
      </c>
      <c r="Q584" s="36"/>
      <c r="R584" s="36"/>
      <c r="S584" s="36"/>
      <c r="T584" s="36"/>
      <c r="V584" s="31"/>
    </row>
    <row r="585">
      <c r="A585" s="14" t="s">
        <v>208</v>
      </c>
      <c r="B585" s="14" t="s">
        <v>2821</v>
      </c>
      <c r="C585" s="14" t="s">
        <v>2822</v>
      </c>
      <c r="D585" s="14" t="s">
        <v>133</v>
      </c>
      <c r="E585" s="20" t="str">
        <f t="shared" si="2"/>
        <v>noviembre 2025</v>
      </c>
      <c r="F585" s="22">
        <v>45967.0</v>
      </c>
      <c r="G585" s="24">
        <f t="shared" ref="G585:H585" si="590">F585</f>
        <v>45967</v>
      </c>
      <c r="H585" s="26">
        <f t="shared" si="590"/>
        <v>45967</v>
      </c>
      <c r="I585" s="14" t="s">
        <v>2398</v>
      </c>
      <c r="K585" s="27">
        <v>5.0E7</v>
      </c>
      <c r="L585" s="29" t="s">
        <v>2823</v>
      </c>
      <c r="M585" s="14"/>
      <c r="N585" s="14" t="s">
        <v>84</v>
      </c>
      <c r="O585" s="31"/>
      <c r="P585" s="14" t="s">
        <v>2820</v>
      </c>
      <c r="Q585" s="36"/>
      <c r="R585" s="36"/>
      <c r="S585" s="36"/>
      <c r="T585" s="36"/>
      <c r="V585" s="31"/>
    </row>
    <row r="586">
      <c r="A586" s="14" t="s">
        <v>208</v>
      </c>
      <c r="B586" s="14" t="s">
        <v>2824</v>
      </c>
      <c r="C586" s="14" t="s">
        <v>2825</v>
      </c>
      <c r="D586" s="14" t="s">
        <v>133</v>
      </c>
      <c r="E586" s="20" t="str">
        <f t="shared" si="2"/>
        <v>noviembre 2025</v>
      </c>
      <c r="F586" s="22">
        <v>45967.0</v>
      </c>
      <c r="G586" s="24">
        <f t="shared" ref="G586:H586" si="591">F586</f>
        <v>45967</v>
      </c>
      <c r="H586" s="26">
        <f t="shared" si="591"/>
        <v>45967</v>
      </c>
      <c r="I586" s="14" t="s">
        <v>2398</v>
      </c>
      <c r="K586" s="27">
        <v>1.5E8</v>
      </c>
      <c r="L586" s="29" t="s">
        <v>2823</v>
      </c>
      <c r="M586" s="14"/>
      <c r="N586" s="14" t="s">
        <v>84</v>
      </c>
      <c r="O586" s="31"/>
      <c r="P586" s="14" t="s">
        <v>2820</v>
      </c>
      <c r="Q586" s="36"/>
      <c r="R586" s="36"/>
      <c r="S586" s="36"/>
      <c r="T586" s="36"/>
      <c r="V586" s="31"/>
    </row>
    <row r="587">
      <c r="A587" s="14" t="s">
        <v>208</v>
      </c>
      <c r="B587" s="14" t="s">
        <v>2826</v>
      </c>
      <c r="C587" s="14" t="s">
        <v>2827</v>
      </c>
      <c r="D587" s="14" t="s">
        <v>133</v>
      </c>
      <c r="E587" s="20" t="str">
        <f t="shared" si="2"/>
        <v>noviembre 2025</v>
      </c>
      <c r="F587" s="22">
        <v>45967.0</v>
      </c>
      <c r="G587" s="24">
        <f t="shared" ref="G587:H587" si="592">F587</f>
        <v>45967</v>
      </c>
      <c r="H587" s="26">
        <f t="shared" si="592"/>
        <v>45967</v>
      </c>
      <c r="I587" s="14" t="s">
        <v>2398</v>
      </c>
      <c r="K587" s="27">
        <v>1.0E8</v>
      </c>
      <c r="L587" s="29" t="s">
        <v>2823</v>
      </c>
      <c r="M587" s="14"/>
      <c r="N587" s="14" t="s">
        <v>84</v>
      </c>
      <c r="O587" s="31"/>
      <c r="P587" s="14" t="s">
        <v>2820</v>
      </c>
      <c r="Q587" s="36"/>
      <c r="R587" s="36"/>
      <c r="S587" s="36"/>
      <c r="T587" s="36"/>
      <c r="V587" s="31"/>
    </row>
    <row r="588">
      <c r="A588" s="14" t="s">
        <v>208</v>
      </c>
      <c r="B588" s="14" t="s">
        <v>2829</v>
      </c>
      <c r="C588" s="14" t="s">
        <v>2830</v>
      </c>
      <c r="D588" s="14" t="s">
        <v>133</v>
      </c>
      <c r="E588" s="20" t="str">
        <f t="shared" si="2"/>
        <v>noviembre 2025</v>
      </c>
      <c r="F588" s="22">
        <v>45967.0</v>
      </c>
      <c r="G588" s="24">
        <f t="shared" ref="G588:H588" si="593">F588</f>
        <v>45967</v>
      </c>
      <c r="H588" s="26">
        <f t="shared" si="593"/>
        <v>45967</v>
      </c>
      <c r="I588" s="14" t="s">
        <v>2398</v>
      </c>
      <c r="K588" s="27">
        <v>1.5E8</v>
      </c>
      <c r="L588" s="29" t="s">
        <v>2823</v>
      </c>
      <c r="M588" s="14"/>
      <c r="N588" s="14" t="s">
        <v>84</v>
      </c>
      <c r="O588" s="31"/>
      <c r="P588" s="14" t="s">
        <v>2820</v>
      </c>
      <c r="Q588" s="36"/>
      <c r="R588" s="36"/>
      <c r="S588" s="36"/>
      <c r="T588" s="36"/>
      <c r="V588" s="31"/>
    </row>
    <row r="589">
      <c r="A589" s="14" t="s">
        <v>208</v>
      </c>
      <c r="B589" s="14" t="s">
        <v>2837</v>
      </c>
      <c r="C589" s="14" t="s">
        <v>2838</v>
      </c>
      <c r="D589" s="14" t="s">
        <v>40</v>
      </c>
      <c r="E589" s="20" t="str">
        <f t="shared" si="2"/>
        <v>noviembre 2025</v>
      </c>
      <c r="F589" s="22">
        <v>45972.0</v>
      </c>
      <c r="G589" s="24">
        <f t="shared" ref="G589:H589" si="594">F589</f>
        <v>45972</v>
      </c>
      <c r="H589" s="26">
        <f t="shared" si="594"/>
        <v>45972</v>
      </c>
      <c r="I589" s="14" t="s">
        <v>90</v>
      </c>
      <c r="K589" s="27">
        <v>2.0E7</v>
      </c>
      <c r="L589" s="29" t="s">
        <v>887</v>
      </c>
      <c r="M589" s="31"/>
      <c r="N589" s="14" t="s">
        <v>133</v>
      </c>
      <c r="O589" s="14" t="s">
        <v>133</v>
      </c>
      <c r="Q589" s="36"/>
      <c r="R589" s="36"/>
      <c r="S589" s="36"/>
      <c r="T589" s="36"/>
      <c r="V589" s="31"/>
    </row>
    <row r="590">
      <c r="A590" s="14" t="s">
        <v>117</v>
      </c>
      <c r="B590" s="14" t="s">
        <v>2842</v>
      </c>
      <c r="C590" s="14" t="s">
        <v>2646</v>
      </c>
      <c r="D590" s="14" t="s">
        <v>133</v>
      </c>
      <c r="E590" s="20" t="str">
        <f t="shared" si="2"/>
        <v>noviembre 2025</v>
      </c>
      <c r="F590" s="22">
        <v>45972.0</v>
      </c>
      <c r="G590" s="24">
        <f t="shared" ref="G590:H590" si="595">F590</f>
        <v>45972</v>
      </c>
      <c r="H590" s="26">
        <f t="shared" si="595"/>
        <v>45972</v>
      </c>
      <c r="I590" s="14" t="s">
        <v>1865</v>
      </c>
      <c r="K590" s="27">
        <v>8.0E8</v>
      </c>
      <c r="L590" s="29" t="s">
        <v>2737</v>
      </c>
      <c r="M590" s="14"/>
      <c r="N590" s="31"/>
      <c r="O590" s="14" t="s">
        <v>40</v>
      </c>
      <c r="P590" s="14" t="s">
        <v>2493</v>
      </c>
      <c r="Q590" s="36"/>
      <c r="R590" s="36"/>
      <c r="S590" s="36"/>
      <c r="T590" s="36"/>
      <c r="V590" s="31"/>
    </row>
    <row r="591">
      <c r="A591" s="14" t="s">
        <v>1787</v>
      </c>
      <c r="B591" s="14" t="s">
        <v>2844</v>
      </c>
      <c r="C591" s="14" t="s">
        <v>2845</v>
      </c>
      <c r="D591" s="14" t="s">
        <v>40</v>
      </c>
      <c r="E591" s="20" t="str">
        <f t="shared" si="2"/>
        <v>noviembre 2025</v>
      </c>
      <c r="F591" s="22">
        <v>45973.0</v>
      </c>
      <c r="G591" s="24">
        <f t="shared" ref="G591:H591" si="596">F591</f>
        <v>45973</v>
      </c>
      <c r="H591" s="26">
        <f t="shared" si="596"/>
        <v>45973</v>
      </c>
      <c r="I591" s="14" t="s">
        <v>90</v>
      </c>
      <c r="K591" s="27">
        <v>1.0E7</v>
      </c>
      <c r="L591" s="29" t="s">
        <v>2764</v>
      </c>
      <c r="M591" s="31"/>
      <c r="N591" s="14" t="s">
        <v>84</v>
      </c>
      <c r="O591" s="31"/>
      <c r="Q591" s="36"/>
      <c r="R591" s="36"/>
      <c r="S591" s="36"/>
      <c r="T591" s="36"/>
      <c r="V591" s="31"/>
    </row>
    <row r="592">
      <c r="A592" s="14" t="s">
        <v>1045</v>
      </c>
      <c r="B592" s="14" t="s">
        <v>2846</v>
      </c>
      <c r="C592" s="14" t="s">
        <v>2847</v>
      </c>
      <c r="D592" s="14" t="s">
        <v>133</v>
      </c>
      <c r="E592" s="20" t="str">
        <f t="shared" si="2"/>
        <v>noviembre 2025</v>
      </c>
      <c r="F592" s="22">
        <v>45972.0</v>
      </c>
      <c r="G592" s="24">
        <f t="shared" ref="G592:H592" si="597">F592</f>
        <v>45972</v>
      </c>
      <c r="H592" s="26">
        <f t="shared" si="597"/>
        <v>45972</v>
      </c>
      <c r="I592" s="14" t="s">
        <v>1865</v>
      </c>
      <c r="K592" s="27">
        <v>1.0E8</v>
      </c>
      <c r="L592" s="29" t="s">
        <v>1210</v>
      </c>
      <c r="M592" s="14"/>
      <c r="N592" s="14" t="s">
        <v>84</v>
      </c>
      <c r="O592" s="31"/>
      <c r="P592" s="14" t="s">
        <v>2641</v>
      </c>
      <c r="Q592" s="36"/>
      <c r="R592" s="36"/>
      <c r="S592" s="36"/>
      <c r="T592" s="36"/>
      <c r="V592" s="31"/>
    </row>
    <row r="593">
      <c r="A593" s="14" t="s">
        <v>1787</v>
      </c>
      <c r="B593" s="14" t="s">
        <v>2850</v>
      </c>
      <c r="C593" s="14" t="s">
        <v>2851</v>
      </c>
      <c r="D593" s="14" t="s">
        <v>40</v>
      </c>
      <c r="E593" s="20" t="str">
        <f t="shared" si="2"/>
        <v>noviembre 2025</v>
      </c>
      <c r="F593" s="22">
        <v>45974.0</v>
      </c>
      <c r="G593" s="24">
        <f t="shared" ref="G593:H593" si="598">F593</f>
        <v>45974</v>
      </c>
      <c r="H593" s="26">
        <f t="shared" si="598"/>
        <v>45974</v>
      </c>
      <c r="I593" s="14" t="s">
        <v>90</v>
      </c>
      <c r="K593" s="27">
        <v>2.5E7</v>
      </c>
      <c r="L593" s="29" t="s">
        <v>1008</v>
      </c>
      <c r="M593" s="31"/>
      <c r="N593" s="14" t="s">
        <v>84</v>
      </c>
      <c r="O593" s="31"/>
      <c r="Q593" s="36"/>
      <c r="R593" s="36"/>
      <c r="S593" s="36"/>
      <c r="T593" s="36"/>
      <c r="V593" s="31"/>
    </row>
    <row r="594">
      <c r="A594" s="14" t="s">
        <v>679</v>
      </c>
      <c r="B594" s="14" t="s">
        <v>2856</v>
      </c>
      <c r="C594" s="14" t="s">
        <v>2857</v>
      </c>
      <c r="D594" s="14" t="s">
        <v>40</v>
      </c>
      <c r="E594" s="20" t="str">
        <f t="shared" si="2"/>
        <v>noviembre 2025</v>
      </c>
      <c r="F594" s="22">
        <v>45968.0</v>
      </c>
      <c r="G594" s="24">
        <f t="shared" ref="G594:H594" si="599">F594</f>
        <v>45968</v>
      </c>
      <c r="H594" s="26">
        <f t="shared" si="599"/>
        <v>45968</v>
      </c>
      <c r="I594" s="14" t="s">
        <v>90</v>
      </c>
      <c r="K594" s="27">
        <v>2.5E7</v>
      </c>
      <c r="L594" s="29" t="s">
        <v>1008</v>
      </c>
      <c r="M594" s="31"/>
      <c r="N594" s="14" t="s">
        <v>84</v>
      </c>
      <c r="O594" s="31"/>
      <c r="Q594" s="36"/>
      <c r="R594" s="36"/>
      <c r="S594" s="36"/>
      <c r="T594" s="36"/>
      <c r="V594" s="31"/>
    </row>
    <row r="595">
      <c r="A595" s="14" t="s">
        <v>679</v>
      </c>
      <c r="B595" s="14" t="s">
        <v>2858</v>
      </c>
      <c r="C595" s="14" t="s">
        <v>2859</v>
      </c>
      <c r="D595" s="14" t="s">
        <v>40</v>
      </c>
      <c r="E595" s="20" t="str">
        <f t="shared" si="2"/>
        <v>noviembre 2025</v>
      </c>
      <c r="F595" s="22">
        <v>45971.0</v>
      </c>
      <c r="G595" s="24">
        <f t="shared" ref="G595:H595" si="600">F595</f>
        <v>45971</v>
      </c>
      <c r="H595" s="26">
        <f t="shared" si="600"/>
        <v>45971</v>
      </c>
      <c r="I595" s="14" t="s">
        <v>90</v>
      </c>
      <c r="K595" s="27">
        <v>2.0E7</v>
      </c>
      <c r="L595" s="29" t="s">
        <v>1008</v>
      </c>
      <c r="M595" s="31"/>
      <c r="N595" s="14" t="s">
        <v>84</v>
      </c>
      <c r="O595" s="31"/>
      <c r="Q595" s="36"/>
      <c r="R595" s="36"/>
      <c r="S595" s="36"/>
      <c r="T595" s="36"/>
      <c r="V595" s="31"/>
    </row>
    <row r="596">
      <c r="A596" s="14" t="s">
        <v>679</v>
      </c>
      <c r="B596" s="14" t="s">
        <v>2860</v>
      </c>
      <c r="C596" s="14" t="s">
        <v>2861</v>
      </c>
      <c r="D596" s="14" t="s">
        <v>40</v>
      </c>
      <c r="E596" s="20" t="str">
        <f t="shared" si="2"/>
        <v>noviembre 2025</v>
      </c>
      <c r="F596" s="22">
        <v>45973.0</v>
      </c>
      <c r="G596" s="24">
        <f t="shared" ref="G596:H596" si="601">F596</f>
        <v>45973</v>
      </c>
      <c r="H596" s="26">
        <f t="shared" si="601"/>
        <v>45973</v>
      </c>
      <c r="I596" s="14" t="s">
        <v>90</v>
      </c>
      <c r="K596" s="27">
        <v>1.0E7</v>
      </c>
      <c r="L596" s="29" t="s">
        <v>2764</v>
      </c>
      <c r="M596" s="31"/>
      <c r="N596" s="14" t="s">
        <v>84</v>
      </c>
      <c r="O596" s="31"/>
      <c r="Q596" s="36"/>
      <c r="R596" s="36"/>
      <c r="S596" s="36"/>
      <c r="T596" s="36"/>
      <c r="V596" s="31"/>
    </row>
    <row r="597">
      <c r="A597" s="14" t="s">
        <v>1787</v>
      </c>
      <c r="B597" s="14" t="s">
        <v>2863</v>
      </c>
      <c r="C597" s="14" t="s">
        <v>2864</v>
      </c>
      <c r="D597" s="14" t="s">
        <v>40</v>
      </c>
      <c r="E597" s="20" t="str">
        <f t="shared" si="2"/>
        <v>noviembre 2025</v>
      </c>
      <c r="F597" s="22">
        <v>45975.0</v>
      </c>
      <c r="G597" s="24">
        <f t="shared" ref="G597:H597" si="602">F597</f>
        <v>45975</v>
      </c>
      <c r="H597" s="26">
        <f t="shared" si="602"/>
        <v>45975</v>
      </c>
      <c r="I597" s="14" t="s">
        <v>90</v>
      </c>
      <c r="K597" s="27">
        <v>1.0E8</v>
      </c>
      <c r="L597" s="29" t="s">
        <v>2865</v>
      </c>
      <c r="M597" s="31"/>
      <c r="N597" s="14" t="s">
        <v>84</v>
      </c>
      <c r="O597" s="31"/>
      <c r="Q597" s="36"/>
      <c r="R597" s="36"/>
      <c r="S597" s="36"/>
      <c r="T597" s="36"/>
      <c r="V597" s="31"/>
    </row>
    <row r="598">
      <c r="A598" s="14" t="s">
        <v>117</v>
      </c>
      <c r="B598" s="14" t="s">
        <v>2867</v>
      </c>
      <c r="C598" s="14" t="s">
        <v>2868</v>
      </c>
      <c r="D598" s="14" t="s">
        <v>133</v>
      </c>
      <c r="E598" s="20" t="str">
        <f t="shared" si="2"/>
        <v>noviembre 2025</v>
      </c>
      <c r="F598" s="22">
        <v>45976.0</v>
      </c>
      <c r="G598" s="24">
        <f t="shared" ref="G598:H598" si="603">F598</f>
        <v>45976</v>
      </c>
      <c r="H598" s="26">
        <f t="shared" si="603"/>
        <v>45976</v>
      </c>
      <c r="I598" s="14" t="s">
        <v>1865</v>
      </c>
      <c r="K598" s="27">
        <v>1.2E8</v>
      </c>
      <c r="L598" s="62">
        <v>0.0256</v>
      </c>
      <c r="M598" s="14"/>
      <c r="N598" s="14" t="s">
        <v>84</v>
      </c>
      <c r="O598" s="14" t="s">
        <v>40</v>
      </c>
      <c r="P598" s="14" t="s">
        <v>2869</v>
      </c>
      <c r="Q598" s="36"/>
      <c r="R598" s="36"/>
      <c r="S598" s="36"/>
      <c r="T598" s="36"/>
      <c r="V598" s="31"/>
    </row>
    <row r="599">
      <c r="A599" s="14" t="s">
        <v>1012</v>
      </c>
      <c r="B599" s="14" t="s">
        <v>2870</v>
      </c>
      <c r="C599" s="14" t="s">
        <v>2871</v>
      </c>
      <c r="D599" s="14" t="s">
        <v>40</v>
      </c>
      <c r="E599" s="20" t="str">
        <f t="shared" si="2"/>
        <v>noviembre 2025</v>
      </c>
      <c r="F599" s="22">
        <v>45979.0</v>
      </c>
      <c r="G599" s="24">
        <f t="shared" ref="G599:H599" si="604">F599</f>
        <v>45979</v>
      </c>
      <c r="H599" s="26">
        <f t="shared" si="604"/>
        <v>45979</v>
      </c>
      <c r="I599" s="14" t="s">
        <v>259</v>
      </c>
      <c r="K599" s="27">
        <v>1.0E8</v>
      </c>
      <c r="L599" s="29" t="s">
        <v>2873</v>
      </c>
      <c r="M599" s="31"/>
      <c r="N599" s="31"/>
      <c r="O599" s="14" t="s">
        <v>133</v>
      </c>
      <c r="Q599" s="36"/>
      <c r="R599" s="36"/>
      <c r="S599" s="36"/>
      <c r="T599" s="36"/>
      <c r="V599" s="31"/>
    </row>
    <row r="600">
      <c r="A600" s="14" t="s">
        <v>1012</v>
      </c>
      <c r="B600" s="14" t="s">
        <v>2874</v>
      </c>
      <c r="C600" s="14" t="s">
        <v>2875</v>
      </c>
      <c r="D600" s="14" t="s">
        <v>133</v>
      </c>
      <c r="E600" s="20" t="str">
        <f t="shared" si="2"/>
        <v>noviembre 2025</v>
      </c>
      <c r="F600" s="22">
        <v>45979.0</v>
      </c>
      <c r="G600" s="24">
        <f t="shared" ref="G600:H600" si="605">F600</f>
        <v>45979</v>
      </c>
      <c r="H600" s="26">
        <f t="shared" si="605"/>
        <v>45979</v>
      </c>
      <c r="I600" s="14" t="s">
        <v>1865</v>
      </c>
      <c r="K600" s="27">
        <v>1.0E8</v>
      </c>
      <c r="L600" s="29" t="s">
        <v>1033</v>
      </c>
      <c r="M600" s="31"/>
      <c r="N600" s="14" t="s">
        <v>84</v>
      </c>
      <c r="O600" s="14" t="s">
        <v>133</v>
      </c>
      <c r="Q600" s="36"/>
      <c r="R600" s="36"/>
      <c r="S600" s="36"/>
      <c r="T600" s="36"/>
      <c r="V600" s="31"/>
    </row>
    <row r="601">
      <c r="A601" s="14" t="s">
        <v>679</v>
      </c>
      <c r="B601" s="14" t="s">
        <v>2876</v>
      </c>
      <c r="C601" s="14" t="s">
        <v>2877</v>
      </c>
      <c r="D601" s="14" t="s">
        <v>40</v>
      </c>
      <c r="E601" s="20" t="str">
        <f t="shared" si="2"/>
        <v>noviembre 2025</v>
      </c>
      <c r="F601" s="22">
        <v>45979.0</v>
      </c>
      <c r="G601" s="24">
        <f t="shared" ref="G601:H601" si="606">F601</f>
        <v>45979</v>
      </c>
      <c r="H601" s="26">
        <f t="shared" si="606"/>
        <v>45979</v>
      </c>
      <c r="I601" s="14" t="s">
        <v>90</v>
      </c>
      <c r="K601" s="27">
        <v>5.0E7</v>
      </c>
      <c r="L601" s="29">
        <v>1.85</v>
      </c>
      <c r="M601" s="31"/>
      <c r="N601" s="14" t="s">
        <v>84</v>
      </c>
      <c r="O601" s="31"/>
      <c r="Q601" s="36"/>
      <c r="R601" s="36"/>
      <c r="S601" s="36"/>
      <c r="T601" s="36"/>
      <c r="V601" s="31"/>
    </row>
    <row r="602">
      <c r="A602" s="14" t="s">
        <v>679</v>
      </c>
      <c r="B602" s="14" t="s">
        <v>2878</v>
      </c>
      <c r="C602" s="14" t="s">
        <v>2879</v>
      </c>
      <c r="D602" s="14" t="s">
        <v>40</v>
      </c>
      <c r="E602" s="20" t="str">
        <f t="shared" si="2"/>
        <v>noviembre 2025</v>
      </c>
      <c r="F602" s="22">
        <v>45979.0</v>
      </c>
      <c r="G602" s="24">
        <f t="shared" ref="G602:H602" si="607">F602</f>
        <v>45979</v>
      </c>
      <c r="H602" s="26">
        <f t="shared" si="607"/>
        <v>45979</v>
      </c>
      <c r="I602" s="14" t="s">
        <v>90</v>
      </c>
      <c r="K602" s="27">
        <v>1.0E8</v>
      </c>
      <c r="L602" s="29">
        <v>1.85</v>
      </c>
      <c r="M602" s="31"/>
      <c r="N602" s="14" t="s">
        <v>84</v>
      </c>
      <c r="O602" s="31"/>
      <c r="Q602" s="36"/>
      <c r="R602" s="36"/>
      <c r="S602" s="36"/>
      <c r="T602" s="36"/>
      <c r="V602" s="31"/>
    </row>
    <row r="603">
      <c r="A603" s="14" t="s">
        <v>679</v>
      </c>
      <c r="B603" s="14" t="s">
        <v>2880</v>
      </c>
      <c r="C603" s="14" t="s">
        <v>2881</v>
      </c>
      <c r="D603" s="14" t="s">
        <v>40</v>
      </c>
      <c r="E603" s="20" t="str">
        <f t="shared" si="2"/>
        <v>noviembre 2025</v>
      </c>
      <c r="F603" s="22">
        <v>45979.0</v>
      </c>
      <c r="G603" s="24">
        <f t="shared" ref="G603:H603" si="608">F603</f>
        <v>45979</v>
      </c>
      <c r="H603" s="26">
        <f t="shared" si="608"/>
        <v>45979</v>
      </c>
      <c r="I603" s="14" t="s">
        <v>90</v>
      </c>
      <c r="K603" s="27">
        <v>1.0E8</v>
      </c>
      <c r="L603" s="29">
        <v>1.85</v>
      </c>
      <c r="M603" s="31"/>
      <c r="N603" s="14" t="s">
        <v>84</v>
      </c>
      <c r="O603" s="31"/>
      <c r="Q603" s="36"/>
      <c r="R603" s="36"/>
      <c r="S603" s="36"/>
      <c r="T603" s="36"/>
      <c r="V603" s="31"/>
    </row>
    <row r="604">
      <c r="A604" s="14" t="s">
        <v>679</v>
      </c>
      <c r="B604" s="14" t="s">
        <v>2882</v>
      </c>
      <c r="C604" s="14" t="s">
        <v>2883</v>
      </c>
      <c r="D604" s="14" t="s">
        <v>40</v>
      </c>
      <c r="E604" s="20" t="str">
        <f t="shared" si="2"/>
        <v>noviembre 2025</v>
      </c>
      <c r="F604" s="22">
        <v>45979.0</v>
      </c>
      <c r="G604" s="24">
        <f t="shared" ref="G604:H604" si="609">F604</f>
        <v>45979</v>
      </c>
      <c r="H604" s="26">
        <f t="shared" si="609"/>
        <v>45979</v>
      </c>
      <c r="I604" s="14" t="s">
        <v>90</v>
      </c>
      <c r="K604" s="27">
        <v>1.0E8</v>
      </c>
      <c r="L604" s="29">
        <v>1.85</v>
      </c>
      <c r="M604" s="31"/>
      <c r="N604" s="14" t="s">
        <v>84</v>
      </c>
      <c r="O604" s="31"/>
      <c r="Q604" s="36"/>
      <c r="R604" s="36"/>
      <c r="S604" s="36"/>
      <c r="T604" s="36"/>
      <c r="V604" s="31"/>
    </row>
    <row r="605">
      <c r="A605" s="14" t="s">
        <v>1787</v>
      </c>
      <c r="B605" s="34" t="s">
        <v>2884</v>
      </c>
      <c r="C605" s="322" t="s">
        <v>2885</v>
      </c>
      <c r="D605" s="14" t="s">
        <v>40</v>
      </c>
      <c r="E605" s="20" t="str">
        <f t="shared" si="2"/>
        <v>noviembre 2025</v>
      </c>
      <c r="F605" s="22">
        <v>45980.0</v>
      </c>
      <c r="G605" s="24">
        <f t="shared" ref="G605:H605" si="610">F605</f>
        <v>45980</v>
      </c>
      <c r="H605" s="26">
        <f t="shared" si="610"/>
        <v>45980</v>
      </c>
      <c r="I605" s="14" t="s">
        <v>90</v>
      </c>
      <c r="K605" s="27">
        <v>2.0E9</v>
      </c>
      <c r="L605" s="14" t="s">
        <v>2523</v>
      </c>
      <c r="M605" s="31"/>
      <c r="N605" s="14" t="s">
        <v>84</v>
      </c>
      <c r="O605" s="31"/>
      <c r="Q605" s="36"/>
      <c r="R605" s="36"/>
      <c r="S605" s="36"/>
      <c r="T605" s="36"/>
      <c r="V605" s="31"/>
    </row>
    <row r="606">
      <c r="A606" s="14" t="s">
        <v>736</v>
      </c>
      <c r="B606" s="14" t="s">
        <v>2886</v>
      </c>
      <c r="C606" s="14" t="s">
        <v>2652</v>
      </c>
      <c r="D606" s="14" t="s">
        <v>40</v>
      </c>
      <c r="E606" s="20" t="str">
        <f t="shared" si="2"/>
        <v>noviembre 2025</v>
      </c>
      <c r="F606" s="22">
        <v>45971.0</v>
      </c>
      <c r="G606" s="24">
        <f t="shared" ref="G606:H606" si="611">F606</f>
        <v>45971</v>
      </c>
      <c r="H606" s="26">
        <f t="shared" si="611"/>
        <v>45971</v>
      </c>
      <c r="I606" s="14" t="s">
        <v>90</v>
      </c>
      <c r="K606" s="27">
        <v>1.9E8</v>
      </c>
      <c r="L606" s="29" t="s">
        <v>2887</v>
      </c>
      <c r="M606" s="14"/>
      <c r="N606" s="14" t="s">
        <v>84</v>
      </c>
      <c r="O606" s="14" t="s">
        <v>40</v>
      </c>
      <c r="P606" s="14" t="s">
        <v>2888</v>
      </c>
      <c r="Q606" s="36"/>
      <c r="R606" s="36"/>
      <c r="S606" s="36"/>
      <c r="T606" s="36"/>
      <c r="V606" s="31"/>
    </row>
    <row r="607">
      <c r="A607" s="14" t="s">
        <v>736</v>
      </c>
      <c r="B607" s="14" t="s">
        <v>2886</v>
      </c>
      <c r="C607" s="14" t="s">
        <v>2890</v>
      </c>
      <c r="D607" s="14" t="s">
        <v>40</v>
      </c>
      <c r="E607" s="20" t="str">
        <f t="shared" si="2"/>
        <v>noviembre 2025</v>
      </c>
      <c r="F607" s="22">
        <v>45981.0</v>
      </c>
      <c r="G607" s="24">
        <f t="shared" ref="G607:H607" si="612">F607</f>
        <v>45981</v>
      </c>
      <c r="H607" s="26">
        <f t="shared" si="612"/>
        <v>45981</v>
      </c>
      <c r="I607" s="14" t="s">
        <v>90</v>
      </c>
      <c r="L607" s="29" t="s">
        <v>2887</v>
      </c>
      <c r="M607" s="14"/>
      <c r="N607" s="14" t="s">
        <v>84</v>
      </c>
      <c r="O607" s="14" t="s">
        <v>40</v>
      </c>
      <c r="P607" s="14" t="s">
        <v>2888</v>
      </c>
      <c r="Q607" s="36"/>
      <c r="R607" s="36"/>
      <c r="S607" s="36"/>
      <c r="T607" s="36"/>
      <c r="V607" s="31"/>
    </row>
    <row r="608">
      <c r="A608" s="14" t="s">
        <v>736</v>
      </c>
      <c r="B608" s="14" t="s">
        <v>2893</v>
      </c>
      <c r="C608" s="14" t="s">
        <v>2651</v>
      </c>
      <c r="D608" s="14" t="s">
        <v>40</v>
      </c>
      <c r="E608" s="20" t="str">
        <f t="shared" si="2"/>
        <v>noviembre 2025</v>
      </c>
      <c r="F608" s="22">
        <v>45971.0</v>
      </c>
      <c r="G608" s="24">
        <f t="shared" ref="G608:H608" si="613">F608</f>
        <v>45971</v>
      </c>
      <c r="H608" s="26">
        <f t="shared" si="613"/>
        <v>45971</v>
      </c>
      <c r="I608" s="14" t="s">
        <v>90</v>
      </c>
      <c r="K608" s="27">
        <v>3.2E8</v>
      </c>
      <c r="L608" s="29" t="s">
        <v>2887</v>
      </c>
      <c r="M608" s="14"/>
      <c r="N608" s="14" t="s">
        <v>84</v>
      </c>
      <c r="O608" s="14" t="s">
        <v>40</v>
      </c>
      <c r="P608" s="14" t="s">
        <v>2888</v>
      </c>
      <c r="Q608" s="36"/>
      <c r="R608" s="36"/>
      <c r="S608" s="36"/>
      <c r="T608" s="36"/>
      <c r="V608" s="31"/>
    </row>
    <row r="609">
      <c r="A609" s="14" t="s">
        <v>1787</v>
      </c>
      <c r="B609" s="14" t="s">
        <v>2898</v>
      </c>
      <c r="C609" s="14" t="s">
        <v>2899</v>
      </c>
      <c r="D609" s="14" t="s">
        <v>40</v>
      </c>
      <c r="E609" s="20" t="str">
        <f t="shared" si="2"/>
        <v>noviembre 2025</v>
      </c>
      <c r="F609" s="22">
        <v>45981.0</v>
      </c>
      <c r="G609" s="24">
        <f t="shared" ref="G609:H609" si="614">F609</f>
        <v>45981</v>
      </c>
      <c r="H609" s="26">
        <f t="shared" si="614"/>
        <v>45981</v>
      </c>
      <c r="I609" s="14" t="s">
        <v>90</v>
      </c>
      <c r="K609" s="27">
        <v>2.0E7</v>
      </c>
      <c r="L609" s="29" t="s">
        <v>1203</v>
      </c>
      <c r="M609" s="31"/>
      <c r="N609" s="14" t="s">
        <v>84</v>
      </c>
      <c r="O609" s="31"/>
      <c r="Q609" s="36"/>
      <c r="R609" s="36"/>
      <c r="S609" s="36"/>
      <c r="T609" s="36"/>
      <c r="V609" s="31"/>
    </row>
    <row r="610">
      <c r="A610" s="14" t="s">
        <v>1787</v>
      </c>
      <c r="B610" s="14" t="s">
        <v>2902</v>
      </c>
      <c r="C610" s="14" t="s">
        <v>2903</v>
      </c>
      <c r="D610" s="14" t="s">
        <v>40</v>
      </c>
      <c r="E610" s="20" t="str">
        <f t="shared" si="2"/>
        <v>noviembre 2025</v>
      </c>
      <c r="F610" s="22">
        <v>45980.0</v>
      </c>
      <c r="G610" s="24">
        <f t="shared" ref="G610:H610" si="615">F610</f>
        <v>45980</v>
      </c>
      <c r="H610" s="26">
        <f t="shared" si="615"/>
        <v>45980</v>
      </c>
      <c r="I610" s="14" t="s">
        <v>90</v>
      </c>
      <c r="K610" s="27">
        <v>1.0E7</v>
      </c>
      <c r="L610" s="29" t="s">
        <v>1203</v>
      </c>
      <c r="M610" s="31"/>
      <c r="N610" s="14" t="s">
        <v>84</v>
      </c>
      <c r="O610" s="31"/>
      <c r="Q610" s="36"/>
      <c r="R610" s="36"/>
      <c r="S610" s="36"/>
      <c r="T610" s="36"/>
      <c r="V610" s="31"/>
    </row>
    <row r="611">
      <c r="A611" s="14" t="s">
        <v>1012</v>
      </c>
      <c r="B611" s="14" t="s">
        <v>2904</v>
      </c>
      <c r="C611" s="14" t="s">
        <v>2905</v>
      </c>
      <c r="D611" s="14" t="s">
        <v>133</v>
      </c>
      <c r="E611" s="20" t="str">
        <f t="shared" si="2"/>
        <v>noviembre 2025</v>
      </c>
      <c r="F611" s="22">
        <v>45982.0</v>
      </c>
      <c r="G611" s="24">
        <f t="shared" ref="G611:H611" si="616">F611</f>
        <v>45982</v>
      </c>
      <c r="H611" s="26">
        <f t="shared" si="616"/>
        <v>45982</v>
      </c>
      <c r="I611" s="14" t="s">
        <v>1865</v>
      </c>
      <c r="K611" s="27">
        <v>2.0E8</v>
      </c>
      <c r="L611" s="29" t="s">
        <v>2906</v>
      </c>
      <c r="M611" s="31"/>
      <c r="N611" s="14" t="s">
        <v>133</v>
      </c>
      <c r="O611" s="14" t="s">
        <v>40</v>
      </c>
      <c r="Q611" s="36"/>
      <c r="R611" s="36"/>
      <c r="S611" s="36"/>
      <c r="T611" s="36"/>
      <c r="V611" s="31"/>
    </row>
    <row r="612">
      <c r="A612" s="14" t="s">
        <v>1012</v>
      </c>
      <c r="B612" s="14" t="s">
        <v>2904</v>
      </c>
      <c r="C612" s="14" t="s">
        <v>2907</v>
      </c>
      <c r="D612" s="14" t="s">
        <v>133</v>
      </c>
      <c r="E612" s="20" t="str">
        <f t="shared" si="2"/>
        <v>noviembre 2025</v>
      </c>
      <c r="F612" s="22">
        <v>45982.0</v>
      </c>
      <c r="G612" s="24">
        <f t="shared" ref="G612:H612" si="617">F612</f>
        <v>45982</v>
      </c>
      <c r="H612" s="26">
        <f t="shared" si="617"/>
        <v>45982</v>
      </c>
      <c r="I612" s="14" t="s">
        <v>1865</v>
      </c>
      <c r="K612" s="27">
        <v>2.0E8</v>
      </c>
      <c r="L612" s="29" t="s">
        <v>2906</v>
      </c>
      <c r="M612" s="31"/>
      <c r="N612" s="14" t="s">
        <v>133</v>
      </c>
      <c r="O612" s="14" t="s">
        <v>40</v>
      </c>
      <c r="Q612" s="36"/>
      <c r="R612" s="36"/>
      <c r="S612" s="36"/>
      <c r="T612" s="36"/>
      <c r="V612" s="31"/>
    </row>
    <row r="613">
      <c r="A613" s="14" t="s">
        <v>1012</v>
      </c>
      <c r="B613" s="14" t="s">
        <v>2904</v>
      </c>
      <c r="C613" s="14" t="s">
        <v>2908</v>
      </c>
      <c r="D613" s="14" t="s">
        <v>133</v>
      </c>
      <c r="E613" s="20" t="str">
        <f t="shared" si="2"/>
        <v>noviembre 2025</v>
      </c>
      <c r="F613" s="22">
        <v>45982.0</v>
      </c>
      <c r="G613" s="24">
        <f t="shared" ref="G613:H613" si="618">F613</f>
        <v>45982</v>
      </c>
      <c r="H613" s="26">
        <f t="shared" si="618"/>
        <v>45982</v>
      </c>
      <c r="I613" s="14" t="s">
        <v>1865</v>
      </c>
      <c r="K613" s="27">
        <v>2.0E8</v>
      </c>
      <c r="L613" s="29" t="s">
        <v>2906</v>
      </c>
      <c r="M613" s="31"/>
      <c r="N613" s="14" t="s">
        <v>133</v>
      </c>
      <c r="O613" s="14" t="s">
        <v>40</v>
      </c>
      <c r="Q613" s="36"/>
      <c r="R613" s="36"/>
      <c r="S613" s="36"/>
      <c r="T613" s="36"/>
      <c r="V613" s="31"/>
    </row>
    <row r="614">
      <c r="A614" s="14" t="s">
        <v>1012</v>
      </c>
      <c r="B614" s="14" t="s">
        <v>2904</v>
      </c>
      <c r="C614" s="14" t="s">
        <v>2909</v>
      </c>
      <c r="D614" s="14" t="s">
        <v>133</v>
      </c>
      <c r="E614" s="20" t="str">
        <f t="shared" si="2"/>
        <v>noviembre 2025</v>
      </c>
      <c r="F614" s="22">
        <v>45982.0</v>
      </c>
      <c r="G614" s="24">
        <f t="shared" ref="G614:H614" si="619">F614</f>
        <v>45982</v>
      </c>
      <c r="H614" s="26">
        <f t="shared" si="619"/>
        <v>45982</v>
      </c>
      <c r="I614" s="14" t="s">
        <v>1865</v>
      </c>
      <c r="K614" s="27">
        <v>2.0E8</v>
      </c>
      <c r="L614" s="29" t="s">
        <v>2906</v>
      </c>
      <c r="M614" s="31"/>
      <c r="N614" s="14" t="s">
        <v>133</v>
      </c>
      <c r="O614" s="14" t="s">
        <v>40</v>
      </c>
      <c r="Q614" s="36"/>
      <c r="R614" s="36"/>
      <c r="S614" s="36"/>
      <c r="T614" s="36"/>
      <c r="V614" s="31"/>
    </row>
    <row r="615">
      <c r="A615" s="14" t="s">
        <v>1012</v>
      </c>
      <c r="B615" s="14" t="s">
        <v>2904</v>
      </c>
      <c r="C615" s="14" t="s">
        <v>2910</v>
      </c>
      <c r="D615" s="14" t="s">
        <v>133</v>
      </c>
      <c r="E615" s="20" t="str">
        <f t="shared" si="2"/>
        <v>noviembre 2025</v>
      </c>
      <c r="F615" s="22">
        <v>45982.0</v>
      </c>
      <c r="G615" s="24">
        <f t="shared" ref="G615:H615" si="620">F615</f>
        <v>45982</v>
      </c>
      <c r="H615" s="26">
        <f t="shared" si="620"/>
        <v>45982</v>
      </c>
      <c r="I615" s="14" t="s">
        <v>1865</v>
      </c>
      <c r="K615" s="27">
        <v>2.0E8</v>
      </c>
      <c r="L615" s="29" t="s">
        <v>2906</v>
      </c>
      <c r="M615" s="31"/>
      <c r="N615" s="14" t="s">
        <v>133</v>
      </c>
      <c r="O615" s="14" t="s">
        <v>40</v>
      </c>
      <c r="Q615" s="36"/>
      <c r="R615" s="36"/>
      <c r="S615" s="36"/>
      <c r="T615" s="36"/>
      <c r="V615" s="31"/>
    </row>
    <row r="616">
      <c r="A616" s="14" t="s">
        <v>1045</v>
      </c>
      <c r="B616" s="14" t="s">
        <v>2911</v>
      </c>
      <c r="C616" s="14" t="s">
        <v>2912</v>
      </c>
      <c r="D616" s="14" t="s">
        <v>40</v>
      </c>
      <c r="E616" s="20" t="str">
        <f t="shared" si="2"/>
        <v>noviembre 2025</v>
      </c>
      <c r="F616" s="22">
        <v>45979.0</v>
      </c>
      <c r="G616" s="24">
        <f t="shared" ref="G616:H616" si="621">F616</f>
        <v>45979</v>
      </c>
      <c r="H616" s="26">
        <f t="shared" si="621"/>
        <v>45979</v>
      </c>
      <c r="I616" s="14" t="s">
        <v>1865</v>
      </c>
      <c r="K616" s="27">
        <v>1.0E8</v>
      </c>
      <c r="L616" s="15" t="s">
        <v>2913</v>
      </c>
      <c r="M616" s="31"/>
      <c r="N616" s="14" t="s">
        <v>133</v>
      </c>
      <c r="O616" s="14" t="s">
        <v>133</v>
      </c>
      <c r="Q616" s="36"/>
      <c r="R616" s="36"/>
      <c r="S616" s="36"/>
      <c r="T616" s="36"/>
      <c r="V616" s="31"/>
    </row>
    <row r="617">
      <c r="A617" s="14" t="s">
        <v>76</v>
      </c>
      <c r="B617" s="14" t="s">
        <v>2914</v>
      </c>
      <c r="C617" s="14" t="s">
        <v>2915</v>
      </c>
      <c r="D617" s="14" t="s">
        <v>40</v>
      </c>
      <c r="E617" s="20" t="str">
        <f t="shared" si="2"/>
        <v>noviembre 2025</v>
      </c>
      <c r="F617" s="22">
        <v>45979.0</v>
      </c>
      <c r="G617" s="24">
        <f t="shared" ref="G617:H617" si="622">F617</f>
        <v>45979</v>
      </c>
      <c r="H617" s="26">
        <f t="shared" si="622"/>
        <v>45979</v>
      </c>
      <c r="I617" s="14" t="s">
        <v>90</v>
      </c>
      <c r="K617" s="27">
        <v>6.0E8</v>
      </c>
      <c r="L617" s="29"/>
      <c r="M617" s="31"/>
      <c r="N617" s="14"/>
      <c r="O617" s="14"/>
      <c r="Q617" s="36"/>
      <c r="R617" s="36"/>
      <c r="S617" s="36"/>
      <c r="T617" s="36"/>
      <c r="V617" s="31"/>
    </row>
    <row r="618">
      <c r="A618" s="14" t="s">
        <v>736</v>
      </c>
      <c r="B618" s="14" t="s">
        <v>2916</v>
      </c>
      <c r="C618" s="14" t="s">
        <v>2917</v>
      </c>
      <c r="D618" s="14" t="s">
        <v>40</v>
      </c>
      <c r="E618" s="20" t="str">
        <f t="shared" si="2"/>
        <v>noviembre 2025</v>
      </c>
      <c r="F618" s="22">
        <v>45986.0</v>
      </c>
      <c r="G618" s="24">
        <f t="shared" ref="G618:H618" si="623">F618</f>
        <v>45986</v>
      </c>
      <c r="H618" s="26">
        <f t="shared" si="623"/>
        <v>45986</v>
      </c>
      <c r="I618" s="14" t="s">
        <v>90</v>
      </c>
      <c r="K618" s="27">
        <v>3.0E7</v>
      </c>
      <c r="L618" s="29" t="s">
        <v>2918</v>
      </c>
      <c r="M618" s="31"/>
      <c r="N618" s="14" t="s">
        <v>84</v>
      </c>
      <c r="O618" s="14" t="s">
        <v>133</v>
      </c>
      <c r="Q618" s="36"/>
      <c r="R618" s="36"/>
      <c r="S618" s="36"/>
      <c r="T618" s="36"/>
      <c r="V618" s="31"/>
    </row>
    <row r="619">
      <c r="A619" s="14" t="s">
        <v>1045</v>
      </c>
      <c r="B619" s="14" t="s">
        <v>2919</v>
      </c>
      <c r="C619" s="14" t="s">
        <v>2920</v>
      </c>
      <c r="D619" s="14" t="s">
        <v>40</v>
      </c>
      <c r="E619" s="20" t="str">
        <f t="shared" si="2"/>
        <v>noviembre 2025</v>
      </c>
      <c r="F619" s="22">
        <v>45982.0</v>
      </c>
      <c r="G619" s="24">
        <f t="shared" ref="G619:H619" si="624">F619</f>
        <v>45982</v>
      </c>
      <c r="H619" s="26">
        <f t="shared" si="624"/>
        <v>45982</v>
      </c>
      <c r="I619" s="14" t="s">
        <v>90</v>
      </c>
      <c r="K619" s="27">
        <v>2.0E7</v>
      </c>
      <c r="L619" s="29" t="s">
        <v>1008</v>
      </c>
      <c r="M619" s="31"/>
      <c r="N619" s="14" t="s">
        <v>84</v>
      </c>
      <c r="O619" s="14" t="s">
        <v>133</v>
      </c>
      <c r="Q619" s="36"/>
      <c r="R619" s="36"/>
      <c r="S619" s="36"/>
      <c r="T619" s="36"/>
      <c r="V619" s="31"/>
    </row>
    <row r="620">
      <c r="A620" s="14" t="s">
        <v>208</v>
      </c>
      <c r="B620" s="14" t="s">
        <v>2923</v>
      </c>
      <c r="C620" s="14" t="s">
        <v>2924</v>
      </c>
      <c r="D620" s="14" t="s">
        <v>40</v>
      </c>
      <c r="E620" s="20" t="str">
        <f t="shared" si="2"/>
        <v>noviembre 2025</v>
      </c>
      <c r="F620" s="22">
        <v>45981.0</v>
      </c>
      <c r="G620" s="24">
        <f t="shared" ref="G620:H620" si="625">F620</f>
        <v>45981</v>
      </c>
      <c r="H620" s="26">
        <f t="shared" si="625"/>
        <v>45981</v>
      </c>
      <c r="I620" s="14" t="s">
        <v>90</v>
      </c>
      <c r="K620" s="27">
        <v>2.8E7</v>
      </c>
      <c r="L620" s="29" t="s">
        <v>1008</v>
      </c>
      <c r="M620" s="31"/>
      <c r="N620" s="14" t="s">
        <v>84</v>
      </c>
      <c r="O620" s="14" t="s">
        <v>133</v>
      </c>
      <c r="Q620" s="36"/>
      <c r="R620" s="36"/>
      <c r="S620" s="36"/>
      <c r="T620" s="36"/>
      <c r="V620" s="31"/>
    </row>
    <row r="621">
      <c r="A621" s="14" t="s">
        <v>1045</v>
      </c>
      <c r="B621" s="14" t="s">
        <v>2926</v>
      </c>
      <c r="C621" s="14" t="s">
        <v>2927</v>
      </c>
      <c r="D621" s="14" t="s">
        <v>40</v>
      </c>
      <c r="E621" s="20" t="str">
        <f t="shared" si="2"/>
        <v>noviembre 2025</v>
      </c>
      <c r="F621" s="22">
        <v>45985.0</v>
      </c>
      <c r="G621" s="24">
        <f t="shared" ref="G621:H621" si="626">F621</f>
        <v>45985</v>
      </c>
      <c r="H621" s="26">
        <f t="shared" si="626"/>
        <v>45985</v>
      </c>
      <c r="I621" s="14" t="s">
        <v>90</v>
      </c>
      <c r="K621" s="27">
        <v>1.5E7</v>
      </c>
      <c r="L621" s="29" t="s">
        <v>1203</v>
      </c>
      <c r="M621" s="31"/>
      <c r="N621" s="14" t="s">
        <v>84</v>
      </c>
      <c r="O621" s="14" t="s">
        <v>133</v>
      </c>
      <c r="Q621" s="36"/>
      <c r="R621" s="36"/>
      <c r="S621" s="36"/>
      <c r="T621" s="36"/>
      <c r="V621" s="31"/>
    </row>
    <row r="622">
      <c r="A622" s="37" t="s">
        <v>66</v>
      </c>
      <c r="B622" s="14" t="s">
        <v>2933</v>
      </c>
      <c r="C622" s="14" t="s">
        <v>2934</v>
      </c>
      <c r="D622" s="14" t="s">
        <v>133</v>
      </c>
      <c r="E622" s="20" t="str">
        <f t="shared" si="2"/>
        <v>noviembre 2025</v>
      </c>
      <c r="F622" s="22">
        <v>45985.0</v>
      </c>
      <c r="G622" s="24">
        <f t="shared" ref="G622:H622" si="627">F622</f>
        <v>45985</v>
      </c>
      <c r="H622" s="26">
        <f t="shared" si="627"/>
        <v>45985</v>
      </c>
      <c r="I622" s="14" t="s">
        <v>1865</v>
      </c>
      <c r="K622" s="27">
        <v>6.0E8</v>
      </c>
      <c r="L622" s="15" t="s">
        <v>2913</v>
      </c>
      <c r="M622" s="31"/>
      <c r="N622" s="14" t="s">
        <v>84</v>
      </c>
      <c r="O622" s="14" t="s">
        <v>40</v>
      </c>
      <c r="Q622" s="36"/>
      <c r="R622" s="36"/>
      <c r="S622" s="36"/>
      <c r="T622" s="36"/>
      <c r="V622" s="31"/>
    </row>
    <row r="623">
      <c r="A623" s="14" t="s">
        <v>208</v>
      </c>
      <c r="B623" s="14" t="s">
        <v>2936</v>
      </c>
      <c r="C623" s="14" t="s">
        <v>2937</v>
      </c>
      <c r="D623" s="14" t="s">
        <v>133</v>
      </c>
      <c r="E623" s="20" t="str">
        <f t="shared" si="2"/>
        <v>noviembre 2025</v>
      </c>
      <c r="F623" s="22">
        <v>45969.0</v>
      </c>
      <c r="G623" s="24">
        <f t="shared" ref="G623:H623" si="628">F623</f>
        <v>45969</v>
      </c>
      <c r="H623" s="26">
        <f t="shared" si="628"/>
        <v>45969</v>
      </c>
      <c r="I623" s="14" t="s">
        <v>2398</v>
      </c>
      <c r="K623" s="27">
        <v>1.3E8</v>
      </c>
      <c r="L623" s="78"/>
      <c r="M623" s="31"/>
      <c r="N623" s="14" t="s">
        <v>84</v>
      </c>
      <c r="O623" s="14" t="s">
        <v>133</v>
      </c>
      <c r="Q623" s="36"/>
      <c r="R623" s="36"/>
      <c r="S623" s="36"/>
      <c r="T623" s="36"/>
      <c r="V623" s="31"/>
    </row>
    <row r="624">
      <c r="A624" s="14" t="s">
        <v>1787</v>
      </c>
      <c r="B624" s="14" t="s">
        <v>2938</v>
      </c>
      <c r="C624" s="14" t="s">
        <v>2939</v>
      </c>
      <c r="D624" s="14" t="s">
        <v>40</v>
      </c>
      <c r="E624" s="20" t="str">
        <f t="shared" si="2"/>
        <v>noviembre 2025</v>
      </c>
      <c r="F624" s="22">
        <v>45988.0</v>
      </c>
      <c r="G624" s="24">
        <f t="shared" ref="G624:H624" si="629">F624</f>
        <v>45988</v>
      </c>
      <c r="H624" s="26">
        <f t="shared" si="629"/>
        <v>45988</v>
      </c>
      <c r="I624" s="14" t="s">
        <v>90</v>
      </c>
      <c r="K624" s="27">
        <v>1.5E7</v>
      </c>
      <c r="L624" s="29" t="s">
        <v>1203</v>
      </c>
      <c r="M624" s="31"/>
      <c r="N624" s="14" t="s">
        <v>84</v>
      </c>
      <c r="O624" s="31"/>
      <c r="Q624" s="36"/>
      <c r="R624" s="36"/>
      <c r="S624" s="36"/>
      <c r="T624" s="36"/>
      <c r="V624" s="31"/>
    </row>
    <row r="625">
      <c r="A625" s="14" t="s">
        <v>1045</v>
      </c>
      <c r="B625" s="14" t="s">
        <v>2942</v>
      </c>
      <c r="C625" s="14" t="s">
        <v>2943</v>
      </c>
      <c r="D625" s="14" t="s">
        <v>40</v>
      </c>
      <c r="E625" s="20" t="str">
        <f t="shared" si="2"/>
        <v>noviembre 2025</v>
      </c>
      <c r="F625" s="22">
        <v>45987.0</v>
      </c>
      <c r="G625" s="24">
        <f t="shared" ref="G625:H625" si="630">F625</f>
        <v>45987</v>
      </c>
      <c r="H625" s="26">
        <f t="shared" si="630"/>
        <v>45987</v>
      </c>
      <c r="I625" s="14" t="s">
        <v>90</v>
      </c>
      <c r="K625" s="27">
        <v>4.0E7</v>
      </c>
      <c r="L625" s="29" t="s">
        <v>2944</v>
      </c>
      <c r="M625" s="14"/>
      <c r="N625" s="14" t="s">
        <v>133</v>
      </c>
      <c r="O625" s="14" t="s">
        <v>133</v>
      </c>
      <c r="P625" s="14"/>
      <c r="Q625" s="36"/>
      <c r="R625" s="36"/>
      <c r="S625" s="36"/>
      <c r="T625" s="36"/>
      <c r="V625" s="31"/>
    </row>
    <row r="626">
      <c r="A626" s="14" t="s">
        <v>1787</v>
      </c>
      <c r="B626" s="14" t="s">
        <v>2945</v>
      </c>
      <c r="C626" s="14" t="s">
        <v>2946</v>
      </c>
      <c r="D626" s="14" t="s">
        <v>133</v>
      </c>
      <c r="E626" s="20" t="str">
        <f t="shared" si="2"/>
        <v>diciembre 2025</v>
      </c>
      <c r="F626" s="22">
        <v>45992.0</v>
      </c>
      <c r="G626" s="24">
        <f t="shared" ref="G626:H626" si="631">F626</f>
        <v>45992</v>
      </c>
      <c r="H626" s="26">
        <f t="shared" si="631"/>
        <v>45992</v>
      </c>
      <c r="I626" s="14" t="s">
        <v>1865</v>
      </c>
      <c r="K626" s="27">
        <v>7.0E8</v>
      </c>
      <c r="L626" s="29" t="s">
        <v>2947</v>
      </c>
      <c r="M626" s="14"/>
      <c r="N626" s="14" t="s">
        <v>84</v>
      </c>
      <c r="O626" s="14" t="s">
        <v>40</v>
      </c>
      <c r="P626" s="14" t="s">
        <v>2948</v>
      </c>
      <c r="Q626" s="36"/>
      <c r="R626" s="36"/>
      <c r="S626" s="36"/>
      <c r="T626" s="36"/>
      <c r="V626" s="31"/>
    </row>
    <row r="627">
      <c r="A627" s="14" t="s">
        <v>1045</v>
      </c>
      <c r="B627" s="14" t="s">
        <v>2949</v>
      </c>
      <c r="C627" s="14" t="s">
        <v>2950</v>
      </c>
      <c r="D627" s="14" t="s">
        <v>133</v>
      </c>
      <c r="E627" s="20" t="str">
        <f t="shared" si="2"/>
        <v>diciembre 2025</v>
      </c>
      <c r="F627" s="22">
        <v>45992.0</v>
      </c>
      <c r="G627" s="24">
        <f t="shared" ref="G627:H627" si="632">F627</f>
        <v>45992</v>
      </c>
      <c r="H627" s="26">
        <f t="shared" si="632"/>
        <v>45992</v>
      </c>
      <c r="I627" s="14" t="s">
        <v>2398</v>
      </c>
      <c r="K627" s="27">
        <v>5.0E8</v>
      </c>
      <c r="L627" s="29" t="s">
        <v>1384</v>
      </c>
      <c r="M627" s="14"/>
      <c r="N627" s="14" t="s">
        <v>84</v>
      </c>
      <c r="O627" s="14" t="s">
        <v>40</v>
      </c>
      <c r="P627" s="14" t="s">
        <v>2948</v>
      </c>
      <c r="Q627" s="36"/>
      <c r="R627" s="36"/>
      <c r="S627" s="36"/>
      <c r="T627" s="36"/>
      <c r="V627" s="31"/>
    </row>
    <row r="628">
      <c r="A628" s="14" t="s">
        <v>1787</v>
      </c>
      <c r="B628" s="14" t="s">
        <v>2952</v>
      </c>
      <c r="C628" s="14" t="s">
        <v>2953</v>
      </c>
      <c r="D628" s="14" t="s">
        <v>40</v>
      </c>
      <c r="E628" s="20" t="str">
        <f t="shared" si="2"/>
        <v>diciembre 2025</v>
      </c>
      <c r="F628" s="22">
        <v>45992.0</v>
      </c>
      <c r="G628" s="24">
        <f t="shared" ref="G628:H628" si="633">F628</f>
        <v>45992</v>
      </c>
      <c r="H628" s="26">
        <f t="shared" si="633"/>
        <v>45992</v>
      </c>
      <c r="I628" s="14" t="s">
        <v>90</v>
      </c>
      <c r="K628" s="27">
        <v>1.4E8</v>
      </c>
      <c r="L628" s="29" t="s">
        <v>2955</v>
      </c>
      <c r="M628" s="31"/>
      <c r="N628" s="14" t="s">
        <v>84</v>
      </c>
      <c r="O628" s="31"/>
      <c r="Q628" s="36"/>
      <c r="R628" s="36"/>
      <c r="S628" s="36"/>
      <c r="T628" s="36"/>
      <c r="V628" s="31"/>
    </row>
    <row r="629">
      <c r="A629" s="14" t="s">
        <v>1787</v>
      </c>
      <c r="B629" s="14" t="s">
        <v>2956</v>
      </c>
      <c r="C629" s="14" t="s">
        <v>2957</v>
      </c>
      <c r="D629" s="14" t="s">
        <v>40</v>
      </c>
      <c r="E629" s="20" t="str">
        <f t="shared" si="2"/>
        <v>diciembre 2025</v>
      </c>
      <c r="F629" s="22">
        <v>45992.0</v>
      </c>
      <c r="G629" s="24">
        <f t="shared" ref="G629:H629" si="634">F629</f>
        <v>45992</v>
      </c>
      <c r="H629" s="26">
        <f t="shared" si="634"/>
        <v>45992</v>
      </c>
      <c r="I629" s="14" t="s">
        <v>90</v>
      </c>
      <c r="K629" s="27">
        <v>6.0E7</v>
      </c>
      <c r="L629" s="29" t="s">
        <v>2955</v>
      </c>
      <c r="M629" s="31"/>
      <c r="N629" s="14" t="s">
        <v>84</v>
      </c>
      <c r="O629" s="31"/>
      <c r="Q629" s="36"/>
      <c r="R629" s="36"/>
      <c r="S629" s="36"/>
      <c r="T629" s="36"/>
      <c r="V629" s="31"/>
    </row>
    <row r="630">
      <c r="A630" s="14" t="s">
        <v>679</v>
      </c>
      <c r="B630" s="14" t="s">
        <v>2959</v>
      </c>
      <c r="C630" s="14" t="s">
        <v>2960</v>
      </c>
      <c r="D630" s="14" t="s">
        <v>40</v>
      </c>
      <c r="E630" s="20" t="str">
        <f t="shared" si="2"/>
        <v>diciembre 2025</v>
      </c>
      <c r="F630" s="22">
        <v>45992.0</v>
      </c>
      <c r="G630" s="24">
        <f t="shared" ref="G630:H630" si="635">F630</f>
        <v>45992</v>
      </c>
      <c r="H630" s="26">
        <f t="shared" si="635"/>
        <v>45992</v>
      </c>
      <c r="I630" s="14" t="s">
        <v>90</v>
      </c>
      <c r="K630" s="27">
        <v>1.2E8</v>
      </c>
      <c r="L630" s="29" t="s">
        <v>2962</v>
      </c>
      <c r="M630" s="31"/>
      <c r="N630" s="14" t="s">
        <v>84</v>
      </c>
      <c r="O630" s="31"/>
      <c r="Q630" s="36"/>
      <c r="R630" s="36"/>
      <c r="S630" s="36"/>
      <c r="T630" s="36"/>
      <c r="V630" s="31"/>
    </row>
    <row r="631">
      <c r="A631" s="14" t="s">
        <v>679</v>
      </c>
      <c r="B631" s="14" t="s">
        <v>2963</v>
      </c>
      <c r="C631" s="14" t="s">
        <v>2964</v>
      </c>
      <c r="D631" s="14" t="s">
        <v>40</v>
      </c>
      <c r="E631" s="20" t="str">
        <f t="shared" si="2"/>
        <v>diciembre 2025</v>
      </c>
      <c r="F631" s="22">
        <v>45992.0</v>
      </c>
      <c r="G631" s="24">
        <f t="shared" ref="G631:H631" si="636">F631</f>
        <v>45992</v>
      </c>
      <c r="H631" s="26">
        <f t="shared" si="636"/>
        <v>45992</v>
      </c>
      <c r="I631" s="14" t="s">
        <v>90</v>
      </c>
      <c r="K631" s="27">
        <v>1.2E8</v>
      </c>
      <c r="L631" s="29" t="s">
        <v>2962</v>
      </c>
      <c r="M631" s="31"/>
      <c r="N631" s="14" t="s">
        <v>84</v>
      </c>
      <c r="O631" s="31"/>
      <c r="Q631" s="36"/>
      <c r="R631" s="36"/>
      <c r="S631" s="36"/>
      <c r="T631" s="36"/>
      <c r="V631" s="31"/>
    </row>
    <row r="632">
      <c r="A632" s="14" t="s">
        <v>208</v>
      </c>
      <c r="B632" s="14" t="s">
        <v>2965</v>
      </c>
      <c r="C632" s="14" t="s">
        <v>2966</v>
      </c>
      <c r="D632" s="14" t="s">
        <v>133</v>
      </c>
      <c r="E632" s="20" t="str">
        <f t="shared" si="2"/>
        <v>diciembre 2025</v>
      </c>
      <c r="F632" s="22">
        <v>45992.0</v>
      </c>
      <c r="G632" s="24">
        <f t="shared" ref="G632:H632" si="637">F632</f>
        <v>45992</v>
      </c>
      <c r="H632" s="26">
        <f t="shared" si="637"/>
        <v>45992</v>
      </c>
      <c r="I632" s="14" t="s">
        <v>2398</v>
      </c>
      <c r="K632" s="27">
        <v>5.75E7</v>
      </c>
      <c r="L632" s="29" t="s">
        <v>2967</v>
      </c>
      <c r="M632" s="14"/>
      <c r="N632" s="14" t="s">
        <v>84</v>
      </c>
      <c r="O632" s="14" t="s">
        <v>133</v>
      </c>
      <c r="P632" s="14" t="s">
        <v>2968</v>
      </c>
      <c r="Q632" s="36"/>
      <c r="R632" s="36"/>
      <c r="S632" s="36"/>
      <c r="T632" s="36"/>
      <c r="V632" s="31"/>
    </row>
    <row r="633">
      <c r="A633" s="14" t="s">
        <v>208</v>
      </c>
      <c r="B633" s="14" t="s">
        <v>2969</v>
      </c>
      <c r="C633" s="14" t="s">
        <v>2970</v>
      </c>
      <c r="D633" s="14" t="s">
        <v>133</v>
      </c>
      <c r="E633" s="20" t="str">
        <f t="shared" si="2"/>
        <v>diciembre 2025</v>
      </c>
      <c r="F633" s="22">
        <v>45992.0</v>
      </c>
      <c r="G633" s="24">
        <f t="shared" ref="G633:H633" si="638">F633</f>
        <v>45992</v>
      </c>
      <c r="H633" s="26">
        <f t="shared" si="638"/>
        <v>45992</v>
      </c>
      <c r="I633" s="14" t="s">
        <v>2398</v>
      </c>
      <c r="K633" s="27">
        <v>5.75E7</v>
      </c>
      <c r="L633" s="29" t="s">
        <v>2967</v>
      </c>
      <c r="M633" s="14"/>
      <c r="N633" s="14" t="s">
        <v>84</v>
      </c>
      <c r="O633" s="14" t="s">
        <v>133</v>
      </c>
      <c r="P633" s="14" t="s">
        <v>2968</v>
      </c>
      <c r="Q633" s="36"/>
      <c r="R633" s="36"/>
      <c r="S633" s="36"/>
      <c r="T633" s="36"/>
      <c r="V633" s="31"/>
    </row>
    <row r="634">
      <c r="A634" s="14" t="s">
        <v>1787</v>
      </c>
      <c r="B634" s="14" t="s">
        <v>2973</v>
      </c>
      <c r="C634" s="14" t="s">
        <v>2974</v>
      </c>
      <c r="D634" s="14" t="s">
        <v>40</v>
      </c>
      <c r="E634" s="20" t="str">
        <f t="shared" si="2"/>
        <v>diciembre 2025</v>
      </c>
      <c r="F634" s="22">
        <v>45993.0</v>
      </c>
      <c r="G634" s="24">
        <f t="shared" ref="G634:H634" si="639">F634</f>
        <v>45993</v>
      </c>
      <c r="H634" s="26">
        <f t="shared" si="639"/>
        <v>45993</v>
      </c>
      <c r="I634" s="14" t="s">
        <v>90</v>
      </c>
      <c r="K634" s="27">
        <v>1.0E8</v>
      </c>
      <c r="L634" s="29" t="s">
        <v>2976</v>
      </c>
      <c r="M634" s="31"/>
      <c r="N634" s="14" t="s">
        <v>84</v>
      </c>
      <c r="O634" s="14" t="s">
        <v>40</v>
      </c>
      <c r="Q634" s="36"/>
      <c r="R634" s="36"/>
      <c r="S634" s="36"/>
      <c r="T634" s="36"/>
      <c r="V634" s="31"/>
    </row>
    <row r="635">
      <c r="A635" s="14" t="s">
        <v>1045</v>
      </c>
      <c r="B635" s="14" t="s">
        <v>2977</v>
      </c>
      <c r="C635" s="14" t="s">
        <v>2979</v>
      </c>
      <c r="D635" s="14" t="s">
        <v>40</v>
      </c>
      <c r="E635" s="20" t="str">
        <f t="shared" si="2"/>
        <v>diciembre 2025</v>
      </c>
      <c r="F635" s="22">
        <v>45993.0</v>
      </c>
      <c r="G635" s="24">
        <f t="shared" ref="G635:H635" si="640">F635</f>
        <v>45993</v>
      </c>
      <c r="H635" s="26">
        <f t="shared" si="640"/>
        <v>45993</v>
      </c>
      <c r="I635" s="14" t="s">
        <v>90</v>
      </c>
      <c r="K635" s="27">
        <v>3.0E7</v>
      </c>
      <c r="L635" s="29" t="s">
        <v>1008</v>
      </c>
      <c r="M635" s="31"/>
      <c r="N635" s="14" t="s">
        <v>84</v>
      </c>
      <c r="O635" s="31"/>
      <c r="Q635" s="36"/>
      <c r="R635" s="36"/>
      <c r="S635" s="36"/>
      <c r="T635" s="36"/>
      <c r="V635" s="31"/>
    </row>
    <row r="636">
      <c r="A636" s="14" t="s">
        <v>1787</v>
      </c>
      <c r="B636" s="14" t="s">
        <v>2982</v>
      </c>
      <c r="C636" s="14" t="s">
        <v>2983</v>
      </c>
      <c r="D636" s="14" t="s">
        <v>40</v>
      </c>
      <c r="E636" s="20" t="str">
        <f t="shared" si="2"/>
        <v>diciembre 2025</v>
      </c>
      <c r="F636" s="22">
        <v>45994.0</v>
      </c>
      <c r="G636" s="24">
        <f t="shared" ref="G636:H636" si="641">F636</f>
        <v>45994</v>
      </c>
      <c r="H636" s="26">
        <f t="shared" si="641"/>
        <v>45994</v>
      </c>
      <c r="I636" s="14" t="s">
        <v>90</v>
      </c>
      <c r="K636" s="27">
        <v>1.5E7</v>
      </c>
      <c r="L636" s="29" t="s">
        <v>1203</v>
      </c>
      <c r="M636" s="31"/>
      <c r="N636" s="14" t="s">
        <v>84</v>
      </c>
      <c r="O636" s="31"/>
      <c r="Q636" s="36"/>
      <c r="R636" s="36"/>
      <c r="S636" s="36"/>
      <c r="T636" s="36"/>
      <c r="V636" s="31"/>
    </row>
    <row r="637">
      <c r="A637" s="14" t="s">
        <v>1787</v>
      </c>
      <c r="B637" s="14" t="s">
        <v>2987</v>
      </c>
      <c r="C637" s="14" t="s">
        <v>2988</v>
      </c>
      <c r="D637" s="14" t="s">
        <v>40</v>
      </c>
      <c r="E637" s="20" t="str">
        <f t="shared" si="2"/>
        <v>diciembre 2025</v>
      </c>
      <c r="F637" s="22">
        <v>45994.0</v>
      </c>
      <c r="G637" s="24">
        <f t="shared" ref="G637:H637" si="642">F637</f>
        <v>45994</v>
      </c>
      <c r="H637" s="26">
        <f t="shared" si="642"/>
        <v>45994</v>
      </c>
      <c r="I637" s="14" t="s">
        <v>90</v>
      </c>
      <c r="K637" s="27">
        <v>1.0E7</v>
      </c>
      <c r="L637" s="29" t="s">
        <v>1203</v>
      </c>
      <c r="M637" s="31"/>
      <c r="N637" s="14" t="s">
        <v>84</v>
      </c>
      <c r="O637" s="31"/>
      <c r="Q637" s="36"/>
      <c r="R637" s="36"/>
      <c r="S637" s="36"/>
      <c r="T637" s="36"/>
      <c r="V637" s="31"/>
    </row>
    <row r="638">
      <c r="A638" s="14" t="s">
        <v>1012</v>
      </c>
      <c r="B638" s="14" t="s">
        <v>2990</v>
      </c>
      <c r="C638" s="14" t="s">
        <v>2991</v>
      </c>
      <c r="D638" s="14" t="s">
        <v>133</v>
      </c>
      <c r="E638" s="20" t="str">
        <f t="shared" si="2"/>
        <v>diciembre 2025</v>
      </c>
      <c r="F638" s="22">
        <v>45994.0</v>
      </c>
      <c r="G638" s="24">
        <f t="shared" ref="G638:H638" si="643">F638</f>
        <v>45994</v>
      </c>
      <c r="H638" s="26">
        <f t="shared" si="643"/>
        <v>45994</v>
      </c>
      <c r="I638" s="14" t="s">
        <v>2398</v>
      </c>
      <c r="K638" s="27">
        <v>1.0E8</v>
      </c>
      <c r="L638" s="29" t="s">
        <v>1210</v>
      </c>
      <c r="M638" s="31"/>
      <c r="N638" s="14" t="s">
        <v>84</v>
      </c>
      <c r="O638" s="14" t="s">
        <v>133</v>
      </c>
      <c r="Q638" s="36"/>
      <c r="R638" s="36"/>
      <c r="S638" s="36"/>
      <c r="T638" s="36"/>
      <c r="V638" s="31"/>
    </row>
    <row r="639">
      <c r="A639" s="14" t="s">
        <v>736</v>
      </c>
      <c r="B639" s="14" t="s">
        <v>2992</v>
      </c>
      <c r="C639" s="95" t="s">
        <v>2993</v>
      </c>
      <c r="D639" s="14" t="s">
        <v>40</v>
      </c>
      <c r="E639" s="20" t="str">
        <f t="shared" si="2"/>
        <v>diciembre 2025</v>
      </c>
      <c r="F639" s="22">
        <v>45992.0</v>
      </c>
      <c r="G639" s="24">
        <f t="shared" ref="G639:H639" si="644">F639</f>
        <v>45992</v>
      </c>
      <c r="H639" s="26">
        <f t="shared" si="644"/>
        <v>45992</v>
      </c>
      <c r="I639" s="14" t="s">
        <v>90</v>
      </c>
      <c r="K639" s="27">
        <v>5.0E7</v>
      </c>
      <c r="L639" s="29" t="s">
        <v>2994</v>
      </c>
      <c r="M639" s="14"/>
      <c r="N639" s="14" t="s">
        <v>84</v>
      </c>
      <c r="O639" s="14" t="s">
        <v>133</v>
      </c>
      <c r="P639" s="14" t="s">
        <v>2948</v>
      </c>
      <c r="Q639" s="36"/>
      <c r="R639" s="36"/>
      <c r="S639" s="36"/>
      <c r="T639" s="36"/>
      <c r="V639" s="31"/>
    </row>
    <row r="640">
      <c r="A640" s="14" t="s">
        <v>736</v>
      </c>
      <c r="B640" s="14" t="s">
        <v>2996</v>
      </c>
      <c r="C640" s="14" t="s">
        <v>2997</v>
      </c>
      <c r="D640" s="14" t="s">
        <v>40</v>
      </c>
      <c r="E640" s="20" t="str">
        <f t="shared" si="2"/>
        <v>diciembre 2025</v>
      </c>
      <c r="F640" s="22">
        <v>45992.0</v>
      </c>
      <c r="G640" s="24">
        <f t="shared" ref="G640:H640" si="645">F640</f>
        <v>45992</v>
      </c>
      <c r="H640" s="26">
        <f t="shared" si="645"/>
        <v>45992</v>
      </c>
      <c r="I640" s="14" t="s">
        <v>90</v>
      </c>
      <c r="M640" s="14"/>
      <c r="N640" s="14" t="s">
        <v>84</v>
      </c>
      <c r="O640" s="14" t="s">
        <v>133</v>
      </c>
      <c r="P640" s="14" t="s">
        <v>2948</v>
      </c>
      <c r="Q640" s="36"/>
      <c r="R640" s="36"/>
      <c r="S640" s="36"/>
      <c r="T640" s="36"/>
      <c r="V640" s="31"/>
    </row>
    <row r="641">
      <c r="A641" s="14" t="s">
        <v>736</v>
      </c>
      <c r="B641" s="14" t="s">
        <v>2998</v>
      </c>
      <c r="C641" s="14" t="s">
        <v>2999</v>
      </c>
      <c r="D641" s="14" t="s">
        <v>40</v>
      </c>
      <c r="E641" s="20" t="str">
        <f t="shared" si="2"/>
        <v>diciembre 2025</v>
      </c>
      <c r="F641" s="22">
        <v>45992.0</v>
      </c>
      <c r="G641" s="24">
        <f t="shared" ref="G641:H641" si="646">F641</f>
        <v>45992</v>
      </c>
      <c r="H641" s="26">
        <f t="shared" si="646"/>
        <v>45992</v>
      </c>
      <c r="I641" s="14" t="s">
        <v>90</v>
      </c>
      <c r="M641" s="14"/>
      <c r="N641" s="14" t="s">
        <v>84</v>
      </c>
      <c r="O641" s="14" t="s">
        <v>133</v>
      </c>
      <c r="P641" s="14" t="s">
        <v>2948</v>
      </c>
      <c r="Q641" s="36"/>
      <c r="R641" s="36"/>
      <c r="S641" s="36"/>
      <c r="T641" s="36"/>
      <c r="V641" s="31"/>
    </row>
    <row r="642">
      <c r="A642" s="14" t="s">
        <v>736</v>
      </c>
      <c r="B642" s="14" t="s">
        <v>3000</v>
      </c>
      <c r="C642" s="14" t="s">
        <v>3001</v>
      </c>
      <c r="D642" s="14" t="s">
        <v>40</v>
      </c>
      <c r="E642" s="20" t="str">
        <f t="shared" si="2"/>
        <v>diciembre 2025</v>
      </c>
      <c r="F642" s="22">
        <v>45992.0</v>
      </c>
      <c r="G642" s="24">
        <f t="shared" ref="G642:H642" si="647">F642</f>
        <v>45992</v>
      </c>
      <c r="H642" s="26">
        <f t="shared" si="647"/>
        <v>45992</v>
      </c>
      <c r="I642" s="14" t="s">
        <v>90</v>
      </c>
      <c r="M642" s="14"/>
      <c r="N642" s="14" t="s">
        <v>84</v>
      </c>
      <c r="O642" s="14" t="s">
        <v>133</v>
      </c>
      <c r="P642" s="14" t="s">
        <v>2948</v>
      </c>
      <c r="Q642" s="36"/>
      <c r="R642" s="36"/>
      <c r="S642" s="36"/>
      <c r="T642" s="36"/>
      <c r="V642" s="31"/>
    </row>
    <row r="643">
      <c r="A643" s="14" t="s">
        <v>36</v>
      </c>
      <c r="B643" s="14" t="s">
        <v>3002</v>
      </c>
      <c r="C643" s="14" t="s">
        <v>3003</v>
      </c>
      <c r="D643" s="14" t="s">
        <v>133</v>
      </c>
      <c r="E643" s="20" t="str">
        <f t="shared" si="2"/>
        <v>diciembre 2025</v>
      </c>
      <c r="F643" s="22">
        <v>45992.0</v>
      </c>
      <c r="G643" s="24">
        <f t="shared" ref="G643:H643" si="648">F643</f>
        <v>45992</v>
      </c>
      <c r="H643" s="26">
        <f t="shared" si="648"/>
        <v>45992</v>
      </c>
      <c r="I643" s="14" t="s">
        <v>1865</v>
      </c>
      <c r="K643" s="27">
        <v>1.5E8</v>
      </c>
      <c r="L643" s="29" t="s">
        <v>3004</v>
      </c>
      <c r="M643" s="14"/>
      <c r="N643" s="14" t="s">
        <v>84</v>
      </c>
      <c r="O643" s="14" t="s">
        <v>40</v>
      </c>
      <c r="P643" s="14" t="s">
        <v>47</v>
      </c>
      <c r="Q643" s="36"/>
      <c r="R643" s="36"/>
      <c r="S643" s="36"/>
      <c r="T643" s="36"/>
      <c r="V643" s="31"/>
    </row>
    <row r="644">
      <c r="A644" s="14" t="s">
        <v>736</v>
      </c>
      <c r="B644" s="14" t="s">
        <v>3005</v>
      </c>
      <c r="C644" s="14" t="s">
        <v>3006</v>
      </c>
      <c r="D644" s="14" t="s">
        <v>40</v>
      </c>
      <c r="E644" s="20" t="str">
        <f t="shared" si="2"/>
        <v>diciembre 2025</v>
      </c>
      <c r="F644" s="22">
        <v>45995.0</v>
      </c>
      <c r="G644" s="24">
        <f t="shared" ref="G644:H644" si="649">F644</f>
        <v>45995</v>
      </c>
      <c r="H644" s="26">
        <f t="shared" si="649"/>
        <v>45995</v>
      </c>
      <c r="I644" s="14" t="s">
        <v>90</v>
      </c>
      <c r="K644" s="27">
        <v>1.0E7</v>
      </c>
      <c r="L644" s="29" t="s">
        <v>2764</v>
      </c>
      <c r="M644" s="31"/>
      <c r="N644" s="14" t="s">
        <v>84</v>
      </c>
      <c r="O644" s="14" t="s">
        <v>133</v>
      </c>
      <c r="Q644" s="36"/>
      <c r="R644" s="36"/>
      <c r="S644" s="36"/>
      <c r="T644" s="36"/>
      <c r="V644" s="31"/>
    </row>
    <row r="645">
      <c r="A645" s="14" t="s">
        <v>679</v>
      </c>
      <c r="B645" s="14" t="s">
        <v>3008</v>
      </c>
      <c r="C645" s="14" t="s">
        <v>3009</v>
      </c>
      <c r="D645" s="14" t="s">
        <v>40</v>
      </c>
      <c r="E645" s="20" t="str">
        <f t="shared" si="2"/>
        <v>diciembre 2025</v>
      </c>
      <c r="F645" s="22">
        <v>45995.0</v>
      </c>
      <c r="G645" s="24">
        <f t="shared" ref="G645:H645" si="650">F645</f>
        <v>45995</v>
      </c>
      <c r="H645" s="26">
        <f t="shared" si="650"/>
        <v>45995</v>
      </c>
      <c r="I645" s="14" t="s">
        <v>90</v>
      </c>
      <c r="K645" s="27">
        <v>1.0E7</v>
      </c>
      <c r="L645" s="29" t="s">
        <v>2764</v>
      </c>
      <c r="M645" s="31"/>
      <c r="N645" s="14" t="s">
        <v>84</v>
      </c>
      <c r="O645" s="31"/>
      <c r="Q645" s="36"/>
      <c r="R645" s="36"/>
      <c r="S645" s="36"/>
      <c r="T645" s="36"/>
      <c r="V645" s="31"/>
    </row>
    <row r="646">
      <c r="A646" s="14" t="s">
        <v>208</v>
      </c>
      <c r="B646" s="14" t="s">
        <v>3013</v>
      </c>
      <c r="C646" s="14" t="s">
        <v>3014</v>
      </c>
      <c r="D646" s="14" t="s">
        <v>40</v>
      </c>
      <c r="E646" s="20" t="str">
        <f t="shared" si="2"/>
        <v>diciembre 2025</v>
      </c>
      <c r="F646" s="22">
        <v>45996.0</v>
      </c>
      <c r="G646" s="24">
        <f t="shared" ref="G646:H646" si="651">F646</f>
        <v>45996</v>
      </c>
      <c r="H646" s="26">
        <f t="shared" si="651"/>
        <v>45996</v>
      </c>
      <c r="I646" s="14" t="s">
        <v>90</v>
      </c>
      <c r="K646" s="27">
        <v>3.7E8</v>
      </c>
      <c r="L646" s="37" t="s">
        <v>3015</v>
      </c>
      <c r="M646" s="31"/>
      <c r="N646" s="14" t="s">
        <v>84</v>
      </c>
      <c r="O646" s="31"/>
      <c r="Q646" s="36"/>
      <c r="R646" s="36"/>
      <c r="S646" s="36"/>
      <c r="T646" s="36"/>
      <c r="V646" s="31"/>
    </row>
    <row r="647">
      <c r="A647" s="14" t="s">
        <v>679</v>
      </c>
      <c r="B647" s="14" t="s">
        <v>3016</v>
      </c>
      <c r="C647" s="14" t="s">
        <v>3017</v>
      </c>
      <c r="D647" s="14" t="s">
        <v>40</v>
      </c>
      <c r="E647" s="20" t="str">
        <f t="shared" si="2"/>
        <v>diciembre 2025</v>
      </c>
      <c r="F647" s="22">
        <v>45996.0</v>
      </c>
      <c r="G647" s="24">
        <f t="shared" ref="G647:H647" si="652">F647</f>
        <v>45996</v>
      </c>
      <c r="H647" s="26">
        <f t="shared" si="652"/>
        <v>45996</v>
      </c>
      <c r="I647" s="14" t="s">
        <v>1596</v>
      </c>
      <c r="K647" s="27">
        <v>5.0E7</v>
      </c>
      <c r="L647" s="78"/>
      <c r="M647" s="31"/>
      <c r="N647" s="31"/>
      <c r="O647" s="31"/>
      <c r="Q647" s="36"/>
      <c r="R647" s="36"/>
      <c r="S647" s="36"/>
      <c r="T647" s="36"/>
      <c r="V647" s="31"/>
    </row>
    <row r="648">
      <c r="A648" s="14" t="s">
        <v>1045</v>
      </c>
      <c r="B648" s="14" t="s">
        <v>3018</v>
      </c>
      <c r="C648" s="14" t="s">
        <v>3019</v>
      </c>
      <c r="D648" s="14" t="s">
        <v>133</v>
      </c>
      <c r="E648" s="20" t="str">
        <f t="shared" si="2"/>
        <v>diciembre 2025</v>
      </c>
      <c r="F648" s="22">
        <v>45996.0</v>
      </c>
      <c r="G648" s="24">
        <f t="shared" ref="G648:H648" si="653">F648</f>
        <v>45996</v>
      </c>
      <c r="H648" s="26">
        <f t="shared" si="653"/>
        <v>45996</v>
      </c>
      <c r="I648" s="14" t="s">
        <v>1865</v>
      </c>
      <c r="K648" s="27">
        <v>2.0E8</v>
      </c>
      <c r="L648" s="29" t="s">
        <v>3020</v>
      </c>
      <c r="M648" s="31"/>
      <c r="N648" s="14" t="s">
        <v>84</v>
      </c>
      <c r="O648" s="14" t="s">
        <v>133</v>
      </c>
      <c r="Q648" s="36"/>
      <c r="R648" s="36"/>
      <c r="S648" s="36"/>
      <c r="T648" s="36"/>
      <c r="V648" s="31"/>
    </row>
    <row r="649">
      <c r="A649" s="14" t="s">
        <v>679</v>
      </c>
      <c r="B649" s="14" t="s">
        <v>3021</v>
      </c>
      <c r="C649" s="14" t="s">
        <v>3022</v>
      </c>
      <c r="D649" s="14" t="s">
        <v>40</v>
      </c>
      <c r="E649" s="20" t="str">
        <f t="shared" si="2"/>
        <v>diciembre 2025</v>
      </c>
      <c r="F649" s="22">
        <v>45996.0</v>
      </c>
      <c r="G649" s="24">
        <f t="shared" ref="G649:H649" si="654">F649</f>
        <v>45996</v>
      </c>
      <c r="H649" s="26">
        <f t="shared" si="654"/>
        <v>45996</v>
      </c>
      <c r="I649" s="14" t="s">
        <v>90</v>
      </c>
      <c r="K649" s="27">
        <v>8.0E7</v>
      </c>
      <c r="L649" s="29" t="s">
        <v>1210</v>
      </c>
      <c r="M649" s="31"/>
      <c r="N649" s="14" t="s">
        <v>84</v>
      </c>
      <c r="O649" s="31"/>
      <c r="Q649" s="36"/>
      <c r="R649" s="36"/>
      <c r="S649" s="36"/>
      <c r="T649" s="36"/>
      <c r="V649" s="31"/>
    </row>
    <row r="650">
      <c r="A650" s="14" t="s">
        <v>736</v>
      </c>
      <c r="B650" s="14" t="s">
        <v>3024</v>
      </c>
      <c r="C650" s="14" t="s">
        <v>2667</v>
      </c>
      <c r="D650" s="14" t="s">
        <v>133</v>
      </c>
      <c r="E650" s="20" t="str">
        <f t="shared" si="2"/>
        <v>diciembre 2025</v>
      </c>
      <c r="F650" s="22">
        <v>46000.0</v>
      </c>
      <c r="G650" s="24">
        <f t="shared" ref="G650:H650" si="655">F650</f>
        <v>46000</v>
      </c>
      <c r="H650" s="26">
        <f t="shared" si="655"/>
        <v>46000</v>
      </c>
      <c r="I650" s="14" t="s">
        <v>2398</v>
      </c>
      <c r="K650" s="27">
        <v>4.0E7</v>
      </c>
      <c r="L650" s="29" t="s">
        <v>3030</v>
      </c>
      <c r="M650" s="31"/>
      <c r="N650" s="14" t="s">
        <v>84</v>
      </c>
      <c r="O650" s="14" t="s">
        <v>133</v>
      </c>
      <c r="Q650" s="36"/>
      <c r="R650" s="36"/>
      <c r="S650" s="36"/>
      <c r="T650" s="36"/>
      <c r="V650" s="31"/>
    </row>
    <row r="651">
      <c r="A651" s="14" t="s">
        <v>736</v>
      </c>
      <c r="B651" s="14" t="s">
        <v>3034</v>
      </c>
      <c r="C651" s="14" t="s">
        <v>2655</v>
      </c>
      <c r="D651" s="14" t="s">
        <v>133</v>
      </c>
      <c r="E651" s="20" t="str">
        <f t="shared" si="2"/>
        <v>diciembre 2025</v>
      </c>
      <c r="F651" s="22">
        <v>46000.0</v>
      </c>
      <c r="G651" s="24">
        <f t="shared" ref="G651:H651" si="656">F651</f>
        <v>46000</v>
      </c>
      <c r="H651" s="26">
        <f t="shared" si="656"/>
        <v>46000</v>
      </c>
      <c r="I651" s="14" t="s">
        <v>2398</v>
      </c>
      <c r="K651" s="27">
        <v>5.0E7</v>
      </c>
      <c r="L651" s="29" t="s">
        <v>3030</v>
      </c>
      <c r="M651" s="31"/>
      <c r="N651" s="14" t="s">
        <v>84</v>
      </c>
      <c r="O651" s="14" t="s">
        <v>133</v>
      </c>
      <c r="Q651" s="36"/>
      <c r="R651" s="36"/>
      <c r="S651" s="36"/>
      <c r="T651" s="36"/>
      <c r="V651" s="31"/>
    </row>
    <row r="652">
      <c r="A652" s="14" t="s">
        <v>736</v>
      </c>
      <c r="B652" s="14" t="s">
        <v>3039</v>
      </c>
      <c r="C652" s="14" t="s">
        <v>3041</v>
      </c>
      <c r="D652" s="14" t="s">
        <v>40</v>
      </c>
      <c r="E652" s="20" t="str">
        <f t="shared" si="2"/>
        <v>diciembre 2025</v>
      </c>
      <c r="F652" s="22">
        <v>46000.0</v>
      </c>
      <c r="G652" s="24">
        <f t="shared" ref="G652:H652" si="657">F652</f>
        <v>46000</v>
      </c>
      <c r="H652" s="26">
        <f t="shared" si="657"/>
        <v>46000</v>
      </c>
      <c r="I652" s="14" t="s">
        <v>90</v>
      </c>
      <c r="K652" s="27">
        <v>1.0E7</v>
      </c>
      <c r="L652" s="29" t="s">
        <v>2764</v>
      </c>
      <c r="M652" s="31"/>
      <c r="N652" s="14" t="s">
        <v>84</v>
      </c>
      <c r="O652" s="14" t="s">
        <v>133</v>
      </c>
      <c r="Q652" s="36"/>
      <c r="R652" s="36"/>
      <c r="S652" s="36"/>
      <c r="T652" s="36"/>
      <c r="V652" s="31"/>
    </row>
    <row r="653">
      <c r="A653" s="14" t="s">
        <v>1787</v>
      </c>
      <c r="B653" s="14" t="s">
        <v>3043</v>
      </c>
      <c r="C653" s="14" t="s">
        <v>3044</v>
      </c>
      <c r="D653" s="14" t="s">
        <v>40</v>
      </c>
      <c r="E653" s="20" t="str">
        <f t="shared" si="2"/>
        <v>diciembre 2025</v>
      </c>
      <c r="F653" s="22">
        <v>46002.0</v>
      </c>
      <c r="G653" s="24">
        <f t="shared" ref="G653:H653" si="658">F653</f>
        <v>46002</v>
      </c>
      <c r="H653" s="26">
        <f t="shared" si="658"/>
        <v>46002</v>
      </c>
      <c r="I653" s="14" t="s">
        <v>90</v>
      </c>
      <c r="K653" s="27">
        <v>1.0E7</v>
      </c>
      <c r="L653" s="29" t="s">
        <v>2764</v>
      </c>
      <c r="M653" s="31"/>
      <c r="N653" s="14" t="s">
        <v>84</v>
      </c>
      <c r="O653" s="31"/>
      <c r="Q653" s="36"/>
      <c r="R653" s="36"/>
      <c r="S653" s="36"/>
      <c r="T653" s="36"/>
      <c r="V653" s="31"/>
    </row>
    <row r="654">
      <c r="A654" s="14" t="s">
        <v>36</v>
      </c>
      <c r="B654" s="14" t="s">
        <v>3045</v>
      </c>
      <c r="C654" s="14" t="s">
        <v>3046</v>
      </c>
      <c r="D654" s="14" t="s">
        <v>133</v>
      </c>
      <c r="E654" s="20" t="str">
        <f t="shared" si="2"/>
        <v>diciembre 2025</v>
      </c>
      <c r="F654" s="22">
        <v>46000.0</v>
      </c>
      <c r="G654" s="24">
        <f t="shared" ref="G654:H654" si="659">F654</f>
        <v>46000</v>
      </c>
      <c r="H654" s="26">
        <f t="shared" si="659"/>
        <v>46000</v>
      </c>
      <c r="I654" s="14" t="s">
        <v>2398</v>
      </c>
      <c r="K654" s="27">
        <v>2.5E8</v>
      </c>
      <c r="L654" s="29" t="s">
        <v>3047</v>
      </c>
      <c r="M654" s="31"/>
      <c r="N654" s="14" t="s">
        <v>84</v>
      </c>
      <c r="O654" s="31"/>
      <c r="Q654" s="36"/>
      <c r="R654" s="36"/>
      <c r="S654" s="36"/>
      <c r="T654" s="36"/>
      <c r="V654" s="31"/>
    </row>
    <row r="655">
      <c r="A655" s="14" t="s">
        <v>36</v>
      </c>
      <c r="B655" s="14" t="s">
        <v>3048</v>
      </c>
      <c r="C655" s="14" t="s">
        <v>3049</v>
      </c>
      <c r="D655" s="14" t="s">
        <v>133</v>
      </c>
      <c r="E655" s="20" t="str">
        <f t="shared" si="2"/>
        <v>diciembre 2025</v>
      </c>
      <c r="F655" s="22">
        <v>46000.0</v>
      </c>
      <c r="G655" s="24">
        <f t="shared" ref="G655:H655" si="660">F655</f>
        <v>46000</v>
      </c>
      <c r="H655" s="26">
        <f t="shared" si="660"/>
        <v>46000</v>
      </c>
      <c r="I655" s="14" t="s">
        <v>2398</v>
      </c>
      <c r="K655" s="27">
        <v>2.5E8</v>
      </c>
      <c r="L655" s="29" t="s">
        <v>3047</v>
      </c>
      <c r="M655" s="31"/>
      <c r="N655" s="14" t="s">
        <v>84</v>
      </c>
      <c r="O655" s="31"/>
      <c r="Q655" s="36"/>
      <c r="R655" s="36"/>
      <c r="S655" s="36"/>
      <c r="T655" s="36"/>
      <c r="V655" s="31"/>
    </row>
    <row r="656">
      <c r="A656" s="14" t="s">
        <v>679</v>
      </c>
      <c r="B656" s="14" t="s">
        <v>3050</v>
      </c>
      <c r="C656" s="14" t="s">
        <v>3051</v>
      </c>
      <c r="D656" s="14" t="s">
        <v>133</v>
      </c>
      <c r="E656" s="20" t="str">
        <f t="shared" si="2"/>
        <v>diciembre 2025</v>
      </c>
      <c r="F656" s="22">
        <v>46003.0</v>
      </c>
      <c r="G656" s="24">
        <f t="shared" ref="G656:H656" si="661">F656</f>
        <v>46003</v>
      </c>
      <c r="H656" s="26">
        <f t="shared" si="661"/>
        <v>46003</v>
      </c>
      <c r="I656" s="14" t="s">
        <v>1865</v>
      </c>
      <c r="K656" s="27">
        <v>1.5E8</v>
      </c>
      <c r="L656" s="29" t="s">
        <v>3052</v>
      </c>
      <c r="M656" s="14"/>
      <c r="N656" s="14" t="s">
        <v>84</v>
      </c>
      <c r="O656" s="14"/>
      <c r="P656" s="14" t="s">
        <v>2820</v>
      </c>
      <c r="Q656" s="36"/>
      <c r="R656" s="36"/>
      <c r="S656" s="36"/>
      <c r="T656" s="36"/>
      <c r="V656" s="31"/>
    </row>
    <row r="657">
      <c r="A657" s="14" t="s">
        <v>679</v>
      </c>
      <c r="B657" s="14" t="s">
        <v>3053</v>
      </c>
      <c r="C657" s="14" t="s">
        <v>3054</v>
      </c>
      <c r="D657" s="14" t="s">
        <v>133</v>
      </c>
      <c r="E657" s="20" t="str">
        <f t="shared" si="2"/>
        <v>diciembre 2025</v>
      </c>
      <c r="F657" s="22">
        <v>46003.0</v>
      </c>
      <c r="G657" s="24">
        <f t="shared" ref="G657:H657" si="662">F657</f>
        <v>46003</v>
      </c>
      <c r="H657" s="26">
        <f t="shared" si="662"/>
        <v>46003</v>
      </c>
      <c r="I657" s="14" t="s">
        <v>1865</v>
      </c>
      <c r="K657" s="27">
        <v>2.2E8</v>
      </c>
      <c r="L657" s="29" t="s">
        <v>3052</v>
      </c>
      <c r="M657" s="14"/>
      <c r="N657" s="14" t="s">
        <v>84</v>
      </c>
      <c r="O657" s="31"/>
      <c r="P657" s="14" t="s">
        <v>2820</v>
      </c>
      <c r="Q657" s="36"/>
      <c r="R657" s="36"/>
      <c r="S657" s="36"/>
      <c r="T657" s="36"/>
      <c r="V657" s="31"/>
    </row>
    <row r="658">
      <c r="A658" s="14" t="s">
        <v>679</v>
      </c>
      <c r="B658" s="14" t="s">
        <v>3055</v>
      </c>
      <c r="C658" s="14" t="s">
        <v>3056</v>
      </c>
      <c r="D658" s="14" t="s">
        <v>133</v>
      </c>
      <c r="E658" s="20" t="str">
        <f t="shared" si="2"/>
        <v>diciembre 2025</v>
      </c>
      <c r="F658" s="22">
        <v>46003.0</v>
      </c>
      <c r="G658" s="24">
        <f t="shared" ref="G658:H658" si="663">F658</f>
        <v>46003</v>
      </c>
      <c r="H658" s="26">
        <f t="shared" si="663"/>
        <v>46003</v>
      </c>
      <c r="I658" s="14" t="s">
        <v>1865</v>
      </c>
      <c r="K658" s="27">
        <v>1.3E8</v>
      </c>
      <c r="L658" s="29" t="s">
        <v>3052</v>
      </c>
      <c r="M658" s="14"/>
      <c r="N658" s="14" t="s">
        <v>84</v>
      </c>
      <c r="O658" s="31"/>
      <c r="P658" s="14" t="s">
        <v>2820</v>
      </c>
      <c r="Q658" s="36"/>
      <c r="R658" s="36"/>
      <c r="S658" s="36"/>
      <c r="T658" s="36"/>
      <c r="V658" s="31"/>
    </row>
    <row r="659">
      <c r="A659" s="14" t="s">
        <v>36</v>
      </c>
      <c r="B659" s="14" t="s">
        <v>3057</v>
      </c>
      <c r="C659" s="14" t="s">
        <v>3058</v>
      </c>
      <c r="D659" s="14" t="s">
        <v>40</v>
      </c>
      <c r="E659" s="20" t="str">
        <f t="shared" si="2"/>
        <v>diciembre 2025</v>
      </c>
      <c r="F659" s="22">
        <v>46003.0</v>
      </c>
      <c r="G659" s="24">
        <f t="shared" ref="G659:H659" si="664">F659</f>
        <v>46003</v>
      </c>
      <c r="H659" s="26">
        <f t="shared" si="664"/>
        <v>46003</v>
      </c>
      <c r="I659" s="14" t="s">
        <v>90</v>
      </c>
      <c r="K659" s="27">
        <v>1.0E8</v>
      </c>
      <c r="L659" s="29" t="s">
        <v>1153</v>
      </c>
      <c r="M659" s="14"/>
      <c r="N659" s="14" t="s">
        <v>84</v>
      </c>
      <c r="O659" s="14" t="s">
        <v>40</v>
      </c>
      <c r="P659" s="14" t="s">
        <v>3059</v>
      </c>
      <c r="Q659" s="36"/>
      <c r="R659" s="36"/>
      <c r="S659" s="36"/>
      <c r="T659" s="36"/>
      <c r="V659" s="31"/>
    </row>
    <row r="660">
      <c r="A660" s="14" t="s">
        <v>36</v>
      </c>
      <c r="B660" s="14" t="s">
        <v>3060</v>
      </c>
      <c r="C660" s="14" t="s">
        <v>3061</v>
      </c>
      <c r="D660" s="14" t="s">
        <v>133</v>
      </c>
      <c r="E660" s="20" t="str">
        <f t="shared" si="2"/>
        <v>diciembre 2025</v>
      </c>
      <c r="F660" s="22">
        <v>46003.0</v>
      </c>
      <c r="G660" s="24">
        <f t="shared" ref="G660:H660" si="665">F660</f>
        <v>46003</v>
      </c>
      <c r="H660" s="26">
        <f t="shared" si="665"/>
        <v>46003</v>
      </c>
      <c r="I660" s="14" t="s">
        <v>2398</v>
      </c>
      <c r="K660" s="27">
        <v>2.5E8</v>
      </c>
      <c r="L660" s="29" t="s">
        <v>2775</v>
      </c>
      <c r="M660" s="14"/>
      <c r="N660" s="14" t="s">
        <v>84</v>
      </c>
      <c r="O660" s="14" t="s">
        <v>40</v>
      </c>
      <c r="P660" s="14" t="s">
        <v>40</v>
      </c>
      <c r="Q660" s="36"/>
      <c r="R660" s="36"/>
      <c r="S660" s="36"/>
      <c r="T660" s="36"/>
      <c r="V660" s="31"/>
    </row>
    <row r="661">
      <c r="A661" s="14" t="s">
        <v>1045</v>
      </c>
      <c r="B661" s="14" t="s">
        <v>3063</v>
      </c>
      <c r="C661" s="15" t="s">
        <v>3064</v>
      </c>
      <c r="D661" s="14" t="s">
        <v>40</v>
      </c>
      <c r="E661" s="20" t="str">
        <f t="shared" si="2"/>
        <v>diciembre 2025</v>
      </c>
      <c r="F661" s="22">
        <v>46006.0</v>
      </c>
      <c r="G661" s="24">
        <f t="shared" ref="G661:H661" si="666">F661</f>
        <v>46006</v>
      </c>
      <c r="H661" s="26">
        <f t="shared" si="666"/>
        <v>46006</v>
      </c>
      <c r="I661" s="14" t="s">
        <v>90</v>
      </c>
      <c r="K661" s="27">
        <v>8.0E7</v>
      </c>
      <c r="L661" s="15" t="s">
        <v>3065</v>
      </c>
      <c r="M661" s="31"/>
      <c r="N661" s="14" t="s">
        <v>133</v>
      </c>
      <c r="O661" s="14" t="s">
        <v>133</v>
      </c>
      <c r="Q661" s="36"/>
      <c r="R661" s="36"/>
      <c r="S661" s="36"/>
      <c r="T661" s="36"/>
      <c r="V661" s="31"/>
    </row>
    <row r="662">
      <c r="A662" s="14" t="s">
        <v>1787</v>
      </c>
      <c r="B662" s="14" t="s">
        <v>3066</v>
      </c>
      <c r="C662" s="15" t="s">
        <v>3067</v>
      </c>
      <c r="D662" s="14" t="s">
        <v>40</v>
      </c>
      <c r="E662" s="20" t="str">
        <f t="shared" si="2"/>
        <v>diciembre 2025</v>
      </c>
      <c r="F662" s="22">
        <v>46007.0</v>
      </c>
      <c r="G662" s="24">
        <f t="shared" ref="G662:H662" si="667">F662</f>
        <v>46007</v>
      </c>
      <c r="H662" s="26">
        <f t="shared" si="667"/>
        <v>46007</v>
      </c>
      <c r="I662" s="14" t="s">
        <v>90</v>
      </c>
      <c r="K662" s="27">
        <v>5.0E7</v>
      </c>
      <c r="L662" s="29" t="s">
        <v>3068</v>
      </c>
      <c r="M662" s="31"/>
      <c r="N662" s="31"/>
      <c r="O662" s="31"/>
      <c r="Q662" s="36"/>
      <c r="R662" s="36"/>
      <c r="S662" s="36"/>
      <c r="T662" s="36"/>
      <c r="V662" s="31"/>
    </row>
    <row r="663">
      <c r="A663" s="14" t="s">
        <v>1045</v>
      </c>
      <c r="B663" s="14" t="s">
        <v>2515</v>
      </c>
      <c r="C663" s="15" t="s">
        <v>2516</v>
      </c>
      <c r="D663" s="14" t="s">
        <v>40</v>
      </c>
      <c r="E663" s="20" t="str">
        <f t="shared" si="2"/>
        <v>diciembre 2025</v>
      </c>
      <c r="F663" s="22">
        <v>46007.0</v>
      </c>
      <c r="G663" s="24">
        <f t="shared" ref="G663:H663" si="668">F663</f>
        <v>46007</v>
      </c>
      <c r="H663" s="26">
        <f t="shared" si="668"/>
        <v>46007</v>
      </c>
      <c r="I663" s="14" t="s">
        <v>90</v>
      </c>
      <c r="K663" s="27">
        <v>2.0E8</v>
      </c>
      <c r="L663" s="15" t="s">
        <v>3069</v>
      </c>
      <c r="M663" s="31"/>
      <c r="N663" s="14" t="s">
        <v>84</v>
      </c>
      <c r="O663" s="14" t="s">
        <v>40</v>
      </c>
      <c r="Q663" s="36"/>
      <c r="R663" s="36"/>
      <c r="S663" s="36"/>
      <c r="T663" s="36"/>
      <c r="V663" s="31"/>
    </row>
    <row r="664">
      <c r="A664" s="14" t="s">
        <v>1787</v>
      </c>
      <c r="B664" s="14" t="s">
        <v>3070</v>
      </c>
      <c r="C664" s="15" t="s">
        <v>3071</v>
      </c>
      <c r="D664" s="14" t="s">
        <v>40</v>
      </c>
      <c r="E664" s="20" t="str">
        <f t="shared" si="2"/>
        <v>diciembre 2025</v>
      </c>
      <c r="F664" s="22">
        <v>46008.0</v>
      </c>
      <c r="G664" s="24">
        <f t="shared" ref="G664:H664" si="669">F664</f>
        <v>46008</v>
      </c>
      <c r="H664" s="26">
        <f t="shared" si="669"/>
        <v>46008</v>
      </c>
      <c r="I664" s="14" t="s">
        <v>90</v>
      </c>
      <c r="K664" s="27">
        <v>3.0E8</v>
      </c>
      <c r="L664" s="29" t="s">
        <v>3072</v>
      </c>
      <c r="M664" s="31"/>
      <c r="N664" s="14" t="s">
        <v>84</v>
      </c>
      <c r="O664" s="14" t="s">
        <v>40</v>
      </c>
      <c r="Q664" s="36"/>
      <c r="R664" s="36"/>
      <c r="S664" s="36"/>
      <c r="T664" s="36"/>
      <c r="V664" s="31"/>
    </row>
    <row r="665">
      <c r="A665" s="14" t="s">
        <v>736</v>
      </c>
      <c r="B665" s="14" t="s">
        <v>3073</v>
      </c>
      <c r="C665" s="14" t="s">
        <v>3074</v>
      </c>
      <c r="D665" s="14" t="s">
        <v>40</v>
      </c>
      <c r="E665" s="20" t="str">
        <f t="shared" si="2"/>
        <v>diciembre 2025</v>
      </c>
      <c r="F665" s="22">
        <v>46002.0</v>
      </c>
      <c r="G665" s="24">
        <f t="shared" ref="G665:H665" si="670">F665</f>
        <v>46002</v>
      </c>
      <c r="H665" s="26">
        <f t="shared" si="670"/>
        <v>46002</v>
      </c>
      <c r="I665" s="14" t="s">
        <v>2398</v>
      </c>
      <c r="K665" s="27">
        <v>1.5E8</v>
      </c>
      <c r="L665" s="29" t="s">
        <v>3075</v>
      </c>
      <c r="M665" s="14"/>
      <c r="N665" s="14" t="s">
        <v>84</v>
      </c>
      <c r="O665" s="14" t="s">
        <v>40</v>
      </c>
      <c r="P665" s="14" t="s">
        <v>2820</v>
      </c>
      <c r="Q665" s="36"/>
      <c r="R665" s="36"/>
      <c r="S665" s="36"/>
      <c r="T665" s="36"/>
      <c r="V665" s="31"/>
    </row>
    <row r="666">
      <c r="A666" s="14" t="s">
        <v>1045</v>
      </c>
      <c r="B666" s="14" t="s">
        <v>3076</v>
      </c>
      <c r="C666" s="14" t="s">
        <v>3077</v>
      </c>
      <c r="D666" s="14" t="s">
        <v>40</v>
      </c>
      <c r="E666" s="20" t="str">
        <f t="shared" si="2"/>
        <v>diciembre 2025</v>
      </c>
      <c r="F666" s="22">
        <v>46008.0</v>
      </c>
      <c r="G666" s="24">
        <f t="shared" ref="G666:H666" si="671">F666</f>
        <v>46008</v>
      </c>
      <c r="H666" s="26">
        <f t="shared" si="671"/>
        <v>46008</v>
      </c>
      <c r="I666" s="14" t="s">
        <v>90</v>
      </c>
      <c r="K666" s="27">
        <v>1.0E7</v>
      </c>
      <c r="L666" s="29" t="s">
        <v>1016</v>
      </c>
      <c r="M666" s="31"/>
      <c r="N666" s="14" t="s">
        <v>84</v>
      </c>
      <c r="O666" s="14" t="s">
        <v>133</v>
      </c>
      <c r="Q666" s="36"/>
      <c r="R666" s="36"/>
      <c r="S666" s="36"/>
      <c r="T666" s="36"/>
      <c r="V666" s="31"/>
    </row>
    <row r="667">
      <c r="A667" s="14" t="s">
        <v>1045</v>
      </c>
      <c r="B667" s="14" t="s">
        <v>3078</v>
      </c>
      <c r="C667" s="14" t="s">
        <v>3079</v>
      </c>
      <c r="D667" s="14" t="s">
        <v>40</v>
      </c>
      <c r="E667" s="20" t="str">
        <f t="shared" si="2"/>
        <v>diciembre 2025</v>
      </c>
      <c r="F667" s="22">
        <v>46008.0</v>
      </c>
      <c r="G667" s="24">
        <f t="shared" ref="G667:H667" si="672">F667</f>
        <v>46008</v>
      </c>
      <c r="H667" s="26">
        <f t="shared" si="672"/>
        <v>46008</v>
      </c>
      <c r="I667" s="14" t="s">
        <v>90</v>
      </c>
      <c r="K667" s="27">
        <v>1.0E7</v>
      </c>
      <c r="L667" s="29" t="s">
        <v>1016</v>
      </c>
      <c r="M667" s="31"/>
      <c r="N667" s="14" t="s">
        <v>84</v>
      </c>
      <c r="O667" s="14" t="s">
        <v>133</v>
      </c>
      <c r="Q667" s="36"/>
      <c r="R667" s="36"/>
      <c r="S667" s="36"/>
      <c r="T667" s="36"/>
      <c r="V667" s="31"/>
    </row>
    <row r="668">
      <c r="A668" s="14" t="s">
        <v>1012</v>
      </c>
      <c r="B668" s="14" t="s">
        <v>3080</v>
      </c>
      <c r="C668" s="14" t="s">
        <v>3081</v>
      </c>
      <c r="D668" s="14" t="s">
        <v>133</v>
      </c>
      <c r="E668" s="20" t="str">
        <f t="shared" si="2"/>
        <v>diciembre 2025</v>
      </c>
      <c r="F668" s="22">
        <v>46010.0</v>
      </c>
      <c r="G668" s="24">
        <f t="shared" ref="G668:H668" si="673">F668</f>
        <v>46010</v>
      </c>
      <c r="H668" s="26">
        <f t="shared" si="673"/>
        <v>46010</v>
      </c>
      <c r="I668" s="14" t="s">
        <v>1865</v>
      </c>
      <c r="K668" s="27">
        <v>1.2E8</v>
      </c>
      <c r="L668" s="29" t="s">
        <v>2994</v>
      </c>
      <c r="M668" s="31"/>
      <c r="N668" s="14" t="s">
        <v>84</v>
      </c>
      <c r="O668" s="14" t="s">
        <v>40</v>
      </c>
      <c r="P668" s="31" t="s">
        <v>62</v>
      </c>
      <c r="Q668" s="36"/>
      <c r="R668" s="36"/>
      <c r="S668" s="36"/>
      <c r="T668" s="36"/>
      <c r="V668" s="31"/>
    </row>
    <row r="669">
      <c r="A669" s="14" t="s">
        <v>736</v>
      </c>
      <c r="B669" s="14" t="s">
        <v>3082</v>
      </c>
      <c r="C669" s="95" t="s">
        <v>103</v>
      </c>
      <c r="D669" s="14" t="s">
        <v>40</v>
      </c>
      <c r="E669" s="348" t="str">
        <f t="shared" si="2"/>
        <v>diciembre 1899</v>
      </c>
      <c r="F669" s="349"/>
      <c r="G669" s="24" t="str">
        <f t="shared" ref="G669:H669" si="674">F669</f>
        <v/>
      </c>
      <c r="H669" s="26" t="str">
        <f t="shared" si="674"/>
        <v/>
      </c>
      <c r="I669" s="14" t="s">
        <v>90</v>
      </c>
      <c r="K669" s="88"/>
      <c r="L669" s="29" t="s">
        <v>3085</v>
      </c>
      <c r="M669" s="31"/>
      <c r="N669" s="14" t="s">
        <v>84</v>
      </c>
      <c r="O669" s="31"/>
      <c r="Q669" s="36"/>
      <c r="R669" s="36"/>
      <c r="S669" s="36"/>
      <c r="T669" s="36"/>
      <c r="V669" s="31"/>
    </row>
    <row r="670">
      <c r="A670" s="14" t="s">
        <v>736</v>
      </c>
      <c r="B670" s="351" t="s">
        <v>3088</v>
      </c>
      <c r="C670" s="50" t="s">
        <v>1069</v>
      </c>
      <c r="D670" s="14" t="s">
        <v>40</v>
      </c>
      <c r="E670" s="348" t="str">
        <f t="shared" si="2"/>
        <v>diciembre 2025</v>
      </c>
      <c r="F670" s="349">
        <v>46018.0</v>
      </c>
      <c r="G670" s="24">
        <f t="shared" ref="G670:H670" si="675">F670</f>
        <v>46018</v>
      </c>
      <c r="H670" s="26">
        <f t="shared" si="675"/>
        <v>46018</v>
      </c>
      <c r="I670" s="14" t="s">
        <v>90</v>
      </c>
      <c r="K670" s="27"/>
      <c r="L670" s="29" t="s">
        <v>3085</v>
      </c>
      <c r="M670" s="31"/>
      <c r="N670" s="14" t="s">
        <v>84</v>
      </c>
      <c r="O670" s="31"/>
      <c r="Q670" s="36"/>
      <c r="R670" s="36"/>
      <c r="S670" s="36"/>
      <c r="T670" s="36"/>
      <c r="V670" s="31"/>
    </row>
    <row r="671">
      <c r="A671" s="14" t="s">
        <v>736</v>
      </c>
      <c r="B671" s="351" t="s">
        <v>3092</v>
      </c>
      <c r="C671" s="50" t="s">
        <v>1076</v>
      </c>
      <c r="D671" s="14" t="s">
        <v>40</v>
      </c>
      <c r="E671" s="348" t="str">
        <f t="shared" si="2"/>
        <v>diciembre 2025</v>
      </c>
      <c r="F671" s="349">
        <v>46018.0</v>
      </c>
      <c r="G671" s="24">
        <f t="shared" ref="G671:H671" si="676">F671</f>
        <v>46018</v>
      </c>
      <c r="H671" s="26">
        <f t="shared" si="676"/>
        <v>46018</v>
      </c>
      <c r="I671" s="14" t="s">
        <v>90</v>
      </c>
      <c r="K671" s="27"/>
      <c r="L671" s="29" t="s">
        <v>3085</v>
      </c>
      <c r="M671" s="31"/>
      <c r="N671" s="14" t="s">
        <v>84</v>
      </c>
      <c r="O671" s="31"/>
      <c r="Q671" s="36"/>
      <c r="R671" s="36"/>
      <c r="S671" s="36"/>
      <c r="T671" s="36"/>
      <c r="V671" s="31"/>
    </row>
    <row r="672">
      <c r="A672" s="14" t="s">
        <v>208</v>
      </c>
      <c r="C672" s="14" t="s">
        <v>3093</v>
      </c>
      <c r="D672" s="14" t="s">
        <v>40</v>
      </c>
      <c r="E672" s="20" t="str">
        <f t="shared" si="2"/>
        <v>diciembre 2025</v>
      </c>
      <c r="F672" s="22">
        <v>46008.0</v>
      </c>
      <c r="G672" s="24">
        <f t="shared" ref="G672:H672" si="677">F672</f>
        <v>46008</v>
      </c>
      <c r="H672" s="26">
        <f t="shared" si="677"/>
        <v>46008</v>
      </c>
      <c r="I672" s="14" t="s">
        <v>259</v>
      </c>
      <c r="K672" s="27">
        <v>2.0E8</v>
      </c>
      <c r="L672" s="37" t="s">
        <v>3094</v>
      </c>
      <c r="M672" s="31"/>
      <c r="N672" s="14" t="s">
        <v>84</v>
      </c>
      <c r="O672" s="14" t="s">
        <v>133</v>
      </c>
      <c r="Q672" s="36"/>
      <c r="R672" s="36"/>
      <c r="S672" s="36"/>
      <c r="T672" s="36"/>
      <c r="V672" s="31"/>
    </row>
    <row r="673">
      <c r="A673" s="14" t="s">
        <v>208</v>
      </c>
      <c r="C673" s="37" t="s">
        <v>3095</v>
      </c>
      <c r="D673" s="14" t="s">
        <v>133</v>
      </c>
      <c r="E673" s="20" t="str">
        <f t="shared" si="2"/>
        <v>diciembre 2025</v>
      </c>
      <c r="F673" s="22">
        <v>46009.0</v>
      </c>
      <c r="G673" s="24">
        <f t="shared" ref="G673:H673" si="678">F673</f>
        <v>46009</v>
      </c>
      <c r="H673" s="26">
        <f t="shared" si="678"/>
        <v>46009</v>
      </c>
      <c r="I673" s="14" t="s">
        <v>1865</v>
      </c>
      <c r="K673" s="27">
        <v>4.0E8</v>
      </c>
      <c r="L673" s="352" t="s">
        <v>3096</v>
      </c>
      <c r="M673" s="31"/>
      <c r="N673" s="14" t="s">
        <v>84</v>
      </c>
      <c r="O673" s="14" t="s">
        <v>40</v>
      </c>
      <c r="Q673" s="36"/>
      <c r="R673" s="36"/>
      <c r="S673" s="36"/>
      <c r="T673" s="36"/>
      <c r="V673" s="31"/>
    </row>
    <row r="674">
      <c r="A674" s="14" t="s">
        <v>1045</v>
      </c>
      <c r="C674" s="353" t="s">
        <v>3097</v>
      </c>
      <c r="D674" s="14" t="s">
        <v>40</v>
      </c>
      <c r="E674" s="20" t="str">
        <f t="shared" si="2"/>
        <v>diciembre 2025</v>
      </c>
      <c r="F674" s="22">
        <v>46010.0</v>
      </c>
      <c r="G674" s="24">
        <f t="shared" ref="G674:H674" si="679">F674</f>
        <v>46010</v>
      </c>
      <c r="H674" s="26">
        <f t="shared" si="679"/>
        <v>46010</v>
      </c>
      <c r="I674" s="14" t="s">
        <v>90</v>
      </c>
      <c r="K674" s="27">
        <v>1.0E8</v>
      </c>
      <c r="L674" s="37" t="s">
        <v>3098</v>
      </c>
      <c r="M674" s="31"/>
      <c r="N674" s="14" t="s">
        <v>84</v>
      </c>
      <c r="O674" s="14" t="s">
        <v>133</v>
      </c>
      <c r="Q674" s="36"/>
      <c r="R674" s="36"/>
      <c r="S674" s="36"/>
      <c r="T674" s="36"/>
      <c r="V674" s="31"/>
    </row>
    <row r="675">
      <c r="A675" s="14" t="s">
        <v>736</v>
      </c>
      <c r="C675" s="95" t="s">
        <v>98</v>
      </c>
      <c r="D675" s="14" t="s">
        <v>40</v>
      </c>
      <c r="E675" s="20" t="str">
        <f t="shared" si="2"/>
        <v>octubre 2025</v>
      </c>
      <c r="F675" s="22">
        <v>45933.0</v>
      </c>
      <c r="G675" s="24">
        <f t="shared" ref="G675:H675" si="680">F675</f>
        <v>45933</v>
      </c>
      <c r="H675" s="26">
        <f t="shared" si="680"/>
        <v>45933</v>
      </c>
      <c r="I675" s="14" t="s">
        <v>90</v>
      </c>
      <c r="K675" s="88"/>
      <c r="L675" s="78"/>
      <c r="M675" s="14"/>
      <c r="N675" s="14" t="s">
        <v>84</v>
      </c>
      <c r="O675" s="31"/>
      <c r="P675" s="14" t="s">
        <v>3099</v>
      </c>
      <c r="Q675" s="36"/>
      <c r="R675" s="36"/>
      <c r="S675" s="36"/>
      <c r="T675" s="36"/>
      <c r="V675" s="31"/>
    </row>
    <row r="676">
      <c r="A676" s="37" t="s">
        <v>66</v>
      </c>
      <c r="C676" s="15" t="s">
        <v>3100</v>
      </c>
      <c r="D676" s="14" t="s">
        <v>133</v>
      </c>
      <c r="E676" s="20" t="str">
        <f t="shared" si="2"/>
        <v>noviembre 2025</v>
      </c>
      <c r="F676" s="22">
        <v>45990.0</v>
      </c>
      <c r="G676" s="24">
        <f t="shared" ref="G676:H676" si="681">F676</f>
        <v>45990</v>
      </c>
      <c r="H676" s="26">
        <f t="shared" si="681"/>
        <v>45990</v>
      </c>
      <c r="I676" s="14" t="s">
        <v>2398</v>
      </c>
      <c r="K676" s="27">
        <v>2.0E9</v>
      </c>
      <c r="L676" s="78"/>
      <c r="M676" s="31"/>
      <c r="N676" s="31"/>
      <c r="O676" s="14" t="s">
        <v>40</v>
      </c>
      <c r="Q676" s="36"/>
      <c r="R676" s="36"/>
      <c r="S676" s="36"/>
      <c r="T676" s="36"/>
      <c r="V676" s="31"/>
    </row>
    <row r="677">
      <c r="A677" s="37" t="s">
        <v>66</v>
      </c>
      <c r="C677" s="15" t="s">
        <v>3101</v>
      </c>
      <c r="D677" s="14" t="s">
        <v>133</v>
      </c>
      <c r="E677" s="20" t="str">
        <f t="shared" si="2"/>
        <v>noviembre 2025</v>
      </c>
      <c r="F677" s="22">
        <v>45990.0</v>
      </c>
      <c r="G677" s="24">
        <f t="shared" ref="G677:H677" si="682">F677</f>
        <v>45990</v>
      </c>
      <c r="H677" s="26">
        <f t="shared" si="682"/>
        <v>45990</v>
      </c>
      <c r="I677" s="14" t="s">
        <v>2398</v>
      </c>
      <c r="K677" s="27">
        <v>2.0E9</v>
      </c>
      <c r="L677" s="78"/>
      <c r="M677" s="31"/>
      <c r="N677" s="31"/>
      <c r="O677" s="14" t="s">
        <v>40</v>
      </c>
      <c r="Q677" s="36"/>
      <c r="R677" s="36"/>
      <c r="S677" s="36"/>
      <c r="T677" s="36"/>
      <c r="V677" s="31"/>
    </row>
    <row r="678">
      <c r="A678" s="37" t="s">
        <v>66</v>
      </c>
      <c r="C678" s="15" t="s">
        <v>3103</v>
      </c>
      <c r="D678" s="14" t="s">
        <v>133</v>
      </c>
      <c r="E678" s="20" t="str">
        <f t="shared" si="2"/>
        <v>noviembre 2025</v>
      </c>
      <c r="F678" s="22">
        <v>45990.0</v>
      </c>
      <c r="G678" s="24">
        <f t="shared" ref="G678:H678" si="683">F678</f>
        <v>45990</v>
      </c>
      <c r="H678" s="26">
        <f t="shared" si="683"/>
        <v>45990</v>
      </c>
      <c r="I678" s="14" t="s">
        <v>2398</v>
      </c>
      <c r="K678" s="27">
        <v>2.0E9</v>
      </c>
      <c r="L678" s="78"/>
      <c r="M678" s="31"/>
      <c r="N678" s="31"/>
      <c r="O678" s="14" t="s">
        <v>40</v>
      </c>
      <c r="Q678" s="36"/>
      <c r="R678" s="36"/>
      <c r="S678" s="36"/>
      <c r="T678" s="36"/>
      <c r="V678" s="31"/>
    </row>
    <row r="679">
      <c r="A679" s="37" t="s">
        <v>66</v>
      </c>
      <c r="C679" s="15" t="s">
        <v>3104</v>
      </c>
      <c r="D679" s="14" t="s">
        <v>133</v>
      </c>
      <c r="E679" s="20" t="str">
        <f t="shared" si="2"/>
        <v>enero 2026</v>
      </c>
      <c r="F679" s="355">
        <v>46052.0</v>
      </c>
      <c r="G679" s="24">
        <f t="shared" ref="G679:H679" si="684">F679</f>
        <v>46052</v>
      </c>
      <c r="H679" s="26">
        <f t="shared" si="684"/>
        <v>46052</v>
      </c>
      <c r="I679" s="14" t="s">
        <v>2398</v>
      </c>
      <c r="K679" s="27">
        <v>2.0E9</v>
      </c>
      <c r="L679" s="29"/>
      <c r="M679" s="31"/>
      <c r="N679" s="31"/>
      <c r="O679" s="31"/>
      <c r="Q679" s="36"/>
      <c r="R679" s="36"/>
      <c r="S679" s="36"/>
      <c r="T679" s="36"/>
      <c r="V679" s="31"/>
    </row>
    <row r="680">
      <c r="A680" s="37" t="s">
        <v>66</v>
      </c>
      <c r="C680" s="15" t="s">
        <v>3104</v>
      </c>
      <c r="D680" s="14" t="s">
        <v>133</v>
      </c>
      <c r="E680" s="20" t="str">
        <f t="shared" si="2"/>
        <v>febrero 2026</v>
      </c>
      <c r="F680" s="355">
        <v>46055.0</v>
      </c>
      <c r="G680" s="24">
        <f t="shared" ref="G680:H680" si="685">F680</f>
        <v>46055</v>
      </c>
      <c r="H680" s="26">
        <f t="shared" si="685"/>
        <v>46055</v>
      </c>
      <c r="I680" s="14" t="s">
        <v>2398</v>
      </c>
      <c r="K680" s="27">
        <v>2.0E9</v>
      </c>
      <c r="L680" s="29"/>
      <c r="M680" s="31"/>
      <c r="N680" s="31"/>
      <c r="O680" s="31"/>
      <c r="Q680" s="36"/>
      <c r="R680" s="36"/>
      <c r="S680" s="36"/>
      <c r="T680" s="36"/>
      <c r="V680" s="31"/>
    </row>
    <row r="681">
      <c r="A681" s="14" t="s">
        <v>1787</v>
      </c>
      <c r="C681" s="14" t="s">
        <v>2953</v>
      </c>
      <c r="D681" s="14" t="s">
        <v>40</v>
      </c>
      <c r="E681" s="20" t="str">
        <f t="shared" si="2"/>
        <v>diciembre 2025</v>
      </c>
      <c r="F681" s="355">
        <v>46021.0</v>
      </c>
      <c r="G681" s="24">
        <f t="shared" ref="G681:H681" si="686">F681</f>
        <v>46021</v>
      </c>
      <c r="H681" s="26">
        <f t="shared" si="686"/>
        <v>46021</v>
      </c>
      <c r="I681" s="14" t="s">
        <v>1596</v>
      </c>
      <c r="K681" s="27">
        <v>7.0E7</v>
      </c>
      <c r="L681" s="29" t="s">
        <v>3105</v>
      </c>
      <c r="M681" s="31"/>
      <c r="N681" s="31"/>
      <c r="O681" s="31"/>
      <c r="Q681" s="36"/>
      <c r="R681" s="36"/>
      <c r="S681" s="36"/>
      <c r="T681" s="36"/>
      <c r="V681" s="31"/>
    </row>
    <row r="682">
      <c r="A682" s="14" t="s">
        <v>679</v>
      </c>
      <c r="C682" s="14" t="s">
        <v>3106</v>
      </c>
      <c r="D682" s="14" t="s">
        <v>40</v>
      </c>
      <c r="E682" s="20" t="str">
        <f t="shared" si="2"/>
        <v>enero 2026</v>
      </c>
      <c r="F682" s="355">
        <v>46036.0</v>
      </c>
      <c r="G682" s="24">
        <f t="shared" ref="G682:H682" si="687">F682</f>
        <v>46036</v>
      </c>
      <c r="H682" s="26">
        <f t="shared" si="687"/>
        <v>46036</v>
      </c>
      <c r="I682" s="14" t="s">
        <v>90</v>
      </c>
      <c r="K682" s="27">
        <v>4.0E7</v>
      </c>
      <c r="L682" s="29" t="s">
        <v>1008</v>
      </c>
      <c r="M682" s="31"/>
      <c r="N682" s="14" t="s">
        <v>84</v>
      </c>
      <c r="O682" s="31"/>
      <c r="Q682" s="36"/>
      <c r="R682" s="36"/>
      <c r="S682" s="36"/>
      <c r="T682" s="36"/>
      <c r="V682" s="31"/>
    </row>
    <row r="683">
      <c r="A683" s="14" t="s">
        <v>117</v>
      </c>
      <c r="C683" s="14" t="s">
        <v>3107</v>
      </c>
      <c r="D683" s="14" t="s">
        <v>40</v>
      </c>
      <c r="E683" s="20" t="str">
        <f t="shared" si="2"/>
        <v>enero 2026</v>
      </c>
      <c r="F683" s="355">
        <v>46024.0</v>
      </c>
      <c r="G683" s="24">
        <f t="shared" ref="G683:H683" si="688">F683</f>
        <v>46024</v>
      </c>
      <c r="H683" s="26">
        <f t="shared" si="688"/>
        <v>46024</v>
      </c>
      <c r="I683" s="14" t="s">
        <v>90</v>
      </c>
      <c r="K683" s="27">
        <v>8.5E7</v>
      </c>
      <c r="L683" s="29" t="s">
        <v>3108</v>
      </c>
      <c r="M683" s="31"/>
      <c r="N683" s="14" t="s">
        <v>84</v>
      </c>
      <c r="O683" s="14" t="s">
        <v>133</v>
      </c>
      <c r="Q683" s="36"/>
      <c r="R683" s="36"/>
      <c r="S683" s="36"/>
      <c r="T683" s="36"/>
      <c r="V683" s="31"/>
    </row>
    <row r="684">
      <c r="A684" s="14" t="s">
        <v>679</v>
      </c>
      <c r="C684" s="14" t="s">
        <v>3110</v>
      </c>
      <c r="D684" s="14" t="s">
        <v>40</v>
      </c>
      <c r="E684" s="20" t="str">
        <f t="shared" si="2"/>
        <v>enero 2026</v>
      </c>
      <c r="F684" s="355">
        <v>46052.0</v>
      </c>
      <c r="G684" s="24">
        <f t="shared" ref="G684:H684" si="689">F684</f>
        <v>46052</v>
      </c>
      <c r="H684" s="26">
        <f t="shared" si="689"/>
        <v>46052</v>
      </c>
      <c r="I684" s="14" t="s">
        <v>259</v>
      </c>
      <c r="K684" s="27">
        <v>2.0E7</v>
      </c>
      <c r="L684" s="29" t="s">
        <v>887</v>
      </c>
      <c r="M684" s="31"/>
      <c r="N684" s="14" t="s">
        <v>84</v>
      </c>
      <c r="O684" s="31"/>
      <c r="Q684" s="36"/>
      <c r="R684" s="36"/>
      <c r="S684" s="36"/>
      <c r="T684" s="36"/>
      <c r="V684" s="31"/>
    </row>
    <row r="685">
      <c r="A685" s="14" t="s">
        <v>736</v>
      </c>
      <c r="C685" s="14" t="s">
        <v>3111</v>
      </c>
      <c r="D685" s="14" t="s">
        <v>40</v>
      </c>
      <c r="E685" s="20" t="str">
        <f t="shared" si="2"/>
        <v>enero 2026</v>
      </c>
      <c r="F685" s="355">
        <v>46052.0</v>
      </c>
      <c r="G685" s="24">
        <f t="shared" ref="G685:H685" si="690">F685</f>
        <v>46052</v>
      </c>
      <c r="H685" s="26">
        <f t="shared" si="690"/>
        <v>46052</v>
      </c>
      <c r="I685" s="14" t="s">
        <v>259</v>
      </c>
      <c r="K685" s="27">
        <v>1.0E7</v>
      </c>
      <c r="L685" s="29" t="s">
        <v>1016</v>
      </c>
      <c r="M685" s="14"/>
      <c r="N685" s="14" t="s">
        <v>84</v>
      </c>
      <c r="O685" s="14" t="s">
        <v>133</v>
      </c>
      <c r="P685" s="14" t="s">
        <v>3112</v>
      </c>
      <c r="Q685" s="36"/>
      <c r="R685" s="36"/>
      <c r="S685" s="36"/>
      <c r="T685" s="36"/>
      <c r="V685" s="31"/>
    </row>
    <row r="686">
      <c r="A686" s="14" t="s">
        <v>736</v>
      </c>
      <c r="C686" s="14" t="s">
        <v>2647</v>
      </c>
      <c r="D686" s="14" t="s">
        <v>40</v>
      </c>
      <c r="E686" s="20" t="str">
        <f t="shared" si="2"/>
        <v>enero 2026</v>
      </c>
      <c r="F686" s="355">
        <v>46051.0</v>
      </c>
      <c r="G686" s="24">
        <f t="shared" ref="G686:H686" si="691">F686</f>
        <v>46051</v>
      </c>
      <c r="H686" s="26">
        <f t="shared" si="691"/>
        <v>46051</v>
      </c>
      <c r="I686" s="14" t="s">
        <v>90</v>
      </c>
      <c r="K686" s="88"/>
      <c r="L686" s="29" t="s">
        <v>1016</v>
      </c>
      <c r="M686" s="31"/>
      <c r="N686" s="14" t="s">
        <v>84</v>
      </c>
      <c r="O686" s="14" t="s">
        <v>133</v>
      </c>
      <c r="Q686" s="36"/>
      <c r="R686" s="36"/>
      <c r="S686" s="36"/>
      <c r="T686" s="36"/>
      <c r="V686" s="31"/>
    </row>
    <row r="687">
      <c r="A687" s="14" t="s">
        <v>679</v>
      </c>
      <c r="C687" s="95" t="s">
        <v>3113</v>
      </c>
      <c r="D687" s="14" t="s">
        <v>40</v>
      </c>
      <c r="E687" s="20" t="str">
        <f t="shared" si="2"/>
        <v>febrero 2026</v>
      </c>
      <c r="F687" s="355">
        <v>46056.0</v>
      </c>
      <c r="G687" s="24">
        <f t="shared" ref="G687:H687" si="692">F687</f>
        <v>46056</v>
      </c>
      <c r="H687" s="26">
        <f t="shared" si="692"/>
        <v>46056</v>
      </c>
      <c r="I687" s="14" t="s">
        <v>90</v>
      </c>
      <c r="K687" s="27">
        <v>8.0E7</v>
      </c>
      <c r="L687" s="29" t="s">
        <v>1153</v>
      </c>
      <c r="M687" s="14"/>
      <c r="N687" s="14" t="s">
        <v>84</v>
      </c>
      <c r="O687" s="14" t="s">
        <v>133</v>
      </c>
      <c r="P687" s="14" t="s">
        <v>3114</v>
      </c>
      <c r="Q687" s="36"/>
      <c r="R687" s="36"/>
      <c r="S687" s="36"/>
      <c r="T687" s="36"/>
      <c r="V687" s="31"/>
    </row>
    <row r="688">
      <c r="A688" s="14" t="s">
        <v>679</v>
      </c>
      <c r="C688" s="14" t="s">
        <v>3115</v>
      </c>
      <c r="D688" s="14" t="s">
        <v>133</v>
      </c>
      <c r="E688" s="20" t="str">
        <f t="shared" si="2"/>
        <v>febrero 2026</v>
      </c>
      <c r="F688" s="355">
        <v>46059.0</v>
      </c>
      <c r="G688" s="24">
        <f t="shared" ref="G688:H688" si="693">F688</f>
        <v>46059</v>
      </c>
      <c r="H688" s="26">
        <f t="shared" si="693"/>
        <v>46059</v>
      </c>
      <c r="I688" s="14" t="s">
        <v>1865</v>
      </c>
      <c r="K688" s="27">
        <v>2.4E9</v>
      </c>
      <c r="L688" s="29" t="s">
        <v>3117</v>
      </c>
      <c r="M688" s="14"/>
      <c r="N688" s="14" t="s">
        <v>84</v>
      </c>
      <c r="O688" s="14" t="s">
        <v>133</v>
      </c>
      <c r="P688" s="14" t="s">
        <v>3118</v>
      </c>
      <c r="Q688" s="36"/>
      <c r="R688" s="36"/>
      <c r="S688" s="36"/>
      <c r="T688" s="36"/>
      <c r="V688" s="31"/>
    </row>
    <row r="689">
      <c r="A689" s="37" t="s">
        <v>66</v>
      </c>
      <c r="C689" s="95" t="s">
        <v>368</v>
      </c>
      <c r="D689" s="14" t="s">
        <v>40</v>
      </c>
      <c r="E689" s="20" t="str">
        <f t="shared" si="2"/>
        <v>febrero 2026</v>
      </c>
      <c r="F689" s="355">
        <v>46058.0</v>
      </c>
      <c r="G689" s="24">
        <f t="shared" ref="G689:H689" si="694">F689</f>
        <v>46058</v>
      </c>
      <c r="H689" s="26">
        <f t="shared" si="694"/>
        <v>46058</v>
      </c>
      <c r="I689" s="14" t="s">
        <v>90</v>
      </c>
      <c r="K689" s="27">
        <v>3.0E9</v>
      </c>
      <c r="L689" s="29" t="s">
        <v>3120</v>
      </c>
      <c r="M689" s="14"/>
      <c r="N689" s="14"/>
      <c r="O689" s="14" t="s">
        <v>40</v>
      </c>
      <c r="P689" s="14"/>
      <c r="Q689" s="36"/>
      <c r="R689" s="36"/>
      <c r="S689" s="36"/>
      <c r="T689" s="36"/>
      <c r="V689" s="31"/>
    </row>
    <row r="690">
      <c r="A690" s="37" t="s">
        <v>66</v>
      </c>
      <c r="C690" s="95" t="s">
        <v>373</v>
      </c>
      <c r="D690" s="14" t="s">
        <v>40</v>
      </c>
      <c r="E690" s="20" t="str">
        <f t="shared" si="2"/>
        <v>febrero 2026</v>
      </c>
      <c r="F690" s="355">
        <v>46058.0</v>
      </c>
      <c r="G690" s="24">
        <f t="shared" ref="G690:H690" si="695">F690</f>
        <v>46058</v>
      </c>
      <c r="H690" s="26">
        <f t="shared" si="695"/>
        <v>46058</v>
      </c>
      <c r="I690" s="14" t="s">
        <v>90</v>
      </c>
      <c r="K690" s="27">
        <v>3.0E9</v>
      </c>
      <c r="L690" s="29" t="s">
        <v>3120</v>
      </c>
      <c r="M690" s="14"/>
      <c r="N690" s="14"/>
      <c r="O690" s="14" t="s">
        <v>40</v>
      </c>
      <c r="P690" s="14"/>
      <c r="Q690" s="36"/>
      <c r="R690" s="36"/>
      <c r="S690" s="36"/>
      <c r="T690" s="36"/>
      <c r="V690" s="31"/>
    </row>
    <row r="691">
      <c r="A691" s="37" t="s">
        <v>66</v>
      </c>
      <c r="C691" s="95" t="s">
        <v>374</v>
      </c>
      <c r="D691" s="14" t="s">
        <v>40</v>
      </c>
      <c r="E691" s="20" t="str">
        <f t="shared" si="2"/>
        <v>febrero 2026</v>
      </c>
      <c r="F691" s="355">
        <v>46058.0</v>
      </c>
      <c r="G691" s="24">
        <f t="shared" ref="G691:H691" si="696">F691</f>
        <v>46058</v>
      </c>
      <c r="H691" s="26">
        <f t="shared" si="696"/>
        <v>46058</v>
      </c>
      <c r="I691" s="14" t="s">
        <v>90</v>
      </c>
      <c r="K691" s="27">
        <v>3.0E9</v>
      </c>
      <c r="L691" s="29" t="s">
        <v>3120</v>
      </c>
      <c r="M691" s="14"/>
      <c r="N691" s="14"/>
      <c r="O691" s="14" t="s">
        <v>40</v>
      </c>
      <c r="P691" s="14"/>
      <c r="Q691" s="36"/>
      <c r="R691" s="36"/>
      <c r="S691" s="36"/>
      <c r="T691" s="36"/>
      <c r="V691" s="31"/>
    </row>
    <row r="692">
      <c r="A692" s="37" t="s">
        <v>66</v>
      </c>
      <c r="C692" s="95" t="s">
        <v>377</v>
      </c>
      <c r="D692" s="14" t="s">
        <v>40</v>
      </c>
      <c r="E692" s="20" t="str">
        <f t="shared" si="2"/>
        <v>febrero 2026</v>
      </c>
      <c r="F692" s="355">
        <v>46058.0</v>
      </c>
      <c r="G692" s="24">
        <f t="shared" ref="G692:H692" si="697">F692</f>
        <v>46058</v>
      </c>
      <c r="H692" s="26">
        <f t="shared" si="697"/>
        <v>46058</v>
      </c>
      <c r="I692" s="14" t="s">
        <v>90</v>
      </c>
      <c r="K692" s="27">
        <v>3.0E9</v>
      </c>
      <c r="L692" s="29" t="s">
        <v>3120</v>
      </c>
      <c r="M692" s="14"/>
      <c r="N692" s="14"/>
      <c r="O692" s="14" t="s">
        <v>40</v>
      </c>
      <c r="P692" s="14"/>
      <c r="Q692" s="36"/>
      <c r="R692" s="36"/>
      <c r="S692" s="36"/>
      <c r="T692" s="36"/>
      <c r="V692" s="31"/>
    </row>
    <row r="693">
      <c r="A693" s="37" t="s">
        <v>66</v>
      </c>
      <c r="C693" s="95" t="s">
        <v>380</v>
      </c>
      <c r="D693" s="14" t="s">
        <v>40</v>
      </c>
      <c r="E693" s="20" t="str">
        <f t="shared" si="2"/>
        <v>febrero 2026</v>
      </c>
      <c r="F693" s="355">
        <v>46058.0</v>
      </c>
      <c r="G693" s="24">
        <f t="shared" ref="G693:H693" si="698">F693</f>
        <v>46058</v>
      </c>
      <c r="H693" s="26">
        <f t="shared" si="698"/>
        <v>46058</v>
      </c>
      <c r="I693" s="14" t="s">
        <v>90</v>
      </c>
      <c r="K693" s="27">
        <v>3.0E9</v>
      </c>
      <c r="L693" s="29" t="s">
        <v>3120</v>
      </c>
      <c r="M693" s="14"/>
      <c r="N693" s="14"/>
      <c r="O693" s="14" t="s">
        <v>40</v>
      </c>
      <c r="P693" s="14"/>
      <c r="Q693" s="36"/>
      <c r="R693" s="36"/>
      <c r="S693" s="36"/>
      <c r="T693" s="36"/>
      <c r="V693" s="31"/>
    </row>
    <row r="694">
      <c r="A694" s="37" t="s">
        <v>66</v>
      </c>
      <c r="C694" s="95" t="s">
        <v>383</v>
      </c>
      <c r="D694" s="14" t="s">
        <v>40</v>
      </c>
      <c r="E694" s="20" t="str">
        <f t="shared" si="2"/>
        <v>febrero 2026</v>
      </c>
      <c r="F694" s="355">
        <v>46058.0</v>
      </c>
      <c r="G694" s="24">
        <f t="shared" ref="G694:H694" si="699">F694</f>
        <v>46058</v>
      </c>
      <c r="H694" s="26">
        <f t="shared" si="699"/>
        <v>46058</v>
      </c>
      <c r="I694" s="14" t="s">
        <v>90</v>
      </c>
      <c r="K694" s="27">
        <v>4.0E9</v>
      </c>
      <c r="L694" s="29" t="s">
        <v>3120</v>
      </c>
      <c r="M694" s="14"/>
      <c r="N694" s="14" t="s">
        <v>84</v>
      </c>
      <c r="O694" s="14" t="s">
        <v>40</v>
      </c>
      <c r="P694" s="14" t="s">
        <v>3124</v>
      </c>
      <c r="Q694" s="36"/>
      <c r="R694" s="36"/>
      <c r="S694" s="36"/>
      <c r="T694" s="36"/>
      <c r="V694" s="31"/>
    </row>
    <row r="695">
      <c r="A695" s="37" t="s">
        <v>66</v>
      </c>
      <c r="C695" s="14" t="s">
        <v>387</v>
      </c>
      <c r="D695" s="14" t="s">
        <v>40</v>
      </c>
      <c r="E695" s="20" t="str">
        <f t="shared" si="2"/>
        <v>febrero 2026</v>
      </c>
      <c r="F695" s="355">
        <v>46058.0</v>
      </c>
      <c r="G695" s="24">
        <f t="shared" ref="G695:H695" si="700">F695</f>
        <v>46058</v>
      </c>
      <c r="H695" s="26">
        <f t="shared" si="700"/>
        <v>46058</v>
      </c>
      <c r="I695" s="14" t="s">
        <v>90</v>
      </c>
      <c r="K695" s="27">
        <v>3.0E9</v>
      </c>
      <c r="L695" s="29" t="s">
        <v>3120</v>
      </c>
      <c r="M695" s="31"/>
      <c r="N695" s="14"/>
      <c r="O695" s="14" t="s">
        <v>40</v>
      </c>
      <c r="Q695" s="36"/>
      <c r="R695" s="36"/>
      <c r="S695" s="36"/>
      <c r="T695" s="36"/>
      <c r="V695" s="31"/>
    </row>
    <row r="696">
      <c r="A696" s="37" t="s">
        <v>66</v>
      </c>
      <c r="C696" s="14" t="s">
        <v>389</v>
      </c>
      <c r="D696" s="14" t="s">
        <v>40</v>
      </c>
      <c r="E696" s="20" t="str">
        <f t="shared" si="2"/>
        <v>febrero 2026</v>
      </c>
      <c r="F696" s="355">
        <v>46058.0</v>
      </c>
      <c r="G696" s="24">
        <f t="shared" ref="G696:H696" si="701">F696</f>
        <v>46058</v>
      </c>
      <c r="H696" s="26">
        <f t="shared" si="701"/>
        <v>46058</v>
      </c>
      <c r="I696" s="14" t="s">
        <v>90</v>
      </c>
      <c r="K696" s="27">
        <v>4.0E9</v>
      </c>
      <c r="L696" s="29" t="s">
        <v>3120</v>
      </c>
      <c r="M696" s="31"/>
      <c r="N696" s="14"/>
      <c r="O696" s="14" t="s">
        <v>40</v>
      </c>
      <c r="Q696" s="36"/>
      <c r="R696" s="36"/>
      <c r="S696" s="36"/>
      <c r="T696" s="36"/>
      <c r="V696" s="31"/>
    </row>
    <row r="697">
      <c r="A697" s="37" t="s">
        <v>66</v>
      </c>
      <c r="C697" s="14" t="s">
        <v>392</v>
      </c>
      <c r="D697" s="14" t="s">
        <v>40</v>
      </c>
      <c r="E697" s="20" t="str">
        <f t="shared" si="2"/>
        <v>febrero 2026</v>
      </c>
      <c r="F697" s="355">
        <v>46058.0</v>
      </c>
      <c r="G697" s="24">
        <f t="shared" ref="G697:H697" si="702">F697</f>
        <v>46058</v>
      </c>
      <c r="H697" s="26">
        <f t="shared" si="702"/>
        <v>46058</v>
      </c>
      <c r="I697" s="14" t="s">
        <v>90</v>
      </c>
      <c r="K697" s="27">
        <v>4.0E9</v>
      </c>
      <c r="L697" s="29" t="s">
        <v>3120</v>
      </c>
      <c r="M697" s="31"/>
      <c r="N697" s="14"/>
      <c r="O697" s="14" t="s">
        <v>40</v>
      </c>
      <c r="Q697" s="36"/>
      <c r="R697" s="36"/>
      <c r="S697" s="36"/>
      <c r="T697" s="36"/>
      <c r="V697" s="31"/>
    </row>
    <row r="698">
      <c r="A698" s="14" t="s">
        <v>117</v>
      </c>
      <c r="C698" s="14" t="s">
        <v>3125</v>
      </c>
      <c r="D698" s="14" t="s">
        <v>40</v>
      </c>
      <c r="E698" s="20" t="str">
        <f t="shared" si="2"/>
        <v>febrero 2026</v>
      </c>
      <c r="F698" s="355">
        <v>46056.0</v>
      </c>
      <c r="G698" s="24">
        <f t="shared" ref="G698:H698" si="703">F698</f>
        <v>46056</v>
      </c>
      <c r="H698" s="26">
        <f t="shared" si="703"/>
        <v>46056</v>
      </c>
      <c r="I698" s="14" t="s">
        <v>90</v>
      </c>
      <c r="K698" s="27">
        <v>8.0E7</v>
      </c>
      <c r="L698" s="29" t="s">
        <v>3108</v>
      </c>
      <c r="M698" s="31"/>
      <c r="N698" s="14" t="s">
        <v>84</v>
      </c>
      <c r="O698" s="14" t="s">
        <v>133</v>
      </c>
      <c r="Q698" s="36"/>
      <c r="R698" s="36"/>
      <c r="S698" s="36"/>
      <c r="T698" s="36"/>
      <c r="V698" s="31"/>
    </row>
    <row r="699">
      <c r="A699" s="14" t="s">
        <v>736</v>
      </c>
      <c r="B699" s="351" t="s">
        <v>3126</v>
      </c>
      <c r="C699" s="50" t="s">
        <v>1079</v>
      </c>
      <c r="D699" s="14" t="s">
        <v>40</v>
      </c>
      <c r="E699" s="348" t="str">
        <f t="shared" si="2"/>
        <v>febrero 2026</v>
      </c>
      <c r="F699" s="349">
        <v>46071.0</v>
      </c>
      <c r="G699" s="24">
        <f t="shared" ref="G699:H699" si="704">F699</f>
        <v>46071</v>
      </c>
      <c r="H699" s="26">
        <f t="shared" si="704"/>
        <v>46071</v>
      </c>
      <c r="I699" s="14" t="s">
        <v>90</v>
      </c>
      <c r="K699" s="27"/>
      <c r="L699" s="29" t="s">
        <v>3085</v>
      </c>
      <c r="M699" s="31"/>
      <c r="N699" s="14" t="s">
        <v>84</v>
      </c>
      <c r="O699" s="31"/>
      <c r="Q699" s="36"/>
      <c r="R699" s="36"/>
      <c r="S699" s="36"/>
      <c r="T699" s="36"/>
      <c r="V699" s="31"/>
    </row>
    <row r="700">
      <c r="A700" s="14" t="s">
        <v>736</v>
      </c>
      <c r="B700" s="351" t="s">
        <v>3127</v>
      </c>
      <c r="C700" s="50" t="s">
        <v>1080</v>
      </c>
      <c r="D700" s="14" t="s">
        <v>40</v>
      </c>
      <c r="E700" s="348" t="str">
        <f t="shared" si="2"/>
        <v>febrero 2026</v>
      </c>
      <c r="F700" s="349">
        <v>46071.0</v>
      </c>
      <c r="G700" s="24">
        <f t="shared" ref="G700:H700" si="705">F700</f>
        <v>46071</v>
      </c>
      <c r="H700" s="26">
        <f t="shared" si="705"/>
        <v>46071</v>
      </c>
      <c r="I700" s="14" t="s">
        <v>90</v>
      </c>
      <c r="K700" s="27"/>
      <c r="L700" s="29" t="s">
        <v>3085</v>
      </c>
      <c r="M700" s="31"/>
      <c r="N700" s="14" t="s">
        <v>84</v>
      </c>
      <c r="O700" s="31"/>
      <c r="Q700" s="36"/>
      <c r="R700" s="36"/>
      <c r="S700" s="36"/>
      <c r="T700" s="36"/>
      <c r="V700" s="31"/>
    </row>
    <row r="701">
      <c r="A701" s="14" t="s">
        <v>736</v>
      </c>
      <c r="C701" s="14" t="s">
        <v>2650</v>
      </c>
      <c r="D701" s="14" t="s">
        <v>40</v>
      </c>
      <c r="E701" s="20" t="str">
        <f t="shared" si="2"/>
        <v>febrero 2026</v>
      </c>
      <c r="F701" s="355">
        <v>46064.0</v>
      </c>
      <c r="G701" s="24">
        <f t="shared" ref="G701:H701" si="706">F701</f>
        <v>46064</v>
      </c>
      <c r="H701" s="26">
        <f t="shared" si="706"/>
        <v>46064</v>
      </c>
      <c r="I701" s="14" t="s">
        <v>90</v>
      </c>
      <c r="K701" s="88"/>
      <c r="L701" s="29" t="s">
        <v>1203</v>
      </c>
      <c r="M701" s="31"/>
      <c r="N701" s="31"/>
      <c r="O701" s="31"/>
      <c r="Q701" s="36"/>
      <c r="R701" s="36"/>
      <c r="S701" s="36"/>
      <c r="T701" s="36"/>
      <c r="V701" s="31"/>
    </row>
    <row r="702">
      <c r="A702" s="14" t="s">
        <v>736</v>
      </c>
      <c r="B702" s="351" t="s">
        <v>3128</v>
      </c>
      <c r="C702" s="50" t="s">
        <v>1081</v>
      </c>
      <c r="D702" s="14" t="s">
        <v>40</v>
      </c>
      <c r="E702" s="348" t="str">
        <f t="shared" si="2"/>
        <v>febrero 2026</v>
      </c>
      <c r="F702" s="349">
        <v>46071.0</v>
      </c>
      <c r="G702" s="24">
        <f t="shared" ref="G702:H702" si="707">F702</f>
        <v>46071</v>
      </c>
      <c r="H702" s="26">
        <f t="shared" si="707"/>
        <v>46071</v>
      </c>
      <c r="I702" s="14" t="s">
        <v>90</v>
      </c>
      <c r="K702" s="27"/>
      <c r="L702" s="29" t="s">
        <v>3085</v>
      </c>
      <c r="M702" s="31"/>
      <c r="N702" s="14" t="s">
        <v>84</v>
      </c>
      <c r="O702" s="31"/>
      <c r="Q702" s="36"/>
      <c r="R702" s="36"/>
      <c r="S702" s="36"/>
      <c r="T702" s="36"/>
      <c r="V702" s="31"/>
    </row>
    <row r="703">
      <c r="A703" s="14" t="s">
        <v>736</v>
      </c>
      <c r="B703" s="351" t="s">
        <v>3129</v>
      </c>
      <c r="C703" s="50" t="s">
        <v>1084</v>
      </c>
      <c r="D703" s="14" t="s">
        <v>40</v>
      </c>
      <c r="E703" s="348" t="str">
        <f t="shared" si="2"/>
        <v>febrero 2026</v>
      </c>
      <c r="F703" s="349">
        <v>46071.0</v>
      </c>
      <c r="G703" s="24">
        <f t="shared" ref="G703:H703" si="708">F703</f>
        <v>46071</v>
      </c>
      <c r="H703" s="26">
        <f t="shared" si="708"/>
        <v>46071</v>
      </c>
      <c r="I703" s="14" t="s">
        <v>90</v>
      </c>
      <c r="K703" s="27"/>
      <c r="L703" s="29" t="s">
        <v>3085</v>
      </c>
      <c r="M703" s="31"/>
      <c r="N703" s="14" t="s">
        <v>84</v>
      </c>
      <c r="O703" s="31"/>
      <c r="Q703" s="36"/>
      <c r="R703" s="36"/>
      <c r="S703" s="36"/>
      <c r="T703" s="36"/>
      <c r="V703" s="31"/>
    </row>
    <row r="704">
      <c r="A704" s="14" t="s">
        <v>736</v>
      </c>
      <c r="C704" s="14" t="s">
        <v>2651</v>
      </c>
      <c r="D704" s="14" t="s">
        <v>40</v>
      </c>
      <c r="E704" s="20" t="str">
        <f t="shared" si="2"/>
        <v>febrero 2026</v>
      </c>
      <c r="F704" s="355">
        <v>46065.0</v>
      </c>
      <c r="G704" s="24">
        <f t="shared" ref="G704:H704" si="709">F704</f>
        <v>46065</v>
      </c>
      <c r="H704" s="26">
        <f t="shared" si="709"/>
        <v>46065</v>
      </c>
      <c r="I704" s="14" t="s">
        <v>1596</v>
      </c>
      <c r="K704" s="27">
        <v>6.081E7</v>
      </c>
      <c r="L704" s="62">
        <v>0.017</v>
      </c>
      <c r="M704" s="31"/>
      <c r="N704" s="31"/>
      <c r="O704" s="31"/>
      <c r="Q704" s="36"/>
      <c r="R704" s="36"/>
      <c r="S704" s="36"/>
      <c r="T704" s="36"/>
      <c r="V704" s="31"/>
    </row>
    <row r="705">
      <c r="A705" s="14" t="s">
        <v>736</v>
      </c>
      <c r="C705" s="14" t="s">
        <v>2652</v>
      </c>
      <c r="D705" s="14" t="s">
        <v>40</v>
      </c>
      <c r="E705" s="20" t="str">
        <f t="shared" si="2"/>
        <v>febrero 2026</v>
      </c>
      <c r="F705" s="355">
        <v>46070.0</v>
      </c>
      <c r="G705" s="24">
        <f t="shared" ref="G705:H705" si="710">F705</f>
        <v>46070</v>
      </c>
      <c r="H705" s="26">
        <f t="shared" si="710"/>
        <v>46070</v>
      </c>
      <c r="I705" s="14" t="s">
        <v>1596</v>
      </c>
      <c r="K705" s="27">
        <v>1.7E8</v>
      </c>
      <c r="L705" s="62">
        <v>0.017</v>
      </c>
      <c r="M705" s="31"/>
      <c r="N705" s="31"/>
      <c r="O705" s="31"/>
      <c r="Q705" s="36"/>
      <c r="R705" s="36"/>
      <c r="S705" s="36"/>
      <c r="T705" s="36"/>
      <c r="V705" s="31"/>
    </row>
    <row r="706">
      <c r="A706" s="37" t="s">
        <v>66</v>
      </c>
      <c r="C706" s="14" t="s">
        <v>3130</v>
      </c>
      <c r="D706" s="14" t="s">
        <v>40</v>
      </c>
      <c r="E706" s="20" t="str">
        <f t="shared" si="2"/>
        <v>febrero 2026</v>
      </c>
      <c r="F706" s="355">
        <v>46071.0</v>
      </c>
      <c r="G706" s="24">
        <f t="shared" ref="G706:H706" si="711">F706</f>
        <v>46071</v>
      </c>
      <c r="H706" s="26">
        <f t="shared" si="711"/>
        <v>46071</v>
      </c>
      <c r="I706" s="14" t="s">
        <v>2398</v>
      </c>
      <c r="K706" s="27">
        <v>4.0E9</v>
      </c>
      <c r="L706" s="78"/>
      <c r="M706" s="31"/>
      <c r="N706" s="14" t="s">
        <v>84</v>
      </c>
      <c r="O706" s="14" t="s">
        <v>40</v>
      </c>
      <c r="Q706" s="36"/>
      <c r="R706" s="36"/>
      <c r="S706" s="36"/>
      <c r="T706" s="36"/>
      <c r="V706" s="31"/>
    </row>
    <row r="707">
      <c r="A707" s="37" t="s">
        <v>66</v>
      </c>
      <c r="C707" s="14" t="s">
        <v>3131</v>
      </c>
      <c r="D707" s="14" t="s">
        <v>40</v>
      </c>
      <c r="E707" s="20" t="str">
        <f t="shared" si="2"/>
        <v>febrero 2026</v>
      </c>
      <c r="F707" s="355">
        <v>46071.0</v>
      </c>
      <c r="G707" s="24">
        <f t="shared" ref="G707:H707" si="712">F707</f>
        <v>46071</v>
      </c>
      <c r="H707" s="26">
        <f t="shared" si="712"/>
        <v>46071</v>
      </c>
      <c r="I707" s="14" t="s">
        <v>2398</v>
      </c>
      <c r="K707" s="27">
        <v>4.0E9</v>
      </c>
      <c r="L707" s="78"/>
      <c r="M707" s="31"/>
      <c r="N707" s="14" t="s">
        <v>84</v>
      </c>
      <c r="O707" s="14" t="s">
        <v>40</v>
      </c>
      <c r="Q707" s="36"/>
      <c r="R707" s="36"/>
      <c r="S707" s="36"/>
      <c r="T707" s="36"/>
      <c r="V707" s="31"/>
    </row>
    <row r="708">
      <c r="A708" s="14" t="s">
        <v>736</v>
      </c>
      <c r="B708" s="351" t="s">
        <v>3132</v>
      </c>
      <c r="C708" s="50" t="s">
        <v>1086</v>
      </c>
      <c r="D708" s="50" t="s">
        <v>40</v>
      </c>
      <c r="E708" s="348" t="str">
        <f t="shared" si="2"/>
        <v>marzo 2026</v>
      </c>
      <c r="F708" s="349">
        <v>46085.0</v>
      </c>
      <c r="G708" s="24">
        <f t="shared" ref="G708:H708" si="713">F708</f>
        <v>46085</v>
      </c>
      <c r="H708" s="26">
        <f t="shared" si="713"/>
        <v>46085</v>
      </c>
      <c r="I708" s="50" t="s">
        <v>90</v>
      </c>
      <c r="K708" s="27"/>
      <c r="L708" s="29" t="s">
        <v>3085</v>
      </c>
      <c r="M708" s="31"/>
      <c r="N708" s="14" t="s">
        <v>84</v>
      </c>
      <c r="O708" s="31"/>
      <c r="Q708" s="36"/>
      <c r="R708" s="36"/>
      <c r="S708" s="36"/>
      <c r="T708" s="36"/>
      <c r="V708" s="31"/>
    </row>
    <row r="709">
      <c r="A709" s="14" t="s">
        <v>736</v>
      </c>
      <c r="B709" s="351" t="s">
        <v>3133</v>
      </c>
      <c r="C709" s="50" t="s">
        <v>1085</v>
      </c>
      <c r="D709" s="14" t="s">
        <v>40</v>
      </c>
      <c r="E709" s="348" t="str">
        <f t="shared" si="2"/>
        <v>marzo 2026</v>
      </c>
      <c r="F709" s="349">
        <v>46082.0</v>
      </c>
      <c r="G709" s="24">
        <f t="shared" ref="G709:H709" si="714">F709</f>
        <v>46082</v>
      </c>
      <c r="H709" s="26">
        <f t="shared" si="714"/>
        <v>46082</v>
      </c>
      <c r="I709" s="14" t="s">
        <v>90</v>
      </c>
      <c r="K709" s="27"/>
      <c r="L709" s="29" t="s">
        <v>3085</v>
      </c>
      <c r="M709" s="31"/>
      <c r="N709" s="14" t="s">
        <v>84</v>
      </c>
      <c r="O709" s="31"/>
      <c r="Q709" s="36"/>
      <c r="R709" s="36"/>
      <c r="S709" s="36"/>
      <c r="T709" s="36"/>
      <c r="V709" s="31"/>
    </row>
    <row r="710">
      <c r="A710" s="14" t="s">
        <v>736</v>
      </c>
      <c r="B710" s="351" t="s">
        <v>3134</v>
      </c>
      <c r="C710" s="50" t="s">
        <v>1087</v>
      </c>
      <c r="D710" s="14" t="s">
        <v>40</v>
      </c>
      <c r="E710" s="348" t="str">
        <f t="shared" si="2"/>
        <v>marzo 2026</v>
      </c>
      <c r="F710" s="349">
        <v>46105.0</v>
      </c>
      <c r="G710" s="24">
        <f t="shared" ref="G710:H710" si="715">F710</f>
        <v>46105</v>
      </c>
      <c r="H710" s="26">
        <f t="shared" si="715"/>
        <v>46105</v>
      </c>
      <c r="I710" s="14" t="s">
        <v>90</v>
      </c>
      <c r="K710" s="27"/>
      <c r="L710" s="29" t="s">
        <v>3085</v>
      </c>
      <c r="M710" s="31"/>
      <c r="N710" s="14" t="s">
        <v>84</v>
      </c>
      <c r="O710" s="31"/>
      <c r="Q710" s="36"/>
      <c r="R710" s="36"/>
      <c r="S710" s="36"/>
      <c r="T710" s="36"/>
      <c r="V710" s="31"/>
    </row>
    <row r="711">
      <c r="A711" s="14" t="s">
        <v>736</v>
      </c>
      <c r="C711" s="14" t="s">
        <v>2655</v>
      </c>
      <c r="D711" s="14" t="s">
        <v>40</v>
      </c>
      <c r="E711" s="20" t="str">
        <f t="shared" si="2"/>
        <v>febrero 2026</v>
      </c>
      <c r="F711" s="355">
        <v>46078.0</v>
      </c>
      <c r="G711" s="24">
        <f t="shared" ref="G711:H711" si="716">F711</f>
        <v>46078</v>
      </c>
      <c r="H711" s="26">
        <f t="shared" si="716"/>
        <v>46078</v>
      </c>
      <c r="I711" s="14" t="s">
        <v>1596</v>
      </c>
      <c r="K711" s="27">
        <v>5.0E7</v>
      </c>
      <c r="L711" s="78"/>
      <c r="M711" s="31"/>
      <c r="N711" s="31"/>
      <c r="O711" s="31"/>
      <c r="Q711" s="36"/>
      <c r="R711" s="36"/>
      <c r="S711" s="36"/>
      <c r="T711" s="36"/>
      <c r="V711" s="31"/>
    </row>
    <row r="712">
      <c r="A712" s="14" t="s">
        <v>679</v>
      </c>
      <c r="C712" s="14" t="s">
        <v>3135</v>
      </c>
      <c r="D712" s="14" t="s">
        <v>40</v>
      </c>
      <c r="E712" s="20" t="str">
        <f t="shared" si="2"/>
        <v>marzo 2026</v>
      </c>
      <c r="F712" s="355">
        <v>46105.0</v>
      </c>
      <c r="G712" s="24">
        <f t="shared" ref="G712:H712" si="717">F712</f>
        <v>46105</v>
      </c>
      <c r="H712" s="26">
        <f t="shared" si="717"/>
        <v>46105</v>
      </c>
      <c r="I712" s="14" t="s">
        <v>90</v>
      </c>
      <c r="K712" s="27">
        <v>1.0E8</v>
      </c>
      <c r="L712" s="29" t="s">
        <v>3136</v>
      </c>
      <c r="M712" s="31"/>
      <c r="N712" s="31"/>
      <c r="O712" s="31"/>
      <c r="Q712" s="36"/>
      <c r="R712" s="36"/>
      <c r="S712" s="36"/>
      <c r="T712" s="36"/>
      <c r="V712" s="31"/>
    </row>
    <row r="713">
      <c r="A713" s="14" t="s">
        <v>117</v>
      </c>
      <c r="C713" s="14" t="s">
        <v>3137</v>
      </c>
      <c r="D713" s="14" t="s">
        <v>40</v>
      </c>
      <c r="E713" s="20" t="str">
        <f t="shared" si="2"/>
        <v>febrero 2026</v>
      </c>
      <c r="F713" s="355">
        <v>46076.0</v>
      </c>
      <c r="G713" s="24">
        <f t="shared" ref="G713:H713" si="718">F713</f>
        <v>46076</v>
      </c>
      <c r="H713" s="26">
        <f t="shared" si="718"/>
        <v>46076</v>
      </c>
      <c r="I713" s="14" t="s">
        <v>90</v>
      </c>
      <c r="K713" s="27">
        <v>3.0E8</v>
      </c>
      <c r="L713" s="78"/>
      <c r="M713" s="31"/>
      <c r="N713" s="14" t="s">
        <v>84</v>
      </c>
      <c r="O713" s="14" t="s">
        <v>40</v>
      </c>
      <c r="Q713" s="36"/>
      <c r="R713" s="36"/>
      <c r="S713" s="36"/>
      <c r="T713" s="36"/>
      <c r="V713" s="31"/>
    </row>
    <row r="714">
      <c r="A714" s="14" t="s">
        <v>679</v>
      </c>
      <c r="C714" s="14" t="s">
        <v>3138</v>
      </c>
      <c r="D714" s="14" t="s">
        <v>40</v>
      </c>
      <c r="E714" s="20" t="str">
        <f t="shared" si="2"/>
        <v>marzo 2026</v>
      </c>
      <c r="F714" s="355">
        <v>46084.0</v>
      </c>
      <c r="G714" s="24">
        <f t="shared" ref="G714:H714" si="719">F714</f>
        <v>46084</v>
      </c>
      <c r="H714" s="26">
        <f t="shared" si="719"/>
        <v>46084</v>
      </c>
      <c r="I714" s="14" t="s">
        <v>90</v>
      </c>
      <c r="K714" s="27">
        <v>1.3E8</v>
      </c>
      <c r="L714" s="29" t="s">
        <v>3117</v>
      </c>
      <c r="M714" s="31"/>
      <c r="N714" s="14" t="s">
        <v>84</v>
      </c>
      <c r="O714" s="31"/>
      <c r="Q714" s="36"/>
      <c r="R714" s="36"/>
      <c r="S714" s="36"/>
      <c r="T714" s="36"/>
      <c r="V714" s="31"/>
    </row>
    <row r="715">
      <c r="A715" s="14" t="s">
        <v>679</v>
      </c>
      <c r="C715" s="14" t="s">
        <v>3139</v>
      </c>
      <c r="D715" s="14" t="s">
        <v>40</v>
      </c>
      <c r="E715" s="20" t="str">
        <f t="shared" si="2"/>
        <v>marzo 2026</v>
      </c>
      <c r="F715" s="355">
        <v>46084.0</v>
      </c>
      <c r="G715" s="24">
        <f t="shared" ref="G715:H715" si="720">F715</f>
        <v>46084</v>
      </c>
      <c r="H715" s="26">
        <f t="shared" si="720"/>
        <v>46084</v>
      </c>
      <c r="I715" s="14" t="s">
        <v>90</v>
      </c>
      <c r="K715" s="27">
        <v>1.0E8</v>
      </c>
      <c r="L715" s="29" t="s">
        <v>3117</v>
      </c>
      <c r="M715" s="31"/>
      <c r="N715" s="14" t="s">
        <v>84</v>
      </c>
      <c r="O715" s="31"/>
      <c r="Q715" s="36"/>
      <c r="R715" s="36"/>
      <c r="S715" s="36"/>
      <c r="T715" s="36"/>
      <c r="V715" s="31"/>
    </row>
    <row r="716">
      <c r="A716" s="14" t="s">
        <v>679</v>
      </c>
      <c r="C716" s="14" t="s">
        <v>3140</v>
      </c>
      <c r="D716" s="14" t="s">
        <v>40</v>
      </c>
      <c r="E716" s="20" t="str">
        <f t="shared" si="2"/>
        <v>marzo 2026</v>
      </c>
      <c r="F716" s="355">
        <v>46084.0</v>
      </c>
      <c r="G716" s="24">
        <f t="shared" ref="G716:H716" si="721">F716</f>
        <v>46084</v>
      </c>
      <c r="H716" s="26">
        <f t="shared" si="721"/>
        <v>46084</v>
      </c>
      <c r="I716" s="14" t="s">
        <v>90</v>
      </c>
      <c r="K716" s="27">
        <v>1.7E8</v>
      </c>
      <c r="L716" s="29" t="s">
        <v>3117</v>
      </c>
      <c r="M716" s="31"/>
      <c r="N716" s="14" t="s">
        <v>84</v>
      </c>
      <c r="O716" s="31"/>
      <c r="Q716" s="363" t="s">
        <v>3131</v>
      </c>
      <c r="R716" s="36"/>
      <c r="S716" s="36"/>
      <c r="T716" s="36"/>
      <c r="V716" s="31"/>
    </row>
    <row r="717">
      <c r="A717" s="14" t="s">
        <v>679</v>
      </c>
      <c r="C717" s="14" t="s">
        <v>3141</v>
      </c>
      <c r="D717" s="14" t="s">
        <v>40</v>
      </c>
      <c r="E717" s="20" t="str">
        <f t="shared" si="2"/>
        <v>marzo 2026</v>
      </c>
      <c r="F717" s="355">
        <v>46085.0</v>
      </c>
      <c r="G717" s="24">
        <f t="shared" ref="G717:H717" si="722">F717</f>
        <v>46085</v>
      </c>
      <c r="H717" s="26">
        <f t="shared" si="722"/>
        <v>46085</v>
      </c>
      <c r="I717" s="14" t="s">
        <v>90</v>
      </c>
      <c r="K717" s="27">
        <v>5.0E7</v>
      </c>
      <c r="L717" s="29" t="s">
        <v>3117</v>
      </c>
      <c r="M717" s="31"/>
      <c r="N717" s="14"/>
      <c r="O717" s="31"/>
      <c r="Q717" s="365"/>
      <c r="R717" s="36"/>
      <c r="S717" s="36"/>
      <c r="T717" s="36"/>
      <c r="V717" s="31"/>
    </row>
    <row r="718">
      <c r="A718" s="14" t="s">
        <v>679</v>
      </c>
      <c r="C718" s="14" t="s">
        <v>3143</v>
      </c>
      <c r="D718" s="14" t="s">
        <v>40</v>
      </c>
      <c r="E718" s="20" t="str">
        <f t="shared" si="2"/>
        <v>marzo 2026</v>
      </c>
      <c r="F718" s="355">
        <v>46085.0</v>
      </c>
      <c r="G718" s="24">
        <f t="shared" ref="G718:H718" si="723">F718</f>
        <v>46085</v>
      </c>
      <c r="H718" s="26">
        <f t="shared" si="723"/>
        <v>46085</v>
      </c>
      <c r="I718" s="14" t="s">
        <v>90</v>
      </c>
      <c r="K718" s="27">
        <v>5.0E7</v>
      </c>
      <c r="L718" s="29"/>
      <c r="M718" s="31"/>
      <c r="N718" s="14"/>
      <c r="O718" s="31"/>
      <c r="Q718" s="363" t="s">
        <v>3144</v>
      </c>
      <c r="R718" s="36"/>
      <c r="S718" s="36"/>
      <c r="T718" s="36"/>
      <c r="V718" s="31"/>
    </row>
    <row r="719">
      <c r="A719" s="14" t="s">
        <v>117</v>
      </c>
      <c r="C719" s="14" t="s">
        <v>353</v>
      </c>
      <c r="D719" s="14" t="s">
        <v>40</v>
      </c>
      <c r="E719" s="20" t="str">
        <f t="shared" si="2"/>
        <v>marzo 2026</v>
      </c>
      <c r="F719" s="355">
        <v>46092.0</v>
      </c>
      <c r="G719" s="24">
        <f t="shared" ref="G719:H719" si="724">F719</f>
        <v>46092</v>
      </c>
      <c r="H719" s="26">
        <f t="shared" si="724"/>
        <v>46092</v>
      </c>
      <c r="I719" s="14" t="s">
        <v>90</v>
      </c>
      <c r="K719" s="27">
        <v>2.0E10</v>
      </c>
      <c r="L719" s="29" t="s">
        <v>3145</v>
      </c>
      <c r="M719" s="14"/>
      <c r="N719" s="14" t="s">
        <v>84</v>
      </c>
      <c r="O719" s="31"/>
      <c r="P719" s="14" t="s">
        <v>3148</v>
      </c>
      <c r="Q719" s="363" t="s">
        <v>3149</v>
      </c>
      <c r="R719" s="36"/>
      <c r="S719" s="36"/>
      <c r="T719" s="36"/>
      <c r="V719" s="31"/>
    </row>
    <row r="720">
      <c r="A720" s="14" t="s">
        <v>679</v>
      </c>
      <c r="C720" s="14" t="s">
        <v>3150</v>
      </c>
      <c r="D720" s="14" t="s">
        <v>133</v>
      </c>
      <c r="E720" s="20" t="str">
        <f t="shared" si="2"/>
        <v>marzo 2026</v>
      </c>
      <c r="F720" s="355">
        <v>46085.0</v>
      </c>
      <c r="G720" s="24">
        <f t="shared" ref="G720:H720" si="725">F720</f>
        <v>46085</v>
      </c>
      <c r="H720" s="26">
        <f t="shared" si="725"/>
        <v>46085</v>
      </c>
      <c r="I720" s="14" t="s">
        <v>1865</v>
      </c>
      <c r="K720" s="27">
        <v>1.0E9</v>
      </c>
      <c r="L720" s="29" t="s">
        <v>3117</v>
      </c>
      <c r="M720" s="31"/>
      <c r="N720" s="14" t="s">
        <v>84</v>
      </c>
      <c r="O720" s="31"/>
      <c r="Q720" s="36"/>
      <c r="R720" s="36"/>
      <c r="S720" s="36"/>
      <c r="T720" s="36"/>
      <c r="V720" s="31"/>
    </row>
    <row r="721">
      <c r="A721" s="14" t="s">
        <v>736</v>
      </c>
      <c r="B721" s="351" t="s">
        <v>3151</v>
      </c>
      <c r="C721" s="50" t="s">
        <v>1088</v>
      </c>
      <c r="D721" s="50" t="s">
        <v>40</v>
      </c>
      <c r="E721" s="348" t="str">
        <f t="shared" si="2"/>
        <v>marzo 2026</v>
      </c>
      <c r="F721" s="349">
        <v>46083.0</v>
      </c>
      <c r="G721" s="24">
        <f t="shared" ref="G721:H721" si="726">F721</f>
        <v>46083</v>
      </c>
      <c r="H721" s="26">
        <f t="shared" si="726"/>
        <v>46083</v>
      </c>
      <c r="I721" s="50" t="s">
        <v>90</v>
      </c>
      <c r="K721" s="27"/>
      <c r="L721" s="29" t="s">
        <v>3085</v>
      </c>
      <c r="M721" s="31"/>
      <c r="N721" s="14" t="s">
        <v>84</v>
      </c>
      <c r="O721" s="31"/>
      <c r="Q721" s="36"/>
      <c r="R721" s="36"/>
      <c r="S721" s="36"/>
      <c r="T721" s="36"/>
      <c r="V721" s="31"/>
    </row>
    <row r="722">
      <c r="A722" s="14" t="s">
        <v>736</v>
      </c>
      <c r="B722" s="351" t="s">
        <v>3152</v>
      </c>
      <c r="C722" s="50" t="s">
        <v>1091</v>
      </c>
      <c r="D722" s="50" t="s">
        <v>40</v>
      </c>
      <c r="E722" s="348" t="str">
        <f t="shared" si="2"/>
        <v>marzo 2026</v>
      </c>
      <c r="F722" s="349">
        <v>46085.0</v>
      </c>
      <c r="G722" s="24">
        <f t="shared" ref="G722:H722" si="727">F722</f>
        <v>46085</v>
      </c>
      <c r="H722" s="26">
        <f t="shared" si="727"/>
        <v>46085</v>
      </c>
      <c r="I722" s="50" t="s">
        <v>90</v>
      </c>
      <c r="K722" s="27"/>
      <c r="L722" s="29" t="s">
        <v>3085</v>
      </c>
      <c r="M722" s="31"/>
      <c r="N722" s="14" t="s">
        <v>84</v>
      </c>
      <c r="O722" s="31"/>
      <c r="Q722" s="36"/>
      <c r="R722" s="36"/>
      <c r="S722" s="36"/>
      <c r="T722" s="36"/>
      <c r="V722" s="31"/>
    </row>
    <row r="723">
      <c r="A723" s="14" t="s">
        <v>736</v>
      </c>
      <c r="B723" s="351" t="s">
        <v>3154</v>
      </c>
      <c r="C723" s="50" t="s">
        <v>1092</v>
      </c>
      <c r="D723" s="50" t="s">
        <v>40</v>
      </c>
      <c r="E723" s="348" t="str">
        <f t="shared" si="2"/>
        <v>marzo 2026</v>
      </c>
      <c r="F723" s="349">
        <v>46087.0</v>
      </c>
      <c r="G723" s="24">
        <f t="shared" ref="G723:H723" si="728">F723</f>
        <v>46087</v>
      </c>
      <c r="H723" s="26">
        <f t="shared" si="728"/>
        <v>46087</v>
      </c>
      <c r="I723" s="50" t="s">
        <v>90</v>
      </c>
      <c r="K723" s="27"/>
      <c r="L723" s="29" t="s">
        <v>3085</v>
      </c>
      <c r="M723" s="31"/>
      <c r="N723" s="14" t="s">
        <v>84</v>
      </c>
      <c r="O723" s="31"/>
      <c r="Q723" s="36"/>
      <c r="R723" s="36"/>
      <c r="S723" s="36"/>
      <c r="T723" s="36"/>
      <c r="V723" s="31"/>
    </row>
    <row r="724">
      <c r="A724" s="14" t="s">
        <v>736</v>
      </c>
      <c r="B724" s="351" t="s">
        <v>3155</v>
      </c>
      <c r="C724" s="50" t="s">
        <v>1093</v>
      </c>
      <c r="D724" s="50" t="s">
        <v>40</v>
      </c>
      <c r="E724" s="348" t="str">
        <f t="shared" si="2"/>
        <v>marzo 2026</v>
      </c>
      <c r="F724" s="349">
        <v>46088.0</v>
      </c>
      <c r="G724" s="24">
        <f t="shared" ref="G724:H724" si="729">F724</f>
        <v>46088</v>
      </c>
      <c r="H724" s="26">
        <f t="shared" si="729"/>
        <v>46088</v>
      </c>
      <c r="I724" s="50" t="s">
        <v>90</v>
      </c>
      <c r="K724" s="27"/>
      <c r="L724" s="29" t="s">
        <v>3085</v>
      </c>
      <c r="M724" s="31"/>
      <c r="N724" s="14" t="s">
        <v>84</v>
      </c>
      <c r="O724" s="31"/>
      <c r="Q724" s="36"/>
      <c r="R724" s="36"/>
      <c r="S724" s="36"/>
      <c r="T724" s="36"/>
      <c r="V724" s="31"/>
    </row>
    <row r="725">
      <c r="A725" s="14" t="s">
        <v>117</v>
      </c>
      <c r="C725" s="302" t="s">
        <v>3156</v>
      </c>
      <c r="D725" s="379" t="s">
        <v>40</v>
      </c>
      <c r="E725" s="380" t="str">
        <f t="shared" si="2"/>
        <v>marzo 2026</v>
      </c>
      <c r="F725" s="381">
        <v>46097.0</v>
      </c>
      <c r="G725" s="24">
        <f t="shared" ref="G725:H725" si="730">F725</f>
        <v>46097</v>
      </c>
      <c r="H725" s="26">
        <f t="shared" si="730"/>
        <v>46097</v>
      </c>
      <c r="I725" s="14" t="s">
        <v>90</v>
      </c>
      <c r="K725" s="27">
        <v>8.0E7</v>
      </c>
      <c r="L725" s="29" t="s">
        <v>3157</v>
      </c>
      <c r="M725" s="31"/>
      <c r="N725" s="14" t="s">
        <v>84</v>
      </c>
      <c r="O725" s="31"/>
      <c r="Q725" s="36"/>
      <c r="R725" s="36"/>
      <c r="S725" s="36"/>
      <c r="T725" s="36"/>
      <c r="V725" s="31"/>
    </row>
    <row r="726">
      <c r="A726" s="14" t="s">
        <v>679</v>
      </c>
      <c r="B726" s="14" t="s">
        <v>3158</v>
      </c>
      <c r="C726" s="302" t="s">
        <v>3159</v>
      </c>
      <c r="D726" s="382" t="s">
        <v>40</v>
      </c>
      <c r="E726" s="383" t="str">
        <f t="shared" si="2"/>
        <v>marzo 2026</v>
      </c>
      <c r="F726" s="386">
        <v>46092.0</v>
      </c>
      <c r="G726" s="24">
        <f t="shared" ref="G726:H726" si="731">F726</f>
        <v>46092</v>
      </c>
      <c r="H726" s="26">
        <f t="shared" si="731"/>
        <v>46092</v>
      </c>
      <c r="I726" s="14" t="s">
        <v>90</v>
      </c>
      <c r="K726" s="27">
        <v>3000000.0</v>
      </c>
      <c r="L726" s="29" t="s">
        <v>1203</v>
      </c>
      <c r="M726" s="31"/>
      <c r="N726" s="14" t="s">
        <v>84</v>
      </c>
      <c r="O726" s="31"/>
      <c r="Q726" s="36"/>
      <c r="R726" s="36"/>
      <c r="S726" s="36"/>
      <c r="T726" s="36"/>
      <c r="V726" s="31"/>
    </row>
    <row r="727">
      <c r="A727" s="14" t="s">
        <v>117</v>
      </c>
      <c r="C727" s="302" t="s">
        <v>2589</v>
      </c>
      <c r="D727" s="302" t="s">
        <v>40</v>
      </c>
      <c r="E727" s="380" t="str">
        <f t="shared" si="2"/>
        <v>marzo 2026</v>
      </c>
      <c r="F727" s="381">
        <v>46092.0</v>
      </c>
      <c r="G727" s="24">
        <f t="shared" ref="G727:H727" si="732">F727</f>
        <v>46092</v>
      </c>
      <c r="H727" s="26">
        <f t="shared" si="732"/>
        <v>46092</v>
      </c>
      <c r="I727" s="14" t="s">
        <v>90</v>
      </c>
      <c r="K727" s="27">
        <v>8.0E7</v>
      </c>
      <c r="L727" s="29" t="s">
        <v>3160</v>
      </c>
      <c r="M727" s="14"/>
      <c r="N727" s="14" t="s">
        <v>84</v>
      </c>
      <c r="O727" s="14" t="s">
        <v>40</v>
      </c>
      <c r="P727" s="14" t="s">
        <v>2493</v>
      </c>
      <c r="Q727" s="35" t="s">
        <v>3161</v>
      </c>
      <c r="R727" s="36"/>
      <c r="S727" s="36"/>
      <c r="T727" s="36"/>
      <c r="V727" s="31"/>
    </row>
    <row r="728">
      <c r="A728" s="14" t="s">
        <v>117</v>
      </c>
      <c r="C728" s="302" t="s">
        <v>353</v>
      </c>
      <c r="D728" s="302" t="s">
        <v>40</v>
      </c>
      <c r="E728" s="383" t="str">
        <f t="shared" si="2"/>
        <v>marzo 2026</v>
      </c>
      <c r="F728" s="386">
        <v>46092.0</v>
      </c>
      <c r="G728" s="24">
        <f t="shared" ref="G728:H728" si="733">F728</f>
        <v>46092</v>
      </c>
      <c r="H728" s="26">
        <f t="shared" si="733"/>
        <v>46092</v>
      </c>
      <c r="I728" s="14" t="s">
        <v>425</v>
      </c>
      <c r="K728" s="27">
        <v>1.0E10</v>
      </c>
      <c r="L728" s="29" t="s">
        <v>2630</v>
      </c>
      <c r="M728" s="31"/>
      <c r="N728" s="14" t="s">
        <v>84</v>
      </c>
      <c r="O728" s="14" t="s">
        <v>40</v>
      </c>
      <c r="Q728" s="36"/>
      <c r="R728" s="36"/>
      <c r="S728" s="36"/>
      <c r="T728" s="36"/>
      <c r="V728" s="31"/>
    </row>
    <row r="729">
      <c r="A729" s="14" t="s">
        <v>117</v>
      </c>
      <c r="C729" s="302" t="s">
        <v>2054</v>
      </c>
      <c r="D729" s="302" t="s">
        <v>40</v>
      </c>
      <c r="E729" s="380" t="str">
        <f t="shared" si="2"/>
        <v>marzo 2026</v>
      </c>
      <c r="F729" s="381">
        <v>46099.0</v>
      </c>
      <c r="G729" s="24">
        <f t="shared" ref="G729:H729" si="734">F729</f>
        <v>46099</v>
      </c>
      <c r="H729" s="26">
        <f t="shared" si="734"/>
        <v>46099</v>
      </c>
      <c r="I729" s="14" t="s">
        <v>1596</v>
      </c>
      <c r="K729" s="27">
        <v>2.0E8</v>
      </c>
      <c r="L729" s="78"/>
      <c r="M729" s="31"/>
      <c r="N729" s="31"/>
      <c r="O729" s="31"/>
      <c r="Q729" s="36"/>
      <c r="R729" s="36"/>
      <c r="S729" s="36"/>
      <c r="T729" s="36"/>
      <c r="V729" s="31"/>
    </row>
    <row r="730">
      <c r="A730" s="14" t="s">
        <v>117</v>
      </c>
      <c r="C730" s="302" t="s">
        <v>1999</v>
      </c>
      <c r="D730" s="389"/>
      <c r="E730" s="383" t="str">
        <f t="shared" si="2"/>
        <v>marzo 2026</v>
      </c>
      <c r="F730" s="386">
        <v>46099.0</v>
      </c>
      <c r="G730" s="24">
        <f t="shared" ref="G730:H730" si="735">F730</f>
        <v>46099</v>
      </c>
      <c r="H730" s="26">
        <f t="shared" si="735"/>
        <v>46099</v>
      </c>
      <c r="I730" s="14" t="s">
        <v>1596</v>
      </c>
      <c r="K730" s="27">
        <v>2.0E8</v>
      </c>
      <c r="L730" s="78"/>
      <c r="M730" s="31"/>
      <c r="N730" s="31"/>
      <c r="O730" s="31"/>
      <c r="Q730" s="36"/>
      <c r="R730" s="36"/>
      <c r="S730" s="36"/>
      <c r="T730" s="36"/>
      <c r="V730" s="31"/>
    </row>
    <row r="731">
      <c r="A731" s="14" t="s">
        <v>117</v>
      </c>
      <c r="B731" s="390"/>
      <c r="C731" s="302" t="s">
        <v>2005</v>
      </c>
      <c r="D731" s="389"/>
      <c r="E731" s="380" t="str">
        <f t="shared" si="2"/>
        <v>marzo 2026</v>
      </c>
      <c r="F731" s="381">
        <v>46099.0</v>
      </c>
      <c r="G731" s="24">
        <f t="shared" ref="G731:H731" si="736">F731</f>
        <v>46099</v>
      </c>
      <c r="H731" s="26">
        <f t="shared" si="736"/>
        <v>46099</v>
      </c>
      <c r="I731" s="14" t="s">
        <v>1596</v>
      </c>
      <c r="K731" s="27">
        <v>2.0E8</v>
      </c>
      <c r="L731" s="78"/>
      <c r="M731" s="31"/>
      <c r="N731" s="31"/>
      <c r="O731" s="31"/>
      <c r="Q731" s="36"/>
      <c r="R731" s="36"/>
      <c r="S731" s="36"/>
      <c r="T731" s="36"/>
      <c r="V731" s="31"/>
    </row>
    <row r="732">
      <c r="A732" s="14" t="s">
        <v>117</v>
      </c>
      <c r="B732" s="391"/>
      <c r="C732" s="302" t="s">
        <v>1979</v>
      </c>
      <c r="D732" s="389"/>
      <c r="E732" s="383" t="str">
        <f>TEXT(F733, "mmmm yyyy")
</f>
        <v>diciembre 1899</v>
      </c>
      <c r="F732" s="386">
        <v>46099.0</v>
      </c>
      <c r="G732" s="24">
        <f t="shared" ref="G732:H732" si="737">F732</f>
        <v>46099</v>
      </c>
      <c r="H732" s="26">
        <f t="shared" si="737"/>
        <v>46099</v>
      </c>
      <c r="I732" s="14" t="s">
        <v>1596</v>
      </c>
      <c r="K732" s="27">
        <v>2.0E8</v>
      </c>
      <c r="L732" s="78"/>
      <c r="M732" s="31"/>
      <c r="N732" s="31"/>
      <c r="O732" s="31"/>
      <c r="Q732" s="36"/>
      <c r="R732" s="36"/>
      <c r="S732" s="36"/>
      <c r="T732" s="36"/>
      <c r="V732" s="31"/>
    </row>
    <row r="733">
      <c r="A733" s="37" t="s">
        <v>66</v>
      </c>
      <c r="B733" s="390"/>
      <c r="C733" s="302" t="s">
        <v>3165</v>
      </c>
      <c r="D733" s="302" t="s">
        <v>40</v>
      </c>
      <c r="E733" s="397">
        <v>46113.0</v>
      </c>
      <c r="F733" s="381"/>
      <c r="G733" s="24" t="str">
        <f t="shared" ref="G733:H733" si="738">F733</f>
        <v/>
      </c>
      <c r="H733" s="26" t="str">
        <f t="shared" si="738"/>
        <v/>
      </c>
      <c r="I733" s="302" t="s">
        <v>90</v>
      </c>
      <c r="K733" s="27">
        <v>3.0E9</v>
      </c>
      <c r="L733" s="78"/>
      <c r="M733" s="31"/>
      <c r="N733" s="14" t="s">
        <v>84</v>
      </c>
      <c r="O733" s="14" t="s">
        <v>40</v>
      </c>
      <c r="Q733" s="36"/>
      <c r="R733" s="36"/>
      <c r="S733" s="36"/>
      <c r="T733" s="36"/>
      <c r="V733" s="31"/>
    </row>
    <row r="734">
      <c r="A734" s="14" t="s">
        <v>736</v>
      </c>
      <c r="B734" s="351" t="s">
        <v>3166</v>
      </c>
      <c r="C734" s="50" t="s">
        <v>1094</v>
      </c>
      <c r="D734" s="50" t="s">
        <v>40</v>
      </c>
      <c r="E734" s="348" t="str">
        <f t="shared" ref="E734:E878" si="740">TEXT(F734, "mmmm yyyy")
</f>
        <v>marzo 2026</v>
      </c>
      <c r="F734" s="349">
        <v>46109.0</v>
      </c>
      <c r="G734" s="24">
        <f t="shared" ref="G734:H734" si="739">F734</f>
        <v>46109</v>
      </c>
      <c r="H734" s="26">
        <f t="shared" si="739"/>
        <v>46109</v>
      </c>
      <c r="I734" s="50" t="s">
        <v>90</v>
      </c>
      <c r="K734" s="27"/>
      <c r="L734" s="29" t="s">
        <v>3085</v>
      </c>
      <c r="M734" s="31"/>
      <c r="N734" s="14" t="s">
        <v>84</v>
      </c>
      <c r="O734" s="31"/>
      <c r="Q734" s="36"/>
      <c r="R734" s="36"/>
      <c r="S734" s="36"/>
      <c r="T734" s="36"/>
      <c r="V734" s="31"/>
    </row>
    <row r="735">
      <c r="A735" s="14" t="s">
        <v>679</v>
      </c>
      <c r="B735" s="390"/>
      <c r="C735" s="15" t="s">
        <v>314</v>
      </c>
      <c r="D735" s="389"/>
      <c r="E735" s="380" t="str">
        <f t="shared" si="740"/>
        <v>marzo 2026</v>
      </c>
      <c r="F735" s="381">
        <v>46104.0</v>
      </c>
      <c r="G735" s="24">
        <f t="shared" ref="G735:H735" si="741">F735</f>
        <v>46104</v>
      </c>
      <c r="H735" s="26">
        <f t="shared" si="741"/>
        <v>46104</v>
      </c>
      <c r="I735" s="14" t="s">
        <v>90</v>
      </c>
      <c r="K735" s="27"/>
      <c r="L735" s="15" t="s">
        <v>3167</v>
      </c>
      <c r="M735" s="31"/>
      <c r="N735" s="14"/>
      <c r="O735" s="14"/>
      <c r="Q735" s="36"/>
      <c r="R735" s="36"/>
      <c r="S735" s="36"/>
      <c r="T735" s="36"/>
      <c r="V735" s="31"/>
    </row>
    <row r="736">
      <c r="A736" s="37" t="s">
        <v>66</v>
      </c>
      <c r="B736" s="391"/>
      <c r="C736" s="15" t="s">
        <v>3168</v>
      </c>
      <c r="D736" s="382" t="s">
        <v>133</v>
      </c>
      <c r="E736" s="383" t="str">
        <f t="shared" si="740"/>
        <v>abril 2026</v>
      </c>
      <c r="F736" s="386">
        <v>46113.0</v>
      </c>
      <c r="G736" s="24">
        <f t="shared" ref="G736:H736" si="742">F736</f>
        <v>46113</v>
      </c>
      <c r="H736" s="26">
        <f t="shared" si="742"/>
        <v>46113</v>
      </c>
      <c r="I736" s="14" t="s">
        <v>1865</v>
      </c>
      <c r="K736" s="27">
        <v>1.0E9</v>
      </c>
      <c r="L736" s="15" t="s">
        <v>2906</v>
      </c>
      <c r="M736" s="31"/>
      <c r="N736" s="14" t="s">
        <v>84</v>
      </c>
      <c r="O736" s="14" t="s">
        <v>40</v>
      </c>
      <c r="Q736" s="36"/>
      <c r="R736" s="36"/>
      <c r="S736" s="36"/>
      <c r="T736" s="36"/>
      <c r="V736" s="31"/>
    </row>
    <row r="737">
      <c r="A737" s="14" t="s">
        <v>679</v>
      </c>
      <c r="B737" s="390"/>
      <c r="C737" s="50" t="s">
        <v>3169</v>
      </c>
      <c r="D737" s="379" t="s">
        <v>133</v>
      </c>
      <c r="E737" s="380" t="str">
        <f t="shared" si="740"/>
        <v>abril 2026</v>
      </c>
      <c r="F737" s="381">
        <v>46113.0</v>
      </c>
      <c r="G737" s="24">
        <f t="shared" ref="G737:H737" si="743">F737</f>
        <v>46113</v>
      </c>
      <c r="H737" s="26">
        <f t="shared" si="743"/>
        <v>46113</v>
      </c>
      <c r="I737" s="14" t="s">
        <v>1865</v>
      </c>
      <c r="K737" s="27">
        <v>7.5E8</v>
      </c>
      <c r="L737" s="15" t="s">
        <v>3167</v>
      </c>
      <c r="M737" s="31"/>
      <c r="N737" s="31"/>
      <c r="O737" s="31"/>
      <c r="Q737" s="36"/>
      <c r="R737" s="36"/>
      <c r="S737" s="36"/>
      <c r="T737" s="36"/>
      <c r="V737" s="31"/>
    </row>
    <row r="738">
      <c r="A738" s="14" t="s">
        <v>736</v>
      </c>
      <c r="B738" s="351" t="s">
        <v>3170</v>
      </c>
      <c r="C738" s="50" t="s">
        <v>1096</v>
      </c>
      <c r="D738" s="50" t="s">
        <v>40</v>
      </c>
      <c r="E738" s="348" t="str">
        <f t="shared" si="740"/>
        <v>abril 2026</v>
      </c>
      <c r="F738" s="349">
        <v>46121.0</v>
      </c>
      <c r="G738" s="24">
        <f t="shared" ref="G738:H738" si="744">F738</f>
        <v>46121</v>
      </c>
      <c r="H738" s="26">
        <f t="shared" si="744"/>
        <v>46121</v>
      </c>
      <c r="I738" s="50" t="s">
        <v>90</v>
      </c>
      <c r="K738" s="27"/>
      <c r="L738" s="29" t="s">
        <v>3085</v>
      </c>
      <c r="M738" s="31"/>
      <c r="N738" s="14" t="s">
        <v>84</v>
      </c>
      <c r="O738" s="31"/>
      <c r="Q738" s="36"/>
      <c r="R738" s="36"/>
      <c r="S738" s="36"/>
      <c r="T738" s="36"/>
      <c r="V738" s="31"/>
    </row>
    <row r="739">
      <c r="A739" s="14" t="s">
        <v>736</v>
      </c>
      <c r="B739" s="351" t="s">
        <v>3171</v>
      </c>
      <c r="C739" s="50" t="s">
        <v>1098</v>
      </c>
      <c r="D739" s="50" t="s">
        <v>40</v>
      </c>
      <c r="E739" s="348" t="str">
        <f t="shared" si="740"/>
        <v>abril 2026</v>
      </c>
      <c r="F739" s="349">
        <v>46122.0</v>
      </c>
      <c r="G739" s="24">
        <f t="shared" ref="G739:H739" si="745">F739</f>
        <v>46122</v>
      </c>
      <c r="H739" s="26">
        <f t="shared" si="745"/>
        <v>46122</v>
      </c>
      <c r="I739" s="50" t="s">
        <v>90</v>
      </c>
      <c r="K739" s="27"/>
      <c r="L739" s="29" t="s">
        <v>3085</v>
      </c>
      <c r="M739" s="31"/>
      <c r="N739" s="14" t="s">
        <v>84</v>
      </c>
      <c r="O739" s="31"/>
      <c r="Q739" s="36"/>
      <c r="R739" s="36"/>
      <c r="S739" s="36"/>
      <c r="T739" s="36"/>
      <c r="V739" s="31"/>
    </row>
    <row r="740">
      <c r="A740" s="14" t="s">
        <v>736</v>
      </c>
      <c r="B740" s="351" t="s">
        <v>3172</v>
      </c>
      <c r="C740" s="50" t="s">
        <v>1101</v>
      </c>
      <c r="D740" s="50" t="s">
        <v>40</v>
      </c>
      <c r="E740" s="348" t="str">
        <f t="shared" si="740"/>
        <v>abril 2026</v>
      </c>
      <c r="F740" s="349">
        <v>46122.0</v>
      </c>
      <c r="G740" s="24">
        <f t="shared" ref="G740:H740" si="746">F740</f>
        <v>46122</v>
      </c>
      <c r="H740" s="26">
        <f t="shared" si="746"/>
        <v>46122</v>
      </c>
      <c r="I740" s="50" t="s">
        <v>90</v>
      </c>
      <c r="K740" s="27"/>
      <c r="L740" s="29" t="s">
        <v>3085</v>
      </c>
      <c r="M740" s="31"/>
      <c r="N740" s="14" t="s">
        <v>84</v>
      </c>
      <c r="O740" s="31"/>
      <c r="Q740" s="36"/>
      <c r="R740" s="36"/>
      <c r="S740" s="36"/>
      <c r="T740" s="36"/>
      <c r="V740" s="31"/>
    </row>
    <row r="741">
      <c r="A741" s="14" t="s">
        <v>736</v>
      </c>
      <c r="B741" s="351" t="s">
        <v>3173</v>
      </c>
      <c r="C741" s="50" t="s">
        <v>1103</v>
      </c>
      <c r="D741" s="50" t="s">
        <v>40</v>
      </c>
      <c r="E741" s="348" t="str">
        <f t="shared" si="740"/>
        <v>abril 2026</v>
      </c>
      <c r="F741" s="349">
        <v>46121.0</v>
      </c>
      <c r="G741" s="24">
        <f t="shared" ref="G741:H741" si="747">F741</f>
        <v>46121</v>
      </c>
      <c r="H741" s="26">
        <f t="shared" si="747"/>
        <v>46121</v>
      </c>
      <c r="I741" s="50" t="s">
        <v>90</v>
      </c>
      <c r="K741" s="27"/>
      <c r="L741" s="29" t="s">
        <v>3085</v>
      </c>
      <c r="M741" s="31"/>
      <c r="N741" s="14" t="s">
        <v>84</v>
      </c>
      <c r="O741" s="31"/>
      <c r="Q741" s="36"/>
      <c r="R741" s="36"/>
      <c r="S741" s="36"/>
      <c r="T741" s="36"/>
      <c r="V741" s="31"/>
    </row>
    <row r="742">
      <c r="A742" s="14" t="s">
        <v>736</v>
      </c>
      <c r="B742" s="351" t="s">
        <v>3174</v>
      </c>
      <c r="C742" s="50" t="s">
        <v>1104</v>
      </c>
      <c r="D742" s="50" t="s">
        <v>40</v>
      </c>
      <c r="E742" s="348" t="str">
        <f t="shared" si="740"/>
        <v>abril 2026</v>
      </c>
      <c r="F742" s="349">
        <v>46121.0</v>
      </c>
      <c r="G742" s="24">
        <f t="shared" ref="G742:H742" si="748">F742</f>
        <v>46121</v>
      </c>
      <c r="H742" s="26">
        <f t="shared" si="748"/>
        <v>46121</v>
      </c>
      <c r="I742" s="50" t="s">
        <v>90</v>
      </c>
      <c r="K742" s="27"/>
      <c r="L742" s="29" t="s">
        <v>3085</v>
      </c>
      <c r="M742" s="31"/>
      <c r="N742" s="14" t="s">
        <v>84</v>
      </c>
      <c r="O742" s="31"/>
      <c r="Q742" s="36"/>
      <c r="R742" s="36"/>
      <c r="S742" s="36"/>
      <c r="T742" s="36"/>
      <c r="V742" s="31"/>
    </row>
    <row r="743">
      <c r="A743" s="14" t="s">
        <v>736</v>
      </c>
      <c r="B743" s="351" t="s">
        <v>3175</v>
      </c>
      <c r="C743" s="50" t="s">
        <v>1106</v>
      </c>
      <c r="D743" s="50" t="s">
        <v>40</v>
      </c>
      <c r="E743" s="348" t="str">
        <f t="shared" si="740"/>
        <v>abril 2026</v>
      </c>
      <c r="F743" s="349">
        <v>46121.0</v>
      </c>
      <c r="G743" s="24">
        <f t="shared" ref="G743:H743" si="749">F743</f>
        <v>46121</v>
      </c>
      <c r="H743" s="26">
        <f t="shared" si="749"/>
        <v>46121</v>
      </c>
      <c r="I743" s="50" t="s">
        <v>90</v>
      </c>
      <c r="K743" s="27"/>
      <c r="L743" s="29" t="s">
        <v>3085</v>
      </c>
      <c r="M743" s="31"/>
      <c r="N743" s="14" t="s">
        <v>84</v>
      </c>
      <c r="O743" s="31"/>
      <c r="Q743" s="36"/>
      <c r="R743" s="36"/>
      <c r="S743" s="36"/>
      <c r="T743" s="36"/>
      <c r="V743" s="31"/>
    </row>
    <row r="744">
      <c r="A744" s="14" t="s">
        <v>736</v>
      </c>
      <c r="B744" s="351" t="s">
        <v>3176</v>
      </c>
      <c r="C744" s="50" t="s">
        <v>1108</v>
      </c>
      <c r="D744" s="50" t="s">
        <v>40</v>
      </c>
      <c r="E744" s="348" t="str">
        <f t="shared" si="740"/>
        <v>abril 2026</v>
      </c>
      <c r="F744" s="349">
        <v>46122.0</v>
      </c>
      <c r="G744" s="24">
        <f t="shared" ref="G744:H744" si="750">F744</f>
        <v>46122</v>
      </c>
      <c r="H744" s="26">
        <f t="shared" si="750"/>
        <v>46122</v>
      </c>
      <c r="I744" s="50" t="s">
        <v>90</v>
      </c>
      <c r="K744" s="27"/>
      <c r="L744" s="29" t="s">
        <v>3085</v>
      </c>
      <c r="M744" s="31"/>
      <c r="N744" s="14" t="s">
        <v>84</v>
      </c>
      <c r="O744" s="31"/>
      <c r="Q744" s="36"/>
      <c r="R744" s="36"/>
      <c r="S744" s="36"/>
      <c r="T744" s="36"/>
      <c r="V744" s="31"/>
    </row>
    <row r="745">
      <c r="A745" s="14" t="s">
        <v>736</v>
      </c>
      <c r="B745" s="351" t="s">
        <v>3177</v>
      </c>
      <c r="C745" s="50" t="s">
        <v>1109</v>
      </c>
      <c r="D745" s="50" t="s">
        <v>40</v>
      </c>
      <c r="E745" s="348" t="str">
        <f t="shared" si="740"/>
        <v>abril 2026</v>
      </c>
      <c r="F745" s="349">
        <v>46128.0</v>
      </c>
      <c r="G745" s="24">
        <f t="shared" ref="G745:H745" si="751">F745</f>
        <v>46128</v>
      </c>
      <c r="H745" s="26">
        <f t="shared" si="751"/>
        <v>46128</v>
      </c>
      <c r="I745" s="50" t="s">
        <v>90</v>
      </c>
      <c r="K745" s="27"/>
      <c r="L745" s="29" t="s">
        <v>3085</v>
      </c>
      <c r="M745" s="31"/>
      <c r="N745" s="14" t="s">
        <v>84</v>
      </c>
      <c r="O745" s="31"/>
      <c r="Q745" s="36"/>
      <c r="R745" s="36"/>
      <c r="S745" s="36"/>
      <c r="T745" s="36"/>
      <c r="V745" s="31"/>
    </row>
    <row r="746">
      <c r="A746" s="14" t="s">
        <v>736</v>
      </c>
      <c r="B746" s="351" t="s">
        <v>3178</v>
      </c>
      <c r="C746" s="50" t="s">
        <v>1110</v>
      </c>
      <c r="D746" s="50" t="s">
        <v>40</v>
      </c>
      <c r="E746" s="348" t="str">
        <f t="shared" si="740"/>
        <v>abril 2026</v>
      </c>
      <c r="F746" s="349">
        <v>46128.0</v>
      </c>
      <c r="G746" s="24">
        <f t="shared" ref="G746:H746" si="752">F746</f>
        <v>46128</v>
      </c>
      <c r="H746" s="26">
        <f t="shared" si="752"/>
        <v>46128</v>
      </c>
      <c r="I746" s="50" t="s">
        <v>90</v>
      </c>
      <c r="K746" s="27"/>
      <c r="L746" s="29" t="s">
        <v>3085</v>
      </c>
      <c r="M746" s="31"/>
      <c r="N746" s="14" t="s">
        <v>84</v>
      </c>
      <c r="O746" s="31"/>
      <c r="Q746" s="36"/>
      <c r="R746" s="36"/>
      <c r="S746" s="36"/>
      <c r="T746" s="36"/>
      <c r="V746" s="31"/>
    </row>
    <row r="747">
      <c r="A747" s="14" t="s">
        <v>679</v>
      </c>
      <c r="C747" s="302" t="s">
        <v>3179</v>
      </c>
      <c r="D747" s="379" t="s">
        <v>40</v>
      </c>
      <c r="E747" s="380" t="str">
        <f t="shared" si="740"/>
        <v>abril 2026</v>
      </c>
      <c r="F747" s="381">
        <v>46126.0</v>
      </c>
      <c r="G747" s="24">
        <f t="shared" ref="G747:H747" si="753">F747</f>
        <v>46126</v>
      </c>
      <c r="H747" s="26">
        <f t="shared" si="753"/>
        <v>46126</v>
      </c>
      <c r="I747" s="14" t="s">
        <v>90</v>
      </c>
      <c r="K747" s="88"/>
      <c r="L747" s="29" t="s">
        <v>3117</v>
      </c>
      <c r="M747" s="31"/>
      <c r="N747" s="14" t="s">
        <v>84</v>
      </c>
      <c r="O747" s="31"/>
      <c r="Q747" s="36"/>
      <c r="R747" s="36"/>
      <c r="S747" s="36"/>
      <c r="T747" s="36"/>
      <c r="V747" s="31"/>
    </row>
    <row r="748">
      <c r="A748" s="14" t="s">
        <v>117</v>
      </c>
      <c r="C748" s="302" t="s">
        <v>3180</v>
      </c>
      <c r="D748" s="382" t="s">
        <v>133</v>
      </c>
      <c r="E748" s="383" t="str">
        <f t="shared" si="740"/>
        <v>abril 2026</v>
      </c>
      <c r="F748" s="386">
        <v>46126.0</v>
      </c>
      <c r="G748" s="24">
        <f t="shared" ref="G748:H748" si="754">F748</f>
        <v>46126</v>
      </c>
      <c r="H748" s="26">
        <f t="shared" si="754"/>
        <v>46126</v>
      </c>
      <c r="I748" s="14" t="s">
        <v>1865</v>
      </c>
      <c r="K748" s="27">
        <v>3.0E9</v>
      </c>
      <c r="L748" s="29" t="s">
        <v>1923</v>
      </c>
      <c r="M748" s="31"/>
      <c r="N748" s="14" t="s">
        <v>84</v>
      </c>
      <c r="O748" s="14" t="s">
        <v>40</v>
      </c>
      <c r="Q748" s="36"/>
      <c r="R748" s="36"/>
      <c r="S748" s="36"/>
      <c r="T748" s="36"/>
      <c r="V748" s="31"/>
    </row>
    <row r="749">
      <c r="A749" s="14" t="s">
        <v>736</v>
      </c>
      <c r="B749" s="351" t="s">
        <v>3181</v>
      </c>
      <c r="C749" s="50" t="s">
        <v>1111</v>
      </c>
      <c r="D749" s="50" t="s">
        <v>40</v>
      </c>
      <c r="E749" s="348" t="str">
        <f t="shared" si="740"/>
        <v>abril 2026</v>
      </c>
      <c r="F749" s="349">
        <v>46129.0</v>
      </c>
      <c r="G749" s="24">
        <f t="shared" ref="G749:H749" si="755">F749</f>
        <v>46129</v>
      </c>
      <c r="H749" s="26">
        <f t="shared" si="755"/>
        <v>46129</v>
      </c>
      <c r="I749" s="50" t="s">
        <v>90</v>
      </c>
      <c r="K749" s="27"/>
      <c r="L749" s="29" t="s">
        <v>3085</v>
      </c>
      <c r="M749" s="31"/>
      <c r="N749" s="14" t="s">
        <v>84</v>
      </c>
      <c r="O749" s="31"/>
      <c r="Q749" s="36"/>
      <c r="R749" s="36"/>
      <c r="S749" s="36"/>
      <c r="T749" s="36"/>
      <c r="V749" s="31"/>
    </row>
    <row r="750">
      <c r="A750" s="14" t="s">
        <v>736</v>
      </c>
      <c r="B750" s="351" t="s">
        <v>3182</v>
      </c>
      <c r="C750" s="50" t="s">
        <v>1112</v>
      </c>
      <c r="D750" s="50" t="s">
        <v>40</v>
      </c>
      <c r="E750" s="348" t="str">
        <f t="shared" si="740"/>
        <v>abril 2026</v>
      </c>
      <c r="F750" s="349">
        <v>46129.0</v>
      </c>
      <c r="G750" s="24">
        <f t="shared" ref="G750:H750" si="756">F750</f>
        <v>46129</v>
      </c>
      <c r="H750" s="26">
        <f t="shared" si="756"/>
        <v>46129</v>
      </c>
      <c r="I750" s="50" t="s">
        <v>90</v>
      </c>
      <c r="K750" s="27"/>
      <c r="L750" s="29" t="s">
        <v>3085</v>
      </c>
      <c r="M750" s="31"/>
      <c r="N750" s="14" t="s">
        <v>84</v>
      </c>
      <c r="O750" s="31"/>
      <c r="Q750" s="36"/>
      <c r="R750" s="36"/>
      <c r="S750" s="36"/>
      <c r="T750" s="36"/>
      <c r="V750" s="31"/>
    </row>
    <row r="751">
      <c r="A751" s="14" t="s">
        <v>736</v>
      </c>
      <c r="B751" s="351" t="s">
        <v>3183</v>
      </c>
      <c r="C751" s="50" t="s">
        <v>1115</v>
      </c>
      <c r="D751" s="50" t="s">
        <v>40</v>
      </c>
      <c r="E751" s="348" t="str">
        <f t="shared" si="740"/>
        <v>abril 2026</v>
      </c>
      <c r="F751" s="349">
        <v>46129.0</v>
      </c>
      <c r="G751" s="24">
        <f t="shared" ref="G751:H751" si="757">F751</f>
        <v>46129</v>
      </c>
      <c r="H751" s="26">
        <f t="shared" si="757"/>
        <v>46129</v>
      </c>
      <c r="I751" s="50" t="s">
        <v>90</v>
      </c>
      <c r="K751" s="27"/>
      <c r="L751" s="29" t="s">
        <v>3085</v>
      </c>
      <c r="M751" s="31"/>
      <c r="N751" s="14" t="s">
        <v>84</v>
      </c>
      <c r="O751" s="31"/>
      <c r="Q751" s="36"/>
      <c r="R751" s="36"/>
      <c r="S751" s="36"/>
      <c r="T751" s="36"/>
      <c r="V751" s="31"/>
    </row>
    <row r="752">
      <c r="A752" s="14" t="s">
        <v>736</v>
      </c>
      <c r="B752" s="351" t="s">
        <v>3185</v>
      </c>
      <c r="C752" s="50" t="s">
        <v>1116</v>
      </c>
      <c r="D752" s="50" t="s">
        <v>40</v>
      </c>
      <c r="E752" s="348" t="str">
        <f t="shared" si="740"/>
        <v>abril 2026</v>
      </c>
      <c r="F752" s="349">
        <v>46133.0</v>
      </c>
      <c r="G752" s="24">
        <f t="shared" ref="G752:H752" si="758">F752</f>
        <v>46133</v>
      </c>
      <c r="H752" s="26">
        <f t="shared" si="758"/>
        <v>46133</v>
      </c>
      <c r="I752" s="50" t="s">
        <v>90</v>
      </c>
      <c r="K752" s="27"/>
      <c r="L752" s="29" t="s">
        <v>3085</v>
      </c>
      <c r="M752" s="31"/>
      <c r="N752" s="14" t="s">
        <v>84</v>
      </c>
      <c r="O752" s="31"/>
      <c r="Q752" s="36"/>
      <c r="R752" s="36"/>
      <c r="S752" s="36"/>
      <c r="T752" s="36"/>
      <c r="V752" s="31"/>
    </row>
    <row r="753">
      <c r="A753" s="14" t="s">
        <v>736</v>
      </c>
      <c r="B753" s="351" t="s">
        <v>3192</v>
      </c>
      <c r="C753" s="50" t="s">
        <v>1118</v>
      </c>
      <c r="D753" s="50" t="s">
        <v>40</v>
      </c>
      <c r="E753" s="348" t="str">
        <f t="shared" si="740"/>
        <v>abril 2026</v>
      </c>
      <c r="F753" s="349">
        <v>46129.0</v>
      </c>
      <c r="G753" s="24">
        <f t="shared" ref="G753:H753" si="759">F753</f>
        <v>46129</v>
      </c>
      <c r="H753" s="26">
        <f t="shared" si="759"/>
        <v>46129</v>
      </c>
      <c r="I753" s="50" t="s">
        <v>90</v>
      </c>
      <c r="K753" s="27"/>
      <c r="L753" s="29" t="s">
        <v>3085</v>
      </c>
      <c r="M753" s="31"/>
      <c r="N753" s="14" t="s">
        <v>84</v>
      </c>
      <c r="O753" s="31"/>
      <c r="Q753" s="36"/>
      <c r="R753" s="36"/>
      <c r="S753" s="36"/>
      <c r="T753" s="36"/>
      <c r="V753" s="31"/>
    </row>
    <row r="754">
      <c r="A754" s="14" t="s">
        <v>736</v>
      </c>
      <c r="B754" s="351" t="s">
        <v>3204</v>
      </c>
      <c r="C754" s="50" t="s">
        <v>1120</v>
      </c>
      <c r="D754" s="50" t="s">
        <v>40</v>
      </c>
      <c r="E754" s="348" t="str">
        <f t="shared" si="740"/>
        <v>abril 2026</v>
      </c>
      <c r="F754" s="349">
        <v>46129.0</v>
      </c>
      <c r="G754" s="24">
        <f t="shared" ref="G754:H754" si="760">F754</f>
        <v>46129</v>
      </c>
      <c r="H754" s="26">
        <f t="shared" si="760"/>
        <v>46129</v>
      </c>
      <c r="I754" s="50" t="s">
        <v>90</v>
      </c>
      <c r="K754" s="27"/>
      <c r="L754" s="29" t="s">
        <v>3085</v>
      </c>
      <c r="M754" s="31"/>
      <c r="N754" s="14" t="s">
        <v>84</v>
      </c>
      <c r="O754" s="31"/>
      <c r="Q754" s="36"/>
      <c r="R754" s="36"/>
      <c r="S754" s="36"/>
      <c r="T754" s="36"/>
      <c r="V754" s="31"/>
    </row>
    <row r="755">
      <c r="A755" s="14" t="s">
        <v>736</v>
      </c>
      <c r="B755" s="351" t="s">
        <v>3211</v>
      </c>
      <c r="C755" s="50" t="s">
        <v>1124</v>
      </c>
      <c r="D755" s="50" t="s">
        <v>40</v>
      </c>
      <c r="E755" s="348" t="str">
        <f t="shared" si="740"/>
        <v>abril 2026</v>
      </c>
      <c r="F755" s="349">
        <v>46129.0</v>
      </c>
      <c r="G755" s="24">
        <f t="shared" ref="G755:H755" si="761">F755</f>
        <v>46129</v>
      </c>
      <c r="H755" s="26">
        <f t="shared" si="761"/>
        <v>46129</v>
      </c>
      <c r="I755" s="50" t="s">
        <v>90</v>
      </c>
      <c r="K755" s="27"/>
      <c r="L755" s="29" t="s">
        <v>3085</v>
      </c>
      <c r="M755" s="31"/>
      <c r="N755" s="14" t="s">
        <v>84</v>
      </c>
      <c r="O755" s="31"/>
      <c r="Q755" s="36"/>
      <c r="R755" s="36"/>
      <c r="S755" s="36"/>
      <c r="T755" s="36"/>
      <c r="V755" s="31"/>
    </row>
    <row r="756">
      <c r="A756" s="14" t="s">
        <v>736</v>
      </c>
      <c r="B756" s="351" t="s">
        <v>3213</v>
      </c>
      <c r="C756" s="50" t="s">
        <v>1125</v>
      </c>
      <c r="D756" s="50" t="s">
        <v>40</v>
      </c>
      <c r="E756" s="348" t="str">
        <f t="shared" si="740"/>
        <v>abril 2026</v>
      </c>
      <c r="F756" s="349">
        <v>46133.0</v>
      </c>
      <c r="G756" s="24">
        <f t="shared" ref="G756:H756" si="762">F756</f>
        <v>46133</v>
      </c>
      <c r="H756" s="26">
        <f t="shared" si="762"/>
        <v>46133</v>
      </c>
      <c r="I756" s="50" t="s">
        <v>90</v>
      </c>
      <c r="K756" s="27"/>
      <c r="L756" s="29" t="s">
        <v>3085</v>
      </c>
      <c r="M756" s="31"/>
      <c r="N756" s="14" t="s">
        <v>84</v>
      </c>
      <c r="O756" s="31"/>
      <c r="Q756" s="36"/>
      <c r="R756" s="36"/>
      <c r="S756" s="36"/>
      <c r="T756" s="36"/>
      <c r="V756" s="31"/>
    </row>
    <row r="757">
      <c r="A757" s="14" t="s">
        <v>736</v>
      </c>
      <c r="B757" s="351" t="s">
        <v>3214</v>
      </c>
      <c r="C757" s="50" t="s">
        <v>1126</v>
      </c>
      <c r="D757" s="50" t="s">
        <v>40</v>
      </c>
      <c r="E757" s="348" t="str">
        <f t="shared" si="740"/>
        <v>abril 2026</v>
      </c>
      <c r="F757" s="349">
        <v>46141.0</v>
      </c>
      <c r="G757" s="24">
        <f t="shared" ref="G757:H757" si="763">F757</f>
        <v>46141</v>
      </c>
      <c r="H757" s="26">
        <f t="shared" si="763"/>
        <v>46141</v>
      </c>
      <c r="I757" s="50" t="s">
        <v>90</v>
      </c>
      <c r="K757" s="27"/>
      <c r="L757" s="29" t="s">
        <v>3085</v>
      </c>
      <c r="M757" s="31"/>
      <c r="N757" s="14" t="s">
        <v>84</v>
      </c>
      <c r="O757" s="31"/>
      <c r="Q757" s="36"/>
      <c r="R757" s="36"/>
      <c r="S757" s="36"/>
      <c r="T757" s="36"/>
      <c r="V757" s="31"/>
    </row>
    <row r="758">
      <c r="A758" s="14" t="s">
        <v>736</v>
      </c>
      <c r="B758" s="351" t="s">
        <v>3217</v>
      </c>
      <c r="C758" s="50" t="s">
        <v>1127</v>
      </c>
      <c r="D758" s="50" t="s">
        <v>40</v>
      </c>
      <c r="E758" s="348" t="str">
        <f t="shared" si="740"/>
        <v>abril 2026</v>
      </c>
      <c r="F758" s="349">
        <v>46129.0</v>
      </c>
      <c r="G758" s="24">
        <f t="shared" ref="G758:H758" si="764">F758</f>
        <v>46129</v>
      </c>
      <c r="H758" s="26">
        <f t="shared" si="764"/>
        <v>46129</v>
      </c>
      <c r="I758" s="50" t="s">
        <v>90</v>
      </c>
      <c r="K758" s="27"/>
      <c r="L758" s="29" t="s">
        <v>3085</v>
      </c>
      <c r="M758" s="31"/>
      <c r="N758" s="14" t="s">
        <v>84</v>
      </c>
      <c r="O758" s="31"/>
      <c r="Q758" s="36"/>
      <c r="R758" s="36"/>
      <c r="S758" s="36"/>
      <c r="T758" s="36"/>
      <c r="V758" s="31"/>
    </row>
    <row r="759">
      <c r="A759" s="14" t="s">
        <v>736</v>
      </c>
      <c r="B759" s="351" t="s">
        <v>3219</v>
      </c>
      <c r="C759" s="50" t="s">
        <v>1128</v>
      </c>
      <c r="D759" s="50" t="s">
        <v>40</v>
      </c>
      <c r="E759" s="348" t="str">
        <f t="shared" si="740"/>
        <v>abril 2026</v>
      </c>
      <c r="F759" s="349">
        <v>46130.0</v>
      </c>
      <c r="G759" s="24">
        <f t="shared" ref="G759:H759" si="765">F759</f>
        <v>46130</v>
      </c>
      <c r="H759" s="26">
        <f t="shared" si="765"/>
        <v>46130</v>
      </c>
      <c r="I759" s="50" t="s">
        <v>90</v>
      </c>
      <c r="K759" s="27"/>
      <c r="L759" s="29" t="s">
        <v>3085</v>
      </c>
      <c r="M759" s="31"/>
      <c r="N759" s="14" t="s">
        <v>84</v>
      </c>
      <c r="O759" s="31"/>
      <c r="Q759" s="36"/>
      <c r="R759" s="36"/>
      <c r="S759" s="36"/>
      <c r="T759" s="36"/>
      <c r="V759" s="31"/>
    </row>
    <row r="760">
      <c r="A760" s="14" t="s">
        <v>736</v>
      </c>
      <c r="B760" s="351" t="s">
        <v>3220</v>
      </c>
      <c r="C760" s="50" t="s">
        <v>1131</v>
      </c>
      <c r="D760" s="50" t="s">
        <v>40</v>
      </c>
      <c r="E760" s="348" t="str">
        <f t="shared" si="740"/>
        <v>abril 2026</v>
      </c>
      <c r="F760" s="349">
        <v>46134.0</v>
      </c>
      <c r="G760" s="24">
        <f t="shared" ref="G760:H760" si="766">F760</f>
        <v>46134</v>
      </c>
      <c r="H760" s="26">
        <f t="shared" si="766"/>
        <v>46134</v>
      </c>
      <c r="I760" s="50" t="s">
        <v>90</v>
      </c>
      <c r="K760" s="27"/>
      <c r="L760" s="29" t="s">
        <v>3085</v>
      </c>
      <c r="M760" s="31"/>
      <c r="N760" s="14" t="s">
        <v>84</v>
      </c>
      <c r="O760" s="31"/>
      <c r="Q760" s="36"/>
      <c r="R760" s="36"/>
      <c r="S760" s="36"/>
      <c r="T760" s="36"/>
      <c r="V760" s="31"/>
    </row>
    <row r="761">
      <c r="A761" s="14" t="s">
        <v>736</v>
      </c>
      <c r="B761" s="351" t="s">
        <v>3222</v>
      </c>
      <c r="C761" s="50" t="s">
        <v>1132</v>
      </c>
      <c r="D761" s="50" t="s">
        <v>40</v>
      </c>
      <c r="E761" s="348" t="str">
        <f t="shared" si="740"/>
        <v>abril 2026</v>
      </c>
      <c r="F761" s="349">
        <v>46134.0</v>
      </c>
      <c r="G761" s="24">
        <f t="shared" ref="G761:H761" si="767">F761</f>
        <v>46134</v>
      </c>
      <c r="H761" s="26">
        <f t="shared" si="767"/>
        <v>46134</v>
      </c>
      <c r="I761" s="50" t="s">
        <v>90</v>
      </c>
      <c r="K761" s="27"/>
      <c r="L761" s="29" t="s">
        <v>3085</v>
      </c>
      <c r="M761" s="31"/>
      <c r="N761" s="14" t="s">
        <v>84</v>
      </c>
      <c r="O761" s="31"/>
      <c r="Q761" s="36"/>
      <c r="R761" s="36"/>
      <c r="S761" s="36"/>
      <c r="T761" s="36"/>
      <c r="V761" s="31"/>
    </row>
    <row r="762">
      <c r="A762" s="14" t="s">
        <v>736</v>
      </c>
      <c r="B762" s="351" t="s">
        <v>3223</v>
      </c>
      <c r="C762" s="50" t="s">
        <v>1133</v>
      </c>
      <c r="D762" s="50" t="s">
        <v>40</v>
      </c>
      <c r="E762" s="348" t="str">
        <f t="shared" si="740"/>
        <v>abril 2026</v>
      </c>
      <c r="F762" s="349">
        <v>46134.0</v>
      </c>
      <c r="G762" s="24">
        <f t="shared" ref="G762:H762" si="768">F762</f>
        <v>46134</v>
      </c>
      <c r="H762" s="26">
        <f t="shared" si="768"/>
        <v>46134</v>
      </c>
      <c r="I762" s="50" t="s">
        <v>90</v>
      </c>
      <c r="K762" s="27"/>
      <c r="L762" s="29" t="s">
        <v>3085</v>
      </c>
      <c r="M762" s="31"/>
      <c r="N762" s="14" t="s">
        <v>84</v>
      </c>
      <c r="O762" s="31"/>
      <c r="Q762" s="36"/>
      <c r="R762" s="36"/>
      <c r="S762" s="36"/>
      <c r="T762" s="36"/>
      <c r="V762" s="31"/>
    </row>
    <row r="763">
      <c r="A763" s="14" t="s">
        <v>117</v>
      </c>
      <c r="B763" s="390"/>
      <c r="C763" s="379" t="s">
        <v>2645</v>
      </c>
      <c r="D763" s="379" t="s">
        <v>133</v>
      </c>
      <c r="E763" s="380" t="str">
        <f t="shared" si="740"/>
        <v>mayo 2026</v>
      </c>
      <c r="F763" s="381">
        <v>46146.0</v>
      </c>
      <c r="G763" s="24">
        <f t="shared" ref="G763:H763" si="769">F763</f>
        <v>46146</v>
      </c>
      <c r="H763" s="26">
        <f t="shared" si="769"/>
        <v>46146</v>
      </c>
      <c r="I763" s="14" t="s">
        <v>82</v>
      </c>
      <c r="K763" s="27">
        <v>8.0E8</v>
      </c>
      <c r="L763" s="29" t="s">
        <v>3226</v>
      </c>
      <c r="M763" s="14"/>
      <c r="N763" s="14" t="s">
        <v>84</v>
      </c>
      <c r="O763" s="31"/>
      <c r="P763" s="14" t="s">
        <v>3227</v>
      </c>
      <c r="Q763" s="36"/>
      <c r="R763" s="36"/>
      <c r="S763" s="36"/>
      <c r="T763" s="36"/>
      <c r="V763" s="31"/>
    </row>
    <row r="764">
      <c r="A764" s="14" t="s">
        <v>736</v>
      </c>
      <c r="B764" s="351" t="s">
        <v>3228</v>
      </c>
      <c r="C764" s="50" t="s">
        <v>1135</v>
      </c>
      <c r="D764" s="50" t="s">
        <v>40</v>
      </c>
      <c r="E764" s="348" t="str">
        <f t="shared" si="740"/>
        <v>mayo 2026</v>
      </c>
      <c r="F764" s="349">
        <v>46158.0</v>
      </c>
      <c r="G764" s="24">
        <f t="shared" ref="G764:H764" si="770">F764</f>
        <v>46158</v>
      </c>
      <c r="H764" s="26">
        <f t="shared" si="770"/>
        <v>46158</v>
      </c>
      <c r="I764" s="50" t="s">
        <v>90</v>
      </c>
      <c r="K764" s="27"/>
      <c r="L764" s="29" t="s">
        <v>3085</v>
      </c>
      <c r="M764" s="31"/>
      <c r="N764" s="14" t="s">
        <v>84</v>
      </c>
      <c r="O764" s="31"/>
      <c r="Q764" s="36"/>
      <c r="R764" s="36"/>
      <c r="S764" s="36"/>
      <c r="T764" s="36"/>
      <c r="V764" s="31"/>
    </row>
    <row r="765">
      <c r="A765" s="14" t="s">
        <v>736</v>
      </c>
      <c r="B765" s="351" t="s">
        <v>3229</v>
      </c>
      <c r="C765" s="50" t="s">
        <v>1138</v>
      </c>
      <c r="D765" s="50" t="s">
        <v>40</v>
      </c>
      <c r="E765" s="348" t="str">
        <f t="shared" si="740"/>
        <v>abril 2026</v>
      </c>
      <c r="F765" s="349">
        <v>46134.0</v>
      </c>
      <c r="G765" s="24">
        <f t="shared" ref="G765:H765" si="771">F765</f>
        <v>46134</v>
      </c>
      <c r="H765" s="26">
        <f t="shared" si="771"/>
        <v>46134</v>
      </c>
      <c r="I765" s="50" t="s">
        <v>90</v>
      </c>
      <c r="K765" s="27"/>
      <c r="L765" s="29" t="s">
        <v>3085</v>
      </c>
      <c r="M765" s="31"/>
      <c r="N765" s="14" t="s">
        <v>84</v>
      </c>
      <c r="O765" s="31"/>
      <c r="Q765" s="36"/>
      <c r="R765" s="36"/>
      <c r="S765" s="36"/>
      <c r="T765" s="36"/>
      <c r="V765" s="31"/>
    </row>
    <row r="766">
      <c r="A766" s="14" t="s">
        <v>736</v>
      </c>
      <c r="B766" s="351" t="s">
        <v>3231</v>
      </c>
      <c r="C766" s="50" t="s">
        <v>1139</v>
      </c>
      <c r="D766" s="50" t="s">
        <v>40</v>
      </c>
      <c r="E766" s="348" t="str">
        <f t="shared" si="740"/>
        <v>abril 2026</v>
      </c>
      <c r="F766" s="349">
        <v>46134.0</v>
      </c>
      <c r="G766" s="24">
        <f t="shared" ref="G766:H766" si="772">F766</f>
        <v>46134</v>
      </c>
      <c r="H766" s="26">
        <f t="shared" si="772"/>
        <v>46134</v>
      </c>
      <c r="I766" s="50" t="s">
        <v>90</v>
      </c>
      <c r="K766" s="27"/>
      <c r="L766" s="29" t="s">
        <v>3085</v>
      </c>
      <c r="M766" s="31"/>
      <c r="N766" s="14" t="s">
        <v>84</v>
      </c>
      <c r="O766" s="31"/>
      <c r="Q766" s="36"/>
      <c r="R766" s="36"/>
      <c r="S766" s="36"/>
      <c r="T766" s="36"/>
      <c r="V766" s="31"/>
    </row>
    <row r="767">
      <c r="A767" s="14" t="s">
        <v>736</v>
      </c>
      <c r="B767" s="351" t="s">
        <v>3233</v>
      </c>
      <c r="C767" s="50" t="s">
        <v>1142</v>
      </c>
      <c r="D767" s="50" t="s">
        <v>40</v>
      </c>
      <c r="E767" s="348" t="str">
        <f t="shared" si="740"/>
        <v>abril 2026</v>
      </c>
      <c r="F767" s="349">
        <v>46134.0</v>
      </c>
      <c r="G767" s="24">
        <f t="shared" ref="G767:H767" si="773">F767</f>
        <v>46134</v>
      </c>
      <c r="H767" s="26">
        <f t="shared" si="773"/>
        <v>46134</v>
      </c>
      <c r="I767" s="50" t="s">
        <v>90</v>
      </c>
      <c r="K767" s="27"/>
      <c r="L767" s="29" t="s">
        <v>3085</v>
      </c>
      <c r="M767" s="31"/>
      <c r="N767" s="14" t="s">
        <v>84</v>
      </c>
      <c r="O767" s="31"/>
      <c r="Q767" s="36"/>
      <c r="R767" s="36"/>
      <c r="S767" s="36"/>
      <c r="T767" s="36"/>
      <c r="V767" s="31"/>
    </row>
    <row r="768">
      <c r="A768" s="14" t="s">
        <v>736</v>
      </c>
      <c r="B768" s="351" t="s">
        <v>3237</v>
      </c>
      <c r="C768" s="50" t="s">
        <v>1144</v>
      </c>
      <c r="D768" s="50" t="s">
        <v>40</v>
      </c>
      <c r="E768" s="348" t="str">
        <f t="shared" si="740"/>
        <v>mayo 2026</v>
      </c>
      <c r="F768" s="349">
        <v>46148.0</v>
      </c>
      <c r="G768" s="24">
        <f t="shared" ref="G768:H768" si="774">F768</f>
        <v>46148</v>
      </c>
      <c r="H768" s="26">
        <f t="shared" si="774"/>
        <v>46148</v>
      </c>
      <c r="I768" s="50" t="s">
        <v>90</v>
      </c>
      <c r="K768" s="27"/>
      <c r="L768" s="29" t="s">
        <v>3085</v>
      </c>
      <c r="M768" s="31"/>
      <c r="N768" s="14" t="s">
        <v>84</v>
      </c>
      <c r="O768" s="31"/>
      <c r="Q768" s="36"/>
      <c r="R768" s="36"/>
      <c r="S768" s="36"/>
      <c r="T768" s="36"/>
      <c r="V768" s="31"/>
    </row>
    <row r="769">
      <c r="A769" s="14" t="s">
        <v>736</v>
      </c>
      <c r="B769" s="351" t="s">
        <v>3244</v>
      </c>
      <c r="C769" s="50" t="s">
        <v>1147</v>
      </c>
      <c r="D769" s="50" t="s">
        <v>40</v>
      </c>
      <c r="E769" s="348" t="str">
        <f t="shared" si="740"/>
        <v>mayo 2026</v>
      </c>
      <c r="F769" s="349">
        <v>46149.0</v>
      </c>
      <c r="G769" s="24">
        <f t="shared" ref="G769:H769" si="775">F769</f>
        <v>46149</v>
      </c>
      <c r="H769" s="26">
        <f t="shared" si="775"/>
        <v>46149</v>
      </c>
      <c r="I769" s="50" t="s">
        <v>90</v>
      </c>
      <c r="K769" s="27"/>
      <c r="L769" s="29" t="s">
        <v>3085</v>
      </c>
      <c r="M769" s="31"/>
      <c r="N769" s="14" t="s">
        <v>84</v>
      </c>
      <c r="O769" s="31"/>
      <c r="Q769" s="36"/>
      <c r="R769" s="36"/>
      <c r="S769" s="36"/>
      <c r="T769" s="36"/>
      <c r="V769" s="31"/>
    </row>
    <row r="770">
      <c r="A770" s="14" t="s">
        <v>736</v>
      </c>
      <c r="B770" s="351" t="s">
        <v>3249</v>
      </c>
      <c r="C770" s="50" t="s">
        <v>1149</v>
      </c>
      <c r="D770" s="50" t="s">
        <v>40</v>
      </c>
      <c r="E770" s="348" t="str">
        <f t="shared" si="740"/>
        <v>mayo 2026</v>
      </c>
      <c r="F770" s="349">
        <v>46149.0</v>
      </c>
      <c r="G770" s="24">
        <f t="shared" ref="G770:H770" si="776">F770</f>
        <v>46149</v>
      </c>
      <c r="H770" s="26">
        <f t="shared" si="776"/>
        <v>46149</v>
      </c>
      <c r="I770" s="50" t="s">
        <v>90</v>
      </c>
      <c r="K770" s="27"/>
      <c r="L770" s="29" t="s">
        <v>3085</v>
      </c>
      <c r="M770" s="31"/>
      <c r="N770" s="14" t="s">
        <v>84</v>
      </c>
      <c r="O770" s="31"/>
      <c r="Q770" s="36"/>
      <c r="R770" s="36"/>
      <c r="S770" s="36"/>
      <c r="T770" s="36"/>
      <c r="V770" s="31"/>
    </row>
    <row r="771">
      <c r="A771" s="14" t="s">
        <v>736</v>
      </c>
      <c r="B771" s="351" t="s">
        <v>3254</v>
      </c>
      <c r="C771" s="50" t="s">
        <v>1151</v>
      </c>
      <c r="D771" s="50" t="s">
        <v>40</v>
      </c>
      <c r="E771" s="348" t="str">
        <f t="shared" si="740"/>
        <v>mayo 2026</v>
      </c>
      <c r="F771" s="349">
        <v>46148.0</v>
      </c>
      <c r="G771" s="24">
        <f t="shared" ref="G771:H771" si="777">F771</f>
        <v>46148</v>
      </c>
      <c r="H771" s="26">
        <f t="shared" si="777"/>
        <v>46148</v>
      </c>
      <c r="I771" s="50" t="s">
        <v>90</v>
      </c>
      <c r="K771" s="27"/>
      <c r="L771" s="29" t="s">
        <v>3085</v>
      </c>
      <c r="M771" s="31"/>
      <c r="N771" s="14" t="s">
        <v>84</v>
      </c>
      <c r="O771" s="31"/>
      <c r="Q771" s="36"/>
      <c r="R771" s="36"/>
      <c r="S771" s="36"/>
      <c r="T771" s="36"/>
      <c r="V771" s="31"/>
    </row>
    <row r="772">
      <c r="A772" s="14" t="s">
        <v>736</v>
      </c>
      <c r="B772" s="351" t="s">
        <v>3256</v>
      </c>
      <c r="C772" s="50" t="s">
        <v>1154</v>
      </c>
      <c r="D772" s="50" t="s">
        <v>40</v>
      </c>
      <c r="E772" s="348" t="str">
        <f t="shared" si="740"/>
        <v>mayo 2026</v>
      </c>
      <c r="F772" s="349">
        <v>46148.0</v>
      </c>
      <c r="G772" s="24">
        <f t="shared" ref="G772:H772" si="778">F772</f>
        <v>46148</v>
      </c>
      <c r="H772" s="26">
        <f t="shared" si="778"/>
        <v>46148</v>
      </c>
      <c r="I772" s="50" t="s">
        <v>90</v>
      </c>
      <c r="K772" s="27"/>
      <c r="L772" s="29" t="s">
        <v>3085</v>
      </c>
      <c r="M772" s="31"/>
      <c r="N772" s="14" t="s">
        <v>84</v>
      </c>
      <c r="O772" s="31"/>
      <c r="Q772" s="36"/>
      <c r="R772" s="36"/>
      <c r="S772" s="36"/>
      <c r="T772" s="36"/>
      <c r="V772" s="31"/>
    </row>
    <row r="773">
      <c r="A773" s="14" t="s">
        <v>736</v>
      </c>
      <c r="B773" s="351" t="s">
        <v>3258</v>
      </c>
      <c r="C773" s="50" t="s">
        <v>1156</v>
      </c>
      <c r="D773" s="50" t="s">
        <v>40</v>
      </c>
      <c r="E773" s="348" t="str">
        <f t="shared" si="740"/>
        <v>mayo 2026</v>
      </c>
      <c r="F773" s="349">
        <v>46148.0</v>
      </c>
      <c r="G773" s="24">
        <f t="shared" ref="G773:H773" si="779">F773</f>
        <v>46148</v>
      </c>
      <c r="H773" s="26">
        <f t="shared" si="779"/>
        <v>46148</v>
      </c>
      <c r="I773" s="50" t="s">
        <v>90</v>
      </c>
      <c r="K773" s="27"/>
      <c r="L773" s="29" t="s">
        <v>3085</v>
      </c>
      <c r="M773" s="31"/>
      <c r="N773" s="14" t="s">
        <v>84</v>
      </c>
      <c r="O773" s="31"/>
      <c r="Q773" s="36"/>
      <c r="R773" s="36"/>
      <c r="S773" s="36"/>
      <c r="T773" s="36"/>
      <c r="V773" s="31"/>
    </row>
    <row r="774">
      <c r="A774" s="14" t="s">
        <v>736</v>
      </c>
      <c r="B774" s="351" t="s">
        <v>3261</v>
      </c>
      <c r="C774" s="50" t="s">
        <v>1159</v>
      </c>
      <c r="D774" s="50" t="s">
        <v>40</v>
      </c>
      <c r="E774" s="348" t="str">
        <f t="shared" si="740"/>
        <v>mayo 2026</v>
      </c>
      <c r="F774" s="349">
        <v>46148.0</v>
      </c>
      <c r="G774" s="24">
        <f t="shared" ref="G774:H774" si="780">F774</f>
        <v>46148</v>
      </c>
      <c r="H774" s="26">
        <f t="shared" si="780"/>
        <v>46148</v>
      </c>
      <c r="I774" s="50" t="s">
        <v>90</v>
      </c>
      <c r="K774" s="27"/>
      <c r="L774" s="29" t="s">
        <v>3085</v>
      </c>
      <c r="M774" s="31"/>
      <c r="N774" s="14" t="s">
        <v>84</v>
      </c>
      <c r="O774" s="31"/>
      <c r="Q774" s="36"/>
      <c r="R774" s="36"/>
      <c r="S774" s="36"/>
      <c r="T774" s="36"/>
      <c r="V774" s="31"/>
    </row>
    <row r="775">
      <c r="A775" s="14" t="s">
        <v>736</v>
      </c>
      <c r="B775" s="390"/>
      <c r="C775" s="302" t="s">
        <v>2666</v>
      </c>
      <c r="D775" s="379" t="s">
        <v>133</v>
      </c>
      <c r="E775" s="380" t="str">
        <f t="shared" si="740"/>
        <v>diciembre 1899</v>
      </c>
      <c r="F775" s="381"/>
      <c r="G775" s="24" t="str">
        <f t="shared" ref="G775:H775" si="781">F775</f>
        <v/>
      </c>
      <c r="H775" s="26" t="str">
        <f t="shared" si="781"/>
        <v/>
      </c>
      <c r="I775" s="14" t="s">
        <v>1865</v>
      </c>
      <c r="K775" s="88"/>
      <c r="L775" s="78"/>
      <c r="M775" s="14"/>
      <c r="N775" s="31"/>
      <c r="O775" s="31"/>
      <c r="P775" s="14" t="s">
        <v>3265</v>
      </c>
      <c r="Q775" s="36"/>
      <c r="R775" s="36"/>
      <c r="S775" s="36"/>
      <c r="T775" s="36"/>
      <c r="V775" s="31"/>
    </row>
    <row r="776">
      <c r="A776" s="14" t="s">
        <v>736</v>
      </c>
      <c r="B776" s="391"/>
      <c r="C776" s="302" t="s">
        <v>2667</v>
      </c>
      <c r="D776" s="50" t="s">
        <v>40</v>
      </c>
      <c r="E776" s="383" t="str">
        <f t="shared" si="740"/>
        <v>mayo 2026</v>
      </c>
      <c r="F776" s="386">
        <v>46149.0</v>
      </c>
      <c r="G776" s="24">
        <f t="shared" ref="G776:H776" si="782">F776</f>
        <v>46149</v>
      </c>
      <c r="H776" s="26">
        <f t="shared" si="782"/>
        <v>46149</v>
      </c>
      <c r="I776" s="50" t="s">
        <v>1596</v>
      </c>
      <c r="K776" s="88"/>
      <c r="L776" s="78"/>
      <c r="M776" s="14"/>
      <c r="N776" s="31"/>
      <c r="O776" s="31"/>
      <c r="P776" s="14" t="s">
        <v>3267</v>
      </c>
      <c r="Q776" s="36"/>
      <c r="R776" s="36"/>
      <c r="S776" s="36"/>
      <c r="T776" s="36"/>
      <c r="V776" s="31"/>
    </row>
    <row r="777">
      <c r="A777" s="14" t="s">
        <v>679</v>
      </c>
      <c r="B777" s="390"/>
      <c r="C777" s="379" t="s">
        <v>3268</v>
      </c>
      <c r="D777" s="379" t="s">
        <v>133</v>
      </c>
      <c r="E777" s="380" t="str">
        <f t="shared" si="740"/>
        <v>diciembre 1899</v>
      </c>
      <c r="F777" s="381"/>
      <c r="G777" s="24" t="str">
        <f t="shared" ref="G777:H777" si="783">F777</f>
        <v/>
      </c>
      <c r="H777" s="26" t="str">
        <f t="shared" si="783"/>
        <v/>
      </c>
      <c r="I777" s="14" t="s">
        <v>2398</v>
      </c>
      <c r="K777" s="88"/>
      <c r="L777" s="29" t="s">
        <v>3269</v>
      </c>
      <c r="M777" s="31"/>
      <c r="N777" s="14" t="s">
        <v>84</v>
      </c>
      <c r="O777" s="31"/>
      <c r="Q777" s="36"/>
      <c r="R777" s="36"/>
      <c r="S777" s="36"/>
      <c r="T777" s="36"/>
      <c r="V777" s="31"/>
    </row>
    <row r="778">
      <c r="A778" s="14" t="s">
        <v>736</v>
      </c>
      <c r="B778" s="351" t="s">
        <v>3270</v>
      </c>
      <c r="C778" s="50" t="s">
        <v>1160</v>
      </c>
      <c r="D778" s="50" t="s">
        <v>40</v>
      </c>
      <c r="E778" s="348" t="str">
        <f t="shared" si="740"/>
        <v>mayo 2026</v>
      </c>
      <c r="F778" s="349">
        <v>46150.0</v>
      </c>
      <c r="G778" s="24">
        <f t="shared" ref="G778:H778" si="784">F778</f>
        <v>46150</v>
      </c>
      <c r="H778" s="26">
        <f t="shared" si="784"/>
        <v>46150</v>
      </c>
      <c r="I778" s="50" t="s">
        <v>90</v>
      </c>
      <c r="K778" s="27"/>
      <c r="L778" s="29" t="s">
        <v>3085</v>
      </c>
      <c r="M778" s="31"/>
      <c r="N778" s="14" t="s">
        <v>84</v>
      </c>
      <c r="O778" s="31"/>
      <c r="Q778" s="36"/>
      <c r="R778" s="36"/>
      <c r="S778" s="36"/>
      <c r="T778" s="36"/>
      <c r="V778" s="31"/>
    </row>
    <row r="779">
      <c r="A779" s="14" t="s">
        <v>736</v>
      </c>
      <c r="B779" s="351" t="s">
        <v>3272</v>
      </c>
      <c r="C779" s="50" t="s">
        <v>1161</v>
      </c>
      <c r="D779" s="50" t="s">
        <v>40</v>
      </c>
      <c r="E779" s="348" t="str">
        <f t="shared" si="740"/>
        <v>mayo 2026</v>
      </c>
      <c r="F779" s="349">
        <v>46150.0</v>
      </c>
      <c r="G779" s="24">
        <f t="shared" ref="G779:H779" si="785">F779</f>
        <v>46150</v>
      </c>
      <c r="H779" s="26">
        <f t="shared" si="785"/>
        <v>46150</v>
      </c>
      <c r="I779" s="50" t="s">
        <v>90</v>
      </c>
      <c r="K779" s="27"/>
      <c r="L779" s="29" t="s">
        <v>3085</v>
      </c>
      <c r="M779" s="31"/>
      <c r="N779" s="14" t="s">
        <v>84</v>
      </c>
      <c r="O779" s="31"/>
      <c r="Q779" s="36"/>
      <c r="R779" s="36"/>
      <c r="S779" s="36"/>
      <c r="T779" s="36"/>
      <c r="V779" s="31"/>
    </row>
    <row r="780">
      <c r="A780" s="14" t="s">
        <v>736</v>
      </c>
      <c r="B780" s="351" t="s">
        <v>3273</v>
      </c>
      <c r="C780" s="50" t="s">
        <v>1167</v>
      </c>
      <c r="D780" s="50" t="s">
        <v>40</v>
      </c>
      <c r="E780" s="348" t="str">
        <f t="shared" si="740"/>
        <v>mayo 2026</v>
      </c>
      <c r="F780" s="349">
        <v>46153.0</v>
      </c>
      <c r="G780" s="24">
        <f t="shared" ref="G780:H780" si="786">F780</f>
        <v>46153</v>
      </c>
      <c r="H780" s="26">
        <f t="shared" si="786"/>
        <v>46153</v>
      </c>
      <c r="I780" s="50" t="s">
        <v>90</v>
      </c>
      <c r="K780" s="27"/>
      <c r="L780" s="29" t="s">
        <v>3085</v>
      </c>
      <c r="M780" s="31"/>
      <c r="N780" s="14" t="s">
        <v>84</v>
      </c>
      <c r="O780" s="31"/>
      <c r="Q780" s="36"/>
      <c r="R780" s="36"/>
      <c r="S780" s="36"/>
      <c r="T780" s="36"/>
      <c r="V780" s="31"/>
    </row>
    <row r="781">
      <c r="A781" s="14" t="s">
        <v>736</v>
      </c>
      <c r="B781" s="351" t="s">
        <v>3275</v>
      </c>
      <c r="C781" s="50" t="s">
        <v>1171</v>
      </c>
      <c r="D781" s="50" t="s">
        <v>40</v>
      </c>
      <c r="E781" s="348" t="str">
        <f t="shared" si="740"/>
        <v>mayo 2026</v>
      </c>
      <c r="F781" s="349">
        <v>46153.0</v>
      </c>
      <c r="G781" s="24">
        <f t="shared" ref="G781:H781" si="787">F781</f>
        <v>46153</v>
      </c>
      <c r="H781" s="26">
        <f t="shared" si="787"/>
        <v>46153</v>
      </c>
      <c r="I781" s="50" t="s">
        <v>90</v>
      </c>
      <c r="K781" s="27"/>
      <c r="L781" s="29" t="s">
        <v>3085</v>
      </c>
      <c r="M781" s="31"/>
      <c r="N781" s="14" t="s">
        <v>84</v>
      </c>
      <c r="O781" s="31"/>
      <c r="Q781" s="36"/>
      <c r="R781" s="36"/>
      <c r="S781" s="36"/>
      <c r="T781" s="36"/>
      <c r="V781" s="31"/>
    </row>
    <row r="782">
      <c r="A782" s="14" t="s">
        <v>736</v>
      </c>
      <c r="B782" s="351" t="s">
        <v>3277</v>
      </c>
      <c r="C782" s="50" t="s">
        <v>1172</v>
      </c>
      <c r="D782" s="50" t="s">
        <v>40</v>
      </c>
      <c r="E782" s="348" t="str">
        <f t="shared" si="740"/>
        <v>mayo 2026</v>
      </c>
      <c r="F782" s="349">
        <v>46155.0</v>
      </c>
      <c r="G782" s="24">
        <f t="shared" ref="G782:H782" si="788">F782</f>
        <v>46155</v>
      </c>
      <c r="H782" s="26">
        <f t="shared" si="788"/>
        <v>46155</v>
      </c>
      <c r="I782" s="50" t="s">
        <v>90</v>
      </c>
      <c r="K782" s="27"/>
      <c r="L782" s="29" t="s">
        <v>3085</v>
      </c>
      <c r="M782" s="31"/>
      <c r="N782" s="14" t="s">
        <v>84</v>
      </c>
      <c r="O782" s="31"/>
      <c r="Q782" s="36"/>
      <c r="R782" s="36"/>
      <c r="S782" s="36"/>
      <c r="T782" s="36"/>
      <c r="V782" s="31"/>
    </row>
    <row r="783">
      <c r="A783" s="14" t="s">
        <v>736</v>
      </c>
      <c r="B783" s="351" t="s">
        <v>3279</v>
      </c>
      <c r="C783" s="50" t="s">
        <v>1173</v>
      </c>
      <c r="D783" s="50" t="s">
        <v>40</v>
      </c>
      <c r="E783" s="348" t="str">
        <f t="shared" si="740"/>
        <v>mayo 2026</v>
      </c>
      <c r="F783" s="349">
        <v>46155.0</v>
      </c>
      <c r="G783" s="24">
        <f t="shared" ref="G783:H783" si="789">F783</f>
        <v>46155</v>
      </c>
      <c r="H783" s="26">
        <f t="shared" si="789"/>
        <v>46155</v>
      </c>
      <c r="I783" s="50" t="s">
        <v>90</v>
      </c>
      <c r="K783" s="27"/>
      <c r="L783" s="29" t="s">
        <v>3085</v>
      </c>
      <c r="M783" s="31"/>
      <c r="N783" s="14" t="s">
        <v>84</v>
      </c>
      <c r="O783" s="31"/>
      <c r="Q783" s="36"/>
      <c r="R783" s="36"/>
      <c r="S783" s="36"/>
      <c r="T783" s="36"/>
      <c r="V783" s="31"/>
    </row>
    <row r="784">
      <c r="A784" s="14" t="s">
        <v>736</v>
      </c>
      <c r="B784" s="351" t="s">
        <v>3280</v>
      </c>
      <c r="C784" s="50" t="s">
        <v>1176</v>
      </c>
      <c r="D784" s="50" t="s">
        <v>40</v>
      </c>
      <c r="E784" s="348" t="str">
        <f t="shared" si="740"/>
        <v>mayo 2026</v>
      </c>
      <c r="F784" s="349">
        <v>46155.0</v>
      </c>
      <c r="G784" s="24">
        <f t="shared" ref="G784:H784" si="790">F784</f>
        <v>46155</v>
      </c>
      <c r="H784" s="26">
        <f t="shared" si="790"/>
        <v>46155</v>
      </c>
      <c r="I784" s="50" t="s">
        <v>90</v>
      </c>
      <c r="K784" s="27"/>
      <c r="L784" s="29" t="s">
        <v>3085</v>
      </c>
      <c r="M784" s="31"/>
      <c r="N784" s="14" t="s">
        <v>84</v>
      </c>
      <c r="O784" s="31"/>
      <c r="Q784" s="36"/>
      <c r="R784" s="36"/>
      <c r="S784" s="36"/>
      <c r="T784" s="36"/>
      <c r="V784" s="31"/>
    </row>
    <row r="785">
      <c r="A785" s="14" t="s">
        <v>736</v>
      </c>
      <c r="B785" s="351" t="s">
        <v>3281</v>
      </c>
      <c r="C785" s="50" t="s">
        <v>1179</v>
      </c>
      <c r="D785" s="50" t="s">
        <v>40</v>
      </c>
      <c r="E785" s="348" t="str">
        <f t="shared" si="740"/>
        <v>junio 2026</v>
      </c>
      <c r="F785" s="349">
        <v>46190.0</v>
      </c>
      <c r="G785" s="24">
        <f t="shared" ref="G785:H785" si="791">F785</f>
        <v>46190</v>
      </c>
      <c r="H785" s="26">
        <f t="shared" si="791"/>
        <v>46190</v>
      </c>
      <c r="I785" s="50" t="s">
        <v>90</v>
      </c>
      <c r="K785" s="27"/>
      <c r="L785" s="29" t="s">
        <v>3085</v>
      </c>
      <c r="M785" s="31"/>
      <c r="N785" s="14" t="s">
        <v>84</v>
      </c>
      <c r="O785" s="31"/>
      <c r="Q785" s="36"/>
      <c r="R785" s="36"/>
      <c r="S785" s="36"/>
      <c r="T785" s="36"/>
      <c r="V785" s="31"/>
    </row>
    <row r="786">
      <c r="A786" s="14" t="s">
        <v>736</v>
      </c>
      <c r="B786" s="351" t="s">
        <v>3282</v>
      </c>
      <c r="C786" s="50" t="s">
        <v>1183</v>
      </c>
      <c r="D786" s="50" t="s">
        <v>40</v>
      </c>
      <c r="E786" s="348" t="str">
        <f t="shared" si="740"/>
        <v>junio 2026</v>
      </c>
      <c r="F786" s="349">
        <v>46185.0</v>
      </c>
      <c r="G786" s="24">
        <f t="shared" ref="G786:H786" si="792">F786</f>
        <v>46185</v>
      </c>
      <c r="H786" s="26">
        <f t="shared" si="792"/>
        <v>46185</v>
      </c>
      <c r="I786" s="50" t="s">
        <v>90</v>
      </c>
      <c r="K786" s="27"/>
      <c r="L786" s="29" t="s">
        <v>3085</v>
      </c>
      <c r="M786" s="31"/>
      <c r="N786" s="14" t="s">
        <v>84</v>
      </c>
      <c r="O786" s="31"/>
      <c r="Q786" s="36"/>
      <c r="R786" s="36"/>
      <c r="S786" s="36"/>
      <c r="T786" s="36"/>
      <c r="V786" s="31"/>
    </row>
    <row r="787">
      <c r="A787" s="14" t="s">
        <v>736</v>
      </c>
      <c r="B787" s="351" t="s">
        <v>3283</v>
      </c>
      <c r="C787" s="50" t="s">
        <v>1185</v>
      </c>
      <c r="D787" s="50" t="s">
        <v>40</v>
      </c>
      <c r="E787" s="348" t="str">
        <f t="shared" si="740"/>
        <v>mayo 2026</v>
      </c>
      <c r="F787" s="349">
        <v>46155.0</v>
      </c>
      <c r="G787" s="24">
        <f t="shared" ref="G787:H787" si="793">F787</f>
        <v>46155</v>
      </c>
      <c r="H787" s="26">
        <f t="shared" si="793"/>
        <v>46155</v>
      </c>
      <c r="I787" s="50" t="s">
        <v>90</v>
      </c>
      <c r="K787" s="27"/>
      <c r="L787" s="29" t="s">
        <v>3085</v>
      </c>
      <c r="M787" s="31"/>
      <c r="N787" s="14" t="s">
        <v>84</v>
      </c>
      <c r="O787" s="31"/>
      <c r="Q787" s="36"/>
      <c r="R787" s="36"/>
      <c r="S787" s="36"/>
      <c r="T787" s="36"/>
      <c r="V787" s="31"/>
    </row>
    <row r="788">
      <c r="A788" s="14" t="s">
        <v>736</v>
      </c>
      <c r="B788" s="351" t="s">
        <v>3285</v>
      </c>
      <c r="C788" s="50" t="s">
        <v>1186</v>
      </c>
      <c r="D788" s="50" t="s">
        <v>40</v>
      </c>
      <c r="E788" s="348" t="str">
        <f t="shared" si="740"/>
        <v>mayo 2026</v>
      </c>
      <c r="F788" s="349">
        <v>46164.0</v>
      </c>
      <c r="G788" s="24">
        <f t="shared" ref="G788:H788" si="794">F788</f>
        <v>46164</v>
      </c>
      <c r="H788" s="26">
        <f t="shared" si="794"/>
        <v>46164</v>
      </c>
      <c r="I788" s="50" t="s">
        <v>90</v>
      </c>
      <c r="K788" s="27"/>
      <c r="L788" s="29" t="s">
        <v>3085</v>
      </c>
      <c r="M788" s="31"/>
      <c r="N788" s="14" t="s">
        <v>84</v>
      </c>
      <c r="O788" s="31"/>
      <c r="Q788" s="36"/>
      <c r="R788" s="36"/>
      <c r="S788" s="36"/>
      <c r="T788" s="36"/>
      <c r="V788" s="31"/>
    </row>
    <row r="789">
      <c r="A789" s="14" t="s">
        <v>736</v>
      </c>
      <c r="B789" s="351" t="s">
        <v>3286</v>
      </c>
      <c r="C789" s="50" t="s">
        <v>1187</v>
      </c>
      <c r="D789" s="50" t="s">
        <v>40</v>
      </c>
      <c r="E789" s="348" t="str">
        <f t="shared" si="740"/>
        <v>mayo 2026</v>
      </c>
      <c r="F789" s="349">
        <v>46155.0</v>
      </c>
      <c r="G789" s="24">
        <f t="shared" ref="G789:H789" si="795">F789</f>
        <v>46155</v>
      </c>
      <c r="H789" s="26">
        <f t="shared" si="795"/>
        <v>46155</v>
      </c>
      <c r="I789" s="50" t="s">
        <v>90</v>
      </c>
      <c r="K789" s="27"/>
      <c r="L789" s="29" t="s">
        <v>3085</v>
      </c>
      <c r="M789" s="31"/>
      <c r="N789" s="14" t="s">
        <v>84</v>
      </c>
      <c r="O789" s="31"/>
      <c r="Q789" s="36"/>
      <c r="R789" s="36"/>
      <c r="S789" s="36"/>
      <c r="T789" s="36"/>
      <c r="V789" s="31"/>
    </row>
    <row r="790">
      <c r="A790" s="14" t="s">
        <v>736</v>
      </c>
      <c r="B790" s="351" t="s">
        <v>3287</v>
      </c>
      <c r="C790" s="50" t="s">
        <v>1188</v>
      </c>
      <c r="D790" s="50" t="s">
        <v>40</v>
      </c>
      <c r="E790" s="348" t="str">
        <f t="shared" si="740"/>
        <v>mayo 2026</v>
      </c>
      <c r="F790" s="349">
        <v>46155.0</v>
      </c>
      <c r="G790" s="24">
        <f t="shared" ref="G790:H790" si="796">F790</f>
        <v>46155</v>
      </c>
      <c r="H790" s="26">
        <f t="shared" si="796"/>
        <v>46155</v>
      </c>
      <c r="I790" s="50" t="s">
        <v>90</v>
      </c>
      <c r="K790" s="27"/>
      <c r="L790" s="29" t="s">
        <v>3085</v>
      </c>
      <c r="M790" s="31"/>
      <c r="N790" s="14" t="s">
        <v>84</v>
      </c>
      <c r="O790" s="31"/>
      <c r="Q790" s="36"/>
      <c r="R790" s="36"/>
      <c r="S790" s="36"/>
      <c r="T790" s="36"/>
      <c r="V790" s="31"/>
    </row>
    <row r="791">
      <c r="A791" s="14" t="s">
        <v>736</v>
      </c>
      <c r="B791" s="351" t="s">
        <v>3289</v>
      </c>
      <c r="C791" s="50" t="s">
        <v>1189</v>
      </c>
      <c r="D791" s="50" t="s">
        <v>40</v>
      </c>
      <c r="E791" s="348" t="str">
        <f t="shared" si="740"/>
        <v>mayo 2026</v>
      </c>
      <c r="F791" s="349">
        <v>46155.0</v>
      </c>
      <c r="G791" s="24">
        <f t="shared" ref="G791:H791" si="797">F791</f>
        <v>46155</v>
      </c>
      <c r="H791" s="26">
        <f t="shared" si="797"/>
        <v>46155</v>
      </c>
      <c r="I791" s="50" t="s">
        <v>90</v>
      </c>
      <c r="K791" s="435"/>
      <c r="L791" s="29" t="s">
        <v>3085</v>
      </c>
      <c r="M791" s="31"/>
      <c r="N791" s="14" t="s">
        <v>84</v>
      </c>
      <c r="O791" s="31"/>
      <c r="Q791" s="36"/>
      <c r="R791" s="36"/>
      <c r="S791" s="36"/>
      <c r="T791" s="36"/>
      <c r="V791" s="31"/>
    </row>
    <row r="792">
      <c r="A792" s="14" t="s">
        <v>736</v>
      </c>
      <c r="B792" s="351" t="s">
        <v>3290</v>
      </c>
      <c r="C792" s="50" t="s">
        <v>1192</v>
      </c>
      <c r="D792" s="50" t="s">
        <v>40</v>
      </c>
      <c r="E792" s="348" t="str">
        <f t="shared" si="740"/>
        <v>mayo 2026</v>
      </c>
      <c r="F792" s="349">
        <v>46171.0</v>
      </c>
      <c r="G792" s="24">
        <f t="shared" ref="G792:H792" si="798">F792</f>
        <v>46171</v>
      </c>
      <c r="H792" s="26">
        <f t="shared" si="798"/>
        <v>46171</v>
      </c>
      <c r="I792" s="50" t="s">
        <v>90</v>
      </c>
      <c r="K792" s="436"/>
      <c r="L792" s="29" t="s">
        <v>3085</v>
      </c>
      <c r="M792" s="31"/>
      <c r="N792" s="14" t="s">
        <v>84</v>
      </c>
      <c r="O792" s="31"/>
      <c r="Q792" s="36"/>
      <c r="R792" s="36"/>
      <c r="S792" s="36"/>
      <c r="T792" s="36"/>
      <c r="V792" s="31"/>
    </row>
    <row r="793">
      <c r="A793" s="14" t="s">
        <v>736</v>
      </c>
      <c r="B793" s="351" t="s">
        <v>3292</v>
      </c>
      <c r="C793" s="50" t="s">
        <v>1194</v>
      </c>
      <c r="D793" s="50" t="s">
        <v>40</v>
      </c>
      <c r="E793" s="348" t="str">
        <f t="shared" si="740"/>
        <v>junio 2026</v>
      </c>
      <c r="F793" s="349">
        <v>46185.0</v>
      </c>
      <c r="G793" s="24">
        <f t="shared" ref="G793:H793" si="799">F793</f>
        <v>46185</v>
      </c>
      <c r="H793" s="26">
        <f t="shared" si="799"/>
        <v>46185</v>
      </c>
      <c r="I793" s="50" t="s">
        <v>90</v>
      </c>
      <c r="K793" s="435"/>
      <c r="L793" s="29" t="s">
        <v>3085</v>
      </c>
      <c r="M793" s="31"/>
      <c r="N793" s="14" t="s">
        <v>84</v>
      </c>
      <c r="O793" s="31"/>
      <c r="Q793" s="36"/>
      <c r="R793" s="36"/>
      <c r="S793" s="36"/>
      <c r="T793" s="36"/>
      <c r="V793" s="31"/>
    </row>
    <row r="794">
      <c r="A794" s="14" t="s">
        <v>736</v>
      </c>
      <c r="B794" s="351" t="s">
        <v>3293</v>
      </c>
      <c r="C794" s="50" t="s">
        <v>1201</v>
      </c>
      <c r="D794" s="50" t="s">
        <v>40</v>
      </c>
      <c r="E794" s="348" t="str">
        <f t="shared" si="740"/>
        <v>mayo 2026</v>
      </c>
      <c r="F794" s="349">
        <v>46158.0</v>
      </c>
      <c r="G794" s="24">
        <f t="shared" ref="G794:H794" si="800">F794</f>
        <v>46158</v>
      </c>
      <c r="H794" s="26">
        <f t="shared" si="800"/>
        <v>46158</v>
      </c>
      <c r="I794" s="50" t="s">
        <v>90</v>
      </c>
      <c r="K794" s="436"/>
      <c r="L794" s="29" t="s">
        <v>3085</v>
      </c>
      <c r="M794" s="31"/>
      <c r="N794" s="14" t="s">
        <v>84</v>
      </c>
      <c r="O794" s="31"/>
      <c r="Q794" s="36"/>
      <c r="R794" s="36"/>
      <c r="S794" s="36"/>
      <c r="T794" s="36"/>
      <c r="V794" s="31"/>
    </row>
    <row r="795">
      <c r="A795" s="14" t="s">
        <v>736</v>
      </c>
      <c r="B795" s="351" t="s">
        <v>3294</v>
      </c>
      <c r="C795" s="50" t="s">
        <v>1202</v>
      </c>
      <c r="D795" s="50" t="s">
        <v>40</v>
      </c>
      <c r="E795" s="348" t="str">
        <f t="shared" si="740"/>
        <v>mayo 2026</v>
      </c>
      <c r="F795" s="349">
        <v>46158.0</v>
      </c>
      <c r="G795" s="24">
        <f t="shared" ref="G795:H795" si="801">F795</f>
        <v>46158</v>
      </c>
      <c r="H795" s="26">
        <f t="shared" si="801"/>
        <v>46158</v>
      </c>
      <c r="I795" s="50" t="s">
        <v>90</v>
      </c>
      <c r="K795" s="435"/>
      <c r="L795" s="29" t="s">
        <v>3085</v>
      </c>
      <c r="M795" s="31"/>
      <c r="N795" s="14" t="s">
        <v>84</v>
      </c>
      <c r="O795" s="31"/>
      <c r="Q795" s="36"/>
      <c r="R795" s="36"/>
      <c r="S795" s="36"/>
      <c r="T795" s="36"/>
      <c r="V795" s="31"/>
    </row>
    <row r="796">
      <c r="A796" s="14" t="s">
        <v>736</v>
      </c>
      <c r="B796" s="351" t="s">
        <v>3295</v>
      </c>
      <c r="C796" s="50" t="s">
        <v>1204</v>
      </c>
      <c r="D796" s="50" t="s">
        <v>40</v>
      </c>
      <c r="E796" s="348" t="str">
        <f t="shared" si="740"/>
        <v>mayo 2026</v>
      </c>
      <c r="F796" s="349">
        <v>46158.0</v>
      </c>
      <c r="G796" s="24">
        <f t="shared" ref="G796:H796" si="802">F796</f>
        <v>46158</v>
      </c>
      <c r="H796" s="26">
        <f t="shared" si="802"/>
        <v>46158</v>
      </c>
      <c r="I796" s="50" t="s">
        <v>90</v>
      </c>
      <c r="K796" s="436"/>
      <c r="L796" s="29" t="s">
        <v>3085</v>
      </c>
      <c r="M796" s="31"/>
      <c r="N796" s="14" t="s">
        <v>84</v>
      </c>
      <c r="O796" s="31"/>
      <c r="Q796" s="36"/>
      <c r="R796" s="36"/>
      <c r="S796" s="36"/>
      <c r="T796" s="36"/>
      <c r="V796" s="31"/>
    </row>
    <row r="797">
      <c r="A797" s="14" t="s">
        <v>736</v>
      </c>
      <c r="B797" s="351" t="s">
        <v>3296</v>
      </c>
      <c r="C797" s="50" t="s">
        <v>1206</v>
      </c>
      <c r="D797" s="50" t="s">
        <v>40</v>
      </c>
      <c r="E797" s="348" t="str">
        <f t="shared" si="740"/>
        <v>mayo 2026</v>
      </c>
      <c r="F797" s="349">
        <v>46158.0</v>
      </c>
      <c r="G797" s="24">
        <f t="shared" ref="G797:H797" si="803">F797</f>
        <v>46158</v>
      </c>
      <c r="H797" s="26">
        <f t="shared" si="803"/>
        <v>46158</v>
      </c>
      <c r="I797" s="50" t="s">
        <v>90</v>
      </c>
      <c r="K797" s="435"/>
      <c r="L797" s="29" t="s">
        <v>3085</v>
      </c>
      <c r="M797" s="31"/>
      <c r="N797" s="14" t="s">
        <v>84</v>
      </c>
      <c r="O797" s="31"/>
      <c r="Q797" s="36"/>
      <c r="R797" s="36"/>
      <c r="S797" s="36"/>
      <c r="T797" s="36"/>
      <c r="V797" s="31"/>
    </row>
    <row r="798">
      <c r="A798" s="14" t="s">
        <v>736</v>
      </c>
      <c r="B798" s="351" t="s">
        <v>3297</v>
      </c>
      <c r="C798" s="50" t="s">
        <v>1208</v>
      </c>
      <c r="D798" s="50" t="s">
        <v>40</v>
      </c>
      <c r="E798" s="348" t="str">
        <f t="shared" si="740"/>
        <v>mayo 2026</v>
      </c>
      <c r="F798" s="349">
        <v>46159.0</v>
      </c>
      <c r="G798" s="24">
        <f t="shared" ref="G798:H798" si="804">F798</f>
        <v>46159</v>
      </c>
      <c r="H798" s="26">
        <f t="shared" si="804"/>
        <v>46159</v>
      </c>
      <c r="I798" s="50" t="s">
        <v>90</v>
      </c>
      <c r="K798" s="436"/>
      <c r="L798" s="29" t="s">
        <v>3085</v>
      </c>
      <c r="M798" s="31"/>
      <c r="N798" s="14" t="s">
        <v>84</v>
      </c>
      <c r="O798" s="31"/>
      <c r="Q798" s="36"/>
      <c r="R798" s="36"/>
      <c r="S798" s="36"/>
      <c r="T798" s="36"/>
      <c r="V798" s="31"/>
    </row>
    <row r="799">
      <c r="A799" s="14" t="s">
        <v>736</v>
      </c>
      <c r="B799" s="351" t="s">
        <v>3298</v>
      </c>
      <c r="C799" s="50" t="s">
        <v>1209</v>
      </c>
      <c r="D799" s="50" t="s">
        <v>40</v>
      </c>
      <c r="E799" s="348" t="str">
        <f t="shared" si="740"/>
        <v>mayo 2026</v>
      </c>
      <c r="F799" s="349">
        <v>46158.0</v>
      </c>
      <c r="G799" s="24">
        <f t="shared" ref="G799:H799" si="805">F799</f>
        <v>46158</v>
      </c>
      <c r="H799" s="26">
        <f t="shared" si="805"/>
        <v>46158</v>
      </c>
      <c r="I799" s="50" t="s">
        <v>90</v>
      </c>
      <c r="K799" s="435"/>
      <c r="L799" s="29" t="s">
        <v>3085</v>
      </c>
      <c r="M799" s="31"/>
      <c r="N799" s="14" t="s">
        <v>84</v>
      </c>
      <c r="O799" s="31"/>
      <c r="Q799" s="36"/>
      <c r="R799" s="36"/>
      <c r="S799" s="36"/>
      <c r="T799" s="36"/>
      <c r="V799" s="31"/>
    </row>
    <row r="800">
      <c r="A800" s="14" t="s">
        <v>736</v>
      </c>
      <c r="B800" s="351" t="s">
        <v>3299</v>
      </c>
      <c r="C800" s="50" t="s">
        <v>1211</v>
      </c>
      <c r="D800" s="50" t="s">
        <v>40</v>
      </c>
      <c r="E800" s="348" t="str">
        <f t="shared" si="740"/>
        <v>mayo 2026</v>
      </c>
      <c r="F800" s="349">
        <v>46158.0</v>
      </c>
      <c r="G800" s="24">
        <f t="shared" ref="G800:H800" si="806">F800</f>
        <v>46158</v>
      </c>
      <c r="H800" s="26">
        <f t="shared" si="806"/>
        <v>46158</v>
      </c>
      <c r="I800" s="50" t="s">
        <v>90</v>
      </c>
      <c r="K800" s="436"/>
      <c r="L800" s="29" t="s">
        <v>3085</v>
      </c>
      <c r="M800" s="31"/>
      <c r="N800" s="14" t="s">
        <v>84</v>
      </c>
      <c r="O800" s="31"/>
      <c r="Q800" s="36"/>
      <c r="R800" s="36"/>
      <c r="S800" s="36"/>
      <c r="T800" s="36"/>
      <c r="V800" s="31"/>
    </row>
    <row r="801">
      <c r="A801" s="14" t="s">
        <v>736</v>
      </c>
      <c r="B801" s="351" t="s">
        <v>3300</v>
      </c>
      <c r="C801" s="50" t="s">
        <v>1212</v>
      </c>
      <c r="D801" s="50" t="s">
        <v>40</v>
      </c>
      <c r="E801" s="348" t="str">
        <f t="shared" si="740"/>
        <v>mayo 2026</v>
      </c>
      <c r="F801" s="349">
        <v>46170.0</v>
      </c>
      <c r="G801" s="24">
        <f t="shared" ref="G801:H801" si="807">F801</f>
        <v>46170</v>
      </c>
      <c r="H801" s="26">
        <f t="shared" si="807"/>
        <v>46170</v>
      </c>
      <c r="I801" s="50" t="s">
        <v>90</v>
      </c>
      <c r="K801" s="435"/>
      <c r="L801" s="29" t="s">
        <v>3085</v>
      </c>
      <c r="M801" s="31"/>
      <c r="N801" s="14" t="s">
        <v>84</v>
      </c>
      <c r="O801" s="31"/>
      <c r="Q801" s="36"/>
      <c r="R801" s="36"/>
      <c r="S801" s="36"/>
      <c r="T801" s="36"/>
      <c r="V801" s="31"/>
    </row>
    <row r="802">
      <c r="A802" s="14" t="s">
        <v>736</v>
      </c>
      <c r="B802" s="351" t="s">
        <v>3301</v>
      </c>
      <c r="C802" s="50" t="s">
        <v>1216</v>
      </c>
      <c r="D802" s="50" t="s">
        <v>40</v>
      </c>
      <c r="E802" s="348" t="str">
        <f t="shared" si="740"/>
        <v>junio 2026</v>
      </c>
      <c r="F802" s="349">
        <v>46199.0</v>
      </c>
      <c r="G802" s="24">
        <f t="shared" ref="G802:H802" si="808">F802</f>
        <v>46199</v>
      </c>
      <c r="H802" s="26">
        <f t="shared" si="808"/>
        <v>46199</v>
      </c>
      <c r="I802" s="50" t="s">
        <v>90</v>
      </c>
      <c r="K802" s="436"/>
      <c r="L802" s="29" t="s">
        <v>3085</v>
      </c>
      <c r="M802" s="31"/>
      <c r="N802" s="14" t="s">
        <v>84</v>
      </c>
      <c r="O802" s="31"/>
      <c r="Q802" s="36"/>
      <c r="R802" s="36"/>
      <c r="S802" s="36"/>
      <c r="T802" s="36"/>
      <c r="V802" s="31"/>
    </row>
    <row r="803">
      <c r="A803" s="14" t="s">
        <v>736</v>
      </c>
      <c r="B803" s="351" t="s">
        <v>3302</v>
      </c>
      <c r="C803" s="50" t="s">
        <v>1218</v>
      </c>
      <c r="D803" s="50" t="s">
        <v>40</v>
      </c>
      <c r="E803" s="348" t="str">
        <f t="shared" si="740"/>
        <v>junio 2026</v>
      </c>
      <c r="F803" s="349">
        <v>46191.0</v>
      </c>
      <c r="G803" s="24">
        <f t="shared" ref="G803:H803" si="809">F803</f>
        <v>46191</v>
      </c>
      <c r="H803" s="26">
        <f t="shared" si="809"/>
        <v>46191</v>
      </c>
      <c r="I803" s="50" t="s">
        <v>90</v>
      </c>
      <c r="K803" s="435"/>
      <c r="L803" s="29" t="s">
        <v>3085</v>
      </c>
      <c r="M803" s="31"/>
      <c r="N803" s="14" t="s">
        <v>84</v>
      </c>
      <c r="O803" s="31"/>
      <c r="Q803" s="36"/>
      <c r="R803" s="36"/>
      <c r="S803" s="36"/>
      <c r="T803" s="36"/>
      <c r="V803" s="31"/>
    </row>
    <row r="804">
      <c r="A804" s="14" t="s">
        <v>736</v>
      </c>
      <c r="B804" s="351" t="s">
        <v>3303</v>
      </c>
      <c r="C804" s="50" t="s">
        <v>1221</v>
      </c>
      <c r="D804" s="50" t="s">
        <v>40</v>
      </c>
      <c r="E804" s="348" t="str">
        <f t="shared" si="740"/>
        <v>junio 2026</v>
      </c>
      <c r="F804" s="349">
        <v>46191.0</v>
      </c>
      <c r="G804" s="24">
        <f t="shared" ref="G804:H804" si="810">F804</f>
        <v>46191</v>
      </c>
      <c r="H804" s="26">
        <f t="shared" si="810"/>
        <v>46191</v>
      </c>
      <c r="I804" s="50" t="s">
        <v>90</v>
      </c>
      <c r="K804" s="436"/>
      <c r="L804" s="29" t="s">
        <v>3085</v>
      </c>
      <c r="M804" s="31"/>
      <c r="N804" s="14" t="s">
        <v>84</v>
      </c>
      <c r="O804" s="31"/>
      <c r="Q804" s="36"/>
      <c r="R804" s="36"/>
      <c r="S804" s="36"/>
      <c r="T804" s="36"/>
      <c r="V804" s="31"/>
    </row>
    <row r="805">
      <c r="A805" s="14" t="s">
        <v>736</v>
      </c>
      <c r="B805" s="351" t="s">
        <v>3304</v>
      </c>
      <c r="C805" s="50" t="s">
        <v>1225</v>
      </c>
      <c r="D805" s="50" t="s">
        <v>40</v>
      </c>
      <c r="E805" s="348" t="str">
        <f t="shared" si="740"/>
        <v>junio 2026</v>
      </c>
      <c r="F805" s="349">
        <v>46174.0</v>
      </c>
      <c r="G805" s="24">
        <f t="shared" ref="G805:H805" si="811">F805</f>
        <v>46174</v>
      </c>
      <c r="H805" s="26">
        <f t="shared" si="811"/>
        <v>46174</v>
      </c>
      <c r="I805" s="50" t="s">
        <v>90</v>
      </c>
      <c r="K805" s="435"/>
      <c r="L805" s="29" t="s">
        <v>3085</v>
      </c>
      <c r="M805" s="31"/>
      <c r="N805" s="14" t="s">
        <v>84</v>
      </c>
      <c r="O805" s="31"/>
      <c r="Q805" s="36"/>
      <c r="R805" s="36"/>
      <c r="S805" s="36"/>
      <c r="T805" s="36"/>
      <c r="V805" s="31"/>
    </row>
    <row r="806">
      <c r="A806" s="14" t="s">
        <v>736</v>
      </c>
      <c r="B806" s="351" t="s">
        <v>3305</v>
      </c>
      <c r="C806" s="50" t="s">
        <v>1228</v>
      </c>
      <c r="D806" s="50" t="s">
        <v>40</v>
      </c>
      <c r="E806" s="348" t="str">
        <f t="shared" si="740"/>
        <v>junio 2026</v>
      </c>
      <c r="F806" s="349">
        <v>46185.0</v>
      </c>
      <c r="G806" s="24">
        <f t="shared" ref="G806:H806" si="812">F806</f>
        <v>46185</v>
      </c>
      <c r="H806" s="26">
        <f t="shared" si="812"/>
        <v>46185</v>
      </c>
      <c r="I806" s="50" t="s">
        <v>90</v>
      </c>
      <c r="K806" s="436"/>
      <c r="L806" s="29" t="s">
        <v>3085</v>
      </c>
      <c r="M806" s="31"/>
      <c r="N806" s="14" t="s">
        <v>84</v>
      </c>
      <c r="O806" s="31"/>
      <c r="Q806" s="36"/>
      <c r="R806" s="36"/>
      <c r="S806" s="36"/>
      <c r="T806" s="36"/>
      <c r="V806" s="31"/>
    </row>
    <row r="807">
      <c r="A807" s="14" t="s">
        <v>736</v>
      </c>
      <c r="B807" s="351" t="s">
        <v>3306</v>
      </c>
      <c r="C807" s="50" t="s">
        <v>1231</v>
      </c>
      <c r="D807" s="50" t="s">
        <v>40</v>
      </c>
      <c r="E807" s="348" t="str">
        <f t="shared" si="740"/>
        <v>mayo 2026</v>
      </c>
      <c r="F807" s="349">
        <v>46172.0</v>
      </c>
      <c r="G807" s="24">
        <f t="shared" ref="G807:H807" si="813">F807</f>
        <v>46172</v>
      </c>
      <c r="H807" s="26">
        <f t="shared" si="813"/>
        <v>46172</v>
      </c>
      <c r="I807" s="50" t="s">
        <v>90</v>
      </c>
      <c r="K807" s="27"/>
      <c r="L807" s="29" t="s">
        <v>3085</v>
      </c>
      <c r="M807" s="31"/>
      <c r="N807" s="14" t="s">
        <v>84</v>
      </c>
      <c r="O807" s="31"/>
      <c r="Q807" s="36"/>
      <c r="R807" s="36"/>
      <c r="S807" s="36"/>
      <c r="T807" s="36"/>
      <c r="V807" s="31"/>
    </row>
    <row r="808">
      <c r="A808" s="14" t="s">
        <v>736</v>
      </c>
      <c r="B808" s="351" t="s">
        <v>3307</v>
      </c>
      <c r="C808" s="50" t="s">
        <v>1233</v>
      </c>
      <c r="D808" s="50" t="s">
        <v>40</v>
      </c>
      <c r="E808" s="348" t="str">
        <f t="shared" si="740"/>
        <v>junio 2026</v>
      </c>
      <c r="F808" s="349">
        <v>46185.0</v>
      </c>
      <c r="G808" s="24">
        <f t="shared" ref="G808:H808" si="814">F808</f>
        <v>46185</v>
      </c>
      <c r="H808" s="26">
        <f t="shared" si="814"/>
        <v>46185</v>
      </c>
      <c r="I808" s="50" t="s">
        <v>90</v>
      </c>
      <c r="K808" s="27"/>
      <c r="L808" s="29" t="s">
        <v>3085</v>
      </c>
      <c r="M808" s="31"/>
      <c r="N808" s="14" t="s">
        <v>84</v>
      </c>
      <c r="O808" s="31"/>
      <c r="Q808" s="36"/>
      <c r="R808" s="36"/>
      <c r="S808" s="36"/>
      <c r="T808" s="36"/>
      <c r="V808" s="31"/>
    </row>
    <row r="809">
      <c r="A809" s="34" t="s">
        <v>117</v>
      </c>
      <c r="B809" s="437"/>
      <c r="C809" s="438" t="s">
        <v>2589</v>
      </c>
      <c r="D809" s="438" t="s">
        <v>40</v>
      </c>
      <c r="E809" s="380" t="str">
        <f t="shared" si="740"/>
        <v>diciembre 1899</v>
      </c>
      <c r="F809" s="381"/>
      <c r="G809" s="24" t="str">
        <f t="shared" ref="G809:H809" si="815">F809</f>
        <v/>
      </c>
      <c r="H809" s="26" t="str">
        <f t="shared" si="815"/>
        <v/>
      </c>
      <c r="I809" s="14" t="s">
        <v>1596</v>
      </c>
      <c r="K809" s="27">
        <v>2.7E8</v>
      </c>
      <c r="L809" s="78"/>
      <c r="M809" s="31"/>
      <c r="N809" s="31"/>
      <c r="O809" s="31"/>
      <c r="Q809" s="36"/>
      <c r="R809" s="36"/>
      <c r="S809" s="36"/>
      <c r="T809" s="36"/>
      <c r="V809" s="31"/>
    </row>
    <row r="810">
      <c r="A810" s="34" t="s">
        <v>117</v>
      </c>
      <c r="B810" s="437"/>
      <c r="C810" s="439" t="s">
        <v>3308</v>
      </c>
      <c r="D810" s="201"/>
      <c r="E810" s="383" t="str">
        <f t="shared" si="740"/>
        <v>mayo 2026</v>
      </c>
      <c r="F810" s="386">
        <v>46146.0</v>
      </c>
      <c r="G810" s="24">
        <f t="shared" ref="G810:H810" si="816">F810</f>
        <v>46146</v>
      </c>
      <c r="H810" s="26">
        <f t="shared" si="816"/>
        <v>46146</v>
      </c>
      <c r="I810" s="14" t="s">
        <v>90</v>
      </c>
      <c r="K810" s="27">
        <v>1.0E9</v>
      </c>
      <c r="L810" s="78"/>
      <c r="M810" s="31"/>
      <c r="N810" s="31"/>
      <c r="O810" s="31"/>
      <c r="Q810" s="36"/>
      <c r="R810" s="36"/>
      <c r="S810" s="36"/>
      <c r="T810" s="36"/>
      <c r="V810" s="31"/>
    </row>
    <row r="811">
      <c r="A811" s="14" t="s">
        <v>736</v>
      </c>
      <c r="B811" s="351" t="s">
        <v>3310</v>
      </c>
      <c r="C811" s="50" t="s">
        <v>1237</v>
      </c>
      <c r="D811" s="50" t="s">
        <v>40</v>
      </c>
      <c r="E811" s="348" t="str">
        <f t="shared" si="740"/>
        <v>mayo 2026</v>
      </c>
      <c r="F811" s="349">
        <v>46170.0</v>
      </c>
      <c r="G811" s="24">
        <f t="shared" ref="G811:H811" si="817">F811</f>
        <v>46170</v>
      </c>
      <c r="H811" s="26">
        <f t="shared" si="817"/>
        <v>46170</v>
      </c>
      <c r="I811" s="50" t="s">
        <v>90</v>
      </c>
      <c r="K811" s="435"/>
      <c r="L811" s="29" t="s">
        <v>3085</v>
      </c>
      <c r="M811" s="31"/>
      <c r="N811" s="14" t="s">
        <v>84</v>
      </c>
      <c r="O811" s="31"/>
      <c r="Q811" s="36"/>
      <c r="R811" s="36"/>
      <c r="S811" s="36"/>
      <c r="T811" s="36"/>
      <c r="V811" s="31"/>
    </row>
    <row r="812">
      <c r="A812" s="14" t="s">
        <v>736</v>
      </c>
      <c r="B812" s="351" t="s">
        <v>3311</v>
      </c>
      <c r="C812" s="50" t="s">
        <v>1239</v>
      </c>
      <c r="D812" s="50" t="s">
        <v>40</v>
      </c>
      <c r="E812" s="348" t="str">
        <f t="shared" si="740"/>
        <v>mayo 2026</v>
      </c>
      <c r="F812" s="349">
        <v>46164.0</v>
      </c>
      <c r="G812" s="24">
        <f t="shared" ref="G812:H812" si="818">F812</f>
        <v>46164</v>
      </c>
      <c r="H812" s="26">
        <f t="shared" si="818"/>
        <v>46164</v>
      </c>
      <c r="I812" s="50" t="s">
        <v>90</v>
      </c>
      <c r="K812" s="436"/>
      <c r="L812" s="29" t="s">
        <v>3085</v>
      </c>
      <c r="M812" s="31"/>
      <c r="N812" s="14" t="s">
        <v>84</v>
      </c>
      <c r="O812" s="31"/>
      <c r="Q812" s="36"/>
      <c r="R812" s="36"/>
      <c r="S812" s="36"/>
      <c r="T812" s="36"/>
      <c r="V812" s="31"/>
    </row>
    <row r="813">
      <c r="A813" s="14" t="s">
        <v>736</v>
      </c>
      <c r="B813" s="351" t="s">
        <v>3312</v>
      </c>
      <c r="C813" s="50" t="s">
        <v>1241</v>
      </c>
      <c r="D813" s="50" t="s">
        <v>40</v>
      </c>
      <c r="E813" s="348" t="str">
        <f t="shared" si="740"/>
        <v>mayo 2026</v>
      </c>
      <c r="F813" s="349">
        <v>46172.0</v>
      </c>
      <c r="G813" s="24">
        <f t="shared" ref="G813:H813" si="819">F813</f>
        <v>46172</v>
      </c>
      <c r="H813" s="26">
        <f t="shared" si="819"/>
        <v>46172</v>
      </c>
      <c r="I813" s="50" t="s">
        <v>90</v>
      </c>
      <c r="K813" s="435"/>
      <c r="L813" s="29" t="s">
        <v>3085</v>
      </c>
      <c r="M813" s="31"/>
      <c r="N813" s="14" t="s">
        <v>84</v>
      </c>
      <c r="O813" s="31"/>
      <c r="Q813" s="36"/>
      <c r="R813" s="36"/>
      <c r="S813" s="36"/>
      <c r="T813" s="36"/>
      <c r="V813" s="31"/>
    </row>
    <row r="814">
      <c r="A814" s="14" t="s">
        <v>736</v>
      </c>
      <c r="B814" s="351" t="s">
        <v>3313</v>
      </c>
      <c r="C814" s="50" t="s">
        <v>1243</v>
      </c>
      <c r="D814" s="50" t="s">
        <v>40</v>
      </c>
      <c r="E814" s="348" t="str">
        <f t="shared" si="740"/>
        <v>julio 2026</v>
      </c>
      <c r="F814" s="349">
        <v>46213.0</v>
      </c>
      <c r="G814" s="24">
        <f t="shared" ref="G814:H814" si="820">F814</f>
        <v>46213</v>
      </c>
      <c r="H814" s="26">
        <f t="shared" si="820"/>
        <v>46213</v>
      </c>
      <c r="I814" s="50" t="s">
        <v>90</v>
      </c>
      <c r="K814" s="436"/>
      <c r="L814" s="29" t="s">
        <v>3085</v>
      </c>
      <c r="M814" s="31"/>
      <c r="N814" s="14" t="s">
        <v>84</v>
      </c>
      <c r="O814" s="31"/>
      <c r="Q814" s="36"/>
      <c r="R814" s="36"/>
      <c r="S814" s="36"/>
      <c r="T814" s="36"/>
      <c r="V814" s="31"/>
    </row>
    <row r="815">
      <c r="A815" s="14" t="s">
        <v>736</v>
      </c>
      <c r="B815" s="351" t="s">
        <v>3314</v>
      </c>
      <c r="C815" s="50" t="s">
        <v>1246</v>
      </c>
      <c r="D815" s="50" t="s">
        <v>40</v>
      </c>
      <c r="E815" s="348" t="str">
        <f t="shared" si="740"/>
        <v>diciembre 1899</v>
      </c>
      <c r="F815" s="349"/>
      <c r="G815" s="24" t="str">
        <f t="shared" ref="G815:H815" si="821">F815</f>
        <v/>
      </c>
      <c r="H815" s="26" t="str">
        <f t="shared" si="821"/>
        <v/>
      </c>
      <c r="I815" s="50" t="s">
        <v>90</v>
      </c>
      <c r="K815" s="435"/>
      <c r="L815" s="29" t="s">
        <v>3085</v>
      </c>
      <c r="M815" s="31"/>
      <c r="N815" s="14" t="s">
        <v>84</v>
      </c>
      <c r="O815" s="31"/>
      <c r="Q815" s="36"/>
      <c r="R815" s="36"/>
      <c r="S815" s="36"/>
      <c r="T815" s="36"/>
      <c r="V815" s="31"/>
    </row>
    <row r="816">
      <c r="A816" s="14" t="s">
        <v>736</v>
      </c>
      <c r="B816" s="351" t="s">
        <v>3315</v>
      </c>
      <c r="C816" s="50" t="s">
        <v>1247</v>
      </c>
      <c r="D816" s="50" t="s">
        <v>40</v>
      </c>
      <c r="E816" s="348" t="str">
        <f t="shared" si="740"/>
        <v>mayo 2026</v>
      </c>
      <c r="F816" s="349">
        <v>46170.0</v>
      </c>
      <c r="G816" s="24">
        <f t="shared" ref="G816:H816" si="822">F816</f>
        <v>46170</v>
      </c>
      <c r="H816" s="26">
        <f t="shared" si="822"/>
        <v>46170</v>
      </c>
      <c r="I816" s="50" t="s">
        <v>90</v>
      </c>
      <c r="K816" s="436"/>
      <c r="L816" s="29" t="s">
        <v>3085</v>
      </c>
      <c r="M816" s="31"/>
      <c r="N816" s="14" t="s">
        <v>84</v>
      </c>
      <c r="O816" s="31"/>
      <c r="Q816" s="36"/>
      <c r="R816" s="36"/>
      <c r="S816" s="36"/>
      <c r="T816" s="36"/>
      <c r="V816" s="31"/>
    </row>
    <row r="817">
      <c r="A817" s="14" t="s">
        <v>736</v>
      </c>
      <c r="B817" s="351" t="s">
        <v>3316</v>
      </c>
      <c r="C817" s="50" t="s">
        <v>1248</v>
      </c>
      <c r="D817" s="50" t="s">
        <v>40</v>
      </c>
      <c r="E817" s="348" t="str">
        <f t="shared" si="740"/>
        <v>junio 2026</v>
      </c>
      <c r="F817" s="349">
        <v>46189.0</v>
      </c>
      <c r="G817" s="24">
        <f t="shared" ref="G817:H817" si="823">F817</f>
        <v>46189</v>
      </c>
      <c r="H817" s="26">
        <f t="shared" si="823"/>
        <v>46189</v>
      </c>
      <c r="I817" s="50" t="s">
        <v>90</v>
      </c>
      <c r="K817" s="435"/>
      <c r="L817" s="29" t="s">
        <v>3085</v>
      </c>
      <c r="M817" s="31"/>
      <c r="N817" s="14" t="s">
        <v>84</v>
      </c>
      <c r="O817" s="31"/>
      <c r="Q817" s="36"/>
      <c r="R817" s="36"/>
      <c r="S817" s="36"/>
      <c r="T817" s="36"/>
      <c r="V817" s="31"/>
    </row>
    <row r="818">
      <c r="A818" s="14" t="s">
        <v>736</v>
      </c>
      <c r="B818" s="351" t="s">
        <v>3317</v>
      </c>
      <c r="C818" s="50" t="s">
        <v>1250</v>
      </c>
      <c r="D818" s="50" t="s">
        <v>40</v>
      </c>
      <c r="E818" s="348" t="str">
        <f t="shared" si="740"/>
        <v>mayo 2026</v>
      </c>
      <c r="F818" s="349">
        <v>46168.0</v>
      </c>
      <c r="G818" s="24">
        <f t="shared" ref="G818:H818" si="824">F818</f>
        <v>46168</v>
      </c>
      <c r="H818" s="26">
        <f t="shared" si="824"/>
        <v>46168</v>
      </c>
      <c r="I818" s="50" t="s">
        <v>90</v>
      </c>
      <c r="K818" s="436"/>
      <c r="L818" s="29" t="s">
        <v>3085</v>
      </c>
      <c r="M818" s="31"/>
      <c r="N818" s="14" t="s">
        <v>84</v>
      </c>
      <c r="O818" s="31"/>
      <c r="Q818" s="36"/>
      <c r="R818" s="36"/>
      <c r="S818" s="36"/>
      <c r="T818" s="36"/>
      <c r="V818" s="31"/>
    </row>
    <row r="819">
      <c r="A819" s="14" t="s">
        <v>736</v>
      </c>
      <c r="B819" s="351" t="s">
        <v>3318</v>
      </c>
      <c r="C819" s="50" t="s">
        <v>1251</v>
      </c>
      <c r="D819" s="50" t="s">
        <v>40</v>
      </c>
      <c r="E819" s="348" t="str">
        <f t="shared" si="740"/>
        <v>mayo 2026</v>
      </c>
      <c r="F819" s="349">
        <v>46167.0</v>
      </c>
      <c r="G819" s="24">
        <f t="shared" ref="G819:H819" si="825">F819</f>
        <v>46167</v>
      </c>
      <c r="H819" s="26">
        <f t="shared" si="825"/>
        <v>46167</v>
      </c>
      <c r="I819" s="50" t="s">
        <v>90</v>
      </c>
      <c r="K819" s="435"/>
      <c r="L819" s="29" t="s">
        <v>3085</v>
      </c>
      <c r="M819" s="31"/>
      <c r="N819" s="14" t="s">
        <v>84</v>
      </c>
      <c r="O819" s="31"/>
      <c r="Q819" s="36"/>
      <c r="R819" s="36"/>
      <c r="S819" s="36"/>
      <c r="T819" s="36"/>
      <c r="V819" s="31"/>
    </row>
    <row r="820">
      <c r="A820" s="14" t="s">
        <v>736</v>
      </c>
      <c r="B820" s="351" t="s">
        <v>3319</v>
      </c>
      <c r="C820" s="50" t="s">
        <v>1252</v>
      </c>
      <c r="D820" s="50" t="s">
        <v>40</v>
      </c>
      <c r="E820" s="348" t="str">
        <f t="shared" si="740"/>
        <v>mayo 2026</v>
      </c>
      <c r="F820" s="349">
        <v>46167.0</v>
      </c>
      <c r="G820" s="24">
        <f t="shared" ref="G820:H820" si="826">F820</f>
        <v>46167</v>
      </c>
      <c r="H820" s="26">
        <f t="shared" si="826"/>
        <v>46167</v>
      </c>
      <c r="I820" s="50" t="s">
        <v>90</v>
      </c>
      <c r="K820" s="436"/>
      <c r="L820" s="29" t="s">
        <v>3085</v>
      </c>
      <c r="M820" s="31"/>
      <c r="N820" s="14" t="s">
        <v>84</v>
      </c>
      <c r="O820" s="31"/>
      <c r="Q820" s="36"/>
      <c r="R820" s="36"/>
      <c r="S820" s="36"/>
      <c r="T820" s="36"/>
      <c r="V820" s="31"/>
    </row>
    <row r="821">
      <c r="A821" s="14" t="s">
        <v>736</v>
      </c>
      <c r="B821" s="351" t="s">
        <v>3320</v>
      </c>
      <c r="C821" s="50" t="s">
        <v>1256</v>
      </c>
      <c r="D821" s="50" t="s">
        <v>40</v>
      </c>
      <c r="E821" s="348" t="str">
        <f t="shared" si="740"/>
        <v>mayo 2026</v>
      </c>
      <c r="F821" s="349">
        <v>46164.0</v>
      </c>
      <c r="G821" s="24">
        <f t="shared" ref="G821:H821" si="827">F821</f>
        <v>46164</v>
      </c>
      <c r="H821" s="26">
        <f t="shared" si="827"/>
        <v>46164</v>
      </c>
      <c r="I821" s="50" t="s">
        <v>90</v>
      </c>
      <c r="K821" s="435"/>
      <c r="L821" s="29" t="s">
        <v>3085</v>
      </c>
      <c r="M821" s="31"/>
      <c r="N821" s="14" t="s">
        <v>84</v>
      </c>
      <c r="O821" s="31"/>
      <c r="Q821" s="36"/>
      <c r="R821" s="36"/>
      <c r="S821" s="36"/>
      <c r="T821" s="36"/>
      <c r="V821" s="31"/>
    </row>
    <row r="822">
      <c r="A822" s="14" t="s">
        <v>736</v>
      </c>
      <c r="B822" s="351" t="s">
        <v>3321</v>
      </c>
      <c r="C822" s="50" t="s">
        <v>1258</v>
      </c>
      <c r="D822" s="50" t="s">
        <v>40</v>
      </c>
      <c r="E822" s="348" t="str">
        <f t="shared" si="740"/>
        <v>mayo 2026</v>
      </c>
      <c r="F822" s="349">
        <v>46167.0</v>
      </c>
      <c r="G822" s="24">
        <f t="shared" ref="G822:H822" si="828">F822</f>
        <v>46167</v>
      </c>
      <c r="H822" s="26">
        <f t="shared" si="828"/>
        <v>46167</v>
      </c>
      <c r="I822" s="50" t="s">
        <v>90</v>
      </c>
      <c r="K822" s="436"/>
      <c r="L822" s="29" t="s">
        <v>3085</v>
      </c>
      <c r="M822" s="31"/>
      <c r="N822" s="14" t="s">
        <v>84</v>
      </c>
      <c r="O822" s="31"/>
      <c r="Q822" s="36"/>
      <c r="R822" s="36"/>
      <c r="S822" s="36"/>
      <c r="T822" s="36"/>
      <c r="V822" s="31"/>
    </row>
    <row r="823">
      <c r="A823" s="14" t="s">
        <v>736</v>
      </c>
      <c r="B823" s="351" t="s">
        <v>3322</v>
      </c>
      <c r="C823" s="50" t="s">
        <v>1260</v>
      </c>
      <c r="D823" s="50" t="s">
        <v>40</v>
      </c>
      <c r="E823" s="348" t="str">
        <f t="shared" si="740"/>
        <v>mayo 2026</v>
      </c>
      <c r="F823" s="349">
        <v>46167.0</v>
      </c>
      <c r="G823" s="24">
        <f t="shared" ref="G823:H823" si="829">F823</f>
        <v>46167</v>
      </c>
      <c r="H823" s="26">
        <f t="shared" si="829"/>
        <v>46167</v>
      </c>
      <c r="I823" s="50" t="s">
        <v>90</v>
      </c>
      <c r="K823" s="435"/>
      <c r="L823" s="29" t="s">
        <v>3085</v>
      </c>
      <c r="M823" s="31"/>
      <c r="N823" s="14" t="s">
        <v>84</v>
      </c>
      <c r="O823" s="31"/>
      <c r="Q823" s="36"/>
      <c r="R823" s="36"/>
      <c r="S823" s="36"/>
      <c r="T823" s="36"/>
      <c r="V823" s="31"/>
    </row>
    <row r="824">
      <c r="A824" s="14" t="s">
        <v>736</v>
      </c>
      <c r="B824" s="351" t="s">
        <v>3323</v>
      </c>
      <c r="C824" s="50" t="s">
        <v>1261</v>
      </c>
      <c r="D824" s="50" t="s">
        <v>40</v>
      </c>
      <c r="E824" s="348" t="str">
        <f t="shared" si="740"/>
        <v>junio 2026</v>
      </c>
      <c r="F824" s="349">
        <v>46178.0</v>
      </c>
      <c r="G824" s="24">
        <f t="shared" ref="G824:H824" si="830">F824</f>
        <v>46178</v>
      </c>
      <c r="H824" s="26">
        <f t="shared" si="830"/>
        <v>46178</v>
      </c>
      <c r="I824" s="50" t="s">
        <v>90</v>
      </c>
      <c r="K824" s="436"/>
      <c r="L824" s="29" t="s">
        <v>3085</v>
      </c>
      <c r="M824" s="31"/>
      <c r="N824" s="14" t="s">
        <v>84</v>
      </c>
      <c r="O824" s="31"/>
      <c r="Q824" s="36"/>
      <c r="R824" s="36"/>
      <c r="S824" s="36"/>
      <c r="T824" s="36"/>
      <c r="V824" s="31"/>
    </row>
    <row r="825">
      <c r="A825" s="14" t="s">
        <v>736</v>
      </c>
      <c r="B825" s="351" t="s">
        <v>3325</v>
      </c>
      <c r="C825" s="50" t="s">
        <v>1262</v>
      </c>
      <c r="D825" s="50" t="s">
        <v>40</v>
      </c>
      <c r="E825" s="348" t="str">
        <f t="shared" si="740"/>
        <v>mayo 2026</v>
      </c>
      <c r="F825" s="349">
        <v>46168.0</v>
      </c>
      <c r="G825" s="24">
        <f t="shared" ref="G825:H825" si="831">F825</f>
        <v>46168</v>
      </c>
      <c r="H825" s="26">
        <f t="shared" si="831"/>
        <v>46168</v>
      </c>
      <c r="I825" s="50" t="s">
        <v>90</v>
      </c>
      <c r="K825" s="435"/>
      <c r="L825" s="29" t="s">
        <v>3085</v>
      </c>
      <c r="M825" s="31"/>
      <c r="N825" s="14" t="s">
        <v>84</v>
      </c>
      <c r="O825" s="31"/>
      <c r="Q825" s="36"/>
      <c r="R825" s="36"/>
      <c r="S825" s="36"/>
      <c r="T825" s="36"/>
      <c r="V825" s="31"/>
    </row>
    <row r="826">
      <c r="A826" s="14" t="s">
        <v>736</v>
      </c>
      <c r="B826" s="351" t="s">
        <v>3326</v>
      </c>
      <c r="C826" s="50" t="s">
        <v>1264</v>
      </c>
      <c r="D826" s="50" t="s">
        <v>40</v>
      </c>
      <c r="E826" s="348" t="str">
        <f t="shared" si="740"/>
        <v>julio 2026</v>
      </c>
      <c r="F826" s="349">
        <v>46206.0</v>
      </c>
      <c r="G826" s="24">
        <f t="shared" ref="G826:H826" si="832">F826</f>
        <v>46206</v>
      </c>
      <c r="H826" s="26">
        <f t="shared" si="832"/>
        <v>46206</v>
      </c>
      <c r="I826" s="50" t="s">
        <v>90</v>
      </c>
      <c r="K826" s="436"/>
      <c r="L826" s="29" t="s">
        <v>3085</v>
      </c>
      <c r="M826" s="31"/>
      <c r="N826" s="14" t="s">
        <v>84</v>
      </c>
      <c r="O826" s="31"/>
      <c r="Q826" s="36"/>
      <c r="R826" s="36"/>
      <c r="S826" s="36"/>
      <c r="T826" s="36"/>
      <c r="V826" s="31"/>
    </row>
    <row r="827">
      <c r="A827" s="14" t="s">
        <v>736</v>
      </c>
      <c r="B827" s="351" t="s">
        <v>3327</v>
      </c>
      <c r="C827" s="50" t="s">
        <v>1265</v>
      </c>
      <c r="D827" s="50" t="s">
        <v>40</v>
      </c>
      <c r="E827" s="348" t="str">
        <f t="shared" si="740"/>
        <v>mayo 2026</v>
      </c>
      <c r="F827" s="349">
        <v>46168.0</v>
      </c>
      <c r="G827" s="24">
        <f t="shared" ref="G827:H827" si="833">F827</f>
        <v>46168</v>
      </c>
      <c r="H827" s="26">
        <f t="shared" si="833"/>
        <v>46168</v>
      </c>
      <c r="I827" s="50" t="s">
        <v>90</v>
      </c>
      <c r="K827" s="435"/>
      <c r="L827" s="29" t="s">
        <v>3085</v>
      </c>
      <c r="M827" s="31"/>
      <c r="N827" s="14" t="s">
        <v>84</v>
      </c>
      <c r="O827" s="31"/>
      <c r="Q827" s="36"/>
      <c r="R827" s="36"/>
      <c r="S827" s="36"/>
      <c r="T827" s="36"/>
      <c r="V827" s="31"/>
    </row>
    <row r="828">
      <c r="A828" s="14" t="s">
        <v>736</v>
      </c>
      <c r="B828" s="437"/>
      <c r="C828" s="302" t="s">
        <v>2677</v>
      </c>
      <c r="D828" s="50" t="s">
        <v>133</v>
      </c>
      <c r="E828" s="383" t="str">
        <f t="shared" si="740"/>
        <v>diciembre 1899</v>
      </c>
      <c r="F828" s="386"/>
      <c r="G828" s="24" t="str">
        <f t="shared" ref="G828:H828" si="834">F828</f>
        <v/>
      </c>
      <c r="H828" s="26" t="str">
        <f t="shared" si="834"/>
        <v/>
      </c>
      <c r="I828" s="50" t="s">
        <v>2398</v>
      </c>
      <c r="K828" s="440"/>
      <c r="L828" s="29" t="s">
        <v>3328</v>
      </c>
      <c r="M828" s="31"/>
      <c r="N828" s="14"/>
      <c r="O828" s="31"/>
      <c r="Q828" s="36"/>
      <c r="R828" s="36"/>
      <c r="S828" s="36"/>
      <c r="T828" s="36"/>
      <c r="V828" s="31"/>
    </row>
    <row r="829">
      <c r="A829" s="14" t="s">
        <v>736</v>
      </c>
      <c r="B829" s="351" t="s">
        <v>3329</v>
      </c>
      <c r="C829" s="50" t="s">
        <v>1268</v>
      </c>
      <c r="D829" s="50" t="s">
        <v>40</v>
      </c>
      <c r="E829" s="348" t="str">
        <f t="shared" si="740"/>
        <v>junio 2026</v>
      </c>
      <c r="F829" s="349">
        <v>46188.0</v>
      </c>
      <c r="G829" s="24">
        <f t="shared" ref="G829:H829" si="835">F829</f>
        <v>46188</v>
      </c>
      <c r="H829" s="26">
        <f t="shared" si="835"/>
        <v>46188</v>
      </c>
      <c r="I829" s="50" t="s">
        <v>90</v>
      </c>
      <c r="K829" s="435"/>
      <c r="L829" s="29" t="s">
        <v>3085</v>
      </c>
      <c r="M829" s="31"/>
      <c r="N829" s="14" t="s">
        <v>84</v>
      </c>
      <c r="O829" s="31"/>
      <c r="Q829" s="36"/>
      <c r="R829" s="36"/>
      <c r="S829" s="36"/>
      <c r="T829" s="36"/>
      <c r="V829" s="31"/>
    </row>
    <row r="830">
      <c r="A830" s="14" t="s">
        <v>736</v>
      </c>
      <c r="B830" s="351" t="s">
        <v>3330</v>
      </c>
      <c r="C830" s="50" t="s">
        <v>1269</v>
      </c>
      <c r="D830" s="50" t="s">
        <v>40</v>
      </c>
      <c r="E830" s="348" t="str">
        <f t="shared" si="740"/>
        <v>junio 2026</v>
      </c>
      <c r="F830" s="349">
        <v>46191.0</v>
      </c>
      <c r="G830" s="24">
        <f t="shared" ref="G830:H830" si="836">F830</f>
        <v>46191</v>
      </c>
      <c r="H830" s="26">
        <f t="shared" si="836"/>
        <v>46191</v>
      </c>
      <c r="I830" s="50" t="s">
        <v>90</v>
      </c>
      <c r="K830" s="436"/>
      <c r="L830" s="29" t="s">
        <v>3085</v>
      </c>
      <c r="M830" s="31"/>
      <c r="N830" s="14" t="s">
        <v>84</v>
      </c>
      <c r="O830" s="31"/>
      <c r="Q830" s="36"/>
      <c r="R830" s="36"/>
      <c r="S830" s="36"/>
      <c r="T830" s="36"/>
      <c r="V830" s="31"/>
    </row>
    <row r="831">
      <c r="A831" s="14" t="s">
        <v>736</v>
      </c>
      <c r="B831" s="351" t="s">
        <v>3331</v>
      </c>
      <c r="C831" s="50" t="s">
        <v>1270</v>
      </c>
      <c r="D831" s="50" t="s">
        <v>40</v>
      </c>
      <c r="E831" s="348" t="str">
        <f t="shared" si="740"/>
        <v>junio 2026</v>
      </c>
      <c r="F831" s="349">
        <v>46195.0</v>
      </c>
      <c r="G831" s="24">
        <f t="shared" ref="G831:H831" si="837">F831</f>
        <v>46195</v>
      </c>
      <c r="H831" s="26">
        <f t="shared" si="837"/>
        <v>46195</v>
      </c>
      <c r="I831" s="50" t="s">
        <v>90</v>
      </c>
      <c r="K831" s="435"/>
      <c r="L831" s="29" t="s">
        <v>3085</v>
      </c>
      <c r="M831" s="31"/>
      <c r="N831" s="14" t="s">
        <v>84</v>
      </c>
      <c r="O831" s="31"/>
      <c r="Q831" s="36"/>
      <c r="R831" s="36"/>
      <c r="S831" s="36"/>
      <c r="T831" s="36"/>
      <c r="V831" s="31"/>
    </row>
    <row r="832">
      <c r="A832" s="14" t="s">
        <v>736</v>
      </c>
      <c r="B832" s="351" t="s">
        <v>3332</v>
      </c>
      <c r="C832" s="50" t="s">
        <v>1273</v>
      </c>
      <c r="D832" s="50" t="s">
        <v>40</v>
      </c>
      <c r="E832" s="348" t="str">
        <f t="shared" si="740"/>
        <v>mayo 2026</v>
      </c>
      <c r="F832" s="349">
        <v>46167.0</v>
      </c>
      <c r="G832" s="24">
        <f t="shared" ref="G832:H832" si="838">F832</f>
        <v>46167</v>
      </c>
      <c r="H832" s="26">
        <f t="shared" si="838"/>
        <v>46167</v>
      </c>
      <c r="I832" s="50" t="s">
        <v>90</v>
      </c>
      <c r="K832" s="436"/>
      <c r="L832" s="29" t="s">
        <v>3085</v>
      </c>
      <c r="M832" s="31"/>
      <c r="N832" s="14" t="s">
        <v>84</v>
      </c>
      <c r="O832" s="31"/>
      <c r="Q832" s="36"/>
      <c r="R832" s="36"/>
      <c r="S832" s="36"/>
      <c r="T832" s="36"/>
      <c r="V832" s="31"/>
    </row>
    <row r="833">
      <c r="A833" s="14" t="s">
        <v>736</v>
      </c>
      <c r="B833" s="351" t="s">
        <v>3333</v>
      </c>
      <c r="C833" s="50" t="s">
        <v>1278</v>
      </c>
      <c r="D833" s="50" t="s">
        <v>40</v>
      </c>
      <c r="E833" s="348" t="str">
        <f t="shared" si="740"/>
        <v>mayo 2026</v>
      </c>
      <c r="F833" s="349">
        <v>46167.0</v>
      </c>
      <c r="G833" s="24">
        <f t="shared" ref="G833:H833" si="839">F833</f>
        <v>46167</v>
      </c>
      <c r="H833" s="26">
        <f t="shared" si="839"/>
        <v>46167</v>
      </c>
      <c r="I833" s="50" t="s">
        <v>90</v>
      </c>
      <c r="K833" s="435"/>
      <c r="L833" s="29" t="s">
        <v>3085</v>
      </c>
      <c r="M833" s="31"/>
      <c r="N833" s="14" t="s">
        <v>84</v>
      </c>
      <c r="O833" s="31"/>
      <c r="Q833" s="36"/>
      <c r="R833" s="36"/>
      <c r="S833" s="36"/>
      <c r="T833" s="36"/>
      <c r="V833" s="31"/>
    </row>
    <row r="834">
      <c r="A834" s="14" t="s">
        <v>736</v>
      </c>
      <c r="B834" s="351" t="s">
        <v>3334</v>
      </c>
      <c r="C834" s="50" t="s">
        <v>1280</v>
      </c>
      <c r="D834" s="50" t="s">
        <v>40</v>
      </c>
      <c r="E834" s="348" t="str">
        <f t="shared" si="740"/>
        <v>mayo 2026</v>
      </c>
      <c r="F834" s="349">
        <v>46167.0</v>
      </c>
      <c r="G834" s="24">
        <f t="shared" ref="G834:H834" si="840">F834</f>
        <v>46167</v>
      </c>
      <c r="H834" s="26">
        <f t="shared" si="840"/>
        <v>46167</v>
      </c>
      <c r="I834" s="50" t="s">
        <v>90</v>
      </c>
      <c r="K834" s="436"/>
      <c r="L834" s="29" t="s">
        <v>3085</v>
      </c>
      <c r="M834" s="31"/>
      <c r="N834" s="14" t="s">
        <v>84</v>
      </c>
      <c r="O834" s="31"/>
      <c r="Q834" s="36"/>
      <c r="R834" s="36"/>
      <c r="S834" s="36"/>
      <c r="T834" s="36"/>
      <c r="V834" s="31"/>
    </row>
    <row r="835">
      <c r="A835" s="14" t="s">
        <v>736</v>
      </c>
      <c r="B835" s="351" t="s">
        <v>3335</v>
      </c>
      <c r="C835" s="50" t="s">
        <v>1282</v>
      </c>
      <c r="D835" s="50" t="s">
        <v>40</v>
      </c>
      <c r="E835" s="348" t="str">
        <f t="shared" si="740"/>
        <v>mayo 2026</v>
      </c>
      <c r="F835" s="349">
        <v>46167.0</v>
      </c>
      <c r="G835" s="24">
        <f t="shared" ref="G835:H835" si="841">F835</f>
        <v>46167</v>
      </c>
      <c r="H835" s="26">
        <f t="shared" si="841"/>
        <v>46167</v>
      </c>
      <c r="I835" s="50" t="s">
        <v>90</v>
      </c>
      <c r="K835" s="435"/>
      <c r="L835" s="29" t="s">
        <v>3085</v>
      </c>
      <c r="M835" s="31"/>
      <c r="N835" s="14" t="s">
        <v>84</v>
      </c>
      <c r="O835" s="31"/>
      <c r="Q835" s="36"/>
      <c r="R835" s="36"/>
      <c r="S835" s="36"/>
      <c r="T835" s="36"/>
      <c r="V835" s="31"/>
    </row>
    <row r="836">
      <c r="A836" s="14" t="s">
        <v>736</v>
      </c>
      <c r="B836" s="351" t="s">
        <v>3336</v>
      </c>
      <c r="C836" s="50" t="s">
        <v>1284</v>
      </c>
      <c r="D836" s="50" t="s">
        <v>40</v>
      </c>
      <c r="E836" s="348" t="str">
        <f t="shared" si="740"/>
        <v>mayo 2026</v>
      </c>
      <c r="F836" s="349">
        <v>46167.0</v>
      </c>
      <c r="G836" s="24">
        <f t="shared" ref="G836:H836" si="842">F836</f>
        <v>46167</v>
      </c>
      <c r="H836" s="26">
        <f t="shared" si="842"/>
        <v>46167</v>
      </c>
      <c r="I836" s="50" t="s">
        <v>90</v>
      </c>
      <c r="K836" s="436"/>
      <c r="L836" s="29" t="s">
        <v>3085</v>
      </c>
      <c r="M836" s="31"/>
      <c r="N836" s="14" t="s">
        <v>84</v>
      </c>
      <c r="O836" s="31"/>
      <c r="Q836" s="36"/>
      <c r="R836" s="36"/>
      <c r="S836" s="36"/>
      <c r="T836" s="36"/>
      <c r="V836" s="31"/>
    </row>
    <row r="837">
      <c r="A837" s="14" t="s">
        <v>736</v>
      </c>
      <c r="B837" s="351" t="s">
        <v>3337</v>
      </c>
      <c r="C837" s="50" t="s">
        <v>1288</v>
      </c>
      <c r="D837" s="50" t="s">
        <v>40</v>
      </c>
      <c r="E837" s="348" t="str">
        <f t="shared" si="740"/>
        <v>mayo 2026</v>
      </c>
      <c r="F837" s="349">
        <v>46170.0</v>
      </c>
      <c r="G837" s="24">
        <f t="shared" ref="G837:H837" si="843">F837</f>
        <v>46170</v>
      </c>
      <c r="H837" s="26">
        <f t="shared" si="843"/>
        <v>46170</v>
      </c>
      <c r="I837" s="50" t="s">
        <v>90</v>
      </c>
      <c r="K837" s="435"/>
      <c r="L837" s="29" t="s">
        <v>3085</v>
      </c>
      <c r="M837" s="31"/>
      <c r="N837" s="14" t="s">
        <v>84</v>
      </c>
      <c r="O837" s="31"/>
      <c r="Q837" s="36"/>
      <c r="R837" s="36"/>
      <c r="S837" s="36"/>
      <c r="T837" s="36"/>
      <c r="V837" s="31"/>
    </row>
    <row r="838">
      <c r="A838" s="14" t="s">
        <v>736</v>
      </c>
      <c r="B838" s="351" t="s">
        <v>3338</v>
      </c>
      <c r="C838" s="50" t="s">
        <v>1290</v>
      </c>
      <c r="D838" s="50" t="s">
        <v>40</v>
      </c>
      <c r="E838" s="348" t="str">
        <f t="shared" si="740"/>
        <v>junio 2026</v>
      </c>
      <c r="F838" s="349">
        <v>46191.0</v>
      </c>
      <c r="G838" s="24">
        <f t="shared" ref="G838:H838" si="844">F838</f>
        <v>46191</v>
      </c>
      <c r="H838" s="26">
        <f t="shared" si="844"/>
        <v>46191</v>
      </c>
      <c r="I838" s="50" t="s">
        <v>90</v>
      </c>
      <c r="K838" s="436"/>
      <c r="L838" s="29" t="s">
        <v>3085</v>
      </c>
      <c r="M838" s="31"/>
      <c r="N838" s="14" t="s">
        <v>84</v>
      </c>
      <c r="O838" s="31"/>
      <c r="Q838" s="36"/>
      <c r="R838" s="36"/>
      <c r="S838" s="36"/>
      <c r="T838" s="36"/>
      <c r="V838" s="31"/>
    </row>
    <row r="839">
      <c r="A839" s="14" t="s">
        <v>736</v>
      </c>
      <c r="B839" s="351" t="s">
        <v>3339</v>
      </c>
      <c r="C839" s="50" t="s">
        <v>1292</v>
      </c>
      <c r="D839" s="50" t="s">
        <v>40</v>
      </c>
      <c r="E839" s="348" t="str">
        <f t="shared" si="740"/>
        <v>mayo 2026</v>
      </c>
      <c r="F839" s="349">
        <v>46172.0</v>
      </c>
      <c r="G839" s="24">
        <f t="shared" ref="G839:H839" si="845">F839</f>
        <v>46172</v>
      </c>
      <c r="H839" s="26">
        <f t="shared" si="845"/>
        <v>46172</v>
      </c>
      <c r="I839" s="50" t="s">
        <v>90</v>
      </c>
      <c r="K839" s="435"/>
      <c r="L839" s="29" t="s">
        <v>3085</v>
      </c>
      <c r="M839" s="31"/>
      <c r="N839" s="14" t="s">
        <v>84</v>
      </c>
      <c r="O839" s="31"/>
      <c r="Q839" s="36"/>
      <c r="R839" s="36"/>
      <c r="S839" s="36"/>
      <c r="T839" s="36"/>
      <c r="V839" s="31"/>
    </row>
    <row r="840">
      <c r="A840" s="14" t="s">
        <v>736</v>
      </c>
      <c r="B840" s="351" t="s">
        <v>3340</v>
      </c>
      <c r="C840" s="50" t="s">
        <v>1294</v>
      </c>
      <c r="D840" s="50" t="s">
        <v>40</v>
      </c>
      <c r="E840" s="348" t="str">
        <f t="shared" si="740"/>
        <v>julio 2026</v>
      </c>
      <c r="F840" s="349">
        <v>46225.0</v>
      </c>
      <c r="G840" s="24">
        <f t="shared" ref="G840:H840" si="846">F840</f>
        <v>46225</v>
      </c>
      <c r="H840" s="26">
        <f t="shared" si="846"/>
        <v>46225</v>
      </c>
      <c r="I840" s="50" t="s">
        <v>90</v>
      </c>
      <c r="K840" s="436"/>
      <c r="L840" s="29" t="s">
        <v>3085</v>
      </c>
      <c r="M840" s="31"/>
      <c r="N840" s="14" t="s">
        <v>84</v>
      </c>
      <c r="O840" s="31"/>
      <c r="Q840" s="36"/>
      <c r="R840" s="36"/>
      <c r="S840" s="36"/>
      <c r="T840" s="36"/>
      <c r="V840" s="31"/>
    </row>
    <row r="841">
      <c r="A841" s="14" t="s">
        <v>736</v>
      </c>
      <c r="B841" s="351" t="s">
        <v>3341</v>
      </c>
      <c r="C841" s="50" t="s">
        <v>1299</v>
      </c>
      <c r="D841" s="50" t="s">
        <v>40</v>
      </c>
      <c r="E841" s="348" t="str">
        <f t="shared" si="740"/>
        <v>julio 2026</v>
      </c>
      <c r="F841" s="349">
        <v>46225.0</v>
      </c>
      <c r="G841" s="24">
        <f t="shared" ref="G841:H841" si="847">F841</f>
        <v>46225</v>
      </c>
      <c r="H841" s="26">
        <f t="shared" si="847"/>
        <v>46225</v>
      </c>
      <c r="I841" s="50" t="s">
        <v>90</v>
      </c>
      <c r="K841" s="435"/>
      <c r="L841" s="29" t="s">
        <v>3085</v>
      </c>
      <c r="M841" s="31"/>
      <c r="N841" s="14" t="s">
        <v>84</v>
      </c>
      <c r="O841" s="31"/>
      <c r="Q841" s="36"/>
      <c r="R841" s="36"/>
      <c r="S841" s="36"/>
      <c r="T841" s="36"/>
      <c r="V841" s="31"/>
    </row>
    <row r="842">
      <c r="A842" s="14" t="s">
        <v>736</v>
      </c>
      <c r="B842" s="351" t="s">
        <v>3342</v>
      </c>
      <c r="C842" s="50" t="s">
        <v>1300</v>
      </c>
      <c r="D842" s="50" t="s">
        <v>40</v>
      </c>
      <c r="E842" s="348" t="str">
        <f t="shared" si="740"/>
        <v>mayo 2026</v>
      </c>
      <c r="F842" s="349">
        <v>46167.0</v>
      </c>
      <c r="G842" s="24">
        <f t="shared" ref="G842:H842" si="848">F842</f>
        <v>46167</v>
      </c>
      <c r="H842" s="26">
        <f t="shared" si="848"/>
        <v>46167</v>
      </c>
      <c r="I842" s="50" t="s">
        <v>90</v>
      </c>
      <c r="K842" s="436"/>
      <c r="L842" s="29" t="s">
        <v>3085</v>
      </c>
      <c r="M842" s="31"/>
      <c r="N842" s="14" t="s">
        <v>84</v>
      </c>
      <c r="O842" s="31"/>
      <c r="Q842" s="36"/>
      <c r="R842" s="36"/>
      <c r="S842" s="36"/>
      <c r="T842" s="36"/>
      <c r="V842" s="31"/>
    </row>
    <row r="843">
      <c r="A843" s="14" t="s">
        <v>736</v>
      </c>
      <c r="B843" s="351" t="s">
        <v>3343</v>
      </c>
      <c r="C843" s="50" t="s">
        <v>1302</v>
      </c>
      <c r="D843" s="50" t="s">
        <v>40</v>
      </c>
      <c r="E843" s="348" t="str">
        <f t="shared" si="740"/>
        <v>mayo 2026</v>
      </c>
      <c r="F843" s="349">
        <v>46170.0</v>
      </c>
      <c r="G843" s="24">
        <f t="shared" ref="G843:H843" si="849">F843</f>
        <v>46170</v>
      </c>
      <c r="H843" s="26">
        <f t="shared" si="849"/>
        <v>46170</v>
      </c>
      <c r="I843" s="50" t="s">
        <v>90</v>
      </c>
      <c r="K843" s="435"/>
      <c r="L843" s="29" t="s">
        <v>3085</v>
      </c>
      <c r="M843" s="31"/>
      <c r="N843" s="14" t="s">
        <v>84</v>
      </c>
      <c r="O843" s="31"/>
      <c r="Q843" s="36"/>
      <c r="R843" s="36"/>
      <c r="S843" s="36"/>
      <c r="T843" s="36"/>
      <c r="V843" s="31"/>
    </row>
    <row r="844">
      <c r="A844" s="14" t="s">
        <v>736</v>
      </c>
      <c r="B844" s="351" t="s">
        <v>3344</v>
      </c>
      <c r="C844" s="50" t="s">
        <v>1303</v>
      </c>
      <c r="D844" s="50" t="s">
        <v>40</v>
      </c>
      <c r="E844" s="348" t="str">
        <f t="shared" si="740"/>
        <v>mayo 2026</v>
      </c>
      <c r="F844" s="349">
        <v>46161.0</v>
      </c>
      <c r="G844" s="24">
        <f t="shared" ref="G844:H844" si="850">F844</f>
        <v>46161</v>
      </c>
      <c r="H844" s="26">
        <f t="shared" si="850"/>
        <v>46161</v>
      </c>
      <c r="I844" s="50" t="s">
        <v>90</v>
      </c>
      <c r="K844" s="436"/>
      <c r="L844" s="29" t="s">
        <v>3085</v>
      </c>
      <c r="M844" s="31"/>
      <c r="N844" s="14" t="s">
        <v>84</v>
      </c>
      <c r="O844" s="31"/>
      <c r="Q844" s="36"/>
      <c r="R844" s="36"/>
      <c r="S844" s="36"/>
      <c r="T844" s="36"/>
      <c r="V844" s="31"/>
    </row>
    <row r="845">
      <c r="A845" s="14" t="s">
        <v>736</v>
      </c>
      <c r="B845" s="351" t="s">
        <v>3345</v>
      </c>
      <c r="C845" s="50" t="s">
        <v>1305</v>
      </c>
      <c r="D845" s="50" t="s">
        <v>40</v>
      </c>
      <c r="E845" s="348" t="str">
        <f t="shared" si="740"/>
        <v>mayo 2026</v>
      </c>
      <c r="F845" s="349">
        <v>46165.0</v>
      </c>
      <c r="G845" s="24">
        <f t="shared" ref="G845:H845" si="851">F845</f>
        <v>46165</v>
      </c>
      <c r="H845" s="26">
        <f t="shared" si="851"/>
        <v>46165</v>
      </c>
      <c r="I845" s="50" t="s">
        <v>90</v>
      </c>
      <c r="K845" s="435"/>
      <c r="L845" s="29" t="s">
        <v>3085</v>
      </c>
      <c r="M845" s="31"/>
      <c r="N845" s="14" t="s">
        <v>84</v>
      </c>
      <c r="O845" s="31"/>
      <c r="Q845" s="36"/>
      <c r="R845" s="36"/>
      <c r="S845" s="36"/>
      <c r="T845" s="36"/>
      <c r="V845" s="31"/>
    </row>
    <row r="846">
      <c r="A846" s="14" t="s">
        <v>736</v>
      </c>
      <c r="B846" s="351" t="s">
        <v>3346</v>
      </c>
      <c r="C846" s="50" t="s">
        <v>1307</v>
      </c>
      <c r="D846" s="50" t="s">
        <v>40</v>
      </c>
      <c r="E846" s="348" t="str">
        <f t="shared" si="740"/>
        <v>mayo 2026</v>
      </c>
      <c r="F846" s="349">
        <v>46165.0</v>
      </c>
      <c r="G846" s="24">
        <f t="shared" ref="G846:H846" si="852">F846</f>
        <v>46165</v>
      </c>
      <c r="H846" s="26">
        <f t="shared" si="852"/>
        <v>46165</v>
      </c>
      <c r="I846" s="50" t="s">
        <v>90</v>
      </c>
      <c r="K846" s="436"/>
      <c r="L846" s="29" t="s">
        <v>3085</v>
      </c>
      <c r="M846" s="31"/>
      <c r="N846" s="14" t="s">
        <v>84</v>
      </c>
      <c r="O846" s="31"/>
      <c r="Q846" s="36"/>
      <c r="R846" s="36"/>
      <c r="S846" s="36"/>
      <c r="T846" s="36"/>
      <c r="V846" s="31"/>
    </row>
    <row r="847">
      <c r="A847" s="14" t="s">
        <v>736</v>
      </c>
      <c r="B847" s="351" t="s">
        <v>3347</v>
      </c>
      <c r="C847" s="50" t="s">
        <v>1310</v>
      </c>
      <c r="D847" s="50" t="s">
        <v>40</v>
      </c>
      <c r="E847" s="348" t="str">
        <f t="shared" si="740"/>
        <v>mayo 2026</v>
      </c>
      <c r="F847" s="349">
        <v>46165.0</v>
      </c>
      <c r="G847" s="24">
        <f t="shared" ref="G847:H847" si="853">F847</f>
        <v>46165</v>
      </c>
      <c r="H847" s="26">
        <f t="shared" si="853"/>
        <v>46165</v>
      </c>
      <c r="I847" s="50" t="s">
        <v>90</v>
      </c>
      <c r="K847" s="435"/>
      <c r="L847" s="29" t="s">
        <v>3085</v>
      </c>
      <c r="M847" s="31"/>
      <c r="N847" s="14" t="s">
        <v>84</v>
      </c>
      <c r="O847" s="31"/>
      <c r="Q847" s="36"/>
      <c r="R847" s="36"/>
      <c r="S847" s="36"/>
      <c r="T847" s="36"/>
      <c r="V847" s="31"/>
    </row>
    <row r="848">
      <c r="A848" s="14" t="s">
        <v>736</v>
      </c>
      <c r="B848" s="351" t="s">
        <v>3348</v>
      </c>
      <c r="C848" s="50" t="s">
        <v>1311</v>
      </c>
      <c r="D848" s="50" t="s">
        <v>40</v>
      </c>
      <c r="E848" s="348" t="str">
        <f t="shared" si="740"/>
        <v>mayo 2026</v>
      </c>
      <c r="F848" s="349">
        <v>46167.0</v>
      </c>
      <c r="G848" s="24">
        <f t="shared" ref="G848:H848" si="854">F848</f>
        <v>46167</v>
      </c>
      <c r="H848" s="26">
        <f t="shared" si="854"/>
        <v>46167</v>
      </c>
      <c r="I848" s="50" t="s">
        <v>90</v>
      </c>
      <c r="K848" s="436"/>
      <c r="L848" s="29" t="s">
        <v>3085</v>
      </c>
      <c r="M848" s="31"/>
      <c r="N848" s="14" t="s">
        <v>84</v>
      </c>
      <c r="O848" s="31"/>
      <c r="Q848" s="36"/>
      <c r="R848" s="36"/>
      <c r="S848" s="36"/>
      <c r="T848" s="36"/>
      <c r="V848" s="31"/>
    </row>
    <row r="849">
      <c r="A849" s="14" t="s">
        <v>736</v>
      </c>
      <c r="B849" s="351" t="s">
        <v>3349</v>
      </c>
      <c r="C849" s="50" t="s">
        <v>1312</v>
      </c>
      <c r="D849" s="50" t="s">
        <v>40</v>
      </c>
      <c r="E849" s="348" t="str">
        <f t="shared" si="740"/>
        <v>junio 2026</v>
      </c>
      <c r="F849" s="349">
        <v>46187.0</v>
      </c>
      <c r="G849" s="24">
        <f t="shared" ref="G849:H849" si="855">F849</f>
        <v>46187</v>
      </c>
      <c r="H849" s="26">
        <f t="shared" si="855"/>
        <v>46187</v>
      </c>
      <c r="I849" s="50" t="s">
        <v>90</v>
      </c>
      <c r="K849" s="435"/>
      <c r="L849" s="29" t="s">
        <v>3085</v>
      </c>
      <c r="M849" s="31"/>
      <c r="N849" s="14" t="s">
        <v>84</v>
      </c>
      <c r="O849" s="31"/>
      <c r="Q849" s="36"/>
      <c r="R849" s="36"/>
      <c r="S849" s="36"/>
      <c r="T849" s="36"/>
      <c r="V849" s="31"/>
    </row>
    <row r="850">
      <c r="A850" s="14" t="s">
        <v>736</v>
      </c>
      <c r="B850" s="351" t="s">
        <v>3350</v>
      </c>
      <c r="C850" s="50" t="s">
        <v>1314</v>
      </c>
      <c r="D850" s="50" t="s">
        <v>40</v>
      </c>
      <c r="E850" s="348" t="str">
        <f t="shared" si="740"/>
        <v>mayo 2026</v>
      </c>
      <c r="F850" s="349">
        <v>46168.0</v>
      </c>
      <c r="G850" s="24">
        <f t="shared" ref="G850:H850" si="856">F850</f>
        <v>46168</v>
      </c>
      <c r="H850" s="26">
        <f t="shared" si="856"/>
        <v>46168</v>
      </c>
      <c r="I850" s="50" t="s">
        <v>90</v>
      </c>
      <c r="K850" s="436"/>
      <c r="L850" s="29" t="s">
        <v>3085</v>
      </c>
      <c r="M850" s="31"/>
      <c r="N850" s="14" t="s">
        <v>84</v>
      </c>
      <c r="O850" s="31"/>
      <c r="Q850" s="36"/>
      <c r="R850" s="36"/>
      <c r="S850" s="36"/>
      <c r="T850" s="36"/>
      <c r="V850" s="31"/>
    </row>
    <row r="851">
      <c r="A851" s="14" t="s">
        <v>736</v>
      </c>
      <c r="B851" s="351" t="s">
        <v>3351</v>
      </c>
      <c r="C851" s="50" t="s">
        <v>1317</v>
      </c>
      <c r="D851" s="50" t="s">
        <v>40</v>
      </c>
      <c r="E851" s="348" t="str">
        <f t="shared" si="740"/>
        <v>mayo 2026</v>
      </c>
      <c r="F851" s="349">
        <v>46169.0</v>
      </c>
      <c r="G851" s="24">
        <f t="shared" ref="G851:H851" si="857">F851</f>
        <v>46169</v>
      </c>
      <c r="H851" s="26">
        <f t="shared" si="857"/>
        <v>46169</v>
      </c>
      <c r="I851" s="50" t="s">
        <v>90</v>
      </c>
      <c r="K851" s="435"/>
      <c r="L851" s="29" t="s">
        <v>3085</v>
      </c>
      <c r="M851" s="31"/>
      <c r="N851" s="14" t="s">
        <v>84</v>
      </c>
      <c r="O851" s="31"/>
      <c r="Q851" s="36"/>
      <c r="R851" s="36"/>
      <c r="S851" s="36"/>
      <c r="T851" s="36"/>
      <c r="V851" s="31"/>
    </row>
    <row r="852">
      <c r="A852" s="37" t="s">
        <v>66</v>
      </c>
      <c r="B852" s="179"/>
      <c r="C852" s="15" t="s">
        <v>3352</v>
      </c>
      <c r="D852" s="382" t="s">
        <v>40</v>
      </c>
      <c r="E852" s="383" t="str">
        <f t="shared" si="740"/>
        <v>diciembre 1899</v>
      </c>
      <c r="F852" s="386"/>
      <c r="G852" s="24" t="str">
        <f t="shared" ref="G852:H852" si="858">F852</f>
        <v/>
      </c>
      <c r="H852" s="26" t="str">
        <f t="shared" si="858"/>
        <v/>
      </c>
      <c r="I852" s="14" t="s">
        <v>1865</v>
      </c>
      <c r="K852" s="27">
        <v>1.0E9</v>
      </c>
      <c r="L852" s="29" t="s">
        <v>3353</v>
      </c>
      <c r="M852" s="31"/>
      <c r="N852" s="14" t="s">
        <v>84</v>
      </c>
      <c r="O852" s="14" t="s">
        <v>40</v>
      </c>
      <c r="Q852" s="36"/>
      <c r="R852" s="36"/>
      <c r="S852" s="36"/>
      <c r="T852" s="36"/>
      <c r="V852" s="31"/>
    </row>
    <row r="853">
      <c r="A853" s="14" t="s">
        <v>736</v>
      </c>
      <c r="B853" s="351" t="s">
        <v>3354</v>
      </c>
      <c r="C853" s="50" t="s">
        <v>1318</v>
      </c>
      <c r="D853" s="50" t="s">
        <v>40</v>
      </c>
      <c r="E853" s="348" t="str">
        <f t="shared" si="740"/>
        <v>septiembre 2026</v>
      </c>
      <c r="F853" s="349">
        <v>46282.0</v>
      </c>
      <c r="G853" s="24">
        <f t="shared" ref="G853:H853" si="859">F853</f>
        <v>46282</v>
      </c>
      <c r="H853" s="26">
        <f t="shared" si="859"/>
        <v>46282</v>
      </c>
      <c r="I853" s="50" t="s">
        <v>90</v>
      </c>
      <c r="K853" s="436"/>
      <c r="L853" s="29" t="s">
        <v>3085</v>
      </c>
      <c r="M853" s="31"/>
      <c r="N853" s="14" t="s">
        <v>84</v>
      </c>
      <c r="O853" s="31"/>
      <c r="Q853" s="36"/>
      <c r="R853" s="36"/>
      <c r="S853" s="36"/>
      <c r="T853" s="36"/>
      <c r="V853" s="31"/>
    </row>
    <row r="854">
      <c r="A854" s="14" t="s">
        <v>736</v>
      </c>
      <c r="B854" s="351" t="s">
        <v>3355</v>
      </c>
      <c r="C854" s="50" t="s">
        <v>1319</v>
      </c>
      <c r="D854" s="50" t="s">
        <v>40</v>
      </c>
      <c r="E854" s="348" t="str">
        <f t="shared" si="740"/>
        <v>septiembre 2026</v>
      </c>
      <c r="F854" s="349">
        <v>46286.0</v>
      </c>
      <c r="G854" s="24">
        <f t="shared" ref="G854:H854" si="860">F854</f>
        <v>46286</v>
      </c>
      <c r="H854" s="26">
        <f t="shared" si="860"/>
        <v>46286</v>
      </c>
      <c r="I854" s="50" t="s">
        <v>90</v>
      </c>
      <c r="K854" s="435"/>
      <c r="L854" s="29" t="s">
        <v>3085</v>
      </c>
      <c r="M854" s="31"/>
      <c r="N854" s="14" t="s">
        <v>84</v>
      </c>
      <c r="O854" s="31"/>
      <c r="Q854" s="36"/>
      <c r="R854" s="36"/>
      <c r="S854" s="36"/>
      <c r="T854" s="36"/>
      <c r="V854" s="31"/>
    </row>
    <row r="855">
      <c r="A855" s="14" t="s">
        <v>736</v>
      </c>
      <c r="B855" s="351" t="s">
        <v>3356</v>
      </c>
      <c r="C855" s="50" t="s">
        <v>1322</v>
      </c>
      <c r="D855" s="50" t="s">
        <v>40</v>
      </c>
      <c r="E855" s="348" t="str">
        <f t="shared" si="740"/>
        <v>junio 2026</v>
      </c>
      <c r="F855" s="349">
        <v>46182.0</v>
      </c>
      <c r="G855" s="24">
        <f t="shared" ref="G855:H855" si="861">F855</f>
        <v>46182</v>
      </c>
      <c r="H855" s="26">
        <f t="shared" si="861"/>
        <v>46182</v>
      </c>
      <c r="I855" s="50" t="s">
        <v>90</v>
      </c>
      <c r="K855" s="436"/>
      <c r="L855" s="29" t="s">
        <v>3085</v>
      </c>
      <c r="M855" s="31"/>
      <c r="N855" s="14" t="s">
        <v>84</v>
      </c>
      <c r="O855" s="31"/>
      <c r="Q855" s="36"/>
      <c r="R855" s="36"/>
      <c r="S855" s="36"/>
      <c r="T855" s="36"/>
      <c r="V855" s="31"/>
    </row>
    <row r="856">
      <c r="A856" s="14" t="s">
        <v>736</v>
      </c>
      <c r="B856" s="351" t="s">
        <v>3357</v>
      </c>
      <c r="C856" s="50" t="s">
        <v>1323</v>
      </c>
      <c r="D856" s="50" t="s">
        <v>40</v>
      </c>
      <c r="E856" s="348" t="str">
        <f t="shared" si="740"/>
        <v>junio 2026</v>
      </c>
      <c r="F856" s="349">
        <v>46182.0</v>
      </c>
      <c r="G856" s="24">
        <f t="shared" ref="G856:H856" si="862">F856</f>
        <v>46182</v>
      </c>
      <c r="H856" s="26">
        <f t="shared" si="862"/>
        <v>46182</v>
      </c>
      <c r="I856" s="50" t="s">
        <v>90</v>
      </c>
      <c r="K856" s="435"/>
      <c r="L856" s="29" t="s">
        <v>3085</v>
      </c>
      <c r="M856" s="31"/>
      <c r="N856" s="14" t="s">
        <v>84</v>
      </c>
      <c r="O856" s="31"/>
      <c r="Q856" s="36"/>
      <c r="R856" s="36"/>
      <c r="S856" s="36"/>
      <c r="T856" s="36"/>
      <c r="V856" s="31"/>
    </row>
    <row r="857">
      <c r="A857" s="14" t="s">
        <v>736</v>
      </c>
      <c r="B857" s="351" t="s">
        <v>3358</v>
      </c>
      <c r="C857" s="50" t="s">
        <v>1324</v>
      </c>
      <c r="D857" s="50" t="s">
        <v>40</v>
      </c>
      <c r="E857" s="348" t="str">
        <f t="shared" si="740"/>
        <v>junio 2026</v>
      </c>
      <c r="F857" s="349">
        <v>46185.0</v>
      </c>
      <c r="G857" s="24">
        <f t="shared" ref="G857:H857" si="863">F857</f>
        <v>46185</v>
      </c>
      <c r="H857" s="26">
        <f t="shared" si="863"/>
        <v>46185</v>
      </c>
      <c r="I857" s="50" t="s">
        <v>90</v>
      </c>
      <c r="K857" s="436"/>
      <c r="L857" s="29" t="s">
        <v>3085</v>
      </c>
      <c r="M857" s="31"/>
      <c r="N857" s="14" t="s">
        <v>84</v>
      </c>
      <c r="O857" s="31"/>
      <c r="Q857" s="36"/>
      <c r="R857" s="36"/>
      <c r="S857" s="36"/>
      <c r="T857" s="36"/>
      <c r="V857" s="31"/>
    </row>
    <row r="858">
      <c r="A858" s="14" t="s">
        <v>736</v>
      </c>
      <c r="B858" s="351" t="s">
        <v>3359</v>
      </c>
      <c r="C858" s="50" t="s">
        <v>1326</v>
      </c>
      <c r="D858" s="50" t="s">
        <v>40</v>
      </c>
      <c r="E858" s="348" t="str">
        <f t="shared" si="740"/>
        <v>junio 2026</v>
      </c>
      <c r="F858" s="349">
        <v>46185.0</v>
      </c>
      <c r="G858" s="24">
        <f t="shared" ref="G858:H858" si="864">F858</f>
        <v>46185</v>
      </c>
      <c r="H858" s="26">
        <f t="shared" si="864"/>
        <v>46185</v>
      </c>
      <c r="I858" s="50" t="s">
        <v>90</v>
      </c>
      <c r="K858" s="435"/>
      <c r="L858" s="29" t="s">
        <v>3085</v>
      </c>
      <c r="M858" s="31"/>
      <c r="N858" s="14" t="s">
        <v>84</v>
      </c>
      <c r="O858" s="31"/>
      <c r="Q858" s="36"/>
      <c r="R858" s="36"/>
      <c r="S858" s="36"/>
      <c r="T858" s="36"/>
      <c r="V858" s="31"/>
    </row>
    <row r="859">
      <c r="A859" s="14" t="s">
        <v>736</v>
      </c>
      <c r="B859" s="351" t="s">
        <v>3360</v>
      </c>
      <c r="C859" s="50" t="s">
        <v>1328</v>
      </c>
      <c r="D859" s="50" t="s">
        <v>40</v>
      </c>
      <c r="E859" s="348" t="str">
        <f t="shared" si="740"/>
        <v>junio 2026</v>
      </c>
      <c r="F859" s="349">
        <v>46188.0</v>
      </c>
      <c r="G859" s="24">
        <f t="shared" ref="G859:H859" si="865">F859</f>
        <v>46188</v>
      </c>
      <c r="H859" s="26">
        <f t="shared" si="865"/>
        <v>46188</v>
      </c>
      <c r="I859" s="50" t="s">
        <v>90</v>
      </c>
      <c r="K859" s="436"/>
      <c r="L859" s="29" t="s">
        <v>3085</v>
      </c>
      <c r="M859" s="31"/>
      <c r="N859" s="14" t="s">
        <v>84</v>
      </c>
      <c r="O859" s="31"/>
      <c r="Q859" s="36"/>
      <c r="R859" s="36"/>
      <c r="S859" s="36"/>
      <c r="T859" s="36"/>
      <c r="V859" s="31"/>
    </row>
    <row r="860">
      <c r="A860" s="14" t="s">
        <v>736</v>
      </c>
      <c r="B860" s="351" t="s">
        <v>3361</v>
      </c>
      <c r="C860" s="50" t="s">
        <v>1329</v>
      </c>
      <c r="D860" s="50" t="s">
        <v>40</v>
      </c>
      <c r="E860" s="348" t="str">
        <f t="shared" si="740"/>
        <v>mayo 2026</v>
      </c>
      <c r="F860" s="349">
        <v>46169.0</v>
      </c>
      <c r="G860" s="24">
        <f t="shared" ref="G860:H860" si="866">F860</f>
        <v>46169</v>
      </c>
      <c r="H860" s="26">
        <f t="shared" si="866"/>
        <v>46169</v>
      </c>
      <c r="I860" s="50" t="s">
        <v>90</v>
      </c>
      <c r="K860" s="435"/>
      <c r="L860" s="29" t="s">
        <v>3085</v>
      </c>
      <c r="M860" s="31"/>
      <c r="N860" s="14" t="s">
        <v>84</v>
      </c>
      <c r="O860" s="31"/>
      <c r="Q860" s="36"/>
      <c r="R860" s="36"/>
      <c r="S860" s="36"/>
      <c r="T860" s="36"/>
      <c r="V860" s="31"/>
    </row>
    <row r="861">
      <c r="A861" s="14" t="s">
        <v>736</v>
      </c>
      <c r="B861" s="351" t="s">
        <v>3362</v>
      </c>
      <c r="C861" s="50" t="s">
        <v>1330</v>
      </c>
      <c r="D861" s="50" t="s">
        <v>40</v>
      </c>
      <c r="E861" s="348" t="str">
        <f t="shared" si="740"/>
        <v>mayo 2026</v>
      </c>
      <c r="F861" s="349">
        <v>46170.0</v>
      </c>
      <c r="G861" s="24">
        <f t="shared" ref="G861:H861" si="867">F861</f>
        <v>46170</v>
      </c>
      <c r="H861" s="26">
        <f t="shared" si="867"/>
        <v>46170</v>
      </c>
      <c r="I861" s="50" t="s">
        <v>90</v>
      </c>
      <c r="K861" s="436"/>
      <c r="L861" s="29" t="s">
        <v>3085</v>
      </c>
      <c r="M861" s="31"/>
      <c r="N861" s="14" t="s">
        <v>84</v>
      </c>
      <c r="O861" s="31"/>
      <c r="Q861" s="36"/>
      <c r="R861" s="36"/>
      <c r="S861" s="36"/>
      <c r="T861" s="36"/>
      <c r="V861" s="31"/>
    </row>
    <row r="862">
      <c r="A862" s="14" t="s">
        <v>736</v>
      </c>
      <c r="B862" s="351" t="s">
        <v>3363</v>
      </c>
      <c r="C862" s="50" t="s">
        <v>1333</v>
      </c>
      <c r="D862" s="50" t="s">
        <v>40</v>
      </c>
      <c r="E862" s="348" t="str">
        <f t="shared" si="740"/>
        <v>mayo 2026</v>
      </c>
      <c r="F862" s="349">
        <v>46170.0</v>
      </c>
      <c r="G862" s="24">
        <f t="shared" ref="G862:H862" si="868">F862</f>
        <v>46170</v>
      </c>
      <c r="H862" s="26">
        <f t="shared" si="868"/>
        <v>46170</v>
      </c>
      <c r="I862" s="50" t="s">
        <v>90</v>
      </c>
      <c r="K862" s="435"/>
      <c r="L862" s="29" t="s">
        <v>3085</v>
      </c>
      <c r="M862" s="31"/>
      <c r="N862" s="14" t="s">
        <v>84</v>
      </c>
      <c r="O862" s="31"/>
      <c r="Q862" s="36"/>
      <c r="R862" s="36"/>
      <c r="S862" s="36"/>
      <c r="T862" s="36"/>
      <c r="V862" s="31"/>
    </row>
    <row r="863">
      <c r="A863" s="14" t="s">
        <v>736</v>
      </c>
      <c r="B863" s="351" t="s">
        <v>3364</v>
      </c>
      <c r="C863" s="50" t="s">
        <v>1334</v>
      </c>
      <c r="D863" s="50" t="s">
        <v>40</v>
      </c>
      <c r="E863" s="348" t="str">
        <f t="shared" si="740"/>
        <v>mayo 2026</v>
      </c>
      <c r="F863" s="349">
        <v>46171.0</v>
      </c>
      <c r="G863" s="24">
        <f t="shared" ref="G863:H863" si="869">F863</f>
        <v>46171</v>
      </c>
      <c r="H863" s="26">
        <f t="shared" si="869"/>
        <v>46171</v>
      </c>
      <c r="I863" s="50" t="s">
        <v>90</v>
      </c>
      <c r="K863" s="436"/>
      <c r="L863" s="29" t="s">
        <v>3085</v>
      </c>
      <c r="M863" s="31"/>
      <c r="N863" s="14" t="s">
        <v>84</v>
      </c>
      <c r="O863" s="31"/>
      <c r="Q863" s="36"/>
      <c r="R863" s="36"/>
      <c r="S863" s="36"/>
      <c r="T863" s="36"/>
      <c r="V863" s="31"/>
    </row>
    <row r="864">
      <c r="A864" s="14" t="s">
        <v>736</v>
      </c>
      <c r="B864" s="351" t="s">
        <v>3365</v>
      </c>
      <c r="C864" s="50" t="s">
        <v>1336</v>
      </c>
      <c r="D864" s="50" t="s">
        <v>40</v>
      </c>
      <c r="E864" s="348" t="str">
        <f t="shared" si="740"/>
        <v>mayo 2026</v>
      </c>
      <c r="F864" s="349">
        <v>46171.0</v>
      </c>
      <c r="G864" s="24">
        <f t="shared" ref="G864:H864" si="870">F864</f>
        <v>46171</v>
      </c>
      <c r="H864" s="26">
        <f t="shared" si="870"/>
        <v>46171</v>
      </c>
      <c r="I864" s="50" t="s">
        <v>90</v>
      </c>
      <c r="K864" s="435"/>
      <c r="L864" s="29" t="s">
        <v>3085</v>
      </c>
      <c r="M864" s="31"/>
      <c r="N864" s="14" t="s">
        <v>84</v>
      </c>
      <c r="O864" s="31"/>
      <c r="Q864" s="36"/>
      <c r="R864" s="36"/>
      <c r="S864" s="36"/>
      <c r="T864" s="36"/>
      <c r="V864" s="31"/>
    </row>
    <row r="865">
      <c r="A865" s="14" t="s">
        <v>736</v>
      </c>
      <c r="B865" s="351" t="s">
        <v>3366</v>
      </c>
      <c r="C865" s="50" t="s">
        <v>1337</v>
      </c>
      <c r="D865" s="50" t="s">
        <v>40</v>
      </c>
      <c r="E865" s="348" t="str">
        <f t="shared" si="740"/>
        <v>mayo 2026</v>
      </c>
      <c r="F865" s="349">
        <v>46171.0</v>
      </c>
      <c r="G865" s="24">
        <f t="shared" ref="G865:H865" si="871">F865</f>
        <v>46171</v>
      </c>
      <c r="H865" s="26">
        <f t="shared" si="871"/>
        <v>46171</v>
      </c>
      <c r="I865" s="50" t="s">
        <v>90</v>
      </c>
      <c r="K865" s="436"/>
      <c r="L865" s="29" t="s">
        <v>3085</v>
      </c>
      <c r="M865" s="31"/>
      <c r="N865" s="14" t="s">
        <v>84</v>
      </c>
      <c r="O865" s="31"/>
      <c r="Q865" s="36"/>
      <c r="R865" s="36"/>
      <c r="S865" s="36"/>
      <c r="T865" s="36"/>
      <c r="V865" s="31"/>
    </row>
    <row r="866">
      <c r="A866" s="14" t="s">
        <v>736</v>
      </c>
      <c r="B866" s="351" t="s">
        <v>3367</v>
      </c>
      <c r="C866" s="50" t="s">
        <v>1340</v>
      </c>
      <c r="D866" s="50" t="s">
        <v>40</v>
      </c>
      <c r="E866" s="348" t="str">
        <f t="shared" si="740"/>
        <v>agosto 2026</v>
      </c>
      <c r="F866" s="349">
        <v>46261.0</v>
      </c>
      <c r="G866" s="24">
        <f t="shared" ref="G866:H866" si="872">F866</f>
        <v>46261</v>
      </c>
      <c r="H866" s="26">
        <f t="shared" si="872"/>
        <v>46261</v>
      </c>
      <c r="I866" s="50" t="s">
        <v>90</v>
      </c>
      <c r="K866" s="435"/>
      <c r="L866" s="29" t="s">
        <v>3085</v>
      </c>
      <c r="M866" s="31"/>
      <c r="N866" s="14" t="s">
        <v>84</v>
      </c>
      <c r="O866" s="31"/>
      <c r="Q866" s="36"/>
      <c r="R866" s="36"/>
      <c r="S866" s="36"/>
      <c r="T866" s="36"/>
      <c r="V866" s="31"/>
    </row>
    <row r="867">
      <c r="A867" s="14" t="s">
        <v>736</v>
      </c>
      <c r="B867" s="351" t="s">
        <v>3368</v>
      </c>
      <c r="C867" s="50" t="s">
        <v>1344</v>
      </c>
      <c r="D867" s="50" t="s">
        <v>40</v>
      </c>
      <c r="E867" s="348" t="str">
        <f t="shared" si="740"/>
        <v>junio 2026</v>
      </c>
      <c r="F867" s="349">
        <v>46185.0</v>
      </c>
      <c r="G867" s="24">
        <f t="shared" ref="G867:H867" si="873">F867</f>
        <v>46185</v>
      </c>
      <c r="H867" s="26">
        <f t="shared" si="873"/>
        <v>46185</v>
      </c>
      <c r="I867" s="50" t="s">
        <v>90</v>
      </c>
      <c r="K867" s="436"/>
      <c r="L867" s="29" t="s">
        <v>3085</v>
      </c>
      <c r="M867" s="31"/>
      <c r="N867" s="14" t="s">
        <v>84</v>
      </c>
      <c r="O867" s="31"/>
      <c r="Q867" s="36"/>
      <c r="R867" s="36"/>
      <c r="S867" s="36"/>
      <c r="T867" s="36"/>
      <c r="V867" s="31"/>
    </row>
    <row r="868">
      <c r="A868" s="14" t="s">
        <v>736</v>
      </c>
      <c r="B868" s="351" t="s">
        <v>3369</v>
      </c>
      <c r="C868" s="50" t="s">
        <v>1341</v>
      </c>
      <c r="D868" s="50" t="s">
        <v>40</v>
      </c>
      <c r="E868" s="348" t="str">
        <f t="shared" si="740"/>
        <v>mayo 2026</v>
      </c>
      <c r="F868" s="349">
        <v>46170.0</v>
      </c>
      <c r="G868" s="24">
        <f t="shared" ref="G868:H868" si="874">F868</f>
        <v>46170</v>
      </c>
      <c r="H868" s="26">
        <f t="shared" si="874"/>
        <v>46170</v>
      </c>
      <c r="I868" s="50" t="s">
        <v>90</v>
      </c>
      <c r="K868" s="435"/>
      <c r="L868" s="29" t="s">
        <v>3085</v>
      </c>
      <c r="M868" s="31"/>
      <c r="N868" s="14" t="s">
        <v>84</v>
      </c>
      <c r="O868" s="31"/>
      <c r="Q868" s="36"/>
      <c r="R868" s="36"/>
      <c r="S868" s="36"/>
      <c r="T868" s="36"/>
      <c r="V868" s="31"/>
    </row>
    <row r="869">
      <c r="A869" s="14" t="s">
        <v>736</v>
      </c>
      <c r="B869" s="351" t="s">
        <v>3370</v>
      </c>
      <c r="C869" s="50" t="s">
        <v>1342</v>
      </c>
      <c r="D869" s="50" t="s">
        <v>40</v>
      </c>
      <c r="E869" s="348" t="str">
        <f t="shared" si="740"/>
        <v>junio 2026</v>
      </c>
      <c r="F869" s="349">
        <v>46189.0</v>
      </c>
      <c r="G869" s="24">
        <f t="shared" ref="G869:H869" si="875">F869</f>
        <v>46189</v>
      </c>
      <c r="H869" s="26">
        <f t="shared" si="875"/>
        <v>46189</v>
      </c>
      <c r="I869" s="50" t="s">
        <v>90</v>
      </c>
      <c r="K869" s="436"/>
      <c r="L869" s="29" t="s">
        <v>3085</v>
      </c>
      <c r="M869" s="31"/>
      <c r="N869" s="14" t="s">
        <v>84</v>
      </c>
      <c r="O869" s="31"/>
      <c r="Q869" s="36"/>
      <c r="R869" s="36"/>
      <c r="S869" s="36"/>
      <c r="T869" s="36"/>
      <c r="V869" s="31"/>
    </row>
    <row r="870">
      <c r="A870" s="14" t="s">
        <v>736</v>
      </c>
      <c r="B870" s="351" t="s">
        <v>3371</v>
      </c>
      <c r="C870" s="50" t="s">
        <v>1347</v>
      </c>
      <c r="D870" s="50" t="s">
        <v>40</v>
      </c>
      <c r="E870" s="348" t="str">
        <f t="shared" si="740"/>
        <v>junio 2026</v>
      </c>
      <c r="F870" s="349">
        <v>46175.0</v>
      </c>
      <c r="G870" s="24">
        <f t="shared" ref="G870:H870" si="876">F870</f>
        <v>46175</v>
      </c>
      <c r="H870" s="26">
        <f t="shared" si="876"/>
        <v>46175</v>
      </c>
      <c r="I870" s="50" t="s">
        <v>90</v>
      </c>
      <c r="K870" s="435"/>
      <c r="L870" s="29" t="s">
        <v>3085</v>
      </c>
      <c r="M870" s="31"/>
      <c r="N870" s="14" t="s">
        <v>84</v>
      </c>
      <c r="O870" s="31"/>
      <c r="Q870" s="36"/>
      <c r="R870" s="36"/>
      <c r="S870" s="36"/>
      <c r="T870" s="36"/>
      <c r="V870" s="31"/>
    </row>
    <row r="871">
      <c r="A871" s="14" t="s">
        <v>736</v>
      </c>
      <c r="B871" s="351" t="s">
        <v>3372</v>
      </c>
      <c r="C871" s="50" t="s">
        <v>1348</v>
      </c>
      <c r="D871" s="50" t="s">
        <v>40</v>
      </c>
      <c r="E871" s="348" t="str">
        <f t="shared" si="740"/>
        <v>junio 2026</v>
      </c>
      <c r="F871" s="349">
        <v>46175.0</v>
      </c>
      <c r="G871" s="24">
        <f t="shared" ref="G871:H871" si="877">F871</f>
        <v>46175</v>
      </c>
      <c r="H871" s="26">
        <f t="shared" si="877"/>
        <v>46175</v>
      </c>
      <c r="I871" s="50" t="s">
        <v>90</v>
      </c>
      <c r="K871" s="436"/>
      <c r="L871" s="29" t="s">
        <v>3085</v>
      </c>
      <c r="M871" s="31"/>
      <c r="N871" s="14" t="s">
        <v>84</v>
      </c>
      <c r="O871" s="31"/>
      <c r="Q871" s="36"/>
      <c r="R871" s="36"/>
      <c r="S871" s="36"/>
      <c r="T871" s="36"/>
      <c r="V871" s="31"/>
    </row>
    <row r="872">
      <c r="A872" s="14" t="s">
        <v>736</v>
      </c>
      <c r="B872" s="351" t="s">
        <v>3373</v>
      </c>
      <c r="C872" s="50" t="s">
        <v>1349</v>
      </c>
      <c r="D872" s="50" t="s">
        <v>40</v>
      </c>
      <c r="E872" s="348" t="str">
        <f t="shared" si="740"/>
        <v>junio 2026</v>
      </c>
      <c r="F872" s="349">
        <v>46175.0</v>
      </c>
      <c r="G872" s="24">
        <f t="shared" ref="G872:H872" si="878">F872</f>
        <v>46175</v>
      </c>
      <c r="H872" s="26">
        <f t="shared" si="878"/>
        <v>46175</v>
      </c>
      <c r="I872" s="50" t="s">
        <v>90</v>
      </c>
      <c r="K872" s="435"/>
      <c r="L872" s="29" t="s">
        <v>3085</v>
      </c>
      <c r="M872" s="31"/>
      <c r="N872" s="14" t="s">
        <v>84</v>
      </c>
      <c r="O872" s="31"/>
      <c r="Q872" s="36"/>
      <c r="R872" s="36"/>
      <c r="S872" s="36"/>
      <c r="T872" s="36"/>
      <c r="V872" s="31"/>
    </row>
    <row r="873">
      <c r="A873" s="14" t="s">
        <v>736</v>
      </c>
      <c r="B873" s="351" t="s">
        <v>3374</v>
      </c>
      <c r="C873" s="50" t="s">
        <v>1350</v>
      </c>
      <c r="D873" s="50" t="s">
        <v>40</v>
      </c>
      <c r="E873" s="348" t="str">
        <f t="shared" si="740"/>
        <v>mayo 2026</v>
      </c>
      <c r="F873" s="349">
        <v>46171.0</v>
      </c>
      <c r="G873" s="24">
        <f t="shared" ref="G873:H873" si="879">F873</f>
        <v>46171</v>
      </c>
      <c r="H873" s="26">
        <f t="shared" si="879"/>
        <v>46171</v>
      </c>
      <c r="I873" s="50" t="s">
        <v>90</v>
      </c>
      <c r="K873" s="436"/>
      <c r="L873" s="29" t="s">
        <v>3085</v>
      </c>
      <c r="M873" s="31"/>
      <c r="N873" s="14" t="s">
        <v>84</v>
      </c>
      <c r="O873" s="31"/>
      <c r="Q873" s="36"/>
      <c r="R873" s="36"/>
      <c r="S873" s="36"/>
      <c r="T873" s="36"/>
      <c r="V873" s="31"/>
    </row>
    <row r="874">
      <c r="A874" s="14" t="s">
        <v>736</v>
      </c>
      <c r="B874" s="351" t="s">
        <v>3375</v>
      </c>
      <c r="C874" s="50" t="s">
        <v>1353</v>
      </c>
      <c r="D874" s="50" t="s">
        <v>40</v>
      </c>
      <c r="E874" s="348" t="str">
        <f t="shared" si="740"/>
        <v>mayo 2026</v>
      </c>
      <c r="F874" s="349">
        <v>46171.0</v>
      </c>
      <c r="G874" s="24">
        <f t="shared" ref="G874:H874" si="880">F874</f>
        <v>46171</v>
      </c>
      <c r="H874" s="26">
        <f t="shared" si="880"/>
        <v>46171</v>
      </c>
      <c r="I874" s="50" t="s">
        <v>90</v>
      </c>
      <c r="K874" s="435"/>
      <c r="L874" s="29" t="s">
        <v>3085</v>
      </c>
      <c r="M874" s="31"/>
      <c r="N874" s="14" t="s">
        <v>84</v>
      </c>
      <c r="O874" s="31"/>
      <c r="Q874" s="36"/>
      <c r="R874" s="36"/>
      <c r="S874" s="36"/>
      <c r="T874" s="36"/>
      <c r="V874" s="31"/>
    </row>
    <row r="875">
      <c r="A875" s="14" t="s">
        <v>736</v>
      </c>
      <c r="B875" s="351" t="s">
        <v>3376</v>
      </c>
      <c r="C875" s="50" t="s">
        <v>1354</v>
      </c>
      <c r="D875" s="50" t="s">
        <v>40</v>
      </c>
      <c r="E875" s="348" t="str">
        <f t="shared" si="740"/>
        <v>junio 2026</v>
      </c>
      <c r="F875" s="349">
        <v>46175.0</v>
      </c>
      <c r="G875" s="24">
        <f t="shared" ref="G875:H875" si="881">F875</f>
        <v>46175</v>
      </c>
      <c r="H875" s="26">
        <f t="shared" si="881"/>
        <v>46175</v>
      </c>
      <c r="I875" s="50" t="s">
        <v>90</v>
      </c>
      <c r="K875" s="436"/>
      <c r="L875" s="29" t="s">
        <v>3085</v>
      </c>
      <c r="M875" s="31"/>
      <c r="N875" s="14" t="s">
        <v>84</v>
      </c>
      <c r="O875" s="31"/>
      <c r="Q875" s="36"/>
      <c r="R875" s="36"/>
      <c r="S875" s="36"/>
      <c r="T875" s="36"/>
      <c r="V875" s="31"/>
    </row>
    <row r="876">
      <c r="A876" s="14" t="s">
        <v>736</v>
      </c>
      <c r="B876" s="351" t="s">
        <v>3377</v>
      </c>
      <c r="C876" s="50" t="s">
        <v>1355</v>
      </c>
      <c r="D876" s="50" t="s">
        <v>40</v>
      </c>
      <c r="E876" s="348" t="str">
        <f t="shared" si="740"/>
        <v>junio 2026</v>
      </c>
      <c r="F876" s="349">
        <v>46175.0</v>
      </c>
      <c r="G876" s="24">
        <f t="shared" ref="G876:H876" si="882">F876</f>
        <v>46175</v>
      </c>
      <c r="H876" s="26">
        <f t="shared" si="882"/>
        <v>46175</v>
      </c>
      <c r="I876" s="50" t="s">
        <v>90</v>
      </c>
      <c r="K876" s="435"/>
      <c r="L876" s="29" t="s">
        <v>3085</v>
      </c>
      <c r="M876" s="31"/>
      <c r="N876" s="14" t="s">
        <v>84</v>
      </c>
      <c r="O876" s="31"/>
      <c r="Q876" s="36"/>
      <c r="R876" s="36"/>
      <c r="S876" s="36"/>
      <c r="T876" s="36"/>
      <c r="V876" s="31"/>
    </row>
    <row r="877">
      <c r="A877" s="14" t="s">
        <v>736</v>
      </c>
      <c r="B877" s="351" t="s">
        <v>3378</v>
      </c>
      <c r="C877" s="50" t="s">
        <v>1356</v>
      </c>
      <c r="D877" s="50" t="s">
        <v>40</v>
      </c>
      <c r="E877" s="348" t="str">
        <f t="shared" si="740"/>
        <v>junio 2026</v>
      </c>
      <c r="F877" s="349">
        <v>46175.0</v>
      </c>
      <c r="G877" s="24">
        <f t="shared" ref="G877:H877" si="883">F877</f>
        <v>46175</v>
      </c>
      <c r="H877" s="26">
        <f t="shared" si="883"/>
        <v>46175</v>
      </c>
      <c r="I877" s="50" t="s">
        <v>90</v>
      </c>
      <c r="K877" s="436"/>
      <c r="L877" s="29" t="s">
        <v>3085</v>
      </c>
      <c r="M877" s="31"/>
      <c r="N877" s="14" t="s">
        <v>84</v>
      </c>
      <c r="O877" s="31"/>
      <c r="Q877" s="36"/>
      <c r="R877" s="36"/>
      <c r="S877" s="36"/>
      <c r="T877" s="36"/>
      <c r="V877" s="31"/>
    </row>
    <row r="878">
      <c r="A878" s="14" t="s">
        <v>736</v>
      </c>
      <c r="B878" s="351" t="s">
        <v>3379</v>
      </c>
      <c r="C878" s="50" t="s">
        <v>1359</v>
      </c>
      <c r="D878" s="50" t="s">
        <v>40</v>
      </c>
      <c r="E878" s="348" t="str">
        <f t="shared" si="740"/>
        <v>junio 2026</v>
      </c>
      <c r="F878" s="349">
        <v>46175.0</v>
      </c>
      <c r="G878" s="24">
        <f t="shared" ref="G878:H878" si="884">F878</f>
        <v>46175</v>
      </c>
      <c r="H878" s="26">
        <f t="shared" si="884"/>
        <v>46175</v>
      </c>
      <c r="I878" s="50" t="s">
        <v>90</v>
      </c>
      <c r="K878" s="435"/>
      <c r="L878" s="29" t="s">
        <v>3085</v>
      </c>
      <c r="M878" s="31"/>
      <c r="N878" s="14" t="s">
        <v>84</v>
      </c>
      <c r="O878" s="31"/>
      <c r="Q878" s="36"/>
      <c r="R878" s="36"/>
      <c r="S878" s="36"/>
      <c r="T878" s="36"/>
      <c r="V878" s="31"/>
    </row>
    <row r="879">
      <c r="A879" s="37" t="s">
        <v>66</v>
      </c>
      <c r="B879" s="179"/>
      <c r="C879" s="379" t="s">
        <v>3380</v>
      </c>
      <c r="D879" s="379" t="s">
        <v>40</v>
      </c>
      <c r="E879" s="441">
        <v>46163.0</v>
      </c>
      <c r="F879" s="381"/>
      <c r="G879" s="24" t="str">
        <f t="shared" ref="G879:H879" si="885">F879</f>
        <v/>
      </c>
      <c r="H879" s="26" t="str">
        <f t="shared" si="885"/>
        <v/>
      </c>
      <c r="I879" s="14" t="s">
        <v>1865</v>
      </c>
      <c r="K879" s="88"/>
      <c r="L879" s="29" t="s">
        <v>3382</v>
      </c>
      <c r="M879" s="14"/>
      <c r="N879" s="14" t="s">
        <v>84</v>
      </c>
      <c r="O879" s="14" t="s">
        <v>40</v>
      </c>
      <c r="P879" s="14" t="s">
        <v>3383</v>
      </c>
      <c r="Q879" s="36"/>
      <c r="R879" s="36"/>
      <c r="S879" s="36"/>
      <c r="T879" s="36"/>
      <c r="V879" s="31"/>
    </row>
    <row r="880">
      <c r="A880" s="14" t="s">
        <v>117</v>
      </c>
      <c r="B880" s="179"/>
      <c r="C880" s="382" t="s">
        <v>1820</v>
      </c>
      <c r="D880" s="382" t="s">
        <v>40</v>
      </c>
      <c r="E880" s="383" t="str">
        <f t="shared" ref="E880:E1114" si="887">TEXT(F880, "mmmm yyyy")
</f>
        <v>junio 2026</v>
      </c>
      <c r="F880" s="386">
        <v>46183.0</v>
      </c>
      <c r="G880" s="24">
        <f t="shared" ref="G880:H880" si="886">F880</f>
        <v>46183</v>
      </c>
      <c r="H880" s="26">
        <f t="shared" si="886"/>
        <v>46183</v>
      </c>
      <c r="I880" s="14" t="s">
        <v>90</v>
      </c>
      <c r="K880" s="27">
        <v>3.0E8</v>
      </c>
      <c r="L880" s="29" t="s">
        <v>2590</v>
      </c>
      <c r="M880" s="31"/>
      <c r="N880" s="14" t="s">
        <v>84</v>
      </c>
      <c r="O880" s="14" t="s">
        <v>40</v>
      </c>
      <c r="Q880" s="36"/>
      <c r="R880" s="36"/>
      <c r="S880" s="36"/>
      <c r="T880" s="36"/>
      <c r="V880" s="31"/>
    </row>
    <row r="881">
      <c r="A881" s="14" t="s">
        <v>736</v>
      </c>
      <c r="B881" s="351" t="s">
        <v>3384</v>
      </c>
      <c r="C881" s="50" t="s">
        <v>1360</v>
      </c>
      <c r="D881" s="50"/>
      <c r="E881" s="348" t="str">
        <f t="shared" si="887"/>
        <v>julio 2026</v>
      </c>
      <c r="F881" s="349">
        <v>46206.0</v>
      </c>
      <c r="G881" s="24">
        <f t="shared" ref="G881:H881" si="888">F881</f>
        <v>46206</v>
      </c>
      <c r="H881" s="26">
        <f t="shared" si="888"/>
        <v>46206</v>
      </c>
      <c r="I881" s="50" t="s">
        <v>90</v>
      </c>
      <c r="K881" s="27"/>
      <c r="L881" s="29" t="s">
        <v>3085</v>
      </c>
      <c r="M881" s="31"/>
      <c r="N881" s="14" t="s">
        <v>84</v>
      </c>
      <c r="O881" s="31"/>
      <c r="Q881" s="36"/>
      <c r="R881" s="36"/>
      <c r="S881" s="36"/>
      <c r="T881" s="36"/>
      <c r="V881" s="31"/>
    </row>
    <row r="882">
      <c r="A882" s="14" t="s">
        <v>736</v>
      </c>
      <c r="B882" s="351" t="s">
        <v>3385</v>
      </c>
      <c r="C882" s="50" t="s">
        <v>1361</v>
      </c>
      <c r="D882" s="50"/>
      <c r="E882" s="348" t="str">
        <f t="shared" si="887"/>
        <v>junio 2026</v>
      </c>
      <c r="F882" s="349">
        <v>46179.0</v>
      </c>
      <c r="G882" s="24">
        <f t="shared" ref="G882:H882" si="889">F882</f>
        <v>46179</v>
      </c>
      <c r="H882" s="26">
        <f t="shared" si="889"/>
        <v>46179</v>
      </c>
      <c r="I882" s="50" t="s">
        <v>90</v>
      </c>
      <c r="K882" s="27"/>
      <c r="L882" s="29" t="s">
        <v>3085</v>
      </c>
      <c r="M882" s="31"/>
      <c r="N882" s="14" t="s">
        <v>84</v>
      </c>
      <c r="O882" s="31"/>
      <c r="Q882" s="36"/>
      <c r="R882" s="36"/>
      <c r="S882" s="36"/>
      <c r="T882" s="36"/>
      <c r="V882" s="31"/>
    </row>
    <row r="883">
      <c r="A883" s="14" t="s">
        <v>736</v>
      </c>
      <c r="B883" s="351" t="s">
        <v>3386</v>
      </c>
      <c r="C883" s="50" t="s">
        <v>1365</v>
      </c>
      <c r="D883" s="50"/>
      <c r="E883" s="348" t="str">
        <f t="shared" si="887"/>
        <v>junio 2026</v>
      </c>
      <c r="F883" s="349">
        <v>46175.0</v>
      </c>
      <c r="G883" s="24">
        <f t="shared" ref="G883:H883" si="890">F883</f>
        <v>46175</v>
      </c>
      <c r="H883" s="26">
        <f t="shared" si="890"/>
        <v>46175</v>
      </c>
      <c r="I883" s="50" t="s">
        <v>90</v>
      </c>
      <c r="K883" s="435"/>
      <c r="L883" s="29" t="s">
        <v>3085</v>
      </c>
      <c r="M883" s="31"/>
      <c r="N883" s="14" t="s">
        <v>84</v>
      </c>
      <c r="O883" s="31"/>
      <c r="Q883" s="36"/>
      <c r="R883" s="36"/>
      <c r="S883" s="36"/>
      <c r="T883" s="36"/>
      <c r="V883" s="31"/>
    </row>
    <row r="884">
      <c r="A884" s="14" t="s">
        <v>736</v>
      </c>
      <c r="B884" s="351" t="s">
        <v>3387</v>
      </c>
      <c r="C884" s="50" t="s">
        <v>1366</v>
      </c>
      <c r="D884" s="50"/>
      <c r="E884" s="348" t="str">
        <f t="shared" si="887"/>
        <v>junio 2026</v>
      </c>
      <c r="F884" s="349">
        <v>46185.0</v>
      </c>
      <c r="G884" s="24">
        <f t="shared" ref="G884:H884" si="891">F884</f>
        <v>46185</v>
      </c>
      <c r="H884" s="26">
        <f t="shared" si="891"/>
        <v>46185</v>
      </c>
      <c r="I884" s="50" t="s">
        <v>90</v>
      </c>
      <c r="K884" s="436"/>
      <c r="L884" s="29" t="s">
        <v>3085</v>
      </c>
      <c r="M884" s="31"/>
      <c r="N884" s="14" t="s">
        <v>84</v>
      </c>
      <c r="O884" s="31"/>
      <c r="Q884" s="36"/>
      <c r="R884" s="36"/>
      <c r="S884" s="36"/>
      <c r="T884" s="36"/>
      <c r="V884" s="31"/>
    </row>
    <row r="885">
      <c r="A885" s="14" t="s">
        <v>736</v>
      </c>
      <c r="B885" s="351" t="s">
        <v>3388</v>
      </c>
      <c r="C885" s="50" t="s">
        <v>1368</v>
      </c>
      <c r="D885" s="50"/>
      <c r="E885" s="348" t="str">
        <f t="shared" si="887"/>
        <v>junio 2026</v>
      </c>
      <c r="F885" s="349">
        <v>46185.0</v>
      </c>
      <c r="G885" s="24">
        <f t="shared" ref="G885:H885" si="892">F885</f>
        <v>46185</v>
      </c>
      <c r="H885" s="26">
        <f t="shared" si="892"/>
        <v>46185</v>
      </c>
      <c r="I885" s="50" t="s">
        <v>90</v>
      </c>
      <c r="K885" s="435"/>
      <c r="L885" s="29" t="s">
        <v>3085</v>
      </c>
      <c r="M885" s="31"/>
      <c r="N885" s="14" t="s">
        <v>84</v>
      </c>
      <c r="O885" s="31"/>
      <c r="Q885" s="36"/>
      <c r="R885" s="36"/>
      <c r="S885" s="36"/>
      <c r="T885" s="36"/>
      <c r="V885" s="31"/>
    </row>
    <row r="886">
      <c r="A886" s="14" t="s">
        <v>736</v>
      </c>
      <c r="B886" s="351" t="s">
        <v>3389</v>
      </c>
      <c r="C886" s="50" t="s">
        <v>1369</v>
      </c>
      <c r="D886" s="50"/>
      <c r="E886" s="348" t="str">
        <f t="shared" si="887"/>
        <v>junio 2026</v>
      </c>
      <c r="F886" s="349">
        <v>46184.0</v>
      </c>
      <c r="G886" s="24">
        <f t="shared" ref="G886:H886" si="893">F886</f>
        <v>46184</v>
      </c>
      <c r="H886" s="26">
        <f t="shared" si="893"/>
        <v>46184</v>
      </c>
      <c r="I886" s="50" t="s">
        <v>90</v>
      </c>
      <c r="K886" s="436"/>
      <c r="L886" s="29" t="s">
        <v>3085</v>
      </c>
      <c r="M886" s="31"/>
      <c r="N886" s="14" t="s">
        <v>84</v>
      </c>
      <c r="O886" s="31"/>
      <c r="Q886" s="36"/>
      <c r="R886" s="36"/>
      <c r="S886" s="36"/>
      <c r="T886" s="36"/>
      <c r="V886" s="31"/>
    </row>
    <row r="887">
      <c r="A887" s="14" t="s">
        <v>736</v>
      </c>
      <c r="B887" s="351" t="s">
        <v>3390</v>
      </c>
      <c r="C887" s="50" t="s">
        <v>1371</v>
      </c>
      <c r="D887" s="50"/>
      <c r="E887" s="348" t="str">
        <f t="shared" si="887"/>
        <v>junio 2026</v>
      </c>
      <c r="F887" s="349">
        <v>46184.0</v>
      </c>
      <c r="G887" s="24">
        <f t="shared" ref="G887:H887" si="894">F887</f>
        <v>46184</v>
      </c>
      <c r="H887" s="26">
        <f t="shared" si="894"/>
        <v>46184</v>
      </c>
      <c r="I887" s="50" t="s">
        <v>90</v>
      </c>
      <c r="K887" s="435"/>
      <c r="L887" s="29" t="s">
        <v>3085</v>
      </c>
      <c r="M887" s="31"/>
      <c r="N887" s="14" t="s">
        <v>84</v>
      </c>
      <c r="O887" s="31"/>
      <c r="Q887" s="36"/>
      <c r="R887" s="36"/>
      <c r="S887" s="36"/>
      <c r="T887" s="36"/>
      <c r="V887" s="31"/>
    </row>
    <row r="888">
      <c r="A888" s="14" t="s">
        <v>736</v>
      </c>
      <c r="B888" s="351" t="s">
        <v>3391</v>
      </c>
      <c r="C888" s="50" t="s">
        <v>1372</v>
      </c>
      <c r="D888" s="50"/>
      <c r="E888" s="348" t="str">
        <f t="shared" si="887"/>
        <v>junio 2026</v>
      </c>
      <c r="F888" s="349">
        <v>46186.0</v>
      </c>
      <c r="G888" s="24">
        <f t="shared" ref="G888:H888" si="895">F888</f>
        <v>46186</v>
      </c>
      <c r="H888" s="26">
        <f t="shared" si="895"/>
        <v>46186</v>
      </c>
      <c r="I888" s="50" t="s">
        <v>90</v>
      </c>
      <c r="K888" s="436"/>
      <c r="L888" s="29" t="s">
        <v>3085</v>
      </c>
      <c r="M888" s="31"/>
      <c r="N888" s="14" t="s">
        <v>84</v>
      </c>
      <c r="O888" s="31"/>
      <c r="Q888" s="36"/>
      <c r="R888" s="36"/>
      <c r="S888" s="36"/>
      <c r="T888" s="36"/>
      <c r="V888" s="31"/>
    </row>
    <row r="889">
      <c r="A889" s="14" t="s">
        <v>736</v>
      </c>
      <c r="B889" s="351" t="s">
        <v>3392</v>
      </c>
      <c r="C889" s="50" t="s">
        <v>1375</v>
      </c>
      <c r="D889" s="50"/>
      <c r="E889" s="348" t="str">
        <f t="shared" si="887"/>
        <v>junio 2026</v>
      </c>
      <c r="F889" s="349">
        <v>46186.0</v>
      </c>
      <c r="G889" s="24">
        <f t="shared" ref="G889:H889" si="896">F889</f>
        <v>46186</v>
      </c>
      <c r="H889" s="26">
        <f t="shared" si="896"/>
        <v>46186</v>
      </c>
      <c r="I889" s="50" t="s">
        <v>90</v>
      </c>
      <c r="K889" s="435"/>
      <c r="L889" s="29" t="s">
        <v>3085</v>
      </c>
      <c r="M889" s="31"/>
      <c r="N889" s="14" t="s">
        <v>84</v>
      </c>
      <c r="O889" s="31"/>
      <c r="Q889" s="36"/>
      <c r="R889" s="36"/>
      <c r="S889" s="36"/>
      <c r="T889" s="36"/>
      <c r="V889" s="31"/>
    </row>
    <row r="890">
      <c r="A890" s="14" t="s">
        <v>736</v>
      </c>
      <c r="B890" s="351" t="s">
        <v>3393</v>
      </c>
      <c r="C890" s="50" t="s">
        <v>1376</v>
      </c>
      <c r="D890" s="50"/>
      <c r="E890" s="348" t="str">
        <f t="shared" si="887"/>
        <v>junio 2026</v>
      </c>
      <c r="F890" s="349">
        <v>46186.0</v>
      </c>
      <c r="G890" s="24">
        <f t="shared" ref="G890:H890" si="897">F890</f>
        <v>46186</v>
      </c>
      <c r="H890" s="26">
        <f t="shared" si="897"/>
        <v>46186</v>
      </c>
      <c r="I890" s="50" t="s">
        <v>90</v>
      </c>
      <c r="K890" s="436"/>
      <c r="L890" s="29" t="s">
        <v>3085</v>
      </c>
      <c r="M890" s="31"/>
      <c r="N890" s="14" t="s">
        <v>84</v>
      </c>
      <c r="O890" s="31"/>
      <c r="Q890" s="36"/>
      <c r="R890" s="36"/>
      <c r="S890" s="36"/>
      <c r="T890" s="36"/>
      <c r="V890" s="31"/>
    </row>
    <row r="891">
      <c r="A891" s="14" t="s">
        <v>736</v>
      </c>
      <c r="B891" s="351" t="s">
        <v>3394</v>
      </c>
      <c r="C891" s="50" t="s">
        <v>1377</v>
      </c>
      <c r="D891" s="50"/>
      <c r="E891" s="348" t="str">
        <f t="shared" si="887"/>
        <v>junio 2026</v>
      </c>
      <c r="F891" s="349">
        <v>46186.0</v>
      </c>
      <c r="G891" s="24">
        <f t="shared" ref="G891:H891" si="898">F891</f>
        <v>46186</v>
      </c>
      <c r="H891" s="26">
        <f t="shared" si="898"/>
        <v>46186</v>
      </c>
      <c r="I891" s="50" t="s">
        <v>90</v>
      </c>
      <c r="K891" s="435"/>
      <c r="L891" s="29" t="s">
        <v>3085</v>
      </c>
      <c r="M891" s="31"/>
      <c r="N891" s="14" t="s">
        <v>84</v>
      </c>
      <c r="O891" s="31"/>
      <c r="Q891" s="36"/>
      <c r="R891" s="36"/>
      <c r="S891" s="36"/>
      <c r="T891" s="36"/>
      <c r="V891" s="31"/>
    </row>
    <row r="892">
      <c r="A892" s="14" t="s">
        <v>736</v>
      </c>
      <c r="B892" s="351" t="s">
        <v>3395</v>
      </c>
      <c r="C892" s="50" t="s">
        <v>1380</v>
      </c>
      <c r="D892" s="50"/>
      <c r="E892" s="348" t="str">
        <f t="shared" si="887"/>
        <v>junio 2026</v>
      </c>
      <c r="F892" s="349">
        <v>46175.0</v>
      </c>
      <c r="G892" s="24">
        <f t="shared" ref="G892:H892" si="899">F892</f>
        <v>46175</v>
      </c>
      <c r="H892" s="26">
        <f t="shared" si="899"/>
        <v>46175</v>
      </c>
      <c r="I892" s="50" t="s">
        <v>90</v>
      </c>
      <c r="K892" s="436"/>
      <c r="L892" s="29" t="s">
        <v>3085</v>
      </c>
      <c r="M892" s="31"/>
      <c r="N892" s="14" t="s">
        <v>84</v>
      </c>
      <c r="O892" s="31"/>
      <c r="Q892" s="36"/>
      <c r="R892" s="36"/>
      <c r="S892" s="36"/>
      <c r="T892" s="36"/>
      <c r="V892" s="31"/>
    </row>
    <row r="893">
      <c r="A893" s="14" t="s">
        <v>736</v>
      </c>
      <c r="B893" s="351" t="s">
        <v>3396</v>
      </c>
      <c r="C893" s="50" t="s">
        <v>1381</v>
      </c>
      <c r="D893" s="50"/>
      <c r="E893" s="348" t="str">
        <f t="shared" si="887"/>
        <v>junio 2026</v>
      </c>
      <c r="F893" s="349">
        <v>46182.0</v>
      </c>
      <c r="G893" s="24">
        <f t="shared" ref="G893:H893" si="900">F893</f>
        <v>46182</v>
      </c>
      <c r="H893" s="26">
        <f t="shared" si="900"/>
        <v>46182</v>
      </c>
      <c r="I893" s="50" t="s">
        <v>90</v>
      </c>
      <c r="K893" s="435"/>
      <c r="L893" s="29" t="s">
        <v>3085</v>
      </c>
      <c r="M893" s="31"/>
      <c r="N893" s="14" t="s">
        <v>84</v>
      </c>
      <c r="O893" s="31"/>
      <c r="Q893" s="36"/>
      <c r="R893" s="36"/>
      <c r="S893" s="36"/>
      <c r="T893" s="36"/>
      <c r="V893" s="31"/>
    </row>
    <row r="894">
      <c r="A894" s="14" t="s">
        <v>736</v>
      </c>
      <c r="B894" s="351" t="s">
        <v>3397</v>
      </c>
      <c r="C894" s="50" t="s">
        <v>1383</v>
      </c>
      <c r="D894" s="50"/>
      <c r="E894" s="348" t="str">
        <f t="shared" si="887"/>
        <v>junio 2026</v>
      </c>
      <c r="F894" s="349">
        <v>46179.0</v>
      </c>
      <c r="G894" s="24">
        <f t="shared" ref="G894:H894" si="901">F894</f>
        <v>46179</v>
      </c>
      <c r="H894" s="26">
        <f t="shared" si="901"/>
        <v>46179</v>
      </c>
      <c r="I894" s="50" t="s">
        <v>90</v>
      </c>
      <c r="K894" s="436"/>
      <c r="L894" s="29" t="s">
        <v>3085</v>
      </c>
      <c r="M894" s="31"/>
      <c r="N894" s="14" t="s">
        <v>84</v>
      </c>
      <c r="O894" s="31"/>
      <c r="Q894" s="36"/>
      <c r="R894" s="36"/>
      <c r="S894" s="36"/>
      <c r="T894" s="36"/>
      <c r="V894" s="31"/>
    </row>
    <row r="895">
      <c r="A895" s="14" t="s">
        <v>736</v>
      </c>
      <c r="B895" s="351" t="s">
        <v>3398</v>
      </c>
      <c r="C895" s="50" t="s">
        <v>1385</v>
      </c>
      <c r="D895" s="50"/>
      <c r="E895" s="348" t="str">
        <f t="shared" si="887"/>
        <v>junio 2026</v>
      </c>
      <c r="F895" s="349">
        <v>46179.0</v>
      </c>
      <c r="G895" s="24">
        <f t="shared" ref="G895:H895" si="902">F895</f>
        <v>46179</v>
      </c>
      <c r="H895" s="26">
        <f t="shared" si="902"/>
        <v>46179</v>
      </c>
      <c r="I895" s="50" t="s">
        <v>90</v>
      </c>
      <c r="K895" s="435"/>
      <c r="L895" s="29" t="s">
        <v>3085</v>
      </c>
      <c r="M895" s="31"/>
      <c r="N895" s="14" t="s">
        <v>84</v>
      </c>
      <c r="O895" s="31"/>
      <c r="Q895" s="36"/>
      <c r="R895" s="36"/>
      <c r="S895" s="36"/>
      <c r="T895" s="36"/>
      <c r="V895" s="31"/>
    </row>
    <row r="896">
      <c r="A896" s="14" t="s">
        <v>736</v>
      </c>
      <c r="B896" s="351" t="s">
        <v>3399</v>
      </c>
      <c r="C896" s="50" t="s">
        <v>1387</v>
      </c>
      <c r="D896" s="50"/>
      <c r="E896" s="348" t="str">
        <f t="shared" si="887"/>
        <v>junio 2026</v>
      </c>
      <c r="F896" s="349">
        <v>46179.0</v>
      </c>
      <c r="G896" s="24">
        <f t="shared" ref="G896:H896" si="903">F896</f>
        <v>46179</v>
      </c>
      <c r="H896" s="26">
        <f t="shared" si="903"/>
        <v>46179</v>
      </c>
      <c r="I896" s="50" t="s">
        <v>90</v>
      </c>
      <c r="K896" s="436"/>
      <c r="L896" s="29" t="s">
        <v>3085</v>
      </c>
      <c r="M896" s="31"/>
      <c r="N896" s="14" t="s">
        <v>84</v>
      </c>
      <c r="O896" s="31"/>
      <c r="Q896" s="36"/>
      <c r="R896" s="36"/>
      <c r="S896" s="36"/>
      <c r="T896" s="36"/>
      <c r="V896" s="31"/>
    </row>
    <row r="897">
      <c r="A897" s="14" t="s">
        <v>736</v>
      </c>
      <c r="B897" s="351" t="s">
        <v>3400</v>
      </c>
      <c r="C897" s="50" t="s">
        <v>1389</v>
      </c>
      <c r="D897" s="50"/>
      <c r="E897" s="348" t="str">
        <f t="shared" si="887"/>
        <v>julio 2026</v>
      </c>
      <c r="F897" s="349">
        <v>46212.0</v>
      </c>
      <c r="G897" s="24">
        <f t="shared" ref="G897:H897" si="904">F897</f>
        <v>46212</v>
      </c>
      <c r="H897" s="26">
        <f t="shared" si="904"/>
        <v>46212</v>
      </c>
      <c r="I897" s="50" t="s">
        <v>90</v>
      </c>
      <c r="K897" s="435"/>
      <c r="L897" s="29" t="s">
        <v>3085</v>
      </c>
      <c r="M897" s="31"/>
      <c r="N897" s="14" t="s">
        <v>84</v>
      </c>
      <c r="O897" s="31"/>
      <c r="Q897" s="36"/>
      <c r="R897" s="36"/>
      <c r="S897" s="36"/>
      <c r="T897" s="36"/>
      <c r="V897" s="31"/>
    </row>
    <row r="898">
      <c r="A898" s="14" t="s">
        <v>736</v>
      </c>
      <c r="B898" s="351" t="s">
        <v>3401</v>
      </c>
      <c r="C898" s="50" t="s">
        <v>1390</v>
      </c>
      <c r="D898" s="50"/>
      <c r="E898" s="348" t="str">
        <f t="shared" si="887"/>
        <v>julio 2026</v>
      </c>
      <c r="F898" s="349">
        <v>46212.0</v>
      </c>
      <c r="G898" s="24">
        <f t="shared" ref="G898:H898" si="905">F898</f>
        <v>46212</v>
      </c>
      <c r="H898" s="26">
        <f t="shared" si="905"/>
        <v>46212</v>
      </c>
      <c r="I898" s="50" t="s">
        <v>90</v>
      </c>
      <c r="K898" s="436"/>
      <c r="L898" s="29" t="s">
        <v>3085</v>
      </c>
      <c r="M898" s="31"/>
      <c r="N898" s="14" t="s">
        <v>84</v>
      </c>
      <c r="O898" s="31"/>
      <c r="Q898" s="36"/>
      <c r="R898" s="36"/>
      <c r="S898" s="36"/>
      <c r="T898" s="36"/>
      <c r="V898" s="31"/>
    </row>
    <row r="899">
      <c r="A899" s="14" t="s">
        <v>736</v>
      </c>
      <c r="B899" s="351" t="s">
        <v>3402</v>
      </c>
      <c r="C899" s="50" t="s">
        <v>1391</v>
      </c>
      <c r="D899" s="50"/>
      <c r="E899" s="348" t="str">
        <f t="shared" si="887"/>
        <v>julio 2026</v>
      </c>
      <c r="F899" s="349">
        <v>46218.0</v>
      </c>
      <c r="G899" s="24">
        <f t="shared" ref="G899:H899" si="906">F899</f>
        <v>46218</v>
      </c>
      <c r="H899" s="26">
        <f t="shared" si="906"/>
        <v>46218</v>
      </c>
      <c r="I899" s="50" t="s">
        <v>90</v>
      </c>
      <c r="K899" s="435"/>
      <c r="L899" s="29" t="s">
        <v>3085</v>
      </c>
      <c r="M899" s="31"/>
      <c r="N899" s="14" t="s">
        <v>84</v>
      </c>
      <c r="O899" s="31"/>
      <c r="Q899" s="36"/>
      <c r="R899" s="36"/>
      <c r="S899" s="36"/>
      <c r="T899" s="36"/>
      <c r="V899" s="31"/>
    </row>
    <row r="900">
      <c r="A900" s="14" t="s">
        <v>736</v>
      </c>
      <c r="B900" s="351" t="s">
        <v>3403</v>
      </c>
      <c r="C900" s="50" t="s">
        <v>1392</v>
      </c>
      <c r="D900" s="50"/>
      <c r="E900" s="348" t="str">
        <f t="shared" si="887"/>
        <v>junio 2026</v>
      </c>
      <c r="F900" s="349">
        <v>46179.0</v>
      </c>
      <c r="G900" s="24">
        <f t="shared" ref="G900:H900" si="907">F900</f>
        <v>46179</v>
      </c>
      <c r="H900" s="26">
        <f t="shared" si="907"/>
        <v>46179</v>
      </c>
      <c r="I900" s="50" t="s">
        <v>90</v>
      </c>
      <c r="K900" s="436"/>
      <c r="L900" s="29" t="s">
        <v>3085</v>
      </c>
      <c r="M900" s="31"/>
      <c r="N900" s="14" t="s">
        <v>84</v>
      </c>
      <c r="O900" s="31"/>
      <c r="Q900" s="36"/>
      <c r="R900" s="36"/>
      <c r="S900" s="36"/>
      <c r="T900" s="36"/>
      <c r="V900" s="31"/>
    </row>
    <row r="901">
      <c r="A901" s="14" t="s">
        <v>736</v>
      </c>
      <c r="B901" s="351" t="s">
        <v>3404</v>
      </c>
      <c r="C901" s="50" t="s">
        <v>1394</v>
      </c>
      <c r="D901" s="50"/>
      <c r="E901" s="348" t="str">
        <f t="shared" si="887"/>
        <v>junio 2026</v>
      </c>
      <c r="F901" s="349">
        <v>46182.0</v>
      </c>
      <c r="G901" s="24">
        <f t="shared" ref="G901:H901" si="908">F901</f>
        <v>46182</v>
      </c>
      <c r="H901" s="26">
        <f t="shared" si="908"/>
        <v>46182</v>
      </c>
      <c r="I901" s="50" t="s">
        <v>90</v>
      </c>
      <c r="K901" s="435"/>
      <c r="L901" s="29" t="s">
        <v>3085</v>
      </c>
      <c r="M901" s="31"/>
      <c r="N901" s="14" t="s">
        <v>84</v>
      </c>
      <c r="O901" s="31"/>
      <c r="Q901" s="36"/>
      <c r="R901" s="36"/>
      <c r="S901" s="36"/>
      <c r="T901" s="36"/>
      <c r="V901" s="31"/>
    </row>
    <row r="902">
      <c r="A902" s="14" t="s">
        <v>736</v>
      </c>
      <c r="B902" s="351" t="s">
        <v>3404</v>
      </c>
      <c r="C902" s="50" t="s">
        <v>1396</v>
      </c>
      <c r="D902" s="50"/>
      <c r="E902" s="348" t="str">
        <f t="shared" si="887"/>
        <v>junio 2026</v>
      </c>
      <c r="F902" s="349">
        <v>46182.0</v>
      </c>
      <c r="G902" s="24">
        <f t="shared" ref="G902:H902" si="909">F902</f>
        <v>46182</v>
      </c>
      <c r="H902" s="26">
        <f t="shared" si="909"/>
        <v>46182</v>
      </c>
      <c r="I902" s="50" t="s">
        <v>90</v>
      </c>
      <c r="K902" s="436"/>
      <c r="L902" s="29" t="s">
        <v>3085</v>
      </c>
      <c r="M902" s="31"/>
      <c r="N902" s="14" t="s">
        <v>84</v>
      </c>
      <c r="O902" s="31"/>
      <c r="Q902" s="36"/>
      <c r="R902" s="36"/>
      <c r="S902" s="36"/>
      <c r="T902" s="36"/>
      <c r="V902" s="31"/>
    </row>
    <row r="903">
      <c r="A903" s="14" t="s">
        <v>736</v>
      </c>
      <c r="B903" s="351" t="s">
        <v>3405</v>
      </c>
      <c r="C903" s="50" t="s">
        <v>1397</v>
      </c>
      <c r="D903" s="50"/>
      <c r="E903" s="348" t="str">
        <f t="shared" si="887"/>
        <v>junio 2026</v>
      </c>
      <c r="F903" s="349">
        <v>46199.0</v>
      </c>
      <c r="G903" s="24">
        <f t="shared" ref="G903:H903" si="910">F903</f>
        <v>46199</v>
      </c>
      <c r="H903" s="26">
        <f t="shared" si="910"/>
        <v>46199</v>
      </c>
      <c r="I903" s="50" t="s">
        <v>90</v>
      </c>
      <c r="K903" s="435"/>
      <c r="L903" s="29" t="s">
        <v>3085</v>
      </c>
      <c r="M903" s="31"/>
      <c r="N903" s="14" t="s">
        <v>84</v>
      </c>
      <c r="O903" s="31"/>
      <c r="Q903" s="36"/>
      <c r="R903" s="36"/>
      <c r="S903" s="36"/>
      <c r="T903" s="36"/>
      <c r="V903" s="31"/>
    </row>
    <row r="904">
      <c r="A904" s="14" t="s">
        <v>736</v>
      </c>
      <c r="B904" s="351" t="s">
        <v>3406</v>
      </c>
      <c r="C904" s="50" t="s">
        <v>1398</v>
      </c>
      <c r="D904" s="50"/>
      <c r="E904" s="348" t="str">
        <f t="shared" si="887"/>
        <v>diciembre 1899</v>
      </c>
      <c r="F904" s="349"/>
      <c r="G904" s="24" t="str">
        <f t="shared" ref="G904:H904" si="911">F904</f>
        <v/>
      </c>
      <c r="H904" s="26" t="str">
        <f t="shared" si="911"/>
        <v/>
      </c>
      <c r="I904" s="50" t="s">
        <v>90</v>
      </c>
      <c r="K904" s="436"/>
      <c r="L904" s="29" t="s">
        <v>3085</v>
      </c>
      <c r="M904" s="31"/>
      <c r="N904" s="14" t="s">
        <v>84</v>
      </c>
      <c r="O904" s="31"/>
      <c r="Q904" s="36"/>
      <c r="R904" s="36"/>
      <c r="S904" s="36"/>
      <c r="T904" s="36"/>
      <c r="V904" s="31"/>
    </row>
    <row r="905">
      <c r="A905" s="14" t="s">
        <v>736</v>
      </c>
      <c r="B905" s="351" t="s">
        <v>3407</v>
      </c>
      <c r="C905" s="50" t="s">
        <v>1400</v>
      </c>
      <c r="D905" s="50"/>
      <c r="E905" s="348" t="str">
        <f t="shared" si="887"/>
        <v>junio 2026</v>
      </c>
      <c r="F905" s="349">
        <v>46179.0</v>
      </c>
      <c r="G905" s="24">
        <f t="shared" ref="G905:H905" si="912">F905</f>
        <v>46179</v>
      </c>
      <c r="H905" s="26">
        <f t="shared" si="912"/>
        <v>46179</v>
      </c>
      <c r="I905" s="50" t="s">
        <v>90</v>
      </c>
      <c r="K905" s="435"/>
      <c r="L905" s="29" t="s">
        <v>3085</v>
      </c>
      <c r="M905" s="31"/>
      <c r="N905" s="14" t="s">
        <v>84</v>
      </c>
      <c r="O905" s="31"/>
      <c r="Q905" s="36"/>
      <c r="R905" s="36"/>
      <c r="S905" s="36"/>
      <c r="T905" s="36"/>
      <c r="V905" s="31"/>
    </row>
    <row r="906">
      <c r="A906" s="14" t="s">
        <v>736</v>
      </c>
      <c r="B906" s="351" t="s">
        <v>3408</v>
      </c>
      <c r="C906" s="50" t="s">
        <v>1404</v>
      </c>
      <c r="D906" s="50"/>
      <c r="E906" s="348" t="str">
        <f t="shared" si="887"/>
        <v>junio 2026</v>
      </c>
      <c r="F906" s="349">
        <v>46186.0</v>
      </c>
      <c r="G906" s="24">
        <f t="shared" ref="G906:H906" si="913">F906</f>
        <v>46186</v>
      </c>
      <c r="H906" s="26">
        <f t="shared" si="913"/>
        <v>46186</v>
      </c>
      <c r="I906" s="50" t="s">
        <v>90</v>
      </c>
      <c r="K906" s="436"/>
      <c r="L906" s="29" t="s">
        <v>3085</v>
      </c>
      <c r="M906" s="31"/>
      <c r="N906" s="14" t="s">
        <v>84</v>
      </c>
      <c r="O906" s="31"/>
      <c r="Q906" s="36"/>
      <c r="R906" s="36"/>
      <c r="S906" s="36"/>
      <c r="T906" s="36"/>
      <c r="V906" s="31"/>
    </row>
    <row r="907">
      <c r="A907" s="14" t="s">
        <v>736</v>
      </c>
      <c r="B907" s="351" t="s">
        <v>3409</v>
      </c>
      <c r="C907" s="50" t="s">
        <v>1405</v>
      </c>
      <c r="D907" s="50"/>
      <c r="E907" s="348" t="str">
        <f t="shared" si="887"/>
        <v>junio 2026</v>
      </c>
      <c r="F907" s="349">
        <v>46186.0</v>
      </c>
      <c r="G907" s="24">
        <f t="shared" ref="G907:H907" si="914">F907</f>
        <v>46186</v>
      </c>
      <c r="H907" s="26">
        <f t="shared" si="914"/>
        <v>46186</v>
      </c>
      <c r="I907" s="50" t="s">
        <v>90</v>
      </c>
      <c r="K907" s="435"/>
      <c r="L907" s="29" t="s">
        <v>3085</v>
      </c>
      <c r="M907" s="31"/>
      <c r="N907" s="14" t="s">
        <v>84</v>
      </c>
      <c r="O907" s="31"/>
      <c r="Q907" s="36"/>
      <c r="R907" s="36"/>
      <c r="S907" s="36"/>
      <c r="T907" s="36"/>
      <c r="V907" s="31"/>
    </row>
    <row r="908">
      <c r="A908" s="14" t="s">
        <v>736</v>
      </c>
      <c r="B908" s="351" t="s">
        <v>3410</v>
      </c>
      <c r="C908" s="50" t="s">
        <v>1406</v>
      </c>
      <c r="D908" s="50"/>
      <c r="E908" s="348" t="str">
        <f t="shared" si="887"/>
        <v>junio 2026</v>
      </c>
      <c r="F908" s="349">
        <v>46184.0</v>
      </c>
      <c r="G908" s="24">
        <f t="shared" ref="G908:H908" si="915">F908</f>
        <v>46184</v>
      </c>
      <c r="H908" s="26">
        <f t="shared" si="915"/>
        <v>46184</v>
      </c>
      <c r="I908" s="50" t="s">
        <v>90</v>
      </c>
      <c r="K908" s="436"/>
      <c r="L908" s="29" t="s">
        <v>3085</v>
      </c>
      <c r="M908" s="31"/>
      <c r="N908" s="14" t="s">
        <v>84</v>
      </c>
      <c r="O908" s="31"/>
      <c r="Q908" s="36"/>
      <c r="R908" s="36"/>
      <c r="S908" s="36"/>
      <c r="T908" s="36"/>
      <c r="V908" s="31"/>
    </row>
    <row r="909">
      <c r="A909" s="14" t="s">
        <v>736</v>
      </c>
      <c r="B909" s="351" t="s">
        <v>3411</v>
      </c>
      <c r="C909" s="50" t="s">
        <v>1407</v>
      </c>
      <c r="D909" s="50"/>
      <c r="E909" s="348" t="str">
        <f t="shared" si="887"/>
        <v>junio 2026</v>
      </c>
      <c r="F909" s="349">
        <v>46184.0</v>
      </c>
      <c r="G909" s="24">
        <f t="shared" ref="G909:H909" si="916">F909</f>
        <v>46184</v>
      </c>
      <c r="H909" s="26">
        <f t="shared" si="916"/>
        <v>46184</v>
      </c>
      <c r="I909" s="50" t="s">
        <v>90</v>
      </c>
      <c r="K909" s="435"/>
      <c r="L909" s="29" t="s">
        <v>3085</v>
      </c>
      <c r="M909" s="31"/>
      <c r="N909" s="14" t="s">
        <v>84</v>
      </c>
      <c r="O909" s="31"/>
      <c r="Q909" s="36"/>
      <c r="R909" s="36"/>
      <c r="S909" s="36"/>
      <c r="T909" s="36"/>
      <c r="V909" s="31"/>
    </row>
    <row r="910">
      <c r="A910" s="14" t="s">
        <v>736</v>
      </c>
      <c r="B910" s="351" t="s">
        <v>3412</v>
      </c>
      <c r="C910" s="50" t="s">
        <v>1412</v>
      </c>
      <c r="D910" s="50"/>
      <c r="E910" s="348" t="str">
        <f t="shared" si="887"/>
        <v>junio 2026</v>
      </c>
      <c r="F910" s="349">
        <v>46184.0</v>
      </c>
      <c r="G910" s="24">
        <f t="shared" ref="G910:H910" si="917">F910</f>
        <v>46184</v>
      </c>
      <c r="H910" s="26">
        <f t="shared" si="917"/>
        <v>46184</v>
      </c>
      <c r="I910" s="50" t="s">
        <v>90</v>
      </c>
      <c r="K910" s="436"/>
      <c r="L910" s="29" t="s">
        <v>3085</v>
      </c>
      <c r="M910" s="31"/>
      <c r="N910" s="14" t="s">
        <v>84</v>
      </c>
      <c r="O910" s="31"/>
      <c r="Q910" s="36"/>
      <c r="R910" s="36"/>
      <c r="S910" s="36"/>
      <c r="T910" s="36"/>
      <c r="V910" s="31"/>
    </row>
    <row r="911">
      <c r="A911" s="14" t="s">
        <v>736</v>
      </c>
      <c r="B911" s="351" t="s">
        <v>3413</v>
      </c>
      <c r="C911" s="50" t="s">
        <v>1415</v>
      </c>
      <c r="D911" s="50"/>
      <c r="E911" s="348" t="str">
        <f t="shared" si="887"/>
        <v>junio 2026</v>
      </c>
      <c r="F911" s="349">
        <v>46184.0</v>
      </c>
      <c r="G911" s="24">
        <f t="shared" ref="G911:H911" si="918">F911</f>
        <v>46184</v>
      </c>
      <c r="H911" s="26">
        <f t="shared" si="918"/>
        <v>46184</v>
      </c>
      <c r="I911" s="50" t="s">
        <v>90</v>
      </c>
      <c r="K911" s="435"/>
      <c r="L911" s="29" t="s">
        <v>3085</v>
      </c>
      <c r="M911" s="31"/>
      <c r="N911" s="14" t="s">
        <v>84</v>
      </c>
      <c r="O911" s="31"/>
      <c r="Q911" s="36"/>
      <c r="R911" s="36"/>
      <c r="S911" s="36"/>
      <c r="T911" s="36"/>
      <c r="V911" s="31"/>
    </row>
    <row r="912">
      <c r="A912" s="14" t="s">
        <v>736</v>
      </c>
      <c r="B912" s="351" t="s">
        <v>3414</v>
      </c>
      <c r="C912" s="50" t="s">
        <v>1418</v>
      </c>
      <c r="D912" s="50"/>
      <c r="E912" s="348" t="str">
        <f t="shared" si="887"/>
        <v>junio 2026</v>
      </c>
      <c r="F912" s="349">
        <v>46185.0</v>
      </c>
      <c r="G912" s="24">
        <f t="shared" ref="G912:H912" si="919">F912</f>
        <v>46185</v>
      </c>
      <c r="H912" s="26">
        <f t="shared" si="919"/>
        <v>46185</v>
      </c>
      <c r="I912" s="50" t="s">
        <v>90</v>
      </c>
      <c r="K912" s="436"/>
      <c r="L912" s="29" t="s">
        <v>3085</v>
      </c>
      <c r="M912" s="31"/>
      <c r="N912" s="14" t="s">
        <v>84</v>
      </c>
      <c r="O912" s="31"/>
      <c r="Q912" s="36"/>
      <c r="R912" s="36"/>
      <c r="S912" s="36"/>
      <c r="T912" s="36"/>
      <c r="V912" s="31"/>
    </row>
    <row r="913">
      <c r="A913" s="14" t="s">
        <v>736</v>
      </c>
      <c r="B913" s="351" t="s">
        <v>3415</v>
      </c>
      <c r="C913" s="50" t="s">
        <v>1421</v>
      </c>
      <c r="D913" s="50"/>
      <c r="E913" s="348" t="str">
        <f t="shared" si="887"/>
        <v>junio 2026</v>
      </c>
      <c r="F913" s="349">
        <v>46185.0</v>
      </c>
      <c r="G913" s="24">
        <f t="shared" ref="G913:H913" si="920">F913</f>
        <v>46185</v>
      </c>
      <c r="H913" s="26">
        <f t="shared" si="920"/>
        <v>46185</v>
      </c>
      <c r="I913" s="50" t="s">
        <v>90</v>
      </c>
      <c r="K913" s="435"/>
      <c r="L913" s="29" t="s">
        <v>3085</v>
      </c>
      <c r="M913" s="31"/>
      <c r="N913" s="14" t="s">
        <v>84</v>
      </c>
      <c r="O913" s="31"/>
      <c r="Q913" s="36"/>
      <c r="R913" s="36"/>
      <c r="S913" s="36"/>
      <c r="T913" s="36"/>
      <c r="V913" s="31"/>
    </row>
    <row r="914">
      <c r="A914" s="14" t="s">
        <v>736</v>
      </c>
      <c r="B914" s="351" t="s">
        <v>3416</v>
      </c>
      <c r="C914" s="50" t="s">
        <v>1426</v>
      </c>
      <c r="D914" s="50"/>
      <c r="E914" s="348" t="str">
        <f t="shared" si="887"/>
        <v>junio 2026</v>
      </c>
      <c r="F914" s="349">
        <v>46183.0</v>
      </c>
      <c r="G914" s="24">
        <f t="shared" ref="G914:H914" si="921">F914</f>
        <v>46183</v>
      </c>
      <c r="H914" s="26">
        <f t="shared" si="921"/>
        <v>46183</v>
      </c>
      <c r="I914" s="50" t="s">
        <v>90</v>
      </c>
      <c r="K914" s="436"/>
      <c r="L914" s="29" t="s">
        <v>3085</v>
      </c>
      <c r="M914" s="31"/>
      <c r="N914" s="14" t="s">
        <v>84</v>
      </c>
      <c r="O914" s="31"/>
      <c r="Q914" s="36"/>
      <c r="R914" s="36"/>
      <c r="S914" s="36"/>
      <c r="T914" s="36"/>
      <c r="V914" s="31"/>
    </row>
    <row r="915">
      <c r="A915" s="14" t="s">
        <v>736</v>
      </c>
      <c r="B915" s="351" t="s">
        <v>3417</v>
      </c>
      <c r="C915" s="50" t="s">
        <v>1428</v>
      </c>
      <c r="D915" s="50"/>
      <c r="E915" s="348" t="str">
        <f t="shared" si="887"/>
        <v>junio 2026</v>
      </c>
      <c r="F915" s="349">
        <v>46183.0</v>
      </c>
      <c r="G915" s="24">
        <f t="shared" ref="G915:H915" si="922">F915</f>
        <v>46183</v>
      </c>
      <c r="H915" s="26">
        <f t="shared" si="922"/>
        <v>46183</v>
      </c>
      <c r="I915" s="50" t="s">
        <v>90</v>
      </c>
      <c r="K915" s="435"/>
      <c r="L915" s="29" t="s">
        <v>3085</v>
      </c>
      <c r="M915" s="31"/>
      <c r="N915" s="14" t="s">
        <v>84</v>
      </c>
      <c r="O915" s="31"/>
      <c r="Q915" s="36"/>
      <c r="R915" s="36"/>
      <c r="S915" s="36"/>
      <c r="T915" s="36"/>
      <c r="V915" s="31"/>
    </row>
    <row r="916">
      <c r="A916" s="14" t="s">
        <v>736</v>
      </c>
      <c r="B916" s="351" t="s">
        <v>3418</v>
      </c>
      <c r="C916" s="50" t="s">
        <v>1430</v>
      </c>
      <c r="D916" s="50"/>
      <c r="E916" s="348" t="str">
        <f t="shared" si="887"/>
        <v>junio 2026</v>
      </c>
      <c r="F916" s="349">
        <v>46183.0</v>
      </c>
      <c r="G916" s="24">
        <f t="shared" ref="G916:H916" si="923">F916</f>
        <v>46183</v>
      </c>
      <c r="H916" s="26">
        <f t="shared" si="923"/>
        <v>46183</v>
      </c>
      <c r="I916" s="50" t="s">
        <v>90</v>
      </c>
      <c r="K916" s="436"/>
      <c r="L916" s="29" t="s">
        <v>3085</v>
      </c>
      <c r="M916" s="31"/>
      <c r="N916" s="14" t="s">
        <v>84</v>
      </c>
      <c r="O916" s="31"/>
      <c r="Q916" s="36"/>
      <c r="R916" s="36"/>
      <c r="S916" s="36"/>
      <c r="T916" s="36"/>
      <c r="V916" s="31"/>
    </row>
    <row r="917">
      <c r="A917" s="14" t="s">
        <v>736</v>
      </c>
      <c r="B917" s="351" t="s">
        <v>3419</v>
      </c>
      <c r="C917" s="50" t="s">
        <v>1431</v>
      </c>
      <c r="D917" s="50"/>
      <c r="E917" s="348" t="str">
        <f t="shared" si="887"/>
        <v>junio 2026</v>
      </c>
      <c r="F917" s="349">
        <v>46186.0</v>
      </c>
      <c r="G917" s="24">
        <f t="shared" ref="G917:H917" si="924">F917</f>
        <v>46186</v>
      </c>
      <c r="H917" s="26">
        <f t="shared" si="924"/>
        <v>46186</v>
      </c>
      <c r="I917" s="50" t="s">
        <v>90</v>
      </c>
      <c r="K917" s="435"/>
      <c r="L917" s="29" t="s">
        <v>3085</v>
      </c>
      <c r="M917" s="31"/>
      <c r="N917" s="14" t="s">
        <v>84</v>
      </c>
      <c r="O917" s="31"/>
      <c r="Q917" s="36"/>
      <c r="R917" s="36"/>
      <c r="S917" s="36"/>
      <c r="T917" s="36"/>
      <c r="V917" s="31"/>
    </row>
    <row r="918">
      <c r="A918" s="14" t="s">
        <v>736</v>
      </c>
      <c r="B918" s="351" t="s">
        <v>3420</v>
      </c>
      <c r="C918" s="50" t="s">
        <v>1434</v>
      </c>
      <c r="D918" s="50"/>
      <c r="E918" s="348" t="str">
        <f t="shared" si="887"/>
        <v>junio 2026</v>
      </c>
      <c r="F918" s="349">
        <v>46196.0</v>
      </c>
      <c r="G918" s="24">
        <f t="shared" ref="G918:H918" si="925">F918</f>
        <v>46196</v>
      </c>
      <c r="H918" s="26">
        <f t="shared" si="925"/>
        <v>46196</v>
      </c>
      <c r="I918" s="50" t="s">
        <v>90</v>
      </c>
      <c r="K918" s="436"/>
      <c r="L918" s="29" t="s">
        <v>3085</v>
      </c>
      <c r="M918" s="31"/>
      <c r="N918" s="14" t="s">
        <v>84</v>
      </c>
      <c r="O918" s="31"/>
      <c r="Q918" s="36"/>
      <c r="R918" s="36"/>
      <c r="S918" s="36"/>
      <c r="T918" s="36"/>
      <c r="V918" s="31"/>
    </row>
    <row r="919">
      <c r="A919" s="14" t="s">
        <v>736</v>
      </c>
      <c r="B919" s="351" t="s">
        <v>3421</v>
      </c>
      <c r="C919" s="50" t="s">
        <v>1435</v>
      </c>
      <c r="D919" s="50"/>
      <c r="E919" s="348" t="str">
        <f t="shared" si="887"/>
        <v>junio 2026</v>
      </c>
      <c r="F919" s="349">
        <v>46188.0</v>
      </c>
      <c r="G919" s="24">
        <f t="shared" ref="G919:H919" si="926">F919</f>
        <v>46188</v>
      </c>
      <c r="H919" s="26">
        <f t="shared" si="926"/>
        <v>46188</v>
      </c>
      <c r="I919" s="50" t="s">
        <v>90</v>
      </c>
      <c r="K919" s="435"/>
      <c r="L919" s="29" t="s">
        <v>3085</v>
      </c>
      <c r="M919" s="31"/>
      <c r="N919" s="14" t="s">
        <v>84</v>
      </c>
      <c r="O919" s="31"/>
      <c r="Q919" s="36"/>
      <c r="R919" s="36"/>
      <c r="S919" s="36"/>
      <c r="T919" s="36"/>
      <c r="V919" s="31"/>
    </row>
    <row r="920">
      <c r="A920" s="14" t="s">
        <v>736</v>
      </c>
      <c r="B920" s="351" t="s">
        <v>3422</v>
      </c>
      <c r="C920" s="50" t="s">
        <v>1436</v>
      </c>
      <c r="D920" s="50"/>
      <c r="E920" s="348" t="str">
        <f t="shared" si="887"/>
        <v>junio 2026</v>
      </c>
      <c r="F920" s="349">
        <v>46186.0</v>
      </c>
      <c r="G920" s="24">
        <f t="shared" ref="G920:H920" si="927">F920</f>
        <v>46186</v>
      </c>
      <c r="H920" s="26">
        <f t="shared" si="927"/>
        <v>46186</v>
      </c>
      <c r="I920" s="50" t="s">
        <v>90</v>
      </c>
      <c r="K920" s="436"/>
      <c r="L920" s="29" t="s">
        <v>3085</v>
      </c>
      <c r="M920" s="31"/>
      <c r="N920" s="14" t="s">
        <v>84</v>
      </c>
      <c r="O920" s="31"/>
      <c r="Q920" s="36"/>
      <c r="R920" s="36"/>
      <c r="S920" s="36"/>
      <c r="T920" s="36"/>
      <c r="V920" s="31"/>
    </row>
    <row r="921">
      <c r="A921" s="14" t="s">
        <v>736</v>
      </c>
      <c r="B921" s="351" t="s">
        <v>3423</v>
      </c>
      <c r="C921" s="50" t="s">
        <v>1437</v>
      </c>
      <c r="D921" s="50"/>
      <c r="E921" s="348" t="str">
        <f t="shared" si="887"/>
        <v>junio 2026</v>
      </c>
      <c r="F921" s="349">
        <v>46189.0</v>
      </c>
      <c r="G921" s="24">
        <f t="shared" ref="G921:H921" si="928">F921</f>
        <v>46189</v>
      </c>
      <c r="H921" s="26">
        <f t="shared" si="928"/>
        <v>46189</v>
      </c>
      <c r="I921" s="50" t="s">
        <v>90</v>
      </c>
      <c r="K921" s="435"/>
      <c r="L921" s="29" t="s">
        <v>3085</v>
      </c>
      <c r="M921" s="31"/>
      <c r="N921" s="14" t="s">
        <v>84</v>
      </c>
      <c r="O921" s="31"/>
      <c r="Q921" s="36"/>
      <c r="R921" s="36"/>
      <c r="S921" s="36"/>
      <c r="T921" s="36"/>
      <c r="V921" s="31"/>
    </row>
    <row r="922">
      <c r="A922" s="14" t="s">
        <v>736</v>
      </c>
      <c r="B922" s="351" t="s">
        <v>3424</v>
      </c>
      <c r="C922" s="50" t="s">
        <v>1438</v>
      </c>
      <c r="D922" s="50"/>
      <c r="E922" s="348" t="str">
        <f t="shared" si="887"/>
        <v>junio 2026</v>
      </c>
      <c r="F922" s="349">
        <v>46185.0</v>
      </c>
      <c r="G922" s="24">
        <f t="shared" ref="G922:H922" si="929">F922</f>
        <v>46185</v>
      </c>
      <c r="H922" s="26">
        <f t="shared" si="929"/>
        <v>46185</v>
      </c>
      <c r="I922" s="50" t="s">
        <v>90</v>
      </c>
      <c r="K922" s="436"/>
      <c r="L922" s="29" t="s">
        <v>3085</v>
      </c>
      <c r="M922" s="31"/>
      <c r="N922" s="14" t="s">
        <v>84</v>
      </c>
      <c r="O922" s="31"/>
      <c r="Q922" s="36"/>
      <c r="R922" s="36"/>
      <c r="S922" s="36"/>
      <c r="T922" s="36"/>
      <c r="V922" s="31"/>
    </row>
    <row r="923">
      <c r="A923" s="14" t="s">
        <v>736</v>
      </c>
      <c r="B923" s="351" t="s">
        <v>3425</v>
      </c>
      <c r="C923" s="50" t="s">
        <v>1441</v>
      </c>
      <c r="D923" s="50"/>
      <c r="E923" s="348" t="str">
        <f t="shared" si="887"/>
        <v>junio 2026</v>
      </c>
      <c r="F923" s="349">
        <v>46185.0</v>
      </c>
      <c r="G923" s="24">
        <f t="shared" ref="G923:H923" si="930">F923</f>
        <v>46185</v>
      </c>
      <c r="H923" s="26">
        <f t="shared" si="930"/>
        <v>46185</v>
      </c>
      <c r="I923" s="50" t="s">
        <v>90</v>
      </c>
      <c r="K923" s="435"/>
      <c r="L923" s="29" t="s">
        <v>3085</v>
      </c>
      <c r="M923" s="31"/>
      <c r="N923" s="14" t="s">
        <v>84</v>
      </c>
      <c r="O923" s="31"/>
      <c r="Q923" s="36"/>
      <c r="R923" s="36"/>
      <c r="S923" s="36"/>
      <c r="T923" s="36"/>
      <c r="V923" s="31"/>
    </row>
    <row r="924">
      <c r="A924" s="14" t="s">
        <v>736</v>
      </c>
      <c r="B924" s="351" t="s">
        <v>3426</v>
      </c>
      <c r="C924" s="50" t="s">
        <v>1442</v>
      </c>
      <c r="D924" s="50"/>
      <c r="E924" s="348" t="str">
        <f t="shared" si="887"/>
        <v>junio 2026</v>
      </c>
      <c r="F924" s="349">
        <v>46185.0</v>
      </c>
      <c r="G924" s="24">
        <f t="shared" ref="G924:H924" si="931">F924</f>
        <v>46185</v>
      </c>
      <c r="H924" s="26">
        <f t="shared" si="931"/>
        <v>46185</v>
      </c>
      <c r="I924" s="50" t="s">
        <v>90</v>
      </c>
      <c r="K924" s="436"/>
      <c r="L924" s="29" t="s">
        <v>3085</v>
      </c>
      <c r="M924" s="31"/>
      <c r="N924" s="14" t="s">
        <v>84</v>
      </c>
      <c r="O924" s="31"/>
      <c r="Q924" s="36"/>
      <c r="R924" s="36"/>
      <c r="S924" s="36"/>
      <c r="T924" s="36"/>
      <c r="V924" s="31"/>
    </row>
    <row r="925">
      <c r="A925" s="14" t="s">
        <v>736</v>
      </c>
      <c r="B925" s="351" t="s">
        <v>3427</v>
      </c>
      <c r="C925" s="50" t="s">
        <v>1444</v>
      </c>
      <c r="D925" s="50"/>
      <c r="E925" s="348" t="str">
        <f t="shared" si="887"/>
        <v>junio 2026</v>
      </c>
      <c r="F925" s="349">
        <v>46185.0</v>
      </c>
      <c r="G925" s="24">
        <f t="shared" ref="G925:H925" si="932">F925</f>
        <v>46185</v>
      </c>
      <c r="H925" s="26">
        <f t="shared" si="932"/>
        <v>46185</v>
      </c>
      <c r="I925" s="50" t="s">
        <v>90</v>
      </c>
      <c r="K925" s="435"/>
      <c r="L925" s="29" t="s">
        <v>3085</v>
      </c>
      <c r="M925" s="31"/>
      <c r="N925" s="14" t="s">
        <v>84</v>
      </c>
      <c r="O925" s="31"/>
      <c r="Q925" s="36"/>
      <c r="R925" s="36"/>
      <c r="S925" s="36"/>
      <c r="T925" s="36"/>
      <c r="V925" s="31"/>
    </row>
    <row r="926">
      <c r="A926" s="14" t="s">
        <v>736</v>
      </c>
      <c r="B926" s="351" t="s">
        <v>3428</v>
      </c>
      <c r="C926" s="50" t="s">
        <v>1447</v>
      </c>
      <c r="D926" s="50"/>
      <c r="E926" s="348" t="str">
        <f t="shared" si="887"/>
        <v>junio 2026</v>
      </c>
      <c r="F926" s="349">
        <v>46185.0</v>
      </c>
      <c r="G926" s="24">
        <f t="shared" ref="G926:H926" si="933">F926</f>
        <v>46185</v>
      </c>
      <c r="H926" s="26">
        <f t="shared" si="933"/>
        <v>46185</v>
      </c>
      <c r="I926" s="50" t="s">
        <v>90</v>
      </c>
      <c r="K926" s="436"/>
      <c r="L926" s="29" t="s">
        <v>3085</v>
      </c>
      <c r="M926" s="31"/>
      <c r="N926" s="14" t="s">
        <v>84</v>
      </c>
      <c r="O926" s="31"/>
      <c r="Q926" s="36"/>
      <c r="R926" s="36"/>
      <c r="S926" s="36"/>
      <c r="T926" s="36"/>
      <c r="V926" s="31"/>
    </row>
    <row r="927">
      <c r="A927" s="14" t="s">
        <v>736</v>
      </c>
      <c r="B927" s="351" t="s">
        <v>3429</v>
      </c>
      <c r="C927" s="50" t="s">
        <v>1448</v>
      </c>
      <c r="D927" s="50"/>
      <c r="E927" s="348" t="str">
        <f t="shared" si="887"/>
        <v>junio 2026</v>
      </c>
      <c r="F927" s="349">
        <v>46185.0</v>
      </c>
      <c r="G927" s="24">
        <f t="shared" ref="G927:H927" si="934">F927</f>
        <v>46185</v>
      </c>
      <c r="H927" s="26">
        <f t="shared" si="934"/>
        <v>46185</v>
      </c>
      <c r="I927" s="50" t="s">
        <v>90</v>
      </c>
      <c r="K927" s="435"/>
      <c r="L927" s="29" t="s">
        <v>3085</v>
      </c>
      <c r="M927" s="31"/>
      <c r="N927" s="14" t="s">
        <v>84</v>
      </c>
      <c r="O927" s="31"/>
      <c r="Q927" s="36"/>
      <c r="R927" s="36"/>
      <c r="S927" s="36"/>
      <c r="T927" s="36"/>
      <c r="V927" s="31"/>
    </row>
    <row r="928">
      <c r="A928" s="14" t="s">
        <v>736</v>
      </c>
      <c r="B928" s="351" t="s">
        <v>3430</v>
      </c>
      <c r="C928" s="50" t="s">
        <v>1449</v>
      </c>
      <c r="D928" s="50"/>
      <c r="E928" s="348" t="str">
        <f t="shared" si="887"/>
        <v>junio 2026</v>
      </c>
      <c r="F928" s="349">
        <v>46186.0</v>
      </c>
      <c r="G928" s="24">
        <f t="shared" ref="G928:H928" si="935">F928</f>
        <v>46186</v>
      </c>
      <c r="H928" s="26">
        <f t="shared" si="935"/>
        <v>46186</v>
      </c>
      <c r="I928" s="50" t="s">
        <v>90</v>
      </c>
      <c r="K928" s="436"/>
      <c r="L928" s="29" t="s">
        <v>3085</v>
      </c>
      <c r="M928" s="31"/>
      <c r="N928" s="14" t="s">
        <v>84</v>
      </c>
      <c r="O928" s="31"/>
      <c r="Q928" s="36"/>
      <c r="R928" s="36"/>
      <c r="S928" s="36"/>
      <c r="T928" s="36"/>
      <c r="V928" s="31"/>
    </row>
    <row r="929">
      <c r="A929" s="14" t="s">
        <v>736</v>
      </c>
      <c r="B929" s="351" t="s">
        <v>3431</v>
      </c>
      <c r="C929" s="50" t="s">
        <v>1450</v>
      </c>
      <c r="D929" s="50"/>
      <c r="E929" s="348" t="str">
        <f t="shared" si="887"/>
        <v>junio 2026</v>
      </c>
      <c r="F929" s="349">
        <v>46192.0</v>
      </c>
      <c r="G929" s="24">
        <f t="shared" ref="G929:H929" si="936">F929</f>
        <v>46192</v>
      </c>
      <c r="H929" s="26">
        <f t="shared" si="936"/>
        <v>46192</v>
      </c>
      <c r="I929" s="50" t="s">
        <v>90</v>
      </c>
      <c r="K929" s="435"/>
      <c r="L929" s="29" t="s">
        <v>3085</v>
      </c>
      <c r="M929" s="31"/>
      <c r="N929" s="14" t="s">
        <v>84</v>
      </c>
      <c r="O929" s="31"/>
      <c r="Q929" s="36"/>
      <c r="R929" s="36"/>
      <c r="S929" s="36"/>
      <c r="T929" s="36"/>
      <c r="V929" s="31"/>
    </row>
    <row r="930">
      <c r="A930" s="14" t="s">
        <v>736</v>
      </c>
      <c r="B930" s="351" t="s">
        <v>3432</v>
      </c>
      <c r="C930" s="50" t="s">
        <v>1453</v>
      </c>
      <c r="D930" s="50"/>
      <c r="E930" s="348" t="str">
        <f t="shared" si="887"/>
        <v>junio 2026</v>
      </c>
      <c r="F930" s="349">
        <v>46186.0</v>
      </c>
      <c r="G930" s="24">
        <f t="shared" ref="G930:H930" si="937">F930</f>
        <v>46186</v>
      </c>
      <c r="H930" s="26">
        <f t="shared" si="937"/>
        <v>46186</v>
      </c>
      <c r="I930" s="50" t="s">
        <v>90</v>
      </c>
      <c r="K930" s="436"/>
      <c r="L930" s="29" t="s">
        <v>3085</v>
      </c>
      <c r="M930" s="31"/>
      <c r="N930" s="14" t="s">
        <v>84</v>
      </c>
      <c r="O930" s="31"/>
      <c r="Q930" s="36"/>
      <c r="R930" s="36"/>
      <c r="S930" s="36"/>
      <c r="T930" s="36"/>
      <c r="V930" s="31"/>
    </row>
    <row r="931">
      <c r="A931" s="14" t="s">
        <v>736</v>
      </c>
      <c r="B931" s="351" t="s">
        <v>3433</v>
      </c>
      <c r="C931" s="50" t="s">
        <v>1454</v>
      </c>
      <c r="D931" s="50"/>
      <c r="E931" s="348" t="str">
        <f t="shared" si="887"/>
        <v>junio 2026</v>
      </c>
      <c r="F931" s="349">
        <v>46186.0</v>
      </c>
      <c r="G931" s="24">
        <f t="shared" ref="G931:H931" si="938">F931</f>
        <v>46186</v>
      </c>
      <c r="H931" s="26">
        <f t="shared" si="938"/>
        <v>46186</v>
      </c>
      <c r="I931" s="50" t="s">
        <v>90</v>
      </c>
      <c r="K931" s="435"/>
      <c r="L931" s="29" t="s">
        <v>3085</v>
      </c>
      <c r="M931" s="31"/>
      <c r="N931" s="14" t="s">
        <v>84</v>
      </c>
      <c r="O931" s="31"/>
      <c r="Q931" s="36"/>
      <c r="R931" s="36"/>
      <c r="S931" s="36"/>
      <c r="T931" s="36"/>
      <c r="V931" s="31"/>
    </row>
    <row r="932">
      <c r="A932" s="14" t="s">
        <v>736</v>
      </c>
      <c r="B932" s="351" t="s">
        <v>3434</v>
      </c>
      <c r="C932" s="50" t="s">
        <v>1455</v>
      </c>
      <c r="D932" s="50"/>
      <c r="E932" s="348" t="str">
        <f t="shared" si="887"/>
        <v>junio 2026</v>
      </c>
      <c r="F932" s="349">
        <v>46186.0</v>
      </c>
      <c r="G932" s="24">
        <f t="shared" ref="G932:H932" si="939">F932</f>
        <v>46186</v>
      </c>
      <c r="H932" s="26">
        <f t="shared" si="939"/>
        <v>46186</v>
      </c>
      <c r="I932" s="50" t="s">
        <v>90</v>
      </c>
      <c r="K932" s="436"/>
      <c r="L932" s="29" t="s">
        <v>3085</v>
      </c>
      <c r="M932" s="31"/>
      <c r="N932" s="14" t="s">
        <v>84</v>
      </c>
      <c r="O932" s="31"/>
      <c r="Q932" s="36"/>
      <c r="R932" s="36"/>
      <c r="S932" s="36"/>
      <c r="T932" s="36"/>
      <c r="V932" s="31"/>
    </row>
    <row r="933">
      <c r="A933" s="14" t="s">
        <v>736</v>
      </c>
      <c r="B933" s="351" t="s">
        <v>3435</v>
      </c>
      <c r="C933" s="50" t="s">
        <v>1456</v>
      </c>
      <c r="D933" s="50"/>
      <c r="E933" s="348" t="str">
        <f t="shared" si="887"/>
        <v>junio 2026</v>
      </c>
      <c r="F933" s="349">
        <v>46185.0</v>
      </c>
      <c r="G933" s="24">
        <f t="shared" ref="G933:H933" si="940">F933</f>
        <v>46185</v>
      </c>
      <c r="H933" s="26">
        <f t="shared" si="940"/>
        <v>46185</v>
      </c>
      <c r="I933" s="50" t="s">
        <v>90</v>
      </c>
      <c r="K933" s="435"/>
      <c r="L933" s="29" t="s">
        <v>3085</v>
      </c>
      <c r="M933" s="31"/>
      <c r="N933" s="14" t="s">
        <v>84</v>
      </c>
      <c r="O933" s="31"/>
      <c r="Q933" s="36"/>
      <c r="R933" s="36"/>
      <c r="S933" s="36"/>
      <c r="T933" s="36"/>
      <c r="V933" s="31"/>
    </row>
    <row r="934">
      <c r="A934" s="14" t="s">
        <v>736</v>
      </c>
      <c r="B934" s="351" t="s">
        <v>3436</v>
      </c>
      <c r="C934" s="50" t="s">
        <v>1458</v>
      </c>
      <c r="D934" s="50"/>
      <c r="E934" s="348" t="str">
        <f t="shared" si="887"/>
        <v>junio 2026</v>
      </c>
      <c r="F934" s="349">
        <v>46185.0</v>
      </c>
      <c r="G934" s="24">
        <f t="shared" ref="G934:H934" si="941">F934</f>
        <v>46185</v>
      </c>
      <c r="H934" s="26">
        <f t="shared" si="941"/>
        <v>46185</v>
      </c>
      <c r="I934" s="50" t="s">
        <v>90</v>
      </c>
      <c r="K934" s="436"/>
      <c r="L934" s="29" t="s">
        <v>3085</v>
      </c>
      <c r="M934" s="31"/>
      <c r="N934" s="14" t="s">
        <v>84</v>
      </c>
      <c r="O934" s="31"/>
      <c r="Q934" s="36"/>
      <c r="R934" s="36"/>
      <c r="S934" s="36"/>
      <c r="T934" s="36"/>
      <c r="V934" s="31"/>
    </row>
    <row r="935">
      <c r="A935" s="14" t="s">
        <v>736</v>
      </c>
      <c r="B935" s="351" t="s">
        <v>3437</v>
      </c>
      <c r="C935" s="50" t="s">
        <v>1460</v>
      </c>
      <c r="D935" s="50"/>
      <c r="E935" s="348" t="str">
        <f t="shared" si="887"/>
        <v>junio 2026</v>
      </c>
      <c r="F935" s="349">
        <v>46190.0</v>
      </c>
      <c r="G935" s="24">
        <f t="shared" ref="G935:H935" si="942">F935</f>
        <v>46190</v>
      </c>
      <c r="H935" s="26">
        <f t="shared" si="942"/>
        <v>46190</v>
      </c>
      <c r="I935" s="50" t="s">
        <v>90</v>
      </c>
      <c r="K935" s="435"/>
      <c r="L935" s="29" t="s">
        <v>3085</v>
      </c>
      <c r="M935" s="31"/>
      <c r="N935" s="14" t="s">
        <v>84</v>
      </c>
      <c r="O935" s="31"/>
      <c r="Q935" s="36"/>
      <c r="R935" s="36"/>
      <c r="S935" s="36"/>
      <c r="T935" s="36"/>
      <c r="V935" s="31"/>
    </row>
    <row r="936">
      <c r="A936" s="14" t="s">
        <v>736</v>
      </c>
      <c r="B936" s="351" t="s">
        <v>3438</v>
      </c>
      <c r="C936" s="50" t="s">
        <v>1462</v>
      </c>
      <c r="D936" s="50"/>
      <c r="E936" s="348" t="str">
        <f t="shared" si="887"/>
        <v>junio 2026</v>
      </c>
      <c r="F936" s="349">
        <v>46199.0</v>
      </c>
      <c r="G936" s="24">
        <f t="shared" ref="G936:H936" si="943">F936</f>
        <v>46199</v>
      </c>
      <c r="H936" s="26">
        <f t="shared" si="943"/>
        <v>46199</v>
      </c>
      <c r="I936" s="50" t="s">
        <v>90</v>
      </c>
      <c r="K936" s="436"/>
      <c r="L936" s="29" t="s">
        <v>3085</v>
      </c>
      <c r="M936" s="31"/>
      <c r="N936" s="14" t="s">
        <v>84</v>
      </c>
      <c r="O936" s="31"/>
      <c r="Q936" s="36"/>
      <c r="R936" s="36"/>
      <c r="S936" s="36"/>
      <c r="T936" s="36"/>
      <c r="V936" s="31"/>
    </row>
    <row r="937">
      <c r="A937" s="14" t="s">
        <v>736</v>
      </c>
      <c r="B937" s="351" t="s">
        <v>3439</v>
      </c>
      <c r="C937" s="50" t="s">
        <v>1463</v>
      </c>
      <c r="D937" s="50"/>
      <c r="E937" s="348" t="str">
        <f t="shared" si="887"/>
        <v>septiembre 2026</v>
      </c>
      <c r="F937" s="349">
        <v>46280.0</v>
      </c>
      <c r="G937" s="24">
        <f t="shared" ref="G937:H937" si="944">F937</f>
        <v>46280</v>
      </c>
      <c r="H937" s="26">
        <f t="shared" si="944"/>
        <v>46280</v>
      </c>
      <c r="I937" s="50" t="s">
        <v>90</v>
      </c>
      <c r="K937" s="435"/>
      <c r="L937" s="29" t="s">
        <v>3085</v>
      </c>
      <c r="M937" s="31"/>
      <c r="N937" s="14" t="s">
        <v>84</v>
      </c>
      <c r="O937" s="31"/>
      <c r="Q937" s="36"/>
      <c r="R937" s="36"/>
      <c r="S937" s="36"/>
      <c r="T937" s="36"/>
      <c r="V937" s="31"/>
    </row>
    <row r="938">
      <c r="A938" s="14" t="s">
        <v>736</v>
      </c>
      <c r="B938" s="351" t="s">
        <v>3440</v>
      </c>
      <c r="C938" s="50" t="s">
        <v>1466</v>
      </c>
      <c r="D938" s="50"/>
      <c r="E938" s="348" t="str">
        <f t="shared" si="887"/>
        <v>junio 2026</v>
      </c>
      <c r="F938" s="349">
        <v>46193.0</v>
      </c>
      <c r="G938" s="24">
        <f t="shared" ref="G938:H938" si="945">F938</f>
        <v>46193</v>
      </c>
      <c r="H938" s="26">
        <f t="shared" si="945"/>
        <v>46193</v>
      </c>
      <c r="I938" s="50" t="s">
        <v>90</v>
      </c>
      <c r="K938" s="436"/>
      <c r="L938" s="29" t="s">
        <v>3085</v>
      </c>
      <c r="M938" s="31"/>
      <c r="N938" s="14" t="s">
        <v>84</v>
      </c>
      <c r="O938" s="31"/>
      <c r="Q938" s="36"/>
      <c r="R938" s="36"/>
      <c r="S938" s="36"/>
      <c r="T938" s="36"/>
      <c r="V938" s="31"/>
    </row>
    <row r="939">
      <c r="A939" s="14" t="s">
        <v>736</v>
      </c>
      <c r="B939" s="351" t="s">
        <v>3441</v>
      </c>
      <c r="C939" s="50" t="s">
        <v>1468</v>
      </c>
      <c r="D939" s="50"/>
      <c r="E939" s="348" t="str">
        <f t="shared" si="887"/>
        <v>junio 2026</v>
      </c>
      <c r="F939" s="349">
        <v>46190.0</v>
      </c>
      <c r="G939" s="24">
        <f t="shared" ref="G939:H939" si="946">F939</f>
        <v>46190</v>
      </c>
      <c r="H939" s="26">
        <f t="shared" si="946"/>
        <v>46190</v>
      </c>
      <c r="I939" s="50" t="s">
        <v>90</v>
      </c>
      <c r="K939" s="435"/>
      <c r="L939" s="29" t="s">
        <v>3085</v>
      </c>
      <c r="M939" s="31"/>
      <c r="N939" s="14" t="s">
        <v>84</v>
      </c>
      <c r="O939" s="31"/>
      <c r="Q939" s="36"/>
      <c r="R939" s="36"/>
      <c r="S939" s="36"/>
      <c r="T939" s="36"/>
      <c r="V939" s="31"/>
    </row>
    <row r="940">
      <c r="A940" s="14" t="s">
        <v>736</v>
      </c>
      <c r="B940" s="351" t="s">
        <v>3442</v>
      </c>
      <c r="C940" s="50" t="s">
        <v>1469</v>
      </c>
      <c r="D940" s="50"/>
      <c r="E940" s="348" t="str">
        <f t="shared" si="887"/>
        <v>junio 2026</v>
      </c>
      <c r="F940" s="349">
        <v>46190.0</v>
      </c>
      <c r="G940" s="24">
        <f t="shared" ref="G940:H940" si="947">F940</f>
        <v>46190</v>
      </c>
      <c r="H940" s="26">
        <f t="shared" si="947"/>
        <v>46190</v>
      </c>
      <c r="I940" s="50" t="s">
        <v>90</v>
      </c>
      <c r="K940" s="436"/>
      <c r="L940" s="29" t="s">
        <v>3085</v>
      </c>
      <c r="M940" s="31"/>
      <c r="N940" s="14" t="s">
        <v>84</v>
      </c>
      <c r="O940" s="31"/>
      <c r="Q940" s="36"/>
      <c r="R940" s="36"/>
      <c r="S940" s="36"/>
      <c r="T940" s="36"/>
      <c r="V940" s="31"/>
    </row>
    <row r="941">
      <c r="A941" s="14" t="s">
        <v>736</v>
      </c>
      <c r="B941" s="351" t="s">
        <v>3443</v>
      </c>
      <c r="C941" s="50" t="s">
        <v>1470</v>
      </c>
      <c r="D941" s="50"/>
      <c r="E941" s="348" t="str">
        <f t="shared" si="887"/>
        <v>junio 2026</v>
      </c>
      <c r="F941" s="349">
        <v>46190.0</v>
      </c>
      <c r="G941" s="24">
        <f t="shared" ref="G941:H941" si="948">F941</f>
        <v>46190</v>
      </c>
      <c r="H941" s="26">
        <f t="shared" si="948"/>
        <v>46190</v>
      </c>
      <c r="I941" s="50" t="s">
        <v>90</v>
      </c>
      <c r="K941" s="435"/>
      <c r="L941" s="29" t="s">
        <v>3085</v>
      </c>
      <c r="M941" s="31"/>
      <c r="N941" s="14" t="s">
        <v>84</v>
      </c>
      <c r="O941" s="31"/>
      <c r="Q941" s="36"/>
      <c r="R941" s="36"/>
      <c r="S941" s="36"/>
      <c r="T941" s="36"/>
      <c r="V941" s="31"/>
    </row>
    <row r="942">
      <c r="A942" s="14" t="s">
        <v>736</v>
      </c>
      <c r="B942" s="351" t="s">
        <v>3444</v>
      </c>
      <c r="C942" s="50" t="s">
        <v>1472</v>
      </c>
      <c r="D942" s="50"/>
      <c r="E942" s="348" t="str">
        <f t="shared" si="887"/>
        <v>junio 2026</v>
      </c>
      <c r="F942" s="349">
        <v>46190.0</v>
      </c>
      <c r="G942" s="24">
        <f t="shared" ref="G942:H942" si="949">F942</f>
        <v>46190</v>
      </c>
      <c r="H942" s="26">
        <f t="shared" si="949"/>
        <v>46190</v>
      </c>
      <c r="I942" s="50" t="s">
        <v>90</v>
      </c>
      <c r="K942" s="436"/>
      <c r="L942" s="29" t="s">
        <v>3085</v>
      </c>
      <c r="M942" s="31"/>
      <c r="N942" s="14" t="s">
        <v>84</v>
      </c>
      <c r="O942" s="31"/>
      <c r="Q942" s="36"/>
      <c r="R942" s="36"/>
      <c r="S942" s="36"/>
      <c r="T942" s="36"/>
      <c r="V942" s="31"/>
    </row>
    <row r="943">
      <c r="A943" s="14" t="s">
        <v>736</v>
      </c>
      <c r="B943" s="351" t="s">
        <v>3445</v>
      </c>
      <c r="C943" s="50" t="s">
        <v>1475</v>
      </c>
      <c r="D943" s="50"/>
      <c r="E943" s="348" t="str">
        <f t="shared" si="887"/>
        <v>junio 2026</v>
      </c>
      <c r="F943" s="349">
        <v>46190.0</v>
      </c>
      <c r="G943" s="24">
        <f t="shared" ref="G943:H943" si="950">F943</f>
        <v>46190</v>
      </c>
      <c r="H943" s="26">
        <f t="shared" si="950"/>
        <v>46190</v>
      </c>
      <c r="I943" s="50" t="s">
        <v>90</v>
      </c>
      <c r="K943" s="435"/>
      <c r="L943" s="29" t="s">
        <v>3085</v>
      </c>
      <c r="M943" s="31"/>
      <c r="N943" s="14" t="s">
        <v>84</v>
      </c>
      <c r="O943" s="31"/>
      <c r="Q943" s="36"/>
      <c r="R943" s="36"/>
      <c r="S943" s="36"/>
      <c r="T943" s="36"/>
      <c r="V943" s="31"/>
    </row>
    <row r="944">
      <c r="A944" s="14" t="s">
        <v>736</v>
      </c>
      <c r="B944" s="351" t="s">
        <v>3446</v>
      </c>
      <c r="C944" s="50" t="s">
        <v>1476</v>
      </c>
      <c r="D944" s="50"/>
      <c r="E944" s="348" t="str">
        <f t="shared" si="887"/>
        <v>julio 2026</v>
      </c>
      <c r="F944" s="349">
        <v>46211.0</v>
      </c>
      <c r="G944" s="24">
        <f t="shared" ref="G944:H944" si="951">F944</f>
        <v>46211</v>
      </c>
      <c r="H944" s="26">
        <f t="shared" si="951"/>
        <v>46211</v>
      </c>
      <c r="I944" s="50" t="s">
        <v>90</v>
      </c>
      <c r="K944" s="436"/>
      <c r="L944" s="29" t="s">
        <v>3085</v>
      </c>
      <c r="M944" s="31"/>
      <c r="N944" s="14" t="s">
        <v>84</v>
      </c>
      <c r="O944" s="31"/>
      <c r="Q944" s="36"/>
      <c r="R944" s="36"/>
      <c r="S944" s="36"/>
      <c r="T944" s="36"/>
      <c r="V944" s="31"/>
    </row>
    <row r="945">
      <c r="A945" s="14" t="s">
        <v>736</v>
      </c>
      <c r="B945" s="351" t="s">
        <v>3447</v>
      </c>
      <c r="C945" s="50" t="s">
        <v>1478</v>
      </c>
      <c r="D945" s="50"/>
      <c r="E945" s="348" t="str">
        <f t="shared" si="887"/>
        <v>julio 2026</v>
      </c>
      <c r="F945" s="349">
        <v>46211.0</v>
      </c>
      <c r="G945" s="24">
        <f t="shared" ref="G945:H945" si="952">F945</f>
        <v>46211</v>
      </c>
      <c r="H945" s="26">
        <f t="shared" si="952"/>
        <v>46211</v>
      </c>
      <c r="I945" s="50" t="s">
        <v>90</v>
      </c>
      <c r="K945" s="435"/>
      <c r="L945" s="29" t="s">
        <v>3085</v>
      </c>
      <c r="M945" s="31"/>
      <c r="N945" s="14" t="s">
        <v>84</v>
      </c>
      <c r="O945" s="31"/>
      <c r="Q945" s="36"/>
      <c r="R945" s="36"/>
      <c r="S945" s="36"/>
      <c r="T945" s="36"/>
      <c r="V945" s="31"/>
    </row>
    <row r="946">
      <c r="A946" s="14" t="s">
        <v>736</v>
      </c>
      <c r="B946" s="351" t="s">
        <v>3448</v>
      </c>
      <c r="C946" s="50" t="s">
        <v>1481</v>
      </c>
      <c r="D946" s="50"/>
      <c r="E946" s="348" t="str">
        <f t="shared" si="887"/>
        <v>junio 2026</v>
      </c>
      <c r="F946" s="349">
        <v>46191.0</v>
      </c>
      <c r="G946" s="24">
        <f t="shared" ref="G946:H946" si="953">F946</f>
        <v>46191</v>
      </c>
      <c r="H946" s="26">
        <f t="shared" si="953"/>
        <v>46191</v>
      </c>
      <c r="I946" s="50" t="s">
        <v>90</v>
      </c>
      <c r="K946" s="436"/>
      <c r="L946" s="29" t="s">
        <v>3085</v>
      </c>
      <c r="M946" s="31"/>
      <c r="N946" s="14" t="s">
        <v>84</v>
      </c>
      <c r="O946" s="31"/>
      <c r="Q946" s="36"/>
      <c r="R946" s="36"/>
      <c r="S946" s="36"/>
      <c r="T946" s="36"/>
      <c r="V946" s="31"/>
    </row>
    <row r="947">
      <c r="A947" s="14" t="s">
        <v>736</v>
      </c>
      <c r="B947" s="351" t="s">
        <v>3449</v>
      </c>
      <c r="C947" s="50" t="s">
        <v>1482</v>
      </c>
      <c r="D947" s="50"/>
      <c r="E947" s="348" t="str">
        <f t="shared" si="887"/>
        <v>junio 2026</v>
      </c>
      <c r="F947" s="349">
        <v>46193.0</v>
      </c>
      <c r="G947" s="24">
        <f t="shared" ref="G947:H947" si="954">F947</f>
        <v>46193</v>
      </c>
      <c r="H947" s="26">
        <f t="shared" si="954"/>
        <v>46193</v>
      </c>
      <c r="I947" s="50" t="s">
        <v>90</v>
      </c>
      <c r="K947" s="435"/>
      <c r="L947" s="29" t="s">
        <v>3085</v>
      </c>
      <c r="M947" s="31"/>
      <c r="N947" s="14" t="s">
        <v>84</v>
      </c>
      <c r="O947" s="31"/>
      <c r="Q947" s="36"/>
      <c r="R947" s="36"/>
      <c r="S947" s="36"/>
      <c r="T947" s="36"/>
      <c r="V947" s="31"/>
    </row>
    <row r="948">
      <c r="A948" s="14" t="s">
        <v>736</v>
      </c>
      <c r="B948" s="351" t="s">
        <v>3450</v>
      </c>
      <c r="C948" s="50" t="s">
        <v>1483</v>
      </c>
      <c r="D948" s="50"/>
      <c r="E948" s="348" t="str">
        <f t="shared" si="887"/>
        <v>junio 2026</v>
      </c>
      <c r="F948" s="349">
        <v>46191.0</v>
      </c>
      <c r="G948" s="24">
        <f t="shared" ref="G948:H948" si="955">F948</f>
        <v>46191</v>
      </c>
      <c r="H948" s="26">
        <f t="shared" si="955"/>
        <v>46191</v>
      </c>
      <c r="I948" s="50" t="s">
        <v>90</v>
      </c>
      <c r="K948" s="436"/>
      <c r="L948" s="29" t="s">
        <v>3085</v>
      </c>
      <c r="M948" s="31"/>
      <c r="N948" s="14" t="s">
        <v>84</v>
      </c>
      <c r="O948" s="31"/>
      <c r="Q948" s="36"/>
      <c r="R948" s="36"/>
      <c r="S948" s="36"/>
      <c r="T948" s="36"/>
      <c r="V948" s="31"/>
    </row>
    <row r="949">
      <c r="A949" s="14" t="s">
        <v>736</v>
      </c>
      <c r="B949" s="351" t="s">
        <v>3451</v>
      </c>
      <c r="C949" s="50" t="s">
        <v>1484</v>
      </c>
      <c r="D949" s="50"/>
      <c r="E949" s="348" t="str">
        <f t="shared" si="887"/>
        <v>julio 2026</v>
      </c>
      <c r="F949" s="349">
        <v>46219.0</v>
      </c>
      <c r="G949" s="24">
        <f t="shared" ref="G949:H949" si="956">F949</f>
        <v>46219</v>
      </c>
      <c r="H949" s="26">
        <f t="shared" si="956"/>
        <v>46219</v>
      </c>
      <c r="I949" s="50" t="s">
        <v>90</v>
      </c>
      <c r="K949" s="435"/>
      <c r="L949" s="29" t="s">
        <v>3085</v>
      </c>
      <c r="M949" s="31"/>
      <c r="N949" s="14" t="s">
        <v>84</v>
      </c>
      <c r="O949" s="31"/>
      <c r="Q949" s="36"/>
      <c r="R949" s="36"/>
      <c r="S949" s="36"/>
      <c r="T949" s="36"/>
      <c r="V949" s="31"/>
    </row>
    <row r="950">
      <c r="A950" s="14" t="s">
        <v>736</v>
      </c>
      <c r="B950" s="351" t="s">
        <v>3452</v>
      </c>
      <c r="C950" s="50" t="s">
        <v>1487</v>
      </c>
      <c r="D950" s="50"/>
      <c r="E950" s="348" t="str">
        <f t="shared" si="887"/>
        <v>julio 2026</v>
      </c>
      <c r="F950" s="349">
        <v>46206.0</v>
      </c>
      <c r="G950" s="24">
        <f t="shared" ref="G950:H950" si="957">F950</f>
        <v>46206</v>
      </c>
      <c r="H950" s="26">
        <f t="shared" si="957"/>
        <v>46206</v>
      </c>
      <c r="I950" s="50" t="s">
        <v>90</v>
      </c>
      <c r="K950" s="436"/>
      <c r="L950" s="29" t="s">
        <v>3085</v>
      </c>
      <c r="M950" s="31"/>
      <c r="N950" s="14" t="s">
        <v>84</v>
      </c>
      <c r="O950" s="31"/>
      <c r="Q950" s="36"/>
      <c r="R950" s="36"/>
      <c r="S950" s="36"/>
      <c r="T950" s="36"/>
      <c r="V950" s="31"/>
    </row>
    <row r="951">
      <c r="A951" s="14" t="s">
        <v>736</v>
      </c>
      <c r="B951" s="351" t="s">
        <v>3453</v>
      </c>
      <c r="C951" s="50" t="s">
        <v>1488</v>
      </c>
      <c r="D951" s="50"/>
      <c r="E951" s="348" t="str">
        <f t="shared" si="887"/>
        <v>junio 2026</v>
      </c>
      <c r="F951" s="349">
        <v>46189.0</v>
      </c>
      <c r="G951" s="24">
        <f t="shared" ref="G951:H951" si="958">F951</f>
        <v>46189</v>
      </c>
      <c r="H951" s="26">
        <f t="shared" si="958"/>
        <v>46189</v>
      </c>
      <c r="I951" s="50" t="s">
        <v>90</v>
      </c>
      <c r="K951" s="435"/>
      <c r="L951" s="29" t="s">
        <v>3085</v>
      </c>
      <c r="M951" s="31"/>
      <c r="N951" s="14" t="s">
        <v>84</v>
      </c>
      <c r="O951" s="31"/>
      <c r="Q951" s="36"/>
      <c r="R951" s="36"/>
      <c r="S951" s="36"/>
      <c r="T951" s="36"/>
      <c r="V951" s="31"/>
    </row>
    <row r="952">
      <c r="A952" s="14" t="s">
        <v>736</v>
      </c>
      <c r="B952" s="351" t="s">
        <v>3454</v>
      </c>
      <c r="C952" s="50" t="s">
        <v>1489</v>
      </c>
      <c r="D952" s="50"/>
      <c r="E952" s="348" t="str">
        <f t="shared" si="887"/>
        <v>junio 2026</v>
      </c>
      <c r="F952" s="349">
        <v>46189.0</v>
      </c>
      <c r="G952" s="24">
        <f t="shared" ref="G952:H952" si="959">F952</f>
        <v>46189</v>
      </c>
      <c r="H952" s="26">
        <f t="shared" si="959"/>
        <v>46189</v>
      </c>
      <c r="I952" s="50" t="s">
        <v>90</v>
      </c>
      <c r="K952" s="436"/>
      <c r="L952" s="29" t="s">
        <v>3085</v>
      </c>
      <c r="M952" s="31"/>
      <c r="N952" s="14" t="s">
        <v>84</v>
      </c>
      <c r="O952" s="31"/>
      <c r="Q952" s="36"/>
      <c r="R952" s="36"/>
      <c r="S952" s="36"/>
      <c r="T952" s="36"/>
      <c r="V952" s="31"/>
    </row>
    <row r="953">
      <c r="A953" s="14" t="s">
        <v>736</v>
      </c>
      <c r="B953" s="351" t="s">
        <v>3455</v>
      </c>
      <c r="C953" s="50" t="s">
        <v>1490</v>
      </c>
      <c r="D953" s="50"/>
      <c r="E953" s="348" t="str">
        <f t="shared" si="887"/>
        <v>junio 2026</v>
      </c>
      <c r="F953" s="349">
        <v>46190.0</v>
      </c>
      <c r="G953" s="24">
        <f t="shared" ref="G953:H953" si="960">F953</f>
        <v>46190</v>
      </c>
      <c r="H953" s="26">
        <f t="shared" si="960"/>
        <v>46190</v>
      </c>
      <c r="I953" s="50" t="s">
        <v>90</v>
      </c>
      <c r="K953" s="435"/>
      <c r="L953" s="29" t="s">
        <v>3085</v>
      </c>
      <c r="M953" s="31"/>
      <c r="N953" s="14" t="s">
        <v>84</v>
      </c>
      <c r="O953" s="31"/>
      <c r="Q953" s="36"/>
      <c r="R953" s="36"/>
      <c r="S953" s="36"/>
      <c r="T953" s="36"/>
      <c r="V953" s="31"/>
    </row>
    <row r="954">
      <c r="A954" s="14" t="s">
        <v>736</v>
      </c>
      <c r="B954" s="351" t="s">
        <v>3456</v>
      </c>
      <c r="C954" s="50" t="s">
        <v>1491</v>
      </c>
      <c r="D954" s="50"/>
      <c r="E954" s="348" t="str">
        <f t="shared" si="887"/>
        <v>junio 2026</v>
      </c>
      <c r="F954" s="349">
        <v>46189.0</v>
      </c>
      <c r="G954" s="24">
        <f t="shared" ref="G954:H954" si="961">F954</f>
        <v>46189</v>
      </c>
      <c r="H954" s="26">
        <f t="shared" si="961"/>
        <v>46189</v>
      </c>
      <c r="I954" s="50" t="s">
        <v>90</v>
      </c>
      <c r="K954" s="436"/>
      <c r="L954" s="29" t="s">
        <v>3085</v>
      </c>
      <c r="M954" s="31"/>
      <c r="N954" s="14" t="s">
        <v>84</v>
      </c>
      <c r="O954" s="31"/>
      <c r="Q954" s="36"/>
      <c r="R954" s="36"/>
      <c r="S954" s="36"/>
      <c r="T954" s="36"/>
      <c r="V954" s="31"/>
    </row>
    <row r="955">
      <c r="A955" s="14" t="s">
        <v>736</v>
      </c>
      <c r="B955" s="351" t="s">
        <v>3457</v>
      </c>
      <c r="C955" s="50" t="s">
        <v>1492</v>
      </c>
      <c r="D955" s="50"/>
      <c r="E955" s="348" t="str">
        <f t="shared" si="887"/>
        <v>junio 2026</v>
      </c>
      <c r="F955" s="349">
        <v>46192.0</v>
      </c>
      <c r="G955" s="24">
        <f t="shared" ref="G955:H955" si="962">F955</f>
        <v>46192</v>
      </c>
      <c r="H955" s="26">
        <f t="shared" si="962"/>
        <v>46192</v>
      </c>
      <c r="I955" s="50" t="s">
        <v>90</v>
      </c>
      <c r="K955" s="435"/>
      <c r="L955" s="29" t="s">
        <v>3085</v>
      </c>
      <c r="M955" s="31"/>
      <c r="N955" s="14" t="s">
        <v>84</v>
      </c>
      <c r="O955" s="31"/>
      <c r="Q955" s="36"/>
      <c r="R955" s="36"/>
      <c r="S955" s="36"/>
      <c r="T955" s="36"/>
      <c r="V955" s="31"/>
    </row>
    <row r="956">
      <c r="A956" s="14" t="s">
        <v>736</v>
      </c>
      <c r="B956" s="351" t="s">
        <v>3458</v>
      </c>
      <c r="C956" s="50" t="s">
        <v>1493</v>
      </c>
      <c r="D956" s="50"/>
      <c r="E956" s="348" t="str">
        <f t="shared" si="887"/>
        <v>junio 2026</v>
      </c>
      <c r="F956" s="349">
        <v>46193.0</v>
      </c>
      <c r="G956" s="24">
        <f t="shared" ref="G956:H956" si="963">F956</f>
        <v>46193</v>
      </c>
      <c r="H956" s="26">
        <f t="shared" si="963"/>
        <v>46193</v>
      </c>
      <c r="I956" s="50" t="s">
        <v>90</v>
      </c>
      <c r="K956" s="436"/>
      <c r="L956" s="29" t="s">
        <v>3085</v>
      </c>
      <c r="M956" s="31"/>
      <c r="N956" s="14" t="s">
        <v>84</v>
      </c>
      <c r="O956" s="31"/>
      <c r="Q956" s="36"/>
      <c r="R956" s="36"/>
      <c r="S956" s="36"/>
      <c r="T956" s="36"/>
      <c r="V956" s="31"/>
    </row>
    <row r="957">
      <c r="A957" s="14" t="s">
        <v>736</v>
      </c>
      <c r="B957" s="351" t="s">
        <v>3459</v>
      </c>
      <c r="C957" s="50" t="s">
        <v>1494</v>
      </c>
      <c r="D957" s="50"/>
      <c r="E957" s="348" t="str">
        <f t="shared" si="887"/>
        <v>julio 2026</v>
      </c>
      <c r="F957" s="349">
        <v>46212.0</v>
      </c>
      <c r="G957" s="24">
        <f t="shared" ref="G957:H957" si="964">F957</f>
        <v>46212</v>
      </c>
      <c r="H957" s="26">
        <f t="shared" si="964"/>
        <v>46212</v>
      </c>
      <c r="I957" s="50" t="s">
        <v>90</v>
      </c>
      <c r="K957" s="435"/>
      <c r="L957" s="29" t="s">
        <v>3085</v>
      </c>
      <c r="M957" s="31"/>
      <c r="N957" s="14" t="s">
        <v>84</v>
      </c>
      <c r="O957" s="31"/>
      <c r="Q957" s="36"/>
      <c r="R957" s="36"/>
      <c r="S957" s="36"/>
      <c r="T957" s="36"/>
      <c r="V957" s="31"/>
    </row>
    <row r="958">
      <c r="A958" s="14" t="s">
        <v>736</v>
      </c>
      <c r="B958" s="351" t="s">
        <v>3460</v>
      </c>
      <c r="C958" s="50" t="s">
        <v>1495</v>
      </c>
      <c r="D958" s="50"/>
      <c r="E958" s="348" t="str">
        <f t="shared" si="887"/>
        <v>septiembre 2026</v>
      </c>
      <c r="F958" s="349">
        <v>46283.0</v>
      </c>
      <c r="G958" s="24">
        <f t="shared" ref="G958:H958" si="965">F958</f>
        <v>46283</v>
      </c>
      <c r="H958" s="26">
        <f t="shared" si="965"/>
        <v>46283</v>
      </c>
      <c r="I958" s="50" t="s">
        <v>90</v>
      </c>
      <c r="K958" s="436"/>
      <c r="L958" s="29" t="s">
        <v>3085</v>
      </c>
      <c r="M958" s="31"/>
      <c r="N958" s="14" t="s">
        <v>84</v>
      </c>
      <c r="O958" s="31"/>
      <c r="Q958" s="36"/>
      <c r="R958" s="36"/>
      <c r="S958" s="36"/>
      <c r="T958" s="36"/>
      <c r="V958" s="31"/>
    </row>
    <row r="959">
      <c r="A959" s="14" t="s">
        <v>736</v>
      </c>
      <c r="B959" s="351" t="s">
        <v>3462</v>
      </c>
      <c r="C959" s="50" t="s">
        <v>1496</v>
      </c>
      <c r="D959" s="50"/>
      <c r="E959" s="348" t="str">
        <f t="shared" si="887"/>
        <v>junio 2026</v>
      </c>
      <c r="F959" s="349">
        <v>46193.0</v>
      </c>
      <c r="G959" s="24">
        <f t="shared" ref="G959:H959" si="966">F959</f>
        <v>46193</v>
      </c>
      <c r="H959" s="26">
        <f t="shared" si="966"/>
        <v>46193</v>
      </c>
      <c r="I959" s="50" t="s">
        <v>90</v>
      </c>
      <c r="K959" s="435"/>
      <c r="L959" s="29" t="s">
        <v>3085</v>
      </c>
      <c r="M959" s="31"/>
      <c r="N959" s="14" t="s">
        <v>84</v>
      </c>
      <c r="O959" s="31"/>
      <c r="Q959" s="36"/>
      <c r="R959" s="36"/>
      <c r="S959" s="36"/>
      <c r="T959" s="36"/>
      <c r="V959" s="31"/>
    </row>
    <row r="960">
      <c r="A960" s="14" t="s">
        <v>736</v>
      </c>
      <c r="B960" s="351" t="s">
        <v>3463</v>
      </c>
      <c r="C960" s="50" t="s">
        <v>1497</v>
      </c>
      <c r="D960" s="50"/>
      <c r="E960" s="348" t="str">
        <f t="shared" si="887"/>
        <v>julio 2026</v>
      </c>
      <c r="F960" s="349">
        <v>46217.0</v>
      </c>
      <c r="G960" s="24">
        <f t="shared" ref="G960:H960" si="967">F960</f>
        <v>46217</v>
      </c>
      <c r="H960" s="26">
        <f t="shared" si="967"/>
        <v>46217</v>
      </c>
      <c r="I960" s="50" t="s">
        <v>90</v>
      </c>
      <c r="K960" s="436"/>
      <c r="L960" s="29" t="s">
        <v>3085</v>
      </c>
      <c r="M960" s="31"/>
      <c r="N960" s="14" t="s">
        <v>84</v>
      </c>
      <c r="O960" s="31"/>
      <c r="Q960" s="36"/>
      <c r="R960" s="36"/>
      <c r="S960" s="36"/>
      <c r="T960" s="36"/>
      <c r="V960" s="31"/>
    </row>
    <row r="961">
      <c r="A961" s="14" t="s">
        <v>736</v>
      </c>
      <c r="B961" s="351" t="s">
        <v>3464</v>
      </c>
      <c r="C961" s="50" t="s">
        <v>1498</v>
      </c>
      <c r="D961" s="50"/>
      <c r="E961" s="348" t="str">
        <f t="shared" si="887"/>
        <v>julio 2026</v>
      </c>
      <c r="F961" s="349">
        <v>46212.0</v>
      </c>
      <c r="G961" s="24">
        <f t="shared" ref="G961:H961" si="968">F961</f>
        <v>46212</v>
      </c>
      <c r="H961" s="26">
        <f t="shared" si="968"/>
        <v>46212</v>
      </c>
      <c r="I961" s="50" t="s">
        <v>90</v>
      </c>
      <c r="K961" s="435"/>
      <c r="L961" s="29" t="s">
        <v>3085</v>
      </c>
      <c r="M961" s="31"/>
      <c r="N961" s="14" t="s">
        <v>84</v>
      </c>
      <c r="O961" s="31"/>
      <c r="Q961" s="36"/>
      <c r="R961" s="36"/>
      <c r="S961" s="36"/>
      <c r="T961" s="36"/>
      <c r="V961" s="31"/>
    </row>
    <row r="962">
      <c r="A962" s="14" t="s">
        <v>736</v>
      </c>
      <c r="B962" s="351" t="s">
        <v>3465</v>
      </c>
      <c r="C962" s="50" t="s">
        <v>1499</v>
      </c>
      <c r="D962" s="50"/>
      <c r="E962" s="348" t="str">
        <f t="shared" si="887"/>
        <v>junio 2026</v>
      </c>
      <c r="F962" s="349">
        <v>46200.0</v>
      </c>
      <c r="G962" s="24">
        <f t="shared" ref="G962:H962" si="969">F962</f>
        <v>46200</v>
      </c>
      <c r="H962" s="26">
        <f t="shared" si="969"/>
        <v>46200</v>
      </c>
      <c r="I962" s="50" t="s">
        <v>90</v>
      </c>
      <c r="K962" s="436"/>
      <c r="L962" s="29" t="s">
        <v>3085</v>
      </c>
      <c r="M962" s="31"/>
      <c r="N962" s="14" t="s">
        <v>84</v>
      </c>
      <c r="O962" s="31"/>
      <c r="Q962" s="36"/>
      <c r="R962" s="36"/>
      <c r="S962" s="36"/>
      <c r="T962" s="36"/>
      <c r="V962" s="31"/>
    </row>
    <row r="963">
      <c r="A963" s="14" t="s">
        <v>736</v>
      </c>
      <c r="B963" s="351" t="s">
        <v>3466</v>
      </c>
      <c r="C963" s="50" t="s">
        <v>1500</v>
      </c>
      <c r="D963" s="50"/>
      <c r="E963" s="348" t="str">
        <f t="shared" si="887"/>
        <v>junio 2026</v>
      </c>
      <c r="F963" s="349">
        <v>46199.0</v>
      </c>
      <c r="G963" s="24">
        <f t="shared" ref="G963:H963" si="970">F963</f>
        <v>46199</v>
      </c>
      <c r="H963" s="26">
        <f t="shared" si="970"/>
        <v>46199</v>
      </c>
      <c r="I963" s="50" t="s">
        <v>90</v>
      </c>
      <c r="K963" s="435"/>
      <c r="L963" s="29" t="s">
        <v>3085</v>
      </c>
      <c r="M963" s="31"/>
      <c r="N963" s="14" t="s">
        <v>84</v>
      </c>
      <c r="O963" s="31"/>
      <c r="Q963" s="36"/>
      <c r="R963" s="36"/>
      <c r="S963" s="36"/>
      <c r="T963" s="36"/>
      <c r="V963" s="31"/>
    </row>
    <row r="964">
      <c r="A964" s="14" t="s">
        <v>736</v>
      </c>
      <c r="B964" s="351" t="s">
        <v>3467</v>
      </c>
      <c r="C964" s="50" t="s">
        <v>1503</v>
      </c>
      <c r="D964" s="50"/>
      <c r="E964" s="348" t="str">
        <f t="shared" si="887"/>
        <v>junio 2026</v>
      </c>
      <c r="F964" s="349">
        <v>46197.0</v>
      </c>
      <c r="G964" s="24">
        <f t="shared" ref="G964:H964" si="971">F964</f>
        <v>46197</v>
      </c>
      <c r="H964" s="26">
        <f t="shared" si="971"/>
        <v>46197</v>
      </c>
      <c r="I964" s="50" t="s">
        <v>90</v>
      </c>
      <c r="K964" s="436"/>
      <c r="L964" s="29" t="s">
        <v>3085</v>
      </c>
      <c r="M964" s="31"/>
      <c r="N964" s="14" t="s">
        <v>84</v>
      </c>
      <c r="O964" s="31"/>
      <c r="Q964" s="36"/>
      <c r="R964" s="36"/>
      <c r="S964" s="36"/>
      <c r="T964" s="36"/>
      <c r="V964" s="31"/>
    </row>
    <row r="965">
      <c r="A965" s="14" t="s">
        <v>736</v>
      </c>
      <c r="B965" s="351" t="s">
        <v>3468</v>
      </c>
      <c r="C965" s="50" t="s">
        <v>1505</v>
      </c>
      <c r="D965" s="50"/>
      <c r="E965" s="348" t="str">
        <f t="shared" si="887"/>
        <v>junio 2026</v>
      </c>
      <c r="F965" s="349">
        <v>46197.0</v>
      </c>
      <c r="G965" s="24">
        <f t="shared" ref="G965:H965" si="972">F965</f>
        <v>46197</v>
      </c>
      <c r="H965" s="26">
        <f t="shared" si="972"/>
        <v>46197</v>
      </c>
      <c r="I965" s="50" t="s">
        <v>90</v>
      </c>
      <c r="K965" s="435"/>
      <c r="L965" s="29" t="s">
        <v>3085</v>
      </c>
      <c r="M965" s="31"/>
      <c r="N965" s="14" t="s">
        <v>84</v>
      </c>
      <c r="O965" s="31"/>
      <c r="Q965" s="36"/>
      <c r="R965" s="36"/>
      <c r="S965" s="36"/>
      <c r="T965" s="36"/>
      <c r="V965" s="31"/>
    </row>
    <row r="966">
      <c r="A966" s="14" t="s">
        <v>736</v>
      </c>
      <c r="B966" s="351" t="s">
        <v>3469</v>
      </c>
      <c r="C966" s="50" t="s">
        <v>1506</v>
      </c>
      <c r="D966" s="50"/>
      <c r="E966" s="348" t="str">
        <f t="shared" si="887"/>
        <v>junio 2026</v>
      </c>
      <c r="F966" s="349">
        <v>46192.0</v>
      </c>
      <c r="G966" s="24">
        <f t="shared" ref="G966:H966" si="973">F966</f>
        <v>46192</v>
      </c>
      <c r="H966" s="26">
        <f t="shared" si="973"/>
        <v>46192</v>
      </c>
      <c r="I966" s="50" t="s">
        <v>90</v>
      </c>
      <c r="K966" s="436"/>
      <c r="L966" s="29" t="s">
        <v>3085</v>
      </c>
      <c r="M966" s="31"/>
      <c r="N966" s="14" t="s">
        <v>84</v>
      </c>
      <c r="O966" s="31"/>
      <c r="Q966" s="36"/>
      <c r="R966" s="36"/>
      <c r="S966" s="36"/>
      <c r="T966" s="36"/>
      <c r="V966" s="31"/>
    </row>
    <row r="967">
      <c r="A967" s="14" t="s">
        <v>736</v>
      </c>
      <c r="B967" s="351" t="s">
        <v>3470</v>
      </c>
      <c r="C967" s="50" t="s">
        <v>1507</v>
      </c>
      <c r="D967" s="50"/>
      <c r="E967" s="348" t="str">
        <f t="shared" si="887"/>
        <v>junio 2026</v>
      </c>
      <c r="F967" s="349">
        <v>46195.0</v>
      </c>
      <c r="G967" s="24">
        <f t="shared" ref="G967:H967" si="974">F967</f>
        <v>46195</v>
      </c>
      <c r="H967" s="26">
        <f t="shared" si="974"/>
        <v>46195</v>
      </c>
      <c r="I967" s="50" t="s">
        <v>90</v>
      </c>
      <c r="K967" s="435"/>
      <c r="L967" s="29" t="s">
        <v>3085</v>
      </c>
      <c r="M967" s="31"/>
      <c r="N967" s="14" t="s">
        <v>84</v>
      </c>
      <c r="O967" s="31"/>
      <c r="Q967" s="36"/>
      <c r="R967" s="36"/>
      <c r="S967" s="36"/>
      <c r="T967" s="36"/>
      <c r="V967" s="31"/>
    </row>
    <row r="968">
      <c r="A968" s="14" t="s">
        <v>736</v>
      </c>
      <c r="B968" s="351" t="s">
        <v>3471</v>
      </c>
      <c r="C968" s="50" t="s">
        <v>1508</v>
      </c>
      <c r="D968" s="50"/>
      <c r="E968" s="348" t="str">
        <f t="shared" si="887"/>
        <v>junio 2026</v>
      </c>
      <c r="F968" s="349">
        <v>46195.0</v>
      </c>
      <c r="G968" s="24">
        <f t="shared" ref="G968:H968" si="975">F968</f>
        <v>46195</v>
      </c>
      <c r="H968" s="26">
        <f t="shared" si="975"/>
        <v>46195</v>
      </c>
      <c r="I968" s="50" t="s">
        <v>90</v>
      </c>
      <c r="K968" s="436"/>
      <c r="L968" s="29" t="s">
        <v>3085</v>
      </c>
      <c r="M968" s="31"/>
      <c r="N968" s="14" t="s">
        <v>84</v>
      </c>
      <c r="O968" s="31"/>
      <c r="Q968" s="36"/>
      <c r="R968" s="36"/>
      <c r="S968" s="36"/>
      <c r="T968" s="36"/>
      <c r="V968" s="31"/>
    </row>
    <row r="969">
      <c r="A969" s="14" t="s">
        <v>736</v>
      </c>
      <c r="B969" s="351" t="s">
        <v>3472</v>
      </c>
      <c r="C969" s="50" t="s">
        <v>1511</v>
      </c>
      <c r="D969" s="50"/>
      <c r="E969" s="348" t="str">
        <f t="shared" si="887"/>
        <v>julio 2026</v>
      </c>
      <c r="F969" s="349">
        <v>46211.0</v>
      </c>
      <c r="G969" s="24">
        <f t="shared" ref="G969:H969" si="976">F969</f>
        <v>46211</v>
      </c>
      <c r="H969" s="26">
        <f t="shared" si="976"/>
        <v>46211</v>
      </c>
      <c r="I969" s="50" t="s">
        <v>90</v>
      </c>
      <c r="K969" s="435"/>
      <c r="L969" s="29" t="s">
        <v>3085</v>
      </c>
      <c r="M969" s="31"/>
      <c r="N969" s="14" t="s">
        <v>84</v>
      </c>
      <c r="O969" s="31"/>
      <c r="Q969" s="36"/>
      <c r="R969" s="36"/>
      <c r="S969" s="36"/>
      <c r="T969" s="36"/>
      <c r="V969" s="31"/>
    </row>
    <row r="970">
      <c r="A970" s="14" t="s">
        <v>736</v>
      </c>
      <c r="B970" s="351" t="s">
        <v>3473</v>
      </c>
      <c r="C970" s="50" t="s">
        <v>1512</v>
      </c>
      <c r="D970" s="50"/>
      <c r="E970" s="348" t="str">
        <f t="shared" si="887"/>
        <v>junio 2026</v>
      </c>
      <c r="F970" s="349">
        <v>46198.0</v>
      </c>
      <c r="G970" s="24">
        <f t="shared" ref="G970:H970" si="977">F970</f>
        <v>46198</v>
      </c>
      <c r="H970" s="26">
        <f t="shared" si="977"/>
        <v>46198</v>
      </c>
      <c r="I970" s="50" t="s">
        <v>90</v>
      </c>
      <c r="K970" s="436"/>
      <c r="L970" s="29" t="s">
        <v>3085</v>
      </c>
      <c r="M970" s="31"/>
      <c r="N970" s="14" t="s">
        <v>84</v>
      </c>
      <c r="O970" s="31"/>
      <c r="Q970" s="36"/>
      <c r="R970" s="36"/>
      <c r="S970" s="36"/>
      <c r="T970" s="36"/>
      <c r="V970" s="31"/>
    </row>
    <row r="971">
      <c r="A971" s="14" t="s">
        <v>736</v>
      </c>
      <c r="B971" s="351" t="s">
        <v>3474</v>
      </c>
      <c r="C971" s="50" t="s">
        <v>1513</v>
      </c>
      <c r="D971" s="50"/>
      <c r="E971" s="348" t="str">
        <f t="shared" si="887"/>
        <v>junio 2026</v>
      </c>
      <c r="F971" s="349">
        <v>46197.0</v>
      </c>
      <c r="G971" s="24">
        <f t="shared" ref="G971:H971" si="978">F971</f>
        <v>46197</v>
      </c>
      <c r="H971" s="26">
        <f t="shared" si="978"/>
        <v>46197</v>
      </c>
      <c r="I971" s="50" t="s">
        <v>90</v>
      </c>
      <c r="K971" s="435"/>
      <c r="L971" s="29" t="s">
        <v>3085</v>
      </c>
      <c r="M971" s="31"/>
      <c r="N971" s="14" t="s">
        <v>84</v>
      </c>
      <c r="O971" s="31"/>
      <c r="Q971" s="36"/>
      <c r="R971" s="36"/>
      <c r="S971" s="36"/>
      <c r="T971" s="36"/>
      <c r="V971" s="31"/>
    </row>
    <row r="972">
      <c r="A972" s="14" t="s">
        <v>736</v>
      </c>
      <c r="B972" s="351" t="s">
        <v>3475</v>
      </c>
      <c r="C972" s="50" t="s">
        <v>1515</v>
      </c>
      <c r="D972" s="50"/>
      <c r="E972" s="348" t="str">
        <f t="shared" si="887"/>
        <v>junio 2026</v>
      </c>
      <c r="F972" s="349">
        <v>46197.0</v>
      </c>
      <c r="G972" s="24">
        <f t="shared" ref="G972:H972" si="979">F972</f>
        <v>46197</v>
      </c>
      <c r="H972" s="26">
        <f t="shared" si="979"/>
        <v>46197</v>
      </c>
      <c r="I972" s="50" t="s">
        <v>90</v>
      </c>
      <c r="K972" s="436"/>
      <c r="L972" s="29" t="s">
        <v>3085</v>
      </c>
      <c r="M972" s="31"/>
      <c r="N972" s="14" t="s">
        <v>84</v>
      </c>
      <c r="O972" s="31"/>
      <c r="Q972" s="36"/>
      <c r="R972" s="36"/>
      <c r="S972" s="36"/>
      <c r="T972" s="36"/>
      <c r="V972" s="31"/>
    </row>
    <row r="973">
      <c r="A973" s="14" t="s">
        <v>736</v>
      </c>
      <c r="B973" s="351" t="s">
        <v>3476</v>
      </c>
      <c r="C973" s="50" t="s">
        <v>1517</v>
      </c>
      <c r="D973" s="50"/>
      <c r="E973" s="348" t="str">
        <f t="shared" si="887"/>
        <v>junio 2026</v>
      </c>
      <c r="F973" s="349">
        <v>46192.0</v>
      </c>
      <c r="G973" s="24">
        <f t="shared" ref="G973:H973" si="980">F973</f>
        <v>46192</v>
      </c>
      <c r="H973" s="26">
        <f t="shared" si="980"/>
        <v>46192</v>
      </c>
      <c r="I973" s="50" t="s">
        <v>90</v>
      </c>
      <c r="K973" s="435"/>
      <c r="L973" s="29" t="s">
        <v>3085</v>
      </c>
      <c r="M973" s="31"/>
      <c r="N973" s="14" t="s">
        <v>84</v>
      </c>
      <c r="O973" s="31"/>
      <c r="Q973" s="36"/>
      <c r="R973" s="36"/>
      <c r="S973" s="36"/>
      <c r="T973" s="36"/>
      <c r="V973" s="31"/>
    </row>
    <row r="974">
      <c r="A974" s="14" t="s">
        <v>736</v>
      </c>
      <c r="B974" s="351" t="s">
        <v>3477</v>
      </c>
      <c r="C974" s="50" t="s">
        <v>1518</v>
      </c>
      <c r="D974" s="50"/>
      <c r="E974" s="348" t="str">
        <f t="shared" si="887"/>
        <v>junio 2026</v>
      </c>
      <c r="F974" s="349">
        <v>46192.0</v>
      </c>
      <c r="G974" s="24">
        <f t="shared" ref="G974:H974" si="981">F974</f>
        <v>46192</v>
      </c>
      <c r="H974" s="26">
        <f t="shared" si="981"/>
        <v>46192</v>
      </c>
      <c r="I974" s="50" t="s">
        <v>90</v>
      </c>
      <c r="K974" s="436"/>
      <c r="L974" s="29" t="s">
        <v>3085</v>
      </c>
      <c r="M974" s="31"/>
      <c r="N974" s="14" t="s">
        <v>84</v>
      </c>
      <c r="O974" s="31"/>
      <c r="Q974" s="36"/>
      <c r="R974" s="36"/>
      <c r="S974" s="36"/>
      <c r="T974" s="36"/>
      <c r="V974" s="31"/>
    </row>
    <row r="975">
      <c r="A975" s="14" t="s">
        <v>736</v>
      </c>
      <c r="B975" s="351" t="s">
        <v>3478</v>
      </c>
      <c r="C975" s="50" t="s">
        <v>1519</v>
      </c>
      <c r="D975" s="50"/>
      <c r="E975" s="348" t="str">
        <f t="shared" si="887"/>
        <v>junio 2026</v>
      </c>
      <c r="F975" s="349">
        <v>46192.0</v>
      </c>
      <c r="G975" s="24">
        <f t="shared" ref="G975:H975" si="982">F975</f>
        <v>46192</v>
      </c>
      <c r="H975" s="26">
        <f t="shared" si="982"/>
        <v>46192</v>
      </c>
      <c r="I975" s="50" t="s">
        <v>90</v>
      </c>
      <c r="K975" s="435"/>
      <c r="L975" s="29" t="s">
        <v>3085</v>
      </c>
      <c r="M975" s="31"/>
      <c r="N975" s="14" t="s">
        <v>84</v>
      </c>
      <c r="O975" s="31"/>
      <c r="Q975" s="36"/>
      <c r="R975" s="36"/>
      <c r="S975" s="36"/>
      <c r="T975" s="36"/>
      <c r="V975" s="31"/>
    </row>
    <row r="976">
      <c r="A976" s="14" t="s">
        <v>736</v>
      </c>
      <c r="B976" s="351" t="s">
        <v>3479</v>
      </c>
      <c r="C976" s="50" t="s">
        <v>1520</v>
      </c>
      <c r="D976" s="50"/>
      <c r="E976" s="348" t="str">
        <f t="shared" si="887"/>
        <v>junio 2026</v>
      </c>
      <c r="F976" s="349">
        <v>46192.0</v>
      </c>
      <c r="G976" s="24">
        <f t="shared" ref="G976:H976" si="983">F976</f>
        <v>46192</v>
      </c>
      <c r="H976" s="26">
        <f t="shared" si="983"/>
        <v>46192</v>
      </c>
      <c r="I976" s="50" t="s">
        <v>90</v>
      </c>
      <c r="K976" s="436"/>
      <c r="L976" s="29" t="s">
        <v>3085</v>
      </c>
      <c r="M976" s="31"/>
      <c r="N976" s="14" t="s">
        <v>84</v>
      </c>
      <c r="O976" s="31"/>
      <c r="Q976" s="36"/>
      <c r="R976" s="36"/>
      <c r="S976" s="36"/>
      <c r="T976" s="36"/>
      <c r="V976" s="31"/>
    </row>
    <row r="977">
      <c r="A977" s="14" t="s">
        <v>736</v>
      </c>
      <c r="B977" s="351" t="s">
        <v>3480</v>
      </c>
      <c r="C977" s="50" t="s">
        <v>1523</v>
      </c>
      <c r="D977" s="50"/>
      <c r="E977" s="348" t="str">
        <f t="shared" si="887"/>
        <v>julio 2026</v>
      </c>
      <c r="F977" s="349">
        <v>46211.0</v>
      </c>
      <c r="G977" s="24">
        <f t="shared" ref="G977:H977" si="984">F977</f>
        <v>46211</v>
      </c>
      <c r="H977" s="26">
        <f t="shared" si="984"/>
        <v>46211</v>
      </c>
      <c r="I977" s="50" t="s">
        <v>90</v>
      </c>
      <c r="K977" s="435"/>
      <c r="L977" s="29" t="s">
        <v>3085</v>
      </c>
      <c r="M977" s="31"/>
      <c r="N977" s="14" t="s">
        <v>84</v>
      </c>
      <c r="O977" s="31"/>
      <c r="Q977" s="36"/>
      <c r="R977" s="36"/>
      <c r="S977" s="36"/>
      <c r="T977" s="36"/>
      <c r="V977" s="31"/>
    </row>
    <row r="978">
      <c r="A978" s="14" t="s">
        <v>736</v>
      </c>
      <c r="B978" s="351" t="s">
        <v>3481</v>
      </c>
      <c r="C978" s="50" t="s">
        <v>1524</v>
      </c>
      <c r="D978" s="50"/>
      <c r="E978" s="348" t="str">
        <f t="shared" si="887"/>
        <v>junio 2026</v>
      </c>
      <c r="F978" s="349">
        <v>46203.0</v>
      </c>
      <c r="G978" s="24">
        <f t="shared" ref="G978:H978" si="985">F978</f>
        <v>46203</v>
      </c>
      <c r="H978" s="26">
        <f t="shared" si="985"/>
        <v>46203</v>
      </c>
      <c r="I978" s="50" t="s">
        <v>90</v>
      </c>
      <c r="K978" s="436"/>
      <c r="L978" s="29" t="s">
        <v>3085</v>
      </c>
      <c r="M978" s="31"/>
      <c r="N978" s="14" t="s">
        <v>84</v>
      </c>
      <c r="O978" s="31"/>
      <c r="Q978" s="36"/>
      <c r="R978" s="36"/>
      <c r="S978" s="36"/>
      <c r="T978" s="36"/>
      <c r="V978" s="31"/>
    </row>
    <row r="979">
      <c r="A979" s="14" t="s">
        <v>736</v>
      </c>
      <c r="B979" s="351" t="s">
        <v>3482</v>
      </c>
      <c r="C979" s="50" t="s">
        <v>1525</v>
      </c>
      <c r="D979" s="50"/>
      <c r="E979" s="348" t="str">
        <f t="shared" si="887"/>
        <v>junio 2026</v>
      </c>
      <c r="F979" s="349">
        <v>46199.0</v>
      </c>
      <c r="G979" s="24">
        <f t="shared" ref="G979:H979" si="986">F979</f>
        <v>46199</v>
      </c>
      <c r="H979" s="26">
        <f t="shared" si="986"/>
        <v>46199</v>
      </c>
      <c r="I979" s="50" t="s">
        <v>90</v>
      </c>
      <c r="K979" s="435"/>
      <c r="L979" s="29" t="s">
        <v>3085</v>
      </c>
      <c r="M979" s="31"/>
      <c r="N979" s="14" t="s">
        <v>84</v>
      </c>
      <c r="O979" s="31"/>
      <c r="Q979" s="36"/>
      <c r="R979" s="36"/>
      <c r="S979" s="36"/>
      <c r="T979" s="36"/>
      <c r="V979" s="31"/>
    </row>
    <row r="980">
      <c r="A980" s="14" t="s">
        <v>736</v>
      </c>
      <c r="B980" s="351" t="s">
        <v>3483</v>
      </c>
      <c r="C980" s="50" t="s">
        <v>1526</v>
      </c>
      <c r="D980" s="50"/>
      <c r="E980" s="348" t="str">
        <f t="shared" si="887"/>
        <v>julio 2026</v>
      </c>
      <c r="F980" s="349">
        <v>46212.0</v>
      </c>
      <c r="G980" s="24">
        <f t="shared" ref="G980:H980" si="987">F980</f>
        <v>46212</v>
      </c>
      <c r="H980" s="26">
        <f t="shared" si="987"/>
        <v>46212</v>
      </c>
      <c r="I980" s="50" t="s">
        <v>90</v>
      </c>
      <c r="K980" s="436"/>
      <c r="L980" s="29" t="s">
        <v>3085</v>
      </c>
      <c r="M980" s="31"/>
      <c r="N980" s="14" t="s">
        <v>84</v>
      </c>
      <c r="O980" s="31"/>
      <c r="Q980" s="36"/>
      <c r="R980" s="36"/>
      <c r="S980" s="36"/>
      <c r="T980" s="36"/>
      <c r="V980" s="31"/>
    </row>
    <row r="981">
      <c r="A981" s="14" t="s">
        <v>736</v>
      </c>
      <c r="B981" s="351" t="s">
        <v>3484</v>
      </c>
      <c r="C981" s="50" t="s">
        <v>1529</v>
      </c>
      <c r="D981" s="50"/>
      <c r="E981" s="348" t="str">
        <f t="shared" si="887"/>
        <v>julio 2026</v>
      </c>
      <c r="F981" s="349">
        <v>46211.0</v>
      </c>
      <c r="G981" s="24">
        <f t="shared" ref="G981:H981" si="988">F981</f>
        <v>46211</v>
      </c>
      <c r="H981" s="26">
        <f t="shared" si="988"/>
        <v>46211</v>
      </c>
      <c r="I981" s="50" t="s">
        <v>90</v>
      </c>
      <c r="K981" s="435"/>
      <c r="L981" s="29" t="s">
        <v>3085</v>
      </c>
      <c r="M981" s="31"/>
      <c r="N981" s="14" t="s">
        <v>84</v>
      </c>
      <c r="O981" s="31"/>
      <c r="Q981" s="36"/>
      <c r="R981" s="36"/>
      <c r="S981" s="36"/>
      <c r="T981" s="36"/>
      <c r="V981" s="31"/>
    </row>
    <row r="982">
      <c r="A982" s="14" t="s">
        <v>736</v>
      </c>
      <c r="B982" s="351" t="s">
        <v>3485</v>
      </c>
      <c r="C982" s="50" t="s">
        <v>1530</v>
      </c>
      <c r="D982" s="50"/>
      <c r="E982" s="348" t="str">
        <f t="shared" si="887"/>
        <v>julio 2026</v>
      </c>
      <c r="F982" s="349">
        <v>46211.0</v>
      </c>
      <c r="G982" s="24">
        <f t="shared" ref="G982:H982" si="989">F982</f>
        <v>46211</v>
      </c>
      <c r="H982" s="26">
        <f t="shared" si="989"/>
        <v>46211</v>
      </c>
      <c r="I982" s="50" t="s">
        <v>90</v>
      </c>
      <c r="K982" s="436"/>
      <c r="L982" s="29" t="s">
        <v>3085</v>
      </c>
      <c r="M982" s="31"/>
      <c r="N982" s="14" t="s">
        <v>84</v>
      </c>
      <c r="O982" s="31"/>
      <c r="Q982" s="36"/>
      <c r="R982" s="36"/>
      <c r="S982" s="36"/>
      <c r="T982" s="36"/>
      <c r="V982" s="31"/>
    </row>
    <row r="983">
      <c r="A983" s="14" t="s">
        <v>736</v>
      </c>
      <c r="B983" s="351" t="s">
        <v>3486</v>
      </c>
      <c r="C983" s="50" t="s">
        <v>1531</v>
      </c>
      <c r="D983" s="50"/>
      <c r="E983" s="348" t="str">
        <f t="shared" si="887"/>
        <v>julio 2026</v>
      </c>
      <c r="F983" s="349">
        <v>46207.0</v>
      </c>
      <c r="G983" s="24">
        <f t="shared" ref="G983:H983" si="990">F983</f>
        <v>46207</v>
      </c>
      <c r="H983" s="26">
        <f t="shared" si="990"/>
        <v>46207</v>
      </c>
      <c r="I983" s="50" t="s">
        <v>90</v>
      </c>
      <c r="K983" s="435"/>
      <c r="L983" s="29" t="s">
        <v>3085</v>
      </c>
      <c r="M983" s="31"/>
      <c r="N983" s="14" t="s">
        <v>84</v>
      </c>
      <c r="O983" s="31"/>
      <c r="Q983" s="36"/>
      <c r="R983" s="36"/>
      <c r="S983" s="36"/>
      <c r="T983" s="36"/>
      <c r="V983" s="31"/>
    </row>
    <row r="984">
      <c r="A984" s="14" t="s">
        <v>736</v>
      </c>
      <c r="B984" s="351" t="s">
        <v>3487</v>
      </c>
      <c r="C984" s="50" t="s">
        <v>1532</v>
      </c>
      <c r="D984" s="50"/>
      <c r="E984" s="348" t="str">
        <f t="shared" si="887"/>
        <v>julio 2026</v>
      </c>
      <c r="F984" s="349">
        <v>46207.0</v>
      </c>
      <c r="G984" s="24">
        <f t="shared" ref="G984:H984" si="991">F984</f>
        <v>46207</v>
      </c>
      <c r="H984" s="26">
        <f t="shared" si="991"/>
        <v>46207</v>
      </c>
      <c r="I984" s="50" t="s">
        <v>90</v>
      </c>
      <c r="K984" s="436"/>
      <c r="L984" s="29" t="s">
        <v>3085</v>
      </c>
      <c r="M984" s="31"/>
      <c r="N984" s="14" t="s">
        <v>84</v>
      </c>
      <c r="O984" s="31"/>
      <c r="Q984" s="36"/>
      <c r="R984" s="36"/>
      <c r="S984" s="36"/>
      <c r="T984" s="36"/>
      <c r="V984" s="31"/>
    </row>
    <row r="985">
      <c r="A985" s="14" t="s">
        <v>736</v>
      </c>
      <c r="B985" s="351" t="s">
        <v>3488</v>
      </c>
      <c r="C985" s="50" t="s">
        <v>1535</v>
      </c>
      <c r="D985" s="50"/>
      <c r="E985" s="348" t="str">
        <f t="shared" si="887"/>
        <v>julio 2026</v>
      </c>
      <c r="F985" s="349">
        <v>46212.0</v>
      </c>
      <c r="G985" s="24">
        <f t="shared" ref="G985:H985" si="992">F985</f>
        <v>46212</v>
      </c>
      <c r="H985" s="26">
        <f t="shared" si="992"/>
        <v>46212</v>
      </c>
      <c r="I985" s="50" t="s">
        <v>90</v>
      </c>
      <c r="K985" s="435"/>
      <c r="L985" s="29" t="s">
        <v>3085</v>
      </c>
      <c r="M985" s="31"/>
      <c r="N985" s="14" t="s">
        <v>84</v>
      </c>
      <c r="O985" s="31"/>
      <c r="Q985" s="36"/>
      <c r="R985" s="36"/>
      <c r="S985" s="36"/>
      <c r="T985" s="36"/>
      <c r="V985" s="31"/>
    </row>
    <row r="986">
      <c r="A986" s="14" t="s">
        <v>736</v>
      </c>
      <c r="B986" s="351" t="s">
        <v>3489</v>
      </c>
      <c r="C986" s="50" t="s">
        <v>1536</v>
      </c>
      <c r="D986" s="50"/>
      <c r="E986" s="348" t="str">
        <f t="shared" si="887"/>
        <v>julio 2026</v>
      </c>
      <c r="F986" s="349">
        <v>46207.0</v>
      </c>
      <c r="G986" s="24">
        <f t="shared" ref="G986:H986" si="993">F986</f>
        <v>46207</v>
      </c>
      <c r="H986" s="26">
        <f t="shared" si="993"/>
        <v>46207</v>
      </c>
      <c r="I986" s="50" t="s">
        <v>90</v>
      </c>
      <c r="K986" s="436"/>
      <c r="L986" s="29" t="s">
        <v>3085</v>
      </c>
      <c r="M986" s="31"/>
      <c r="N986" s="14" t="s">
        <v>84</v>
      </c>
      <c r="O986" s="31"/>
      <c r="Q986" s="36"/>
      <c r="R986" s="36"/>
      <c r="S986" s="36"/>
      <c r="T986" s="36"/>
      <c r="V986" s="31"/>
    </row>
    <row r="987">
      <c r="A987" s="14" t="s">
        <v>736</v>
      </c>
      <c r="B987" s="351" t="s">
        <v>3490</v>
      </c>
      <c r="C987" s="50" t="s">
        <v>1538</v>
      </c>
      <c r="D987" s="50"/>
      <c r="E987" s="348" t="str">
        <f t="shared" si="887"/>
        <v>junio 2026</v>
      </c>
      <c r="F987" s="349">
        <v>46195.0</v>
      </c>
      <c r="G987" s="24">
        <f t="shared" ref="G987:H987" si="994">F987</f>
        <v>46195</v>
      </c>
      <c r="H987" s="26">
        <f t="shared" si="994"/>
        <v>46195</v>
      </c>
      <c r="I987" s="50" t="s">
        <v>90</v>
      </c>
      <c r="K987" s="435"/>
      <c r="L987" s="29" t="s">
        <v>3085</v>
      </c>
      <c r="M987" s="31"/>
      <c r="N987" s="14" t="s">
        <v>84</v>
      </c>
      <c r="O987" s="31"/>
      <c r="Q987" s="36"/>
      <c r="R987" s="36"/>
      <c r="S987" s="36"/>
      <c r="T987" s="36"/>
      <c r="V987" s="31"/>
    </row>
    <row r="988">
      <c r="A988" s="14" t="s">
        <v>736</v>
      </c>
      <c r="B988" s="351" t="s">
        <v>3491</v>
      </c>
      <c r="C988" s="50" t="s">
        <v>1540</v>
      </c>
      <c r="D988" s="50"/>
      <c r="E988" s="348" t="str">
        <f t="shared" si="887"/>
        <v>julio 2026</v>
      </c>
      <c r="F988" s="349">
        <v>46209.0</v>
      </c>
      <c r="G988" s="24">
        <f t="shared" ref="G988:H988" si="995">F988</f>
        <v>46209</v>
      </c>
      <c r="H988" s="26">
        <f t="shared" si="995"/>
        <v>46209</v>
      </c>
      <c r="I988" s="50" t="s">
        <v>90</v>
      </c>
      <c r="K988" s="436"/>
      <c r="L988" s="29" t="s">
        <v>3085</v>
      </c>
      <c r="M988" s="31"/>
      <c r="N988" s="14" t="s">
        <v>84</v>
      </c>
      <c r="O988" s="31"/>
      <c r="Q988" s="36"/>
      <c r="R988" s="36"/>
      <c r="S988" s="36"/>
      <c r="T988" s="36"/>
      <c r="V988" s="31"/>
    </row>
    <row r="989">
      <c r="A989" s="14" t="s">
        <v>736</v>
      </c>
      <c r="B989" s="351" t="s">
        <v>3492</v>
      </c>
      <c r="C989" s="50" t="s">
        <v>1541</v>
      </c>
      <c r="D989" s="50"/>
      <c r="E989" s="348" t="str">
        <f t="shared" si="887"/>
        <v>julio 2026</v>
      </c>
      <c r="F989" s="349">
        <v>46209.0</v>
      </c>
      <c r="G989" s="24">
        <f t="shared" ref="G989:H989" si="996">F989</f>
        <v>46209</v>
      </c>
      <c r="H989" s="26">
        <f t="shared" si="996"/>
        <v>46209</v>
      </c>
      <c r="I989" s="50" t="s">
        <v>90</v>
      </c>
      <c r="K989" s="435"/>
      <c r="L989" s="29" t="s">
        <v>3085</v>
      </c>
      <c r="M989" s="31"/>
      <c r="N989" s="14" t="s">
        <v>84</v>
      </c>
      <c r="O989" s="31"/>
      <c r="Q989" s="36"/>
      <c r="R989" s="36"/>
      <c r="S989" s="36"/>
      <c r="T989" s="36"/>
      <c r="V989" s="31"/>
    </row>
    <row r="990">
      <c r="A990" s="14" t="s">
        <v>736</v>
      </c>
      <c r="B990" s="351" t="s">
        <v>3493</v>
      </c>
      <c r="C990" s="50" t="s">
        <v>1542</v>
      </c>
      <c r="D990" s="50"/>
      <c r="E990" s="348" t="str">
        <f t="shared" si="887"/>
        <v>junio 2026</v>
      </c>
      <c r="F990" s="349">
        <v>46195.0</v>
      </c>
      <c r="G990" s="24">
        <f t="shared" ref="G990:H990" si="997">F990</f>
        <v>46195</v>
      </c>
      <c r="H990" s="26">
        <f t="shared" si="997"/>
        <v>46195</v>
      </c>
      <c r="I990" s="50" t="s">
        <v>90</v>
      </c>
      <c r="K990" s="436"/>
      <c r="L990" s="29" t="s">
        <v>3085</v>
      </c>
      <c r="M990" s="31"/>
      <c r="N990" s="14" t="s">
        <v>84</v>
      </c>
      <c r="O990" s="31"/>
      <c r="Q990" s="36"/>
      <c r="R990" s="36"/>
      <c r="S990" s="36"/>
      <c r="T990" s="36"/>
      <c r="V990" s="31"/>
    </row>
    <row r="991">
      <c r="A991" s="14" t="s">
        <v>736</v>
      </c>
      <c r="B991" s="351" t="s">
        <v>3494</v>
      </c>
      <c r="C991" s="50" t="s">
        <v>1543</v>
      </c>
      <c r="D991" s="50"/>
      <c r="E991" s="348" t="str">
        <f t="shared" si="887"/>
        <v>junio 2026</v>
      </c>
      <c r="F991" s="349">
        <v>46193.0</v>
      </c>
      <c r="G991" s="24">
        <f t="shared" ref="G991:H991" si="998">F991</f>
        <v>46193</v>
      </c>
      <c r="H991" s="26">
        <f t="shared" si="998"/>
        <v>46193</v>
      </c>
      <c r="I991" s="50" t="s">
        <v>90</v>
      </c>
      <c r="K991" s="435"/>
      <c r="L991" s="29" t="s">
        <v>3085</v>
      </c>
      <c r="M991" s="31"/>
      <c r="N991" s="14" t="s">
        <v>84</v>
      </c>
      <c r="O991" s="31"/>
      <c r="Q991" s="36"/>
      <c r="R991" s="36"/>
      <c r="S991" s="36"/>
      <c r="T991" s="36"/>
      <c r="V991" s="31"/>
    </row>
    <row r="992">
      <c r="A992" s="14" t="s">
        <v>736</v>
      </c>
      <c r="B992" s="351" t="s">
        <v>3495</v>
      </c>
      <c r="C992" s="50" t="s">
        <v>1544</v>
      </c>
      <c r="D992" s="50"/>
      <c r="E992" s="348" t="str">
        <f t="shared" si="887"/>
        <v>junio 2026</v>
      </c>
      <c r="F992" s="349">
        <v>46192.0</v>
      </c>
      <c r="G992" s="24">
        <f t="shared" ref="G992:H992" si="999">F992</f>
        <v>46192</v>
      </c>
      <c r="H992" s="26">
        <f t="shared" si="999"/>
        <v>46192</v>
      </c>
      <c r="I992" s="50" t="s">
        <v>90</v>
      </c>
      <c r="K992" s="436"/>
      <c r="L992" s="29" t="s">
        <v>3085</v>
      </c>
      <c r="M992" s="31"/>
      <c r="N992" s="14" t="s">
        <v>84</v>
      </c>
      <c r="O992" s="31"/>
      <c r="Q992" s="36"/>
      <c r="R992" s="36"/>
      <c r="S992" s="36"/>
      <c r="T992" s="36"/>
      <c r="V992" s="31"/>
    </row>
    <row r="993">
      <c r="A993" s="14" t="s">
        <v>736</v>
      </c>
      <c r="B993" s="351" t="s">
        <v>3496</v>
      </c>
      <c r="C993" s="50" t="s">
        <v>1545</v>
      </c>
      <c r="D993" s="50"/>
      <c r="E993" s="348" t="str">
        <f t="shared" si="887"/>
        <v>junio 2026</v>
      </c>
      <c r="F993" s="349">
        <v>46198.0</v>
      </c>
      <c r="G993" s="24">
        <f t="shared" ref="G993:H993" si="1000">F993</f>
        <v>46198</v>
      </c>
      <c r="H993" s="26">
        <f t="shared" si="1000"/>
        <v>46198</v>
      </c>
      <c r="I993" s="50" t="s">
        <v>90</v>
      </c>
      <c r="K993" s="435"/>
      <c r="L993" s="29" t="s">
        <v>3085</v>
      </c>
      <c r="M993" s="31"/>
      <c r="N993" s="14" t="s">
        <v>84</v>
      </c>
      <c r="O993" s="31"/>
      <c r="Q993" s="36"/>
      <c r="R993" s="36"/>
      <c r="S993" s="36"/>
      <c r="T993" s="36"/>
      <c r="V993" s="31"/>
    </row>
    <row r="994">
      <c r="A994" s="14" t="s">
        <v>679</v>
      </c>
      <c r="C994" s="382" t="s">
        <v>2527</v>
      </c>
      <c r="D994" s="446"/>
      <c r="E994" s="383" t="str">
        <f t="shared" si="887"/>
        <v>diciembre 1899</v>
      </c>
      <c r="F994" s="386"/>
      <c r="G994" s="24" t="str">
        <f t="shared" ref="G994:H994" si="1001">F994</f>
        <v/>
      </c>
      <c r="H994" s="26" t="str">
        <f t="shared" si="1001"/>
        <v/>
      </c>
      <c r="I994" s="14" t="s">
        <v>1596</v>
      </c>
      <c r="K994" s="436">
        <v>4.0E7</v>
      </c>
      <c r="L994" s="29"/>
      <c r="M994" s="31"/>
      <c r="N994" s="14" t="s">
        <v>84</v>
      </c>
      <c r="O994" s="31"/>
      <c r="Q994" s="36"/>
      <c r="R994" s="36"/>
      <c r="S994" s="36"/>
      <c r="T994" s="36"/>
      <c r="V994" s="31"/>
    </row>
    <row r="995">
      <c r="A995" s="14" t="s">
        <v>736</v>
      </c>
      <c r="B995" s="351" t="s">
        <v>3497</v>
      </c>
      <c r="C995" s="50" t="s">
        <v>1547</v>
      </c>
      <c r="D995" s="50"/>
      <c r="E995" s="348" t="str">
        <f t="shared" si="887"/>
        <v>diciembre 1899</v>
      </c>
      <c r="F995" s="349"/>
      <c r="G995" s="24" t="str">
        <f t="shared" ref="G995:H995" si="1002">F995</f>
        <v/>
      </c>
      <c r="H995" s="26" t="str">
        <f t="shared" si="1002"/>
        <v/>
      </c>
      <c r="I995" s="50" t="s">
        <v>90</v>
      </c>
      <c r="K995" s="435"/>
      <c r="L995" s="29" t="s">
        <v>3085</v>
      </c>
      <c r="M995" s="31"/>
      <c r="N995" s="14" t="s">
        <v>84</v>
      </c>
      <c r="O995" s="31"/>
      <c r="Q995" s="36"/>
      <c r="R995" s="36"/>
      <c r="S995" s="36"/>
      <c r="T995" s="36"/>
      <c r="V995" s="31"/>
    </row>
    <row r="996">
      <c r="A996" s="14" t="s">
        <v>736</v>
      </c>
      <c r="B996" s="351" t="s">
        <v>3498</v>
      </c>
      <c r="C996" s="50" t="s">
        <v>1549</v>
      </c>
      <c r="D996" s="50"/>
      <c r="E996" s="348" t="str">
        <f t="shared" si="887"/>
        <v>julio 2026</v>
      </c>
      <c r="F996" s="349">
        <v>46210.0</v>
      </c>
      <c r="G996" s="24">
        <f t="shared" ref="G996:H996" si="1003">F996</f>
        <v>46210</v>
      </c>
      <c r="H996" s="26">
        <f t="shared" si="1003"/>
        <v>46210</v>
      </c>
      <c r="I996" s="50" t="s">
        <v>90</v>
      </c>
      <c r="K996" s="436"/>
      <c r="L996" s="29" t="s">
        <v>3085</v>
      </c>
      <c r="M996" s="31"/>
      <c r="N996" s="14" t="s">
        <v>84</v>
      </c>
      <c r="O996" s="31"/>
      <c r="Q996" s="36"/>
      <c r="R996" s="36"/>
      <c r="S996" s="36"/>
      <c r="T996" s="36"/>
      <c r="V996" s="31"/>
    </row>
    <row r="997">
      <c r="A997" s="14" t="s">
        <v>736</v>
      </c>
      <c r="B997" s="351" t="s">
        <v>3499</v>
      </c>
      <c r="C997" s="50" t="s">
        <v>1550</v>
      </c>
      <c r="D997" s="50"/>
      <c r="E997" s="348" t="str">
        <f t="shared" si="887"/>
        <v>julio 2026</v>
      </c>
      <c r="F997" s="349">
        <v>46217.0</v>
      </c>
      <c r="G997" s="24">
        <f t="shared" ref="G997:H997" si="1004">F997</f>
        <v>46217</v>
      </c>
      <c r="H997" s="26">
        <f t="shared" si="1004"/>
        <v>46217</v>
      </c>
      <c r="I997" s="50" t="s">
        <v>90</v>
      </c>
      <c r="K997" s="435"/>
      <c r="L997" s="29" t="s">
        <v>3085</v>
      </c>
      <c r="M997" s="31"/>
      <c r="N997" s="14" t="s">
        <v>84</v>
      </c>
      <c r="O997" s="31"/>
      <c r="Q997" s="36"/>
      <c r="R997" s="36"/>
      <c r="S997" s="36"/>
      <c r="T997" s="36"/>
      <c r="V997" s="31"/>
    </row>
    <row r="998">
      <c r="A998" s="14" t="s">
        <v>736</v>
      </c>
      <c r="B998" s="351" t="s">
        <v>3500</v>
      </c>
      <c r="C998" s="50" t="s">
        <v>1551</v>
      </c>
      <c r="D998" s="50"/>
      <c r="E998" s="348" t="str">
        <f t="shared" si="887"/>
        <v>julio 2026</v>
      </c>
      <c r="F998" s="349">
        <v>46231.0</v>
      </c>
      <c r="G998" s="24">
        <f t="shared" ref="G998:H998" si="1005">F998</f>
        <v>46231</v>
      </c>
      <c r="H998" s="26">
        <f t="shared" si="1005"/>
        <v>46231</v>
      </c>
      <c r="I998" s="50" t="s">
        <v>90</v>
      </c>
      <c r="K998" s="436"/>
      <c r="L998" s="29" t="s">
        <v>3085</v>
      </c>
      <c r="M998" s="31"/>
      <c r="N998" s="14" t="s">
        <v>84</v>
      </c>
      <c r="O998" s="31"/>
      <c r="Q998" s="36"/>
      <c r="R998" s="36"/>
      <c r="S998" s="36"/>
      <c r="T998" s="36"/>
      <c r="V998" s="31"/>
    </row>
    <row r="999">
      <c r="A999" s="14" t="s">
        <v>736</v>
      </c>
      <c r="B999" s="351" t="s">
        <v>3501</v>
      </c>
      <c r="C999" s="50" t="s">
        <v>1555</v>
      </c>
      <c r="D999" s="50"/>
      <c r="E999" s="348" t="str">
        <f t="shared" si="887"/>
        <v>julio 2026</v>
      </c>
      <c r="F999" s="349">
        <v>46231.0</v>
      </c>
      <c r="G999" s="24">
        <f t="shared" ref="G999:H999" si="1006">F999</f>
        <v>46231</v>
      </c>
      <c r="H999" s="26">
        <f t="shared" si="1006"/>
        <v>46231</v>
      </c>
      <c r="I999" s="50" t="s">
        <v>90</v>
      </c>
      <c r="K999" s="435"/>
      <c r="L999" s="29" t="s">
        <v>3085</v>
      </c>
      <c r="M999" s="31"/>
      <c r="N999" s="14" t="s">
        <v>84</v>
      </c>
      <c r="O999" s="31"/>
      <c r="Q999" s="36"/>
      <c r="R999" s="36"/>
      <c r="S999" s="36"/>
      <c r="T999" s="36"/>
      <c r="V999" s="31"/>
    </row>
    <row r="1000">
      <c r="A1000" s="14" t="s">
        <v>736</v>
      </c>
      <c r="B1000" s="351" t="s">
        <v>3502</v>
      </c>
      <c r="C1000" s="50" t="s">
        <v>1556</v>
      </c>
      <c r="D1000" s="50"/>
      <c r="E1000" s="348" t="str">
        <f t="shared" si="887"/>
        <v>junio 2026</v>
      </c>
      <c r="F1000" s="349">
        <v>46196.0</v>
      </c>
      <c r="G1000" s="24">
        <f t="shared" ref="G1000:H1000" si="1007">F1000</f>
        <v>46196</v>
      </c>
      <c r="H1000" s="26">
        <f t="shared" si="1007"/>
        <v>46196</v>
      </c>
      <c r="I1000" s="50" t="s">
        <v>90</v>
      </c>
      <c r="K1000" s="436"/>
      <c r="L1000" s="29" t="s">
        <v>3085</v>
      </c>
      <c r="M1000" s="31"/>
      <c r="N1000" s="14" t="s">
        <v>84</v>
      </c>
      <c r="O1000" s="31"/>
      <c r="Q1000" s="36"/>
      <c r="R1000" s="36"/>
      <c r="S1000" s="36"/>
      <c r="T1000" s="36"/>
      <c r="V1000" s="31"/>
    </row>
    <row r="1001">
      <c r="A1001" s="14" t="s">
        <v>736</v>
      </c>
      <c r="B1001" s="351" t="s">
        <v>3503</v>
      </c>
      <c r="C1001" s="50" t="s">
        <v>1559</v>
      </c>
      <c r="D1001" s="50"/>
      <c r="E1001" s="348" t="str">
        <f t="shared" si="887"/>
        <v>junio 2026</v>
      </c>
      <c r="F1001" s="349">
        <v>46198.0</v>
      </c>
      <c r="G1001" s="24">
        <f t="shared" ref="G1001:H1001" si="1008">F1001</f>
        <v>46198</v>
      </c>
      <c r="H1001" s="26">
        <f t="shared" si="1008"/>
        <v>46198</v>
      </c>
      <c r="I1001" s="50" t="s">
        <v>90</v>
      </c>
      <c r="K1001" s="435"/>
      <c r="L1001" s="29" t="s">
        <v>3085</v>
      </c>
      <c r="M1001" s="31"/>
      <c r="N1001" s="14" t="s">
        <v>84</v>
      </c>
      <c r="O1001" s="31"/>
      <c r="Q1001" s="36"/>
      <c r="R1001" s="36"/>
      <c r="S1001" s="36"/>
      <c r="T1001" s="36"/>
      <c r="V1001" s="31"/>
    </row>
    <row r="1002">
      <c r="A1002" s="14" t="s">
        <v>736</v>
      </c>
      <c r="B1002" s="351" t="s">
        <v>3504</v>
      </c>
      <c r="C1002" s="50" t="s">
        <v>1561</v>
      </c>
      <c r="D1002" s="50"/>
      <c r="E1002" s="348" t="str">
        <f t="shared" si="887"/>
        <v>julio 2026</v>
      </c>
      <c r="F1002" s="349">
        <v>46209.0</v>
      </c>
      <c r="G1002" s="24">
        <f t="shared" ref="G1002:H1002" si="1009">F1002</f>
        <v>46209</v>
      </c>
      <c r="H1002" s="26">
        <f t="shared" si="1009"/>
        <v>46209</v>
      </c>
      <c r="I1002" s="50" t="s">
        <v>90</v>
      </c>
      <c r="K1002" s="436"/>
      <c r="L1002" s="29" t="s">
        <v>3085</v>
      </c>
      <c r="M1002" s="31"/>
      <c r="N1002" s="14" t="s">
        <v>84</v>
      </c>
      <c r="O1002" s="31"/>
      <c r="Q1002" s="36"/>
      <c r="R1002" s="36"/>
      <c r="S1002" s="36"/>
      <c r="T1002" s="36"/>
      <c r="V1002" s="31"/>
    </row>
    <row r="1003">
      <c r="A1003" s="14" t="s">
        <v>736</v>
      </c>
      <c r="B1003" s="351" t="s">
        <v>3505</v>
      </c>
      <c r="C1003" s="50" t="s">
        <v>1562</v>
      </c>
      <c r="D1003" s="50"/>
      <c r="E1003" s="348" t="str">
        <f t="shared" si="887"/>
        <v>julio 2026</v>
      </c>
      <c r="F1003" s="349">
        <v>46211.0</v>
      </c>
      <c r="G1003" s="24">
        <f t="shared" ref="G1003:H1003" si="1010">F1003</f>
        <v>46211</v>
      </c>
      <c r="H1003" s="26">
        <f t="shared" si="1010"/>
        <v>46211</v>
      </c>
      <c r="I1003" s="50" t="s">
        <v>90</v>
      </c>
      <c r="K1003" s="435"/>
      <c r="L1003" s="29" t="s">
        <v>3085</v>
      </c>
      <c r="M1003" s="31"/>
      <c r="N1003" s="14" t="s">
        <v>84</v>
      </c>
      <c r="O1003" s="31"/>
      <c r="Q1003" s="36"/>
      <c r="R1003" s="36"/>
      <c r="S1003" s="36"/>
      <c r="T1003" s="36"/>
      <c r="V1003" s="31"/>
    </row>
    <row r="1004">
      <c r="A1004" s="14" t="s">
        <v>736</v>
      </c>
      <c r="B1004" s="351" t="s">
        <v>3506</v>
      </c>
      <c r="C1004" s="50" t="s">
        <v>1563</v>
      </c>
      <c r="D1004" s="50"/>
      <c r="E1004" s="348" t="str">
        <f t="shared" si="887"/>
        <v>julio 2026</v>
      </c>
      <c r="F1004" s="349">
        <v>46205.0</v>
      </c>
      <c r="G1004" s="24">
        <f t="shared" ref="G1004:H1004" si="1011">F1004</f>
        <v>46205</v>
      </c>
      <c r="H1004" s="26">
        <f t="shared" si="1011"/>
        <v>46205</v>
      </c>
      <c r="I1004" s="50" t="s">
        <v>90</v>
      </c>
      <c r="K1004" s="436"/>
      <c r="L1004" s="29" t="s">
        <v>3085</v>
      </c>
      <c r="M1004" s="31"/>
      <c r="N1004" s="14" t="s">
        <v>84</v>
      </c>
      <c r="O1004" s="31"/>
      <c r="Q1004" s="36"/>
      <c r="R1004" s="36"/>
      <c r="S1004" s="36"/>
      <c r="T1004" s="36"/>
      <c r="V1004" s="31"/>
    </row>
    <row r="1005">
      <c r="A1005" s="14" t="s">
        <v>736</v>
      </c>
      <c r="B1005" s="351" t="s">
        <v>3507</v>
      </c>
      <c r="C1005" s="50" t="s">
        <v>1566</v>
      </c>
      <c r="D1005" s="50"/>
      <c r="E1005" s="348" t="str">
        <f t="shared" si="887"/>
        <v>julio 2026</v>
      </c>
      <c r="F1005" s="349">
        <v>46217.0</v>
      </c>
      <c r="G1005" s="24">
        <f t="shared" ref="G1005:H1005" si="1012">F1005</f>
        <v>46217</v>
      </c>
      <c r="H1005" s="26">
        <f t="shared" si="1012"/>
        <v>46217</v>
      </c>
      <c r="I1005" s="50" t="s">
        <v>90</v>
      </c>
      <c r="K1005" s="435"/>
      <c r="L1005" s="29" t="s">
        <v>3085</v>
      </c>
      <c r="M1005" s="31"/>
      <c r="N1005" s="14" t="s">
        <v>84</v>
      </c>
      <c r="O1005" s="31"/>
      <c r="Q1005" s="36"/>
      <c r="R1005" s="36"/>
      <c r="S1005" s="36"/>
      <c r="T1005" s="36"/>
      <c r="V1005" s="31"/>
    </row>
    <row r="1006">
      <c r="A1006" s="14" t="s">
        <v>736</v>
      </c>
      <c r="B1006" s="351" t="s">
        <v>3508</v>
      </c>
      <c r="C1006" s="50" t="s">
        <v>1567</v>
      </c>
      <c r="D1006" s="50"/>
      <c r="E1006" s="348" t="str">
        <f t="shared" si="887"/>
        <v>julio 2026</v>
      </c>
      <c r="F1006" s="349">
        <v>46209.0</v>
      </c>
      <c r="G1006" s="24">
        <f t="shared" ref="G1006:H1006" si="1013">F1006</f>
        <v>46209</v>
      </c>
      <c r="H1006" s="26">
        <f t="shared" si="1013"/>
        <v>46209</v>
      </c>
      <c r="I1006" s="50" t="s">
        <v>90</v>
      </c>
      <c r="K1006" s="436"/>
      <c r="L1006" s="29" t="s">
        <v>3085</v>
      </c>
      <c r="M1006" s="31"/>
      <c r="N1006" s="14" t="s">
        <v>84</v>
      </c>
      <c r="O1006" s="31"/>
      <c r="Q1006" s="36"/>
      <c r="R1006" s="36"/>
      <c r="S1006" s="36"/>
      <c r="T1006" s="36"/>
      <c r="V1006" s="31"/>
    </row>
    <row r="1007">
      <c r="A1007" s="14" t="s">
        <v>736</v>
      </c>
      <c r="B1007" s="351" t="s">
        <v>3509</v>
      </c>
      <c r="C1007" s="50" t="s">
        <v>1568</v>
      </c>
      <c r="D1007" s="50"/>
      <c r="E1007" s="348" t="str">
        <f t="shared" si="887"/>
        <v>julio 2026</v>
      </c>
      <c r="F1007" s="349">
        <v>46213.0</v>
      </c>
      <c r="G1007" s="24">
        <f t="shared" ref="G1007:H1007" si="1014">F1007</f>
        <v>46213</v>
      </c>
      <c r="H1007" s="26">
        <f t="shared" si="1014"/>
        <v>46213</v>
      </c>
      <c r="I1007" s="50" t="s">
        <v>90</v>
      </c>
      <c r="K1007" s="435"/>
      <c r="L1007" s="29" t="s">
        <v>3085</v>
      </c>
      <c r="M1007" s="31"/>
      <c r="N1007" s="14" t="s">
        <v>84</v>
      </c>
      <c r="O1007" s="31"/>
      <c r="Q1007" s="36"/>
      <c r="R1007" s="36"/>
      <c r="S1007" s="36"/>
      <c r="T1007" s="36"/>
      <c r="V1007" s="31"/>
    </row>
    <row r="1008">
      <c r="A1008" s="14" t="s">
        <v>736</v>
      </c>
      <c r="B1008" s="351" t="s">
        <v>3510</v>
      </c>
      <c r="C1008" s="50" t="s">
        <v>1569</v>
      </c>
      <c r="D1008" s="50"/>
      <c r="E1008" s="348" t="str">
        <f t="shared" si="887"/>
        <v>junio 2026</v>
      </c>
      <c r="F1008" s="349">
        <v>46201.0</v>
      </c>
      <c r="G1008" s="24">
        <f t="shared" ref="G1008:H1008" si="1015">F1008</f>
        <v>46201</v>
      </c>
      <c r="H1008" s="26">
        <f t="shared" si="1015"/>
        <v>46201</v>
      </c>
      <c r="I1008" s="50" t="s">
        <v>90</v>
      </c>
      <c r="K1008" s="436"/>
      <c r="L1008" s="29" t="s">
        <v>3085</v>
      </c>
      <c r="M1008" s="31"/>
      <c r="N1008" s="14" t="s">
        <v>84</v>
      </c>
      <c r="O1008" s="31"/>
      <c r="Q1008" s="36"/>
      <c r="R1008" s="36"/>
      <c r="S1008" s="36"/>
      <c r="T1008" s="36"/>
      <c r="V1008" s="31"/>
    </row>
    <row r="1009">
      <c r="A1009" s="14" t="s">
        <v>736</v>
      </c>
      <c r="B1009" s="351" t="s">
        <v>3511</v>
      </c>
      <c r="C1009" s="50" t="s">
        <v>1572</v>
      </c>
      <c r="D1009" s="50"/>
      <c r="E1009" s="348" t="str">
        <f t="shared" si="887"/>
        <v>junio 2026</v>
      </c>
      <c r="F1009" s="349">
        <v>46197.0</v>
      </c>
      <c r="G1009" s="24">
        <f t="shared" ref="G1009:H1009" si="1016">F1009</f>
        <v>46197</v>
      </c>
      <c r="H1009" s="26">
        <f t="shared" si="1016"/>
        <v>46197</v>
      </c>
      <c r="I1009" s="50" t="s">
        <v>90</v>
      </c>
      <c r="K1009" s="435"/>
      <c r="L1009" s="29" t="s">
        <v>3085</v>
      </c>
      <c r="M1009" s="31"/>
      <c r="N1009" s="14" t="s">
        <v>84</v>
      </c>
      <c r="O1009" s="31"/>
      <c r="Q1009" s="36"/>
      <c r="R1009" s="36"/>
      <c r="S1009" s="36"/>
      <c r="T1009" s="36"/>
      <c r="V1009" s="31"/>
    </row>
    <row r="1010">
      <c r="A1010" s="14" t="s">
        <v>736</v>
      </c>
      <c r="B1010" s="351" t="s">
        <v>3512</v>
      </c>
      <c r="C1010" s="50" t="s">
        <v>1573</v>
      </c>
      <c r="D1010" s="50"/>
      <c r="E1010" s="348" t="str">
        <f t="shared" si="887"/>
        <v>junio 2026</v>
      </c>
      <c r="F1010" s="349">
        <v>46200.0</v>
      </c>
      <c r="G1010" s="24">
        <f t="shared" ref="G1010:H1010" si="1017">F1010</f>
        <v>46200</v>
      </c>
      <c r="H1010" s="26">
        <f t="shared" si="1017"/>
        <v>46200</v>
      </c>
      <c r="I1010" s="50" t="s">
        <v>90</v>
      </c>
      <c r="K1010" s="436"/>
      <c r="L1010" s="29" t="s">
        <v>3085</v>
      </c>
      <c r="M1010" s="31"/>
      <c r="N1010" s="14" t="s">
        <v>84</v>
      </c>
      <c r="O1010" s="31"/>
      <c r="Q1010" s="36"/>
      <c r="R1010" s="36"/>
      <c r="S1010" s="36"/>
      <c r="T1010" s="36"/>
      <c r="V1010" s="31"/>
    </row>
    <row r="1011">
      <c r="A1011" s="14" t="s">
        <v>736</v>
      </c>
      <c r="B1011" s="351" t="s">
        <v>3513</v>
      </c>
      <c r="C1011" s="50" t="s">
        <v>1574</v>
      </c>
      <c r="D1011" s="50"/>
      <c r="E1011" s="348" t="str">
        <f t="shared" si="887"/>
        <v>junio 2026</v>
      </c>
      <c r="F1011" s="349">
        <v>46200.0</v>
      </c>
      <c r="G1011" s="24">
        <f t="shared" ref="G1011:H1011" si="1018">F1011</f>
        <v>46200</v>
      </c>
      <c r="H1011" s="26">
        <f t="shared" si="1018"/>
        <v>46200</v>
      </c>
      <c r="I1011" s="50" t="s">
        <v>90</v>
      </c>
      <c r="K1011" s="435"/>
      <c r="L1011" s="29" t="s">
        <v>3085</v>
      </c>
      <c r="M1011" s="31"/>
      <c r="N1011" s="14" t="s">
        <v>84</v>
      </c>
      <c r="O1011" s="31"/>
      <c r="Q1011" s="36"/>
      <c r="R1011" s="36"/>
      <c r="S1011" s="36"/>
      <c r="T1011" s="36"/>
      <c r="V1011" s="31"/>
    </row>
    <row r="1012">
      <c r="A1012" s="14" t="s">
        <v>736</v>
      </c>
      <c r="B1012" s="351" t="s">
        <v>3514</v>
      </c>
      <c r="C1012" s="50" t="s">
        <v>1575</v>
      </c>
      <c r="D1012" s="50"/>
      <c r="E1012" s="348" t="str">
        <f t="shared" si="887"/>
        <v>junio 2026</v>
      </c>
      <c r="F1012" s="349">
        <v>46200.0</v>
      </c>
      <c r="G1012" s="24">
        <f t="shared" ref="G1012:H1012" si="1019">F1012</f>
        <v>46200</v>
      </c>
      <c r="H1012" s="26">
        <f t="shared" si="1019"/>
        <v>46200</v>
      </c>
      <c r="I1012" s="50" t="s">
        <v>90</v>
      </c>
      <c r="K1012" s="436"/>
      <c r="L1012" s="29" t="s">
        <v>3085</v>
      </c>
      <c r="M1012" s="31"/>
      <c r="N1012" s="14" t="s">
        <v>84</v>
      </c>
      <c r="O1012" s="31"/>
      <c r="Q1012" s="36"/>
      <c r="R1012" s="36"/>
      <c r="S1012" s="36"/>
      <c r="T1012" s="36"/>
      <c r="V1012" s="31"/>
    </row>
    <row r="1013">
      <c r="A1013" s="14" t="s">
        <v>736</v>
      </c>
      <c r="B1013" s="351" t="s">
        <v>3515</v>
      </c>
      <c r="C1013" s="50" t="s">
        <v>1580</v>
      </c>
      <c r="D1013" s="50"/>
      <c r="E1013" s="348" t="str">
        <f t="shared" si="887"/>
        <v>julio 2026</v>
      </c>
      <c r="F1013" s="349">
        <v>46211.0</v>
      </c>
      <c r="G1013" s="24">
        <f t="shared" ref="G1013:H1013" si="1020">F1013</f>
        <v>46211</v>
      </c>
      <c r="H1013" s="26">
        <f t="shared" si="1020"/>
        <v>46211</v>
      </c>
      <c r="I1013" s="50" t="s">
        <v>90</v>
      </c>
      <c r="K1013" s="435"/>
      <c r="L1013" s="29" t="s">
        <v>3085</v>
      </c>
      <c r="M1013" s="31"/>
      <c r="N1013" s="14" t="s">
        <v>84</v>
      </c>
      <c r="O1013" s="31"/>
      <c r="Q1013" s="36"/>
      <c r="R1013" s="36"/>
      <c r="S1013" s="36"/>
      <c r="T1013" s="36"/>
      <c r="V1013" s="31"/>
    </row>
    <row r="1014">
      <c r="A1014" s="14" t="s">
        <v>736</v>
      </c>
      <c r="B1014" s="351" t="s">
        <v>3516</v>
      </c>
      <c r="C1014" s="50" t="s">
        <v>1577</v>
      </c>
      <c r="D1014" s="50"/>
      <c r="E1014" s="348" t="str">
        <f t="shared" si="887"/>
        <v>julio 2026</v>
      </c>
      <c r="F1014" s="349">
        <v>46211.0</v>
      </c>
      <c r="G1014" s="24">
        <f t="shared" ref="G1014:H1014" si="1021">F1014</f>
        <v>46211</v>
      </c>
      <c r="H1014" s="26">
        <f t="shared" si="1021"/>
        <v>46211</v>
      </c>
      <c r="I1014" s="50" t="s">
        <v>90</v>
      </c>
      <c r="K1014" s="436"/>
      <c r="L1014" s="29" t="s">
        <v>3085</v>
      </c>
      <c r="M1014" s="31"/>
      <c r="N1014" s="14" t="s">
        <v>84</v>
      </c>
      <c r="O1014" s="31"/>
      <c r="Q1014" s="36"/>
      <c r="R1014" s="36"/>
      <c r="S1014" s="36"/>
      <c r="T1014" s="36"/>
      <c r="V1014" s="31"/>
    </row>
    <row r="1015">
      <c r="A1015" s="14" t="s">
        <v>736</v>
      </c>
      <c r="B1015" s="351" t="s">
        <v>3517</v>
      </c>
      <c r="C1015" s="50" t="s">
        <v>1581</v>
      </c>
      <c r="D1015" s="50"/>
      <c r="E1015" s="348" t="str">
        <f t="shared" si="887"/>
        <v>julio 2026</v>
      </c>
      <c r="F1015" s="349">
        <v>46211.0</v>
      </c>
      <c r="G1015" s="24">
        <f t="shared" ref="G1015:H1015" si="1022">F1015</f>
        <v>46211</v>
      </c>
      <c r="H1015" s="26">
        <f t="shared" si="1022"/>
        <v>46211</v>
      </c>
      <c r="I1015" s="50" t="s">
        <v>90</v>
      </c>
      <c r="K1015" s="435"/>
      <c r="L1015" s="29" t="s">
        <v>3085</v>
      </c>
      <c r="M1015" s="31"/>
      <c r="N1015" s="14" t="s">
        <v>84</v>
      </c>
      <c r="O1015" s="31"/>
      <c r="Q1015" s="36"/>
      <c r="R1015" s="36"/>
      <c r="S1015" s="36"/>
      <c r="T1015" s="36"/>
      <c r="V1015" s="31"/>
    </row>
    <row r="1016">
      <c r="A1016" s="14" t="s">
        <v>736</v>
      </c>
      <c r="B1016" s="351" t="s">
        <v>3518</v>
      </c>
      <c r="C1016" s="50" t="s">
        <v>1582</v>
      </c>
      <c r="D1016" s="50"/>
      <c r="E1016" s="348" t="str">
        <f t="shared" si="887"/>
        <v>julio 2026</v>
      </c>
      <c r="F1016" s="349">
        <v>46208.0</v>
      </c>
      <c r="G1016" s="24">
        <f t="shared" ref="G1016:H1016" si="1023">F1016</f>
        <v>46208</v>
      </c>
      <c r="H1016" s="26">
        <f t="shared" si="1023"/>
        <v>46208</v>
      </c>
      <c r="I1016" s="50" t="s">
        <v>90</v>
      </c>
      <c r="K1016" s="436"/>
      <c r="L1016" s="29" t="s">
        <v>3085</v>
      </c>
      <c r="M1016" s="31"/>
      <c r="N1016" s="14" t="s">
        <v>84</v>
      </c>
      <c r="O1016" s="31"/>
      <c r="Q1016" s="36"/>
      <c r="R1016" s="36"/>
      <c r="S1016" s="36"/>
      <c r="T1016" s="36"/>
      <c r="V1016" s="31"/>
    </row>
    <row r="1017">
      <c r="A1017" s="14" t="s">
        <v>736</v>
      </c>
      <c r="B1017" s="351" t="s">
        <v>3519</v>
      </c>
      <c r="C1017" s="50" t="s">
        <v>1585</v>
      </c>
      <c r="D1017" s="50"/>
      <c r="E1017" s="348" t="str">
        <f t="shared" si="887"/>
        <v>junio 2026</v>
      </c>
      <c r="F1017" s="349">
        <v>46199.0</v>
      </c>
      <c r="G1017" s="24">
        <f t="shared" ref="G1017:H1017" si="1024">F1017</f>
        <v>46199</v>
      </c>
      <c r="H1017" s="26">
        <f t="shared" si="1024"/>
        <v>46199</v>
      </c>
      <c r="I1017" s="50" t="s">
        <v>90</v>
      </c>
      <c r="K1017" s="435"/>
      <c r="L1017" s="29" t="s">
        <v>3085</v>
      </c>
      <c r="M1017" s="31"/>
      <c r="N1017" s="14" t="s">
        <v>84</v>
      </c>
      <c r="O1017" s="31"/>
      <c r="Q1017" s="36"/>
      <c r="R1017" s="36"/>
      <c r="S1017" s="36"/>
      <c r="T1017" s="36"/>
      <c r="V1017" s="31"/>
    </row>
    <row r="1018">
      <c r="A1018" s="14" t="s">
        <v>736</v>
      </c>
      <c r="B1018" s="351" t="s">
        <v>3520</v>
      </c>
      <c r="C1018" s="50" t="s">
        <v>1586</v>
      </c>
      <c r="D1018" s="50"/>
      <c r="E1018" s="348" t="str">
        <f t="shared" si="887"/>
        <v>junio 2026</v>
      </c>
      <c r="F1018" s="349">
        <v>46199.0</v>
      </c>
      <c r="G1018" s="24">
        <f t="shared" ref="G1018:H1018" si="1025">F1018</f>
        <v>46199</v>
      </c>
      <c r="H1018" s="26">
        <f t="shared" si="1025"/>
        <v>46199</v>
      </c>
      <c r="I1018" s="50" t="s">
        <v>90</v>
      </c>
      <c r="K1018" s="436"/>
      <c r="L1018" s="29" t="s">
        <v>3085</v>
      </c>
      <c r="M1018" s="31"/>
      <c r="N1018" s="14" t="s">
        <v>84</v>
      </c>
      <c r="O1018" s="31"/>
      <c r="Q1018" s="36"/>
      <c r="R1018" s="36"/>
      <c r="S1018" s="36"/>
      <c r="T1018" s="36"/>
      <c r="V1018" s="31"/>
    </row>
    <row r="1019">
      <c r="A1019" s="14" t="s">
        <v>736</v>
      </c>
      <c r="B1019" s="351" t="s">
        <v>3521</v>
      </c>
      <c r="C1019" s="50" t="s">
        <v>1589</v>
      </c>
      <c r="D1019" s="50"/>
      <c r="E1019" s="348" t="str">
        <f t="shared" si="887"/>
        <v>junio 2026</v>
      </c>
      <c r="F1019" s="349">
        <v>46199.0</v>
      </c>
      <c r="G1019" s="24">
        <f t="shared" ref="G1019:H1019" si="1026">F1019</f>
        <v>46199</v>
      </c>
      <c r="H1019" s="26">
        <f t="shared" si="1026"/>
        <v>46199</v>
      </c>
      <c r="I1019" s="50" t="s">
        <v>90</v>
      </c>
      <c r="K1019" s="435"/>
      <c r="L1019" s="29" t="s">
        <v>3085</v>
      </c>
      <c r="M1019" s="31"/>
      <c r="N1019" s="14" t="s">
        <v>84</v>
      </c>
      <c r="O1019" s="31"/>
      <c r="Q1019" s="36"/>
      <c r="R1019" s="36"/>
      <c r="S1019" s="36"/>
      <c r="T1019" s="36"/>
      <c r="V1019" s="31"/>
    </row>
    <row r="1020">
      <c r="A1020" s="14" t="s">
        <v>736</v>
      </c>
      <c r="B1020" s="351" t="s">
        <v>3522</v>
      </c>
      <c r="C1020" s="50" t="s">
        <v>1590</v>
      </c>
      <c r="D1020" s="50"/>
      <c r="E1020" s="348" t="str">
        <f t="shared" si="887"/>
        <v>junio 2026</v>
      </c>
      <c r="F1020" s="349">
        <v>46203.0</v>
      </c>
      <c r="G1020" s="24">
        <f t="shared" ref="G1020:H1020" si="1027">F1020</f>
        <v>46203</v>
      </c>
      <c r="H1020" s="26">
        <f t="shared" si="1027"/>
        <v>46203</v>
      </c>
      <c r="I1020" s="50" t="s">
        <v>90</v>
      </c>
      <c r="K1020" s="436"/>
      <c r="L1020" s="29" t="s">
        <v>3085</v>
      </c>
      <c r="M1020" s="31"/>
      <c r="N1020" s="14" t="s">
        <v>84</v>
      </c>
      <c r="O1020" s="31"/>
      <c r="Q1020" s="36"/>
      <c r="R1020" s="36"/>
      <c r="S1020" s="36"/>
      <c r="T1020" s="36"/>
      <c r="V1020" s="31"/>
    </row>
    <row r="1021">
      <c r="A1021" s="14" t="s">
        <v>736</v>
      </c>
      <c r="B1021" s="351" t="s">
        <v>3523</v>
      </c>
      <c r="C1021" s="50" t="s">
        <v>1591</v>
      </c>
      <c r="D1021" s="50"/>
      <c r="E1021" s="348" t="str">
        <f t="shared" si="887"/>
        <v>junio 2026</v>
      </c>
      <c r="F1021" s="349">
        <v>46203.0</v>
      </c>
      <c r="G1021" s="24">
        <f t="shared" ref="G1021:H1021" si="1028">F1021</f>
        <v>46203</v>
      </c>
      <c r="H1021" s="26">
        <f t="shared" si="1028"/>
        <v>46203</v>
      </c>
      <c r="I1021" s="50" t="s">
        <v>90</v>
      </c>
      <c r="K1021" s="435"/>
      <c r="L1021" s="29" t="s">
        <v>3085</v>
      </c>
      <c r="M1021" s="31"/>
      <c r="N1021" s="14" t="s">
        <v>84</v>
      </c>
      <c r="O1021" s="31"/>
      <c r="Q1021" s="36"/>
      <c r="R1021" s="36"/>
      <c r="S1021" s="36"/>
      <c r="T1021" s="36"/>
      <c r="V1021" s="31"/>
    </row>
    <row r="1022">
      <c r="A1022" s="14" t="s">
        <v>736</v>
      </c>
      <c r="B1022" s="351" t="s">
        <v>3524</v>
      </c>
      <c r="C1022" s="50" t="s">
        <v>1592</v>
      </c>
      <c r="D1022" s="50"/>
      <c r="E1022" s="348" t="str">
        <f t="shared" si="887"/>
        <v>junio 2026</v>
      </c>
      <c r="F1022" s="349">
        <v>46200.0</v>
      </c>
      <c r="G1022" s="24">
        <f t="shared" ref="G1022:H1022" si="1029">F1022</f>
        <v>46200</v>
      </c>
      <c r="H1022" s="26">
        <f t="shared" si="1029"/>
        <v>46200</v>
      </c>
      <c r="I1022" s="50" t="s">
        <v>90</v>
      </c>
      <c r="K1022" s="436"/>
      <c r="L1022" s="29" t="s">
        <v>3085</v>
      </c>
      <c r="M1022" s="31"/>
      <c r="N1022" s="14" t="s">
        <v>84</v>
      </c>
      <c r="O1022" s="31"/>
      <c r="Q1022" s="36"/>
      <c r="R1022" s="36"/>
      <c r="S1022" s="36"/>
      <c r="T1022" s="36"/>
      <c r="V1022" s="31"/>
    </row>
    <row r="1023">
      <c r="A1023" s="14" t="s">
        <v>736</v>
      </c>
      <c r="B1023" s="351" t="s">
        <v>3525</v>
      </c>
      <c r="C1023" s="50" t="s">
        <v>1593</v>
      </c>
      <c r="D1023" s="50"/>
      <c r="E1023" s="348" t="str">
        <f t="shared" si="887"/>
        <v>junio 2026</v>
      </c>
      <c r="F1023" s="349">
        <v>46200.0</v>
      </c>
      <c r="G1023" s="24">
        <f t="shared" ref="G1023:H1023" si="1030">F1023</f>
        <v>46200</v>
      </c>
      <c r="H1023" s="26">
        <f t="shared" si="1030"/>
        <v>46200</v>
      </c>
      <c r="I1023" s="50" t="s">
        <v>90</v>
      </c>
      <c r="K1023" s="435"/>
      <c r="L1023" s="29" t="s">
        <v>3085</v>
      </c>
      <c r="M1023" s="31"/>
      <c r="N1023" s="14" t="s">
        <v>84</v>
      </c>
      <c r="O1023" s="31"/>
      <c r="Q1023" s="36"/>
      <c r="R1023" s="36"/>
      <c r="S1023" s="36"/>
      <c r="T1023" s="36"/>
      <c r="V1023" s="31"/>
    </row>
    <row r="1024">
      <c r="A1024" s="14" t="s">
        <v>736</v>
      </c>
      <c r="B1024" s="351" t="s">
        <v>3526</v>
      </c>
      <c r="C1024" s="50" t="s">
        <v>1594</v>
      </c>
      <c r="D1024" s="50"/>
      <c r="E1024" s="348" t="str">
        <f t="shared" si="887"/>
        <v>junio 2026</v>
      </c>
      <c r="F1024" s="349">
        <v>46200.0</v>
      </c>
      <c r="G1024" s="24">
        <f t="shared" ref="G1024:H1024" si="1031">F1024</f>
        <v>46200</v>
      </c>
      <c r="H1024" s="26">
        <f t="shared" si="1031"/>
        <v>46200</v>
      </c>
      <c r="I1024" s="50" t="s">
        <v>90</v>
      </c>
      <c r="K1024" s="436"/>
      <c r="L1024" s="29" t="s">
        <v>3085</v>
      </c>
      <c r="M1024" s="31"/>
      <c r="N1024" s="14" t="s">
        <v>84</v>
      </c>
      <c r="O1024" s="31"/>
      <c r="Q1024" s="36"/>
      <c r="R1024" s="36"/>
      <c r="S1024" s="36"/>
      <c r="T1024" s="36"/>
      <c r="V1024" s="31"/>
    </row>
    <row r="1025">
      <c r="A1025" s="14" t="s">
        <v>736</v>
      </c>
      <c r="B1025" s="351" t="s">
        <v>3527</v>
      </c>
      <c r="C1025" s="50" t="s">
        <v>1595</v>
      </c>
      <c r="D1025" s="50"/>
      <c r="E1025" s="348" t="str">
        <f t="shared" si="887"/>
        <v>julio 2026</v>
      </c>
      <c r="F1025" s="349">
        <v>46207.0</v>
      </c>
      <c r="G1025" s="24">
        <f t="shared" ref="G1025:H1025" si="1032">F1025</f>
        <v>46207</v>
      </c>
      <c r="H1025" s="26">
        <f t="shared" si="1032"/>
        <v>46207</v>
      </c>
      <c r="I1025" s="50" t="s">
        <v>90</v>
      </c>
      <c r="K1025" s="435"/>
      <c r="L1025" s="29" t="s">
        <v>3085</v>
      </c>
      <c r="M1025" s="31"/>
      <c r="N1025" s="14" t="s">
        <v>84</v>
      </c>
      <c r="O1025" s="31"/>
      <c r="Q1025" s="36"/>
      <c r="R1025" s="36"/>
      <c r="S1025" s="36"/>
      <c r="T1025" s="36"/>
      <c r="V1025" s="31"/>
    </row>
    <row r="1026">
      <c r="A1026" s="14" t="s">
        <v>736</v>
      </c>
      <c r="B1026" s="351" t="s">
        <v>3528</v>
      </c>
      <c r="C1026" s="50" t="s">
        <v>1597</v>
      </c>
      <c r="D1026" s="50"/>
      <c r="E1026" s="348" t="str">
        <f t="shared" si="887"/>
        <v>junio 2026</v>
      </c>
      <c r="F1026" s="349">
        <v>46199.0</v>
      </c>
      <c r="G1026" s="24">
        <f t="shared" ref="G1026:H1026" si="1033">F1026</f>
        <v>46199</v>
      </c>
      <c r="H1026" s="26">
        <f t="shared" si="1033"/>
        <v>46199</v>
      </c>
      <c r="I1026" s="50" t="s">
        <v>90</v>
      </c>
      <c r="K1026" s="436"/>
      <c r="L1026" s="29" t="s">
        <v>3085</v>
      </c>
      <c r="M1026" s="31"/>
      <c r="N1026" s="14" t="s">
        <v>84</v>
      </c>
      <c r="O1026" s="31"/>
      <c r="Q1026" s="36"/>
      <c r="R1026" s="36"/>
      <c r="S1026" s="36"/>
      <c r="T1026" s="36"/>
      <c r="V1026" s="31"/>
    </row>
    <row r="1027">
      <c r="A1027" s="14" t="s">
        <v>736</v>
      </c>
      <c r="B1027" s="351" t="s">
        <v>3529</v>
      </c>
      <c r="C1027" s="50" t="s">
        <v>1598</v>
      </c>
      <c r="D1027" s="50"/>
      <c r="E1027" s="348" t="str">
        <f t="shared" si="887"/>
        <v>junio 2026</v>
      </c>
      <c r="F1027" s="349">
        <v>46199.0</v>
      </c>
      <c r="G1027" s="24">
        <f t="shared" ref="G1027:H1027" si="1034">F1027</f>
        <v>46199</v>
      </c>
      <c r="H1027" s="26">
        <f t="shared" si="1034"/>
        <v>46199</v>
      </c>
      <c r="I1027" s="50" t="s">
        <v>90</v>
      </c>
      <c r="K1027" s="435"/>
      <c r="L1027" s="29" t="s">
        <v>3085</v>
      </c>
      <c r="M1027" s="31"/>
      <c r="N1027" s="14" t="s">
        <v>84</v>
      </c>
      <c r="O1027" s="31"/>
      <c r="Q1027" s="36"/>
      <c r="R1027" s="36"/>
      <c r="S1027" s="36"/>
      <c r="T1027" s="36"/>
      <c r="V1027" s="31"/>
    </row>
    <row r="1028">
      <c r="A1028" s="14" t="s">
        <v>736</v>
      </c>
      <c r="B1028" s="351" t="s">
        <v>3530</v>
      </c>
      <c r="C1028" s="50" t="s">
        <v>1599</v>
      </c>
      <c r="D1028" s="50"/>
      <c r="E1028" s="348" t="str">
        <f t="shared" si="887"/>
        <v>julio 2026</v>
      </c>
      <c r="F1028" s="349">
        <v>46220.0</v>
      </c>
      <c r="G1028" s="24">
        <f t="shared" ref="G1028:H1028" si="1035">F1028</f>
        <v>46220</v>
      </c>
      <c r="H1028" s="26">
        <f t="shared" si="1035"/>
        <v>46220</v>
      </c>
      <c r="I1028" s="50" t="s">
        <v>90</v>
      </c>
      <c r="K1028" s="436"/>
      <c r="L1028" s="29" t="s">
        <v>3085</v>
      </c>
      <c r="M1028" s="31"/>
      <c r="N1028" s="14" t="s">
        <v>84</v>
      </c>
      <c r="O1028" s="31"/>
      <c r="Q1028" s="36"/>
      <c r="R1028" s="36"/>
      <c r="S1028" s="36"/>
      <c r="T1028" s="36"/>
      <c r="V1028" s="31"/>
    </row>
    <row r="1029">
      <c r="A1029" s="14" t="s">
        <v>736</v>
      </c>
      <c r="B1029" s="351" t="s">
        <v>3531</v>
      </c>
      <c r="C1029" s="50" t="s">
        <v>1602</v>
      </c>
      <c r="D1029" s="50"/>
      <c r="E1029" s="348" t="str">
        <f t="shared" si="887"/>
        <v>julio 2026</v>
      </c>
      <c r="F1029" s="349">
        <v>46210.0</v>
      </c>
      <c r="G1029" s="24">
        <f t="shared" ref="G1029:H1029" si="1036">F1029</f>
        <v>46210</v>
      </c>
      <c r="H1029" s="26">
        <f t="shared" si="1036"/>
        <v>46210</v>
      </c>
      <c r="I1029" s="50" t="s">
        <v>90</v>
      </c>
      <c r="K1029" s="435"/>
      <c r="L1029" s="29" t="s">
        <v>3085</v>
      </c>
      <c r="M1029" s="31"/>
      <c r="N1029" s="14" t="s">
        <v>84</v>
      </c>
      <c r="O1029" s="31"/>
      <c r="Q1029" s="36"/>
      <c r="R1029" s="36"/>
      <c r="S1029" s="36"/>
      <c r="T1029" s="36"/>
      <c r="V1029" s="31"/>
    </row>
    <row r="1030">
      <c r="A1030" s="14" t="s">
        <v>736</v>
      </c>
      <c r="B1030" s="351" t="s">
        <v>3532</v>
      </c>
      <c r="C1030" s="50" t="s">
        <v>1603</v>
      </c>
      <c r="D1030" s="50"/>
      <c r="E1030" s="348" t="str">
        <f t="shared" si="887"/>
        <v>julio 2026</v>
      </c>
      <c r="F1030" s="349">
        <v>46224.0</v>
      </c>
      <c r="G1030" s="24">
        <f t="shared" ref="G1030:H1030" si="1037">F1030</f>
        <v>46224</v>
      </c>
      <c r="H1030" s="26">
        <f t="shared" si="1037"/>
        <v>46224</v>
      </c>
      <c r="I1030" s="50" t="s">
        <v>90</v>
      </c>
      <c r="K1030" s="436"/>
      <c r="L1030" s="29" t="s">
        <v>3085</v>
      </c>
      <c r="M1030" s="31"/>
      <c r="N1030" s="14" t="s">
        <v>84</v>
      </c>
      <c r="O1030" s="31"/>
      <c r="Q1030" s="36"/>
      <c r="R1030" s="36"/>
      <c r="S1030" s="36"/>
      <c r="T1030" s="36"/>
      <c r="V1030" s="31"/>
    </row>
    <row r="1031">
      <c r="A1031" s="14" t="s">
        <v>736</v>
      </c>
      <c r="B1031" s="351" t="s">
        <v>3533</v>
      </c>
      <c r="C1031" s="50" t="s">
        <v>1604</v>
      </c>
      <c r="D1031" s="50"/>
      <c r="E1031" s="348" t="str">
        <f t="shared" si="887"/>
        <v>junio 2026</v>
      </c>
      <c r="F1031" s="349">
        <v>46198.0</v>
      </c>
      <c r="G1031" s="24">
        <f t="shared" ref="G1031:H1031" si="1038">F1031</f>
        <v>46198</v>
      </c>
      <c r="H1031" s="26">
        <f t="shared" si="1038"/>
        <v>46198</v>
      </c>
      <c r="I1031" s="50" t="s">
        <v>90</v>
      </c>
      <c r="K1031" s="435"/>
      <c r="L1031" s="29" t="s">
        <v>3085</v>
      </c>
      <c r="M1031" s="31"/>
      <c r="N1031" s="14" t="s">
        <v>84</v>
      </c>
      <c r="O1031" s="31"/>
      <c r="Q1031" s="36"/>
      <c r="R1031" s="36"/>
      <c r="S1031" s="36"/>
      <c r="T1031" s="36"/>
      <c r="V1031" s="31"/>
    </row>
    <row r="1032">
      <c r="A1032" s="14" t="s">
        <v>736</v>
      </c>
      <c r="B1032" s="351" t="s">
        <v>3534</v>
      </c>
      <c r="C1032" s="50" t="s">
        <v>1605</v>
      </c>
      <c r="D1032" s="50"/>
      <c r="E1032" s="348" t="str">
        <f t="shared" si="887"/>
        <v>julio 2026</v>
      </c>
      <c r="F1032" s="349">
        <v>46207.0</v>
      </c>
      <c r="G1032" s="24">
        <f t="shared" ref="G1032:H1032" si="1039">F1032</f>
        <v>46207</v>
      </c>
      <c r="H1032" s="26">
        <f t="shared" si="1039"/>
        <v>46207</v>
      </c>
      <c r="I1032" s="50" t="s">
        <v>90</v>
      </c>
      <c r="K1032" s="436"/>
      <c r="L1032" s="29" t="s">
        <v>3085</v>
      </c>
      <c r="M1032" s="31"/>
      <c r="N1032" s="14" t="s">
        <v>84</v>
      </c>
      <c r="O1032" s="31"/>
      <c r="Q1032" s="36"/>
      <c r="R1032" s="36"/>
      <c r="S1032" s="36"/>
      <c r="T1032" s="36"/>
      <c r="V1032" s="31"/>
    </row>
    <row r="1033">
      <c r="A1033" s="14" t="s">
        <v>736</v>
      </c>
      <c r="B1033" s="351" t="s">
        <v>3535</v>
      </c>
      <c r="C1033" s="50" t="s">
        <v>1606</v>
      </c>
      <c r="D1033" s="50"/>
      <c r="E1033" s="348" t="str">
        <f t="shared" si="887"/>
        <v>julio 2026</v>
      </c>
      <c r="F1033" s="349">
        <v>46212.0</v>
      </c>
      <c r="G1033" s="24">
        <f t="shared" ref="G1033:H1033" si="1040">F1033</f>
        <v>46212</v>
      </c>
      <c r="H1033" s="26">
        <f t="shared" si="1040"/>
        <v>46212</v>
      </c>
      <c r="I1033" s="50" t="s">
        <v>90</v>
      </c>
      <c r="K1033" s="435"/>
      <c r="L1033" s="29" t="s">
        <v>3085</v>
      </c>
      <c r="M1033" s="31"/>
      <c r="N1033" s="14" t="s">
        <v>84</v>
      </c>
      <c r="O1033" s="31"/>
      <c r="Q1033" s="36"/>
      <c r="R1033" s="36"/>
      <c r="S1033" s="36"/>
      <c r="T1033" s="36"/>
      <c r="V1033" s="31"/>
    </row>
    <row r="1034">
      <c r="A1034" s="14" t="s">
        <v>736</v>
      </c>
      <c r="B1034" s="351" t="s">
        <v>3536</v>
      </c>
      <c r="C1034" s="50" t="s">
        <v>1607</v>
      </c>
      <c r="D1034" s="50"/>
      <c r="E1034" s="348" t="str">
        <f t="shared" si="887"/>
        <v>julio 2026</v>
      </c>
      <c r="F1034" s="349">
        <v>46206.0</v>
      </c>
      <c r="G1034" s="24">
        <f t="shared" ref="G1034:H1034" si="1041">F1034</f>
        <v>46206</v>
      </c>
      <c r="H1034" s="26">
        <f t="shared" si="1041"/>
        <v>46206</v>
      </c>
      <c r="I1034" s="50" t="s">
        <v>90</v>
      </c>
      <c r="K1034" s="436"/>
      <c r="L1034" s="29" t="s">
        <v>3085</v>
      </c>
      <c r="M1034" s="31"/>
      <c r="N1034" s="14" t="s">
        <v>84</v>
      </c>
      <c r="O1034" s="31"/>
      <c r="Q1034" s="36"/>
      <c r="R1034" s="36"/>
      <c r="S1034" s="36"/>
      <c r="T1034" s="36"/>
      <c r="V1034" s="31"/>
    </row>
    <row r="1035">
      <c r="A1035" s="14" t="s">
        <v>736</v>
      </c>
      <c r="B1035" s="351" t="s">
        <v>3537</v>
      </c>
      <c r="C1035" s="50" t="s">
        <v>1610</v>
      </c>
      <c r="D1035" s="50"/>
      <c r="E1035" s="348" t="str">
        <f t="shared" si="887"/>
        <v>julio 2026</v>
      </c>
      <c r="F1035" s="349">
        <v>46213.0</v>
      </c>
      <c r="G1035" s="24">
        <f t="shared" ref="G1035:H1035" si="1042">F1035</f>
        <v>46213</v>
      </c>
      <c r="H1035" s="26">
        <f t="shared" si="1042"/>
        <v>46213</v>
      </c>
      <c r="I1035" s="50" t="s">
        <v>90</v>
      </c>
      <c r="K1035" s="435"/>
      <c r="L1035" s="29" t="s">
        <v>3085</v>
      </c>
      <c r="M1035" s="31"/>
      <c r="N1035" s="14" t="s">
        <v>84</v>
      </c>
      <c r="O1035" s="31"/>
      <c r="Q1035" s="36"/>
      <c r="R1035" s="36"/>
      <c r="S1035" s="36"/>
      <c r="T1035" s="36"/>
      <c r="V1035" s="31"/>
    </row>
    <row r="1036">
      <c r="A1036" s="14" t="s">
        <v>736</v>
      </c>
      <c r="B1036" s="351" t="s">
        <v>3538</v>
      </c>
      <c r="C1036" s="50" t="s">
        <v>1611</v>
      </c>
      <c r="D1036" s="50"/>
      <c r="E1036" s="348" t="str">
        <f t="shared" si="887"/>
        <v>junio 2026</v>
      </c>
      <c r="F1036" s="349">
        <v>46199.0</v>
      </c>
      <c r="G1036" s="24">
        <f t="shared" ref="G1036:H1036" si="1043">F1036</f>
        <v>46199</v>
      </c>
      <c r="H1036" s="26">
        <f t="shared" si="1043"/>
        <v>46199</v>
      </c>
      <c r="I1036" s="50" t="s">
        <v>90</v>
      </c>
      <c r="K1036" s="436"/>
      <c r="L1036" s="29" t="s">
        <v>3085</v>
      </c>
      <c r="M1036" s="31"/>
      <c r="N1036" s="14" t="s">
        <v>84</v>
      </c>
      <c r="O1036" s="31"/>
      <c r="Q1036" s="36"/>
      <c r="R1036" s="36"/>
      <c r="S1036" s="36"/>
      <c r="T1036" s="36"/>
      <c r="V1036" s="31"/>
    </row>
    <row r="1037">
      <c r="A1037" s="14" t="s">
        <v>736</v>
      </c>
      <c r="B1037" s="351" t="s">
        <v>3539</v>
      </c>
      <c r="C1037" s="50" t="s">
        <v>1612</v>
      </c>
      <c r="D1037" s="50"/>
      <c r="E1037" s="348" t="str">
        <f t="shared" si="887"/>
        <v>junio 2026</v>
      </c>
      <c r="F1037" s="349">
        <v>46200.0</v>
      </c>
      <c r="G1037" s="24">
        <f t="shared" ref="G1037:H1037" si="1044">F1037</f>
        <v>46200</v>
      </c>
      <c r="H1037" s="26">
        <f t="shared" si="1044"/>
        <v>46200</v>
      </c>
      <c r="I1037" s="50" t="s">
        <v>90</v>
      </c>
      <c r="K1037" s="435"/>
      <c r="L1037" s="29" t="s">
        <v>3085</v>
      </c>
      <c r="M1037" s="31"/>
      <c r="N1037" s="14" t="s">
        <v>84</v>
      </c>
      <c r="O1037" s="31"/>
      <c r="Q1037" s="36"/>
      <c r="R1037" s="36"/>
      <c r="S1037" s="36"/>
      <c r="T1037" s="36"/>
      <c r="V1037" s="31"/>
    </row>
    <row r="1038">
      <c r="A1038" s="14" t="s">
        <v>736</v>
      </c>
      <c r="B1038" s="351" t="s">
        <v>3540</v>
      </c>
      <c r="C1038" s="50" t="s">
        <v>1613</v>
      </c>
      <c r="D1038" s="50"/>
      <c r="E1038" s="348" t="str">
        <f t="shared" si="887"/>
        <v>junio 2026</v>
      </c>
      <c r="F1038" s="349">
        <v>46203.0</v>
      </c>
      <c r="G1038" s="24">
        <f t="shared" ref="G1038:H1038" si="1045">F1038</f>
        <v>46203</v>
      </c>
      <c r="H1038" s="26">
        <f t="shared" si="1045"/>
        <v>46203</v>
      </c>
      <c r="I1038" s="50" t="s">
        <v>90</v>
      </c>
      <c r="K1038" s="436"/>
      <c r="L1038" s="29" t="s">
        <v>3085</v>
      </c>
      <c r="M1038" s="31"/>
      <c r="N1038" s="14" t="s">
        <v>84</v>
      </c>
      <c r="O1038" s="31"/>
      <c r="Q1038" s="36"/>
      <c r="R1038" s="36"/>
      <c r="S1038" s="36"/>
      <c r="T1038" s="36"/>
      <c r="V1038" s="31"/>
    </row>
    <row r="1039">
      <c r="A1039" s="14" t="s">
        <v>736</v>
      </c>
      <c r="B1039" s="351" t="s">
        <v>3541</v>
      </c>
      <c r="C1039" s="50" t="s">
        <v>1614</v>
      </c>
      <c r="D1039" s="50"/>
      <c r="E1039" s="348" t="str">
        <f t="shared" si="887"/>
        <v>julio 2026</v>
      </c>
      <c r="F1039" s="349">
        <v>46212.0</v>
      </c>
      <c r="G1039" s="24">
        <f t="shared" ref="G1039:H1039" si="1046">F1039</f>
        <v>46212</v>
      </c>
      <c r="H1039" s="26">
        <f t="shared" si="1046"/>
        <v>46212</v>
      </c>
      <c r="I1039" s="50" t="s">
        <v>90</v>
      </c>
      <c r="K1039" s="435"/>
      <c r="L1039" s="29" t="s">
        <v>3085</v>
      </c>
      <c r="M1039" s="31"/>
      <c r="N1039" s="14" t="s">
        <v>84</v>
      </c>
      <c r="O1039" s="31"/>
      <c r="Q1039" s="36"/>
      <c r="R1039" s="36"/>
      <c r="S1039" s="36"/>
      <c r="T1039" s="36"/>
      <c r="V1039" s="31"/>
    </row>
    <row r="1040">
      <c r="A1040" s="14" t="s">
        <v>736</v>
      </c>
      <c r="B1040" s="351" t="s">
        <v>3542</v>
      </c>
      <c r="C1040" s="50" t="s">
        <v>1615</v>
      </c>
      <c r="D1040" s="50"/>
      <c r="E1040" s="348" t="str">
        <f t="shared" si="887"/>
        <v>julio 2026</v>
      </c>
      <c r="F1040" s="349">
        <v>46205.0</v>
      </c>
      <c r="G1040" s="24">
        <f t="shared" ref="G1040:H1040" si="1047">F1040</f>
        <v>46205</v>
      </c>
      <c r="H1040" s="26">
        <f t="shared" si="1047"/>
        <v>46205</v>
      </c>
      <c r="I1040" s="50" t="s">
        <v>90</v>
      </c>
      <c r="K1040" s="436"/>
      <c r="L1040" s="29" t="s">
        <v>3085</v>
      </c>
      <c r="M1040" s="31"/>
      <c r="N1040" s="14" t="s">
        <v>84</v>
      </c>
      <c r="O1040" s="31"/>
      <c r="Q1040" s="36"/>
      <c r="R1040" s="36"/>
      <c r="S1040" s="36"/>
      <c r="T1040" s="36"/>
      <c r="V1040" s="31"/>
    </row>
    <row r="1041">
      <c r="A1041" s="14" t="s">
        <v>736</v>
      </c>
      <c r="B1041" s="351" t="s">
        <v>3543</v>
      </c>
      <c r="C1041" s="50" t="s">
        <v>1618</v>
      </c>
      <c r="D1041" s="50"/>
      <c r="E1041" s="348" t="str">
        <f t="shared" si="887"/>
        <v>junio 2026</v>
      </c>
      <c r="F1041" s="349">
        <v>46200.0</v>
      </c>
      <c r="G1041" s="24">
        <f t="shared" ref="G1041:H1041" si="1048">F1041</f>
        <v>46200</v>
      </c>
      <c r="H1041" s="26">
        <f t="shared" si="1048"/>
        <v>46200</v>
      </c>
      <c r="I1041" s="50" t="s">
        <v>90</v>
      </c>
      <c r="K1041" s="435"/>
      <c r="L1041" s="29" t="s">
        <v>3085</v>
      </c>
      <c r="M1041" s="31"/>
      <c r="N1041" s="14" t="s">
        <v>84</v>
      </c>
      <c r="O1041" s="31"/>
      <c r="Q1041" s="36"/>
      <c r="R1041" s="36"/>
      <c r="S1041" s="36"/>
      <c r="T1041" s="36"/>
      <c r="V1041" s="31"/>
    </row>
    <row r="1042">
      <c r="A1042" s="14" t="s">
        <v>736</v>
      </c>
      <c r="B1042" s="351" t="s">
        <v>3544</v>
      </c>
      <c r="C1042" s="50" t="s">
        <v>1619</v>
      </c>
      <c r="D1042" s="50"/>
      <c r="E1042" s="348" t="str">
        <f t="shared" si="887"/>
        <v>julio 2026</v>
      </c>
      <c r="F1042" s="349">
        <v>46211.0</v>
      </c>
      <c r="G1042" s="24">
        <f t="shared" ref="G1042:H1042" si="1049">F1042</f>
        <v>46211</v>
      </c>
      <c r="H1042" s="26">
        <f t="shared" si="1049"/>
        <v>46211</v>
      </c>
      <c r="I1042" s="50" t="s">
        <v>90</v>
      </c>
      <c r="K1042" s="436"/>
      <c r="L1042" s="29" t="s">
        <v>3085</v>
      </c>
      <c r="M1042" s="31"/>
      <c r="N1042" s="14" t="s">
        <v>84</v>
      </c>
      <c r="O1042" s="31"/>
      <c r="Q1042" s="36"/>
      <c r="R1042" s="36"/>
      <c r="S1042" s="36"/>
      <c r="T1042" s="36"/>
      <c r="V1042" s="31"/>
    </row>
    <row r="1043">
      <c r="A1043" s="14" t="s">
        <v>736</v>
      </c>
      <c r="B1043" s="351" t="s">
        <v>3545</v>
      </c>
      <c r="C1043" s="50" t="s">
        <v>1620</v>
      </c>
      <c r="D1043" s="50"/>
      <c r="E1043" s="348" t="str">
        <f t="shared" si="887"/>
        <v>julio 2026</v>
      </c>
      <c r="F1043" s="349">
        <v>46206.0</v>
      </c>
      <c r="G1043" s="24">
        <f t="shared" ref="G1043:H1043" si="1050">F1043</f>
        <v>46206</v>
      </c>
      <c r="H1043" s="26">
        <f t="shared" si="1050"/>
        <v>46206</v>
      </c>
      <c r="I1043" s="50" t="s">
        <v>90</v>
      </c>
      <c r="K1043" s="435"/>
      <c r="L1043" s="29" t="s">
        <v>3085</v>
      </c>
      <c r="M1043" s="31"/>
      <c r="N1043" s="14" t="s">
        <v>84</v>
      </c>
      <c r="O1043" s="31"/>
      <c r="Q1043" s="36"/>
      <c r="R1043" s="36"/>
      <c r="S1043" s="36"/>
      <c r="T1043" s="36"/>
      <c r="V1043" s="31"/>
    </row>
    <row r="1044">
      <c r="A1044" s="14" t="s">
        <v>736</v>
      </c>
      <c r="B1044" s="351" t="s">
        <v>3496</v>
      </c>
      <c r="C1044" s="50" t="s">
        <v>1622</v>
      </c>
      <c r="D1044" s="50"/>
      <c r="E1044" s="348" t="str">
        <f t="shared" si="887"/>
        <v>julio 2026</v>
      </c>
      <c r="F1044" s="349">
        <v>46211.0</v>
      </c>
      <c r="G1044" s="24">
        <f t="shared" ref="G1044:H1044" si="1051">F1044</f>
        <v>46211</v>
      </c>
      <c r="H1044" s="26">
        <f t="shared" si="1051"/>
        <v>46211</v>
      </c>
      <c r="I1044" s="50" t="s">
        <v>90</v>
      </c>
      <c r="K1044" s="436"/>
      <c r="L1044" s="29" t="s">
        <v>3085</v>
      </c>
      <c r="M1044" s="31"/>
      <c r="N1044" s="14" t="s">
        <v>84</v>
      </c>
      <c r="O1044" s="31"/>
      <c r="Q1044" s="36"/>
      <c r="R1044" s="36"/>
      <c r="S1044" s="36"/>
      <c r="T1044" s="36"/>
      <c r="V1044" s="31"/>
    </row>
    <row r="1045">
      <c r="A1045" s="14" t="s">
        <v>736</v>
      </c>
      <c r="B1045" s="351" t="s">
        <v>3546</v>
      </c>
      <c r="C1045" s="50" t="s">
        <v>1625</v>
      </c>
      <c r="D1045" s="50"/>
      <c r="E1045" s="348" t="str">
        <f t="shared" si="887"/>
        <v>julio 2026</v>
      </c>
      <c r="F1045" s="349">
        <v>46220.0</v>
      </c>
      <c r="G1045" s="24">
        <f t="shared" ref="G1045:H1045" si="1052">F1045</f>
        <v>46220</v>
      </c>
      <c r="H1045" s="26">
        <f t="shared" si="1052"/>
        <v>46220</v>
      </c>
      <c r="I1045" s="50" t="s">
        <v>90</v>
      </c>
      <c r="K1045" s="435"/>
      <c r="L1045" s="29" t="s">
        <v>3085</v>
      </c>
      <c r="M1045" s="31"/>
      <c r="N1045" s="14" t="s">
        <v>84</v>
      </c>
      <c r="O1045" s="31"/>
      <c r="Q1045" s="36"/>
      <c r="R1045" s="36"/>
      <c r="S1045" s="36"/>
      <c r="T1045" s="36"/>
      <c r="V1045" s="31"/>
    </row>
    <row r="1046">
      <c r="A1046" s="14" t="s">
        <v>736</v>
      </c>
      <c r="B1046" s="351" t="s">
        <v>3547</v>
      </c>
      <c r="C1046" s="50" t="s">
        <v>1626</v>
      </c>
      <c r="D1046" s="50"/>
      <c r="E1046" s="348" t="str">
        <f t="shared" si="887"/>
        <v>julio 2026</v>
      </c>
      <c r="F1046" s="349">
        <v>46205.0</v>
      </c>
      <c r="G1046" s="24">
        <f t="shared" ref="G1046:H1046" si="1053">F1046</f>
        <v>46205</v>
      </c>
      <c r="H1046" s="26">
        <f t="shared" si="1053"/>
        <v>46205</v>
      </c>
      <c r="I1046" s="50" t="s">
        <v>90</v>
      </c>
      <c r="K1046" s="436"/>
      <c r="L1046" s="29" t="s">
        <v>3085</v>
      </c>
      <c r="M1046" s="31"/>
      <c r="N1046" s="14" t="s">
        <v>84</v>
      </c>
      <c r="O1046" s="31"/>
      <c r="Q1046" s="36"/>
      <c r="R1046" s="36"/>
      <c r="S1046" s="36"/>
      <c r="T1046" s="36"/>
      <c r="V1046" s="31"/>
    </row>
    <row r="1047">
      <c r="A1047" s="14" t="s">
        <v>736</v>
      </c>
      <c r="B1047" s="351" t="s">
        <v>3548</v>
      </c>
      <c r="C1047" s="50" t="s">
        <v>1627</v>
      </c>
      <c r="D1047" s="50"/>
      <c r="E1047" s="348" t="str">
        <f t="shared" si="887"/>
        <v>julio 2026</v>
      </c>
      <c r="F1047" s="349">
        <v>46205.0</v>
      </c>
      <c r="G1047" s="24">
        <f t="shared" ref="G1047:H1047" si="1054">F1047</f>
        <v>46205</v>
      </c>
      <c r="H1047" s="26">
        <f t="shared" si="1054"/>
        <v>46205</v>
      </c>
      <c r="I1047" s="50" t="s">
        <v>90</v>
      </c>
      <c r="K1047" s="435"/>
      <c r="L1047" s="29" t="s">
        <v>3085</v>
      </c>
      <c r="M1047" s="31"/>
      <c r="N1047" s="14" t="s">
        <v>84</v>
      </c>
      <c r="O1047" s="31"/>
      <c r="Q1047" s="36"/>
      <c r="R1047" s="36"/>
      <c r="S1047" s="36"/>
      <c r="T1047" s="36"/>
      <c r="V1047" s="31"/>
    </row>
    <row r="1048">
      <c r="A1048" s="14" t="s">
        <v>736</v>
      </c>
      <c r="B1048" s="351" t="s">
        <v>3549</v>
      </c>
      <c r="C1048" s="50" t="s">
        <v>1629</v>
      </c>
      <c r="D1048" s="50"/>
      <c r="E1048" s="348" t="str">
        <f t="shared" si="887"/>
        <v>junio 2026</v>
      </c>
      <c r="F1048" s="349">
        <v>46203.0</v>
      </c>
      <c r="G1048" s="24">
        <f t="shared" ref="G1048:H1048" si="1055">F1048</f>
        <v>46203</v>
      </c>
      <c r="H1048" s="26">
        <f t="shared" si="1055"/>
        <v>46203</v>
      </c>
      <c r="I1048" s="50" t="s">
        <v>90</v>
      </c>
      <c r="K1048" s="436"/>
      <c r="L1048" s="29" t="s">
        <v>3085</v>
      </c>
      <c r="M1048" s="31"/>
      <c r="N1048" s="14" t="s">
        <v>84</v>
      </c>
      <c r="O1048" s="31"/>
      <c r="Q1048" s="36"/>
      <c r="R1048" s="36"/>
      <c r="S1048" s="36"/>
      <c r="T1048" s="36"/>
      <c r="V1048" s="31"/>
    </row>
    <row r="1049">
      <c r="A1049" s="14" t="s">
        <v>736</v>
      </c>
      <c r="B1049" s="351" t="s">
        <v>3550</v>
      </c>
      <c r="C1049" s="50" t="s">
        <v>1631</v>
      </c>
      <c r="D1049" s="50"/>
      <c r="E1049" s="348" t="str">
        <f t="shared" si="887"/>
        <v>julio 2026</v>
      </c>
      <c r="F1049" s="349">
        <v>46214.0</v>
      </c>
      <c r="G1049" s="24">
        <f t="shared" ref="G1049:H1049" si="1056">F1049</f>
        <v>46214</v>
      </c>
      <c r="H1049" s="26">
        <f t="shared" si="1056"/>
        <v>46214</v>
      </c>
      <c r="I1049" s="50" t="s">
        <v>90</v>
      </c>
      <c r="K1049" s="435"/>
      <c r="L1049" s="29" t="s">
        <v>3085</v>
      </c>
      <c r="M1049" s="31"/>
      <c r="N1049" s="14" t="s">
        <v>84</v>
      </c>
      <c r="O1049" s="31"/>
      <c r="Q1049" s="36"/>
      <c r="R1049" s="36"/>
      <c r="S1049" s="36"/>
      <c r="T1049" s="36"/>
      <c r="V1049" s="31"/>
    </row>
    <row r="1050">
      <c r="A1050" s="14" t="s">
        <v>736</v>
      </c>
      <c r="B1050" s="351" t="s">
        <v>3551</v>
      </c>
      <c r="C1050" s="50" t="s">
        <v>1632</v>
      </c>
      <c r="D1050" s="50"/>
      <c r="E1050" s="348" t="str">
        <f t="shared" si="887"/>
        <v>julio 2026</v>
      </c>
      <c r="F1050" s="349">
        <v>46214.0</v>
      </c>
      <c r="G1050" s="24">
        <f t="shared" ref="G1050:H1050" si="1057">F1050</f>
        <v>46214</v>
      </c>
      <c r="H1050" s="26">
        <f t="shared" si="1057"/>
        <v>46214</v>
      </c>
      <c r="I1050" s="50" t="s">
        <v>90</v>
      </c>
      <c r="K1050" s="436"/>
      <c r="L1050" s="29" t="s">
        <v>3085</v>
      </c>
      <c r="M1050" s="31"/>
      <c r="N1050" s="14" t="s">
        <v>84</v>
      </c>
      <c r="O1050" s="31"/>
      <c r="Q1050" s="36"/>
      <c r="R1050" s="36"/>
      <c r="S1050" s="36"/>
      <c r="T1050" s="36"/>
      <c r="V1050" s="31"/>
    </row>
    <row r="1051">
      <c r="A1051" s="14" t="s">
        <v>736</v>
      </c>
      <c r="B1051" s="351" t="s">
        <v>3552</v>
      </c>
      <c r="C1051" s="50" t="s">
        <v>1633</v>
      </c>
      <c r="D1051" s="50"/>
      <c r="E1051" s="348" t="str">
        <f t="shared" si="887"/>
        <v>julio 2026</v>
      </c>
      <c r="F1051" s="349">
        <v>46214.0</v>
      </c>
      <c r="G1051" s="24">
        <f t="shared" ref="G1051:H1051" si="1058">F1051</f>
        <v>46214</v>
      </c>
      <c r="H1051" s="26">
        <f t="shared" si="1058"/>
        <v>46214</v>
      </c>
      <c r="I1051" s="50" t="s">
        <v>90</v>
      </c>
      <c r="K1051" s="435"/>
      <c r="L1051" s="29" t="s">
        <v>3085</v>
      </c>
      <c r="M1051" s="31"/>
      <c r="N1051" s="14" t="s">
        <v>84</v>
      </c>
      <c r="O1051" s="31"/>
      <c r="Q1051" s="36"/>
      <c r="R1051" s="36"/>
      <c r="S1051" s="36"/>
      <c r="T1051" s="36"/>
      <c r="V1051" s="31"/>
    </row>
    <row r="1052">
      <c r="A1052" s="14" t="s">
        <v>736</v>
      </c>
      <c r="B1052" s="351" t="s">
        <v>3553</v>
      </c>
      <c r="C1052" s="50" t="s">
        <v>1634</v>
      </c>
      <c r="D1052" s="50"/>
      <c r="E1052" s="348" t="str">
        <f t="shared" si="887"/>
        <v>julio 2026</v>
      </c>
      <c r="F1052" s="349">
        <v>46214.0</v>
      </c>
      <c r="G1052" s="24">
        <f t="shared" ref="G1052:H1052" si="1059">F1052</f>
        <v>46214</v>
      </c>
      <c r="H1052" s="26">
        <f t="shared" si="1059"/>
        <v>46214</v>
      </c>
      <c r="I1052" s="50" t="s">
        <v>90</v>
      </c>
      <c r="K1052" s="436"/>
      <c r="L1052" s="29" t="s">
        <v>3085</v>
      </c>
      <c r="M1052" s="31"/>
      <c r="N1052" s="14" t="s">
        <v>84</v>
      </c>
      <c r="O1052" s="31"/>
      <c r="Q1052" s="36"/>
      <c r="R1052" s="36"/>
      <c r="S1052" s="36"/>
      <c r="T1052" s="36"/>
      <c r="V1052" s="31"/>
    </row>
    <row r="1053">
      <c r="A1053" s="14" t="s">
        <v>736</v>
      </c>
      <c r="B1053" s="351" t="s">
        <v>3554</v>
      </c>
      <c r="C1053" s="50" t="s">
        <v>1637</v>
      </c>
      <c r="D1053" s="50"/>
      <c r="E1053" s="348" t="str">
        <f t="shared" si="887"/>
        <v>septiembre 2026</v>
      </c>
      <c r="F1053" s="349">
        <v>46288.0</v>
      </c>
      <c r="G1053" s="24">
        <f t="shared" ref="G1053:H1053" si="1060">F1053</f>
        <v>46288</v>
      </c>
      <c r="H1053" s="26">
        <f t="shared" si="1060"/>
        <v>46288</v>
      </c>
      <c r="I1053" s="50" t="s">
        <v>90</v>
      </c>
      <c r="K1053" s="435"/>
      <c r="L1053" s="29" t="s">
        <v>3085</v>
      </c>
      <c r="M1053" s="31"/>
      <c r="N1053" s="14" t="s">
        <v>84</v>
      </c>
      <c r="O1053" s="31"/>
      <c r="Q1053" s="36"/>
      <c r="R1053" s="36"/>
      <c r="S1053" s="36"/>
      <c r="T1053" s="36"/>
      <c r="V1053" s="31"/>
    </row>
    <row r="1054">
      <c r="A1054" s="14" t="s">
        <v>736</v>
      </c>
      <c r="B1054" s="351" t="s">
        <v>3555</v>
      </c>
      <c r="C1054" s="50" t="s">
        <v>1638</v>
      </c>
      <c r="D1054" s="50"/>
      <c r="E1054" s="348" t="str">
        <f t="shared" si="887"/>
        <v>julio 2026</v>
      </c>
      <c r="F1054" s="349">
        <v>46207.0</v>
      </c>
      <c r="G1054" s="24">
        <f t="shared" ref="G1054:H1054" si="1061">F1054</f>
        <v>46207</v>
      </c>
      <c r="H1054" s="26">
        <f t="shared" si="1061"/>
        <v>46207</v>
      </c>
      <c r="I1054" s="50" t="s">
        <v>90</v>
      </c>
      <c r="K1054" s="436"/>
      <c r="L1054" s="29" t="s">
        <v>3085</v>
      </c>
      <c r="M1054" s="31"/>
      <c r="N1054" s="14" t="s">
        <v>84</v>
      </c>
      <c r="O1054" s="31"/>
      <c r="Q1054" s="36"/>
      <c r="R1054" s="36"/>
      <c r="S1054" s="36"/>
      <c r="T1054" s="36"/>
      <c r="V1054" s="31"/>
    </row>
    <row r="1055">
      <c r="A1055" s="14" t="s">
        <v>736</v>
      </c>
      <c r="B1055" s="351" t="s">
        <v>3556</v>
      </c>
      <c r="C1055" s="50" t="s">
        <v>1641</v>
      </c>
      <c r="D1055" s="50"/>
      <c r="E1055" s="348" t="str">
        <f t="shared" si="887"/>
        <v>julio 2026</v>
      </c>
      <c r="F1055" s="349">
        <v>46232.0</v>
      </c>
      <c r="G1055" s="24">
        <f t="shared" ref="G1055:H1055" si="1062">F1055</f>
        <v>46232</v>
      </c>
      <c r="H1055" s="26">
        <f t="shared" si="1062"/>
        <v>46232</v>
      </c>
      <c r="I1055" s="50" t="s">
        <v>90</v>
      </c>
      <c r="K1055" s="435"/>
      <c r="L1055" s="29" t="s">
        <v>3085</v>
      </c>
      <c r="M1055" s="31"/>
      <c r="N1055" s="14" t="s">
        <v>84</v>
      </c>
      <c r="O1055" s="31"/>
      <c r="Q1055" s="36"/>
      <c r="R1055" s="36"/>
      <c r="S1055" s="36"/>
      <c r="T1055" s="36"/>
      <c r="V1055" s="31"/>
    </row>
    <row r="1056">
      <c r="A1056" s="14" t="s">
        <v>736</v>
      </c>
      <c r="B1056" s="351" t="s">
        <v>3557</v>
      </c>
      <c r="C1056" s="50" t="s">
        <v>1642</v>
      </c>
      <c r="D1056" s="50"/>
      <c r="E1056" s="348" t="str">
        <f t="shared" si="887"/>
        <v>septiembre 2026</v>
      </c>
      <c r="F1056" s="349">
        <v>46282.0</v>
      </c>
      <c r="G1056" s="24">
        <f t="shared" ref="G1056:H1056" si="1063">F1056</f>
        <v>46282</v>
      </c>
      <c r="H1056" s="26">
        <f t="shared" si="1063"/>
        <v>46282</v>
      </c>
      <c r="I1056" s="50" t="s">
        <v>90</v>
      </c>
      <c r="K1056" s="436"/>
      <c r="L1056" s="29" t="s">
        <v>3085</v>
      </c>
      <c r="M1056" s="31"/>
      <c r="N1056" s="14" t="s">
        <v>84</v>
      </c>
      <c r="O1056" s="31"/>
      <c r="Q1056" s="36"/>
      <c r="R1056" s="36"/>
      <c r="S1056" s="36"/>
      <c r="T1056" s="36"/>
      <c r="V1056" s="31"/>
    </row>
    <row r="1057">
      <c r="A1057" s="14" t="s">
        <v>736</v>
      </c>
      <c r="B1057" s="351" t="s">
        <v>3558</v>
      </c>
      <c r="C1057" s="50" t="s">
        <v>1645</v>
      </c>
      <c r="D1057" s="50"/>
      <c r="E1057" s="348" t="str">
        <f t="shared" si="887"/>
        <v>julio 2026</v>
      </c>
      <c r="F1057" s="349">
        <v>46211.0</v>
      </c>
      <c r="G1057" s="24">
        <f t="shared" ref="G1057:H1057" si="1064">F1057</f>
        <v>46211</v>
      </c>
      <c r="H1057" s="26">
        <f t="shared" si="1064"/>
        <v>46211</v>
      </c>
      <c r="I1057" s="50" t="s">
        <v>90</v>
      </c>
      <c r="K1057" s="435"/>
      <c r="L1057" s="29" t="s">
        <v>3085</v>
      </c>
      <c r="M1057" s="31"/>
      <c r="N1057" s="14" t="s">
        <v>84</v>
      </c>
      <c r="O1057" s="31"/>
      <c r="Q1057" s="36"/>
      <c r="R1057" s="36"/>
      <c r="S1057" s="36"/>
      <c r="T1057" s="36"/>
      <c r="V1057" s="31"/>
    </row>
    <row r="1058">
      <c r="A1058" s="14" t="s">
        <v>736</v>
      </c>
      <c r="B1058" s="351" t="s">
        <v>3559</v>
      </c>
      <c r="C1058" s="50" t="s">
        <v>1646</v>
      </c>
      <c r="D1058" s="50"/>
      <c r="E1058" s="348" t="str">
        <f t="shared" si="887"/>
        <v>julio 2026</v>
      </c>
      <c r="F1058" s="349">
        <v>46206.0</v>
      </c>
      <c r="G1058" s="24">
        <f t="shared" ref="G1058:H1058" si="1065">F1058</f>
        <v>46206</v>
      </c>
      <c r="H1058" s="26">
        <f t="shared" si="1065"/>
        <v>46206</v>
      </c>
      <c r="I1058" s="50" t="s">
        <v>90</v>
      </c>
      <c r="K1058" s="436"/>
      <c r="L1058" s="29" t="s">
        <v>3085</v>
      </c>
      <c r="M1058" s="31"/>
      <c r="N1058" s="14" t="s">
        <v>84</v>
      </c>
      <c r="O1058" s="31"/>
      <c r="Q1058" s="36"/>
      <c r="R1058" s="36"/>
      <c r="S1058" s="36"/>
      <c r="T1058" s="36"/>
      <c r="V1058" s="31"/>
    </row>
    <row r="1059">
      <c r="A1059" s="14" t="s">
        <v>736</v>
      </c>
      <c r="B1059" s="351" t="s">
        <v>3560</v>
      </c>
      <c r="C1059" s="50" t="s">
        <v>1647</v>
      </c>
      <c r="D1059" s="50"/>
      <c r="E1059" s="348" t="str">
        <f t="shared" si="887"/>
        <v>julio 2026</v>
      </c>
      <c r="F1059" s="349">
        <v>46204.0</v>
      </c>
      <c r="G1059" s="24">
        <f t="shared" ref="G1059:H1059" si="1066">F1059</f>
        <v>46204</v>
      </c>
      <c r="H1059" s="26">
        <f t="shared" si="1066"/>
        <v>46204</v>
      </c>
      <c r="I1059" s="50" t="s">
        <v>90</v>
      </c>
      <c r="K1059" s="435"/>
      <c r="L1059" s="29" t="s">
        <v>3085</v>
      </c>
      <c r="M1059" s="31"/>
      <c r="N1059" s="14" t="s">
        <v>84</v>
      </c>
      <c r="O1059" s="31"/>
      <c r="Q1059" s="36"/>
      <c r="R1059" s="36"/>
      <c r="S1059" s="36"/>
      <c r="T1059" s="36"/>
      <c r="V1059" s="31"/>
    </row>
    <row r="1060">
      <c r="A1060" s="14" t="s">
        <v>117</v>
      </c>
      <c r="B1060" s="437"/>
      <c r="C1060" s="15" t="s">
        <v>3561</v>
      </c>
      <c r="D1060" s="382" t="s">
        <v>40</v>
      </c>
      <c r="E1060" s="383" t="str">
        <f t="shared" si="887"/>
        <v>junio 2026</v>
      </c>
      <c r="F1060" s="386">
        <v>46199.0</v>
      </c>
      <c r="G1060" s="24">
        <f t="shared" ref="G1060:H1060" si="1067">F1060</f>
        <v>46199</v>
      </c>
      <c r="H1060" s="26">
        <f t="shared" si="1067"/>
        <v>46199</v>
      </c>
      <c r="I1060" s="14" t="s">
        <v>90</v>
      </c>
      <c r="K1060" s="436">
        <v>2.0E7</v>
      </c>
      <c r="L1060" s="29"/>
      <c r="M1060" s="31"/>
      <c r="N1060" s="14" t="s">
        <v>84</v>
      </c>
      <c r="O1060" s="31"/>
      <c r="Q1060" s="36"/>
      <c r="R1060" s="36"/>
      <c r="S1060" s="36"/>
      <c r="T1060" s="36"/>
      <c r="V1060" s="31"/>
    </row>
    <row r="1061">
      <c r="A1061" s="14" t="s">
        <v>679</v>
      </c>
      <c r="C1061" s="15" t="s">
        <v>3562</v>
      </c>
      <c r="D1061" s="447"/>
      <c r="E1061" s="380" t="str">
        <f t="shared" si="887"/>
        <v>julio 2026</v>
      </c>
      <c r="F1061" s="381">
        <v>46206.0</v>
      </c>
      <c r="G1061" s="24">
        <f t="shared" ref="G1061:H1061" si="1068">F1061</f>
        <v>46206</v>
      </c>
      <c r="H1061" s="26">
        <f t="shared" si="1068"/>
        <v>46206</v>
      </c>
      <c r="I1061" s="14" t="s">
        <v>259</v>
      </c>
      <c r="K1061" s="27">
        <v>2.0E8</v>
      </c>
      <c r="L1061" s="29" t="s">
        <v>3563</v>
      </c>
      <c r="M1061" s="31"/>
      <c r="N1061" s="14" t="s">
        <v>133</v>
      </c>
      <c r="O1061" s="14" t="s">
        <v>133</v>
      </c>
      <c r="Q1061" s="36"/>
      <c r="R1061" s="36"/>
      <c r="S1061" s="36"/>
      <c r="T1061" s="36"/>
      <c r="V1061" s="31"/>
    </row>
    <row r="1062">
      <c r="A1062" s="14" t="s">
        <v>736</v>
      </c>
      <c r="B1062" s="351" t="s">
        <v>3564</v>
      </c>
      <c r="C1062" s="50" t="s">
        <v>1648</v>
      </c>
      <c r="D1062" s="50"/>
      <c r="E1062" s="348" t="str">
        <f t="shared" si="887"/>
        <v>julio 2026</v>
      </c>
      <c r="F1062" s="349">
        <v>46220.0</v>
      </c>
      <c r="G1062" s="24">
        <f t="shared" ref="G1062:H1062" si="1069">F1062</f>
        <v>46220</v>
      </c>
      <c r="H1062" s="26">
        <f t="shared" si="1069"/>
        <v>46220</v>
      </c>
      <c r="I1062" s="50" t="s">
        <v>90</v>
      </c>
      <c r="K1062" s="435"/>
      <c r="L1062" s="29" t="s">
        <v>3085</v>
      </c>
      <c r="M1062" s="31"/>
      <c r="N1062" s="14" t="s">
        <v>84</v>
      </c>
      <c r="O1062" s="31"/>
      <c r="Q1062" s="36"/>
      <c r="R1062" s="36"/>
      <c r="S1062" s="36"/>
      <c r="T1062" s="36"/>
      <c r="V1062" s="31"/>
    </row>
    <row r="1063">
      <c r="A1063" s="14" t="s">
        <v>736</v>
      </c>
      <c r="B1063" s="351" t="s">
        <v>3565</v>
      </c>
      <c r="C1063" s="50" t="s">
        <v>1651</v>
      </c>
      <c r="D1063" s="50"/>
      <c r="E1063" s="348" t="str">
        <f t="shared" si="887"/>
        <v>julio 2026</v>
      </c>
      <c r="F1063" s="349">
        <v>46204.0</v>
      </c>
      <c r="G1063" s="24">
        <f t="shared" ref="G1063:H1063" si="1070">F1063</f>
        <v>46204</v>
      </c>
      <c r="H1063" s="26">
        <f t="shared" si="1070"/>
        <v>46204</v>
      </c>
      <c r="I1063" s="50" t="s">
        <v>90</v>
      </c>
      <c r="K1063" s="27"/>
      <c r="L1063" s="29" t="s">
        <v>3085</v>
      </c>
      <c r="M1063" s="31"/>
      <c r="N1063" s="14" t="s">
        <v>84</v>
      </c>
      <c r="O1063" s="31"/>
      <c r="Q1063" s="36"/>
      <c r="R1063" s="36"/>
      <c r="S1063" s="36"/>
      <c r="T1063" s="36"/>
      <c r="V1063" s="31"/>
    </row>
    <row r="1064">
      <c r="A1064" s="14" t="s">
        <v>736</v>
      </c>
      <c r="B1064" s="351" t="s">
        <v>3566</v>
      </c>
      <c r="C1064" s="50" t="s">
        <v>1652</v>
      </c>
      <c r="D1064" s="50"/>
      <c r="E1064" s="348" t="str">
        <f t="shared" si="887"/>
        <v>julio 2026</v>
      </c>
      <c r="F1064" s="349">
        <v>46209.0</v>
      </c>
      <c r="G1064" s="24">
        <f t="shared" ref="G1064:H1064" si="1071">F1064</f>
        <v>46209</v>
      </c>
      <c r="H1064" s="26">
        <f t="shared" si="1071"/>
        <v>46209</v>
      </c>
      <c r="I1064" s="50" t="s">
        <v>90</v>
      </c>
      <c r="K1064" s="27"/>
      <c r="L1064" s="29" t="s">
        <v>3085</v>
      </c>
      <c r="M1064" s="31"/>
      <c r="N1064" s="14" t="s">
        <v>84</v>
      </c>
      <c r="O1064" s="31"/>
      <c r="Q1064" s="36"/>
      <c r="R1064" s="36"/>
      <c r="S1064" s="36"/>
      <c r="T1064" s="36"/>
      <c r="V1064" s="31"/>
    </row>
    <row r="1065">
      <c r="A1065" s="14" t="s">
        <v>736</v>
      </c>
      <c r="B1065" s="351" t="s">
        <v>3567</v>
      </c>
      <c r="C1065" s="50" t="s">
        <v>1653</v>
      </c>
      <c r="D1065" s="50"/>
      <c r="E1065" s="348" t="str">
        <f t="shared" si="887"/>
        <v>julio 2026</v>
      </c>
      <c r="F1065" s="349">
        <v>46206.0</v>
      </c>
      <c r="G1065" s="24">
        <f t="shared" ref="G1065:H1065" si="1072">F1065</f>
        <v>46206</v>
      </c>
      <c r="H1065" s="26">
        <f t="shared" si="1072"/>
        <v>46206</v>
      </c>
      <c r="I1065" s="50" t="s">
        <v>90</v>
      </c>
      <c r="K1065" s="27"/>
      <c r="L1065" s="29" t="s">
        <v>3085</v>
      </c>
      <c r="M1065" s="31"/>
      <c r="N1065" s="14" t="s">
        <v>84</v>
      </c>
      <c r="O1065" s="31"/>
      <c r="Q1065" s="36"/>
      <c r="R1065" s="36"/>
      <c r="S1065" s="36"/>
      <c r="T1065" s="36"/>
      <c r="V1065" s="31"/>
    </row>
    <row r="1066">
      <c r="A1066" s="14" t="s">
        <v>736</v>
      </c>
      <c r="B1066" s="351" t="s">
        <v>3568</v>
      </c>
      <c r="C1066" s="50" t="s">
        <v>1654</v>
      </c>
      <c r="D1066" s="50"/>
      <c r="E1066" s="348" t="str">
        <f t="shared" si="887"/>
        <v>julio 2026</v>
      </c>
      <c r="F1066" s="349">
        <v>46206.0</v>
      </c>
      <c r="G1066" s="24">
        <f t="shared" ref="G1066:H1066" si="1073">F1066</f>
        <v>46206</v>
      </c>
      <c r="H1066" s="26">
        <f t="shared" si="1073"/>
        <v>46206</v>
      </c>
      <c r="I1066" s="50" t="s">
        <v>90</v>
      </c>
      <c r="K1066" s="27"/>
      <c r="L1066" s="29" t="s">
        <v>3085</v>
      </c>
      <c r="M1066" s="31"/>
      <c r="N1066" s="14" t="s">
        <v>84</v>
      </c>
      <c r="O1066" s="31"/>
      <c r="Q1066" s="36"/>
      <c r="R1066" s="36"/>
      <c r="S1066" s="36"/>
      <c r="T1066" s="36"/>
      <c r="V1066" s="31"/>
    </row>
    <row r="1067">
      <c r="A1067" s="14" t="s">
        <v>736</v>
      </c>
      <c r="B1067" s="351" t="s">
        <v>3569</v>
      </c>
      <c r="C1067" s="50" t="s">
        <v>1657</v>
      </c>
      <c r="D1067" s="50"/>
      <c r="E1067" s="348" t="str">
        <f t="shared" si="887"/>
        <v>julio 2026</v>
      </c>
      <c r="F1067" s="349">
        <v>46207.0</v>
      </c>
      <c r="G1067" s="24">
        <f t="shared" ref="G1067:H1067" si="1074">F1067</f>
        <v>46207</v>
      </c>
      <c r="H1067" s="26">
        <f t="shared" si="1074"/>
        <v>46207</v>
      </c>
      <c r="I1067" s="50" t="s">
        <v>90</v>
      </c>
      <c r="K1067" s="27"/>
      <c r="L1067" s="29" t="s">
        <v>3085</v>
      </c>
      <c r="M1067" s="31"/>
      <c r="N1067" s="14" t="s">
        <v>84</v>
      </c>
      <c r="O1067" s="31"/>
      <c r="Q1067" s="36"/>
      <c r="R1067" s="36"/>
      <c r="S1067" s="36"/>
      <c r="T1067" s="36"/>
      <c r="V1067" s="31"/>
    </row>
    <row r="1068">
      <c r="A1068" s="14" t="s">
        <v>736</v>
      </c>
      <c r="B1068" s="351" t="s">
        <v>3570</v>
      </c>
      <c r="C1068" s="50" t="s">
        <v>1658</v>
      </c>
      <c r="D1068" s="50"/>
      <c r="E1068" s="348" t="str">
        <f t="shared" si="887"/>
        <v>julio 2026</v>
      </c>
      <c r="F1068" s="349">
        <v>46206.0</v>
      </c>
      <c r="G1068" s="24">
        <f t="shared" ref="G1068:H1068" si="1075">F1068</f>
        <v>46206</v>
      </c>
      <c r="H1068" s="26">
        <f t="shared" si="1075"/>
        <v>46206</v>
      </c>
      <c r="I1068" s="50" t="s">
        <v>90</v>
      </c>
      <c r="K1068" s="27"/>
      <c r="L1068" s="29" t="s">
        <v>3085</v>
      </c>
      <c r="M1068" s="31"/>
      <c r="N1068" s="14" t="s">
        <v>84</v>
      </c>
      <c r="O1068" s="31"/>
      <c r="Q1068" s="36"/>
      <c r="R1068" s="36"/>
      <c r="S1068" s="36"/>
      <c r="T1068" s="36"/>
      <c r="V1068" s="31"/>
    </row>
    <row r="1069">
      <c r="A1069" s="14" t="s">
        <v>736</v>
      </c>
      <c r="B1069" s="351" t="s">
        <v>3571</v>
      </c>
      <c r="C1069" s="50" t="s">
        <v>1659</v>
      </c>
      <c r="D1069" s="50"/>
      <c r="E1069" s="348" t="str">
        <f t="shared" si="887"/>
        <v>julio 2026</v>
      </c>
      <c r="F1069" s="349">
        <v>46214.0</v>
      </c>
      <c r="G1069" s="24">
        <f t="shared" ref="G1069:H1069" si="1076">F1069</f>
        <v>46214</v>
      </c>
      <c r="H1069" s="26">
        <f t="shared" si="1076"/>
        <v>46214</v>
      </c>
      <c r="I1069" s="50" t="s">
        <v>90</v>
      </c>
      <c r="K1069" s="27"/>
      <c r="L1069" s="29" t="s">
        <v>3085</v>
      </c>
      <c r="M1069" s="31"/>
      <c r="N1069" s="14" t="s">
        <v>84</v>
      </c>
      <c r="O1069" s="31"/>
      <c r="Q1069" s="36"/>
      <c r="R1069" s="36"/>
      <c r="S1069" s="36"/>
      <c r="T1069" s="36"/>
      <c r="V1069" s="31"/>
    </row>
    <row r="1070">
      <c r="A1070" s="14" t="s">
        <v>736</v>
      </c>
      <c r="B1070" s="351" t="s">
        <v>3572</v>
      </c>
      <c r="C1070" s="50" t="s">
        <v>1661</v>
      </c>
      <c r="D1070" s="50"/>
      <c r="E1070" s="348" t="str">
        <f t="shared" si="887"/>
        <v>julio 2026</v>
      </c>
      <c r="F1070" s="349">
        <v>46211.0</v>
      </c>
      <c r="G1070" s="24">
        <f t="shared" ref="G1070:H1070" si="1077">F1070</f>
        <v>46211</v>
      </c>
      <c r="H1070" s="26">
        <f t="shared" si="1077"/>
        <v>46211</v>
      </c>
      <c r="I1070" s="50" t="s">
        <v>90</v>
      </c>
      <c r="K1070" s="27"/>
      <c r="L1070" s="29" t="s">
        <v>3085</v>
      </c>
      <c r="M1070" s="31"/>
      <c r="N1070" s="14" t="s">
        <v>84</v>
      </c>
      <c r="O1070" s="31"/>
      <c r="Q1070" s="36"/>
      <c r="R1070" s="36"/>
      <c r="S1070" s="36"/>
      <c r="T1070" s="36"/>
      <c r="V1070" s="31"/>
    </row>
    <row r="1071">
      <c r="A1071" s="14" t="s">
        <v>736</v>
      </c>
      <c r="B1071" s="351" t="s">
        <v>3573</v>
      </c>
      <c r="C1071" s="50" t="s">
        <v>1663</v>
      </c>
      <c r="D1071" s="50"/>
      <c r="E1071" s="348" t="str">
        <f t="shared" si="887"/>
        <v>julio 2026</v>
      </c>
      <c r="F1071" s="349">
        <v>46211.0</v>
      </c>
      <c r="G1071" s="24">
        <f t="shared" ref="G1071:H1071" si="1078">F1071</f>
        <v>46211</v>
      </c>
      <c r="H1071" s="26">
        <f t="shared" si="1078"/>
        <v>46211</v>
      </c>
      <c r="I1071" s="50" t="s">
        <v>90</v>
      </c>
      <c r="K1071" s="27"/>
      <c r="L1071" s="29" t="s">
        <v>3085</v>
      </c>
      <c r="M1071" s="31"/>
      <c r="N1071" s="14" t="s">
        <v>84</v>
      </c>
      <c r="O1071" s="31"/>
      <c r="Q1071" s="36"/>
      <c r="R1071" s="36"/>
      <c r="S1071" s="36"/>
      <c r="T1071" s="36"/>
      <c r="V1071" s="31"/>
    </row>
    <row r="1072">
      <c r="A1072" s="14" t="s">
        <v>736</v>
      </c>
      <c r="B1072" s="351" t="s">
        <v>3574</v>
      </c>
      <c r="C1072" s="50" t="s">
        <v>1665</v>
      </c>
      <c r="D1072" s="50"/>
      <c r="E1072" s="348" t="str">
        <f t="shared" si="887"/>
        <v>agosto 2026</v>
      </c>
      <c r="F1072" s="349">
        <v>46247.0</v>
      </c>
      <c r="G1072" s="24">
        <f t="shared" ref="G1072:H1072" si="1079">F1072</f>
        <v>46247</v>
      </c>
      <c r="H1072" s="26">
        <f t="shared" si="1079"/>
        <v>46247</v>
      </c>
      <c r="I1072" s="50" t="s">
        <v>90</v>
      </c>
      <c r="K1072" s="27"/>
      <c r="L1072" s="29" t="s">
        <v>3085</v>
      </c>
      <c r="M1072" s="31"/>
      <c r="N1072" s="14" t="s">
        <v>84</v>
      </c>
      <c r="O1072" s="31"/>
      <c r="Q1072" s="36"/>
      <c r="R1072" s="36"/>
      <c r="S1072" s="36"/>
      <c r="T1072" s="36"/>
      <c r="V1072" s="31"/>
    </row>
    <row r="1073">
      <c r="A1073" s="14" t="s">
        <v>736</v>
      </c>
      <c r="B1073" s="351" t="s">
        <v>3575</v>
      </c>
      <c r="C1073" s="50" t="s">
        <v>1666</v>
      </c>
      <c r="D1073" s="50"/>
      <c r="E1073" s="348" t="str">
        <f t="shared" si="887"/>
        <v>julio 2026</v>
      </c>
      <c r="F1073" s="349">
        <v>46205.0</v>
      </c>
      <c r="G1073" s="24">
        <f t="shared" ref="G1073:H1073" si="1080">F1073</f>
        <v>46205</v>
      </c>
      <c r="H1073" s="26">
        <f t="shared" si="1080"/>
        <v>46205</v>
      </c>
      <c r="I1073" s="50" t="s">
        <v>90</v>
      </c>
      <c r="K1073" s="27"/>
      <c r="L1073" s="29" t="s">
        <v>3085</v>
      </c>
      <c r="M1073" s="31"/>
      <c r="N1073" s="14" t="s">
        <v>84</v>
      </c>
      <c r="O1073" s="31"/>
      <c r="Q1073" s="36"/>
      <c r="R1073" s="36"/>
      <c r="S1073" s="36"/>
      <c r="T1073" s="36"/>
      <c r="V1073" s="31"/>
    </row>
    <row r="1074">
      <c r="A1074" s="14" t="s">
        <v>736</v>
      </c>
      <c r="B1074" s="351" t="s">
        <v>3576</v>
      </c>
      <c r="C1074" s="50" t="s">
        <v>1668</v>
      </c>
      <c r="D1074" s="50"/>
      <c r="E1074" s="348" t="str">
        <f t="shared" si="887"/>
        <v>julio 2026</v>
      </c>
      <c r="F1074" s="349">
        <v>46209.0</v>
      </c>
      <c r="G1074" s="24">
        <f t="shared" ref="G1074:H1074" si="1081">F1074</f>
        <v>46209</v>
      </c>
      <c r="H1074" s="26">
        <f t="shared" si="1081"/>
        <v>46209</v>
      </c>
      <c r="I1074" s="50" t="s">
        <v>90</v>
      </c>
      <c r="K1074" s="27"/>
      <c r="L1074" s="29" t="s">
        <v>3085</v>
      </c>
      <c r="M1074" s="31"/>
      <c r="N1074" s="14" t="s">
        <v>84</v>
      </c>
      <c r="O1074" s="31"/>
      <c r="Q1074" s="36"/>
      <c r="R1074" s="36"/>
      <c r="S1074" s="36"/>
      <c r="T1074" s="36"/>
      <c r="V1074" s="31"/>
    </row>
    <row r="1075">
      <c r="A1075" s="14" t="s">
        <v>736</v>
      </c>
      <c r="B1075" s="351" t="s">
        <v>3577</v>
      </c>
      <c r="C1075" s="50" t="s">
        <v>1669</v>
      </c>
      <c r="D1075" s="50"/>
      <c r="E1075" s="348" t="str">
        <f t="shared" si="887"/>
        <v>julio 2026</v>
      </c>
      <c r="F1075" s="349">
        <v>46209.0</v>
      </c>
      <c r="G1075" s="24">
        <f t="shared" ref="G1075:H1075" si="1082">F1075</f>
        <v>46209</v>
      </c>
      <c r="H1075" s="26">
        <f t="shared" si="1082"/>
        <v>46209</v>
      </c>
      <c r="I1075" s="50" t="s">
        <v>90</v>
      </c>
      <c r="K1075" s="27"/>
      <c r="L1075" s="29" t="s">
        <v>3085</v>
      </c>
      <c r="M1075" s="31"/>
      <c r="N1075" s="14" t="s">
        <v>84</v>
      </c>
      <c r="O1075" s="31"/>
      <c r="Q1075" s="36"/>
      <c r="R1075" s="36"/>
      <c r="S1075" s="36"/>
      <c r="T1075" s="36"/>
      <c r="V1075" s="31"/>
    </row>
    <row r="1076">
      <c r="A1076" s="14" t="s">
        <v>736</v>
      </c>
      <c r="B1076" s="351" t="s">
        <v>3578</v>
      </c>
      <c r="C1076" s="50" t="s">
        <v>1672</v>
      </c>
      <c r="D1076" s="50"/>
      <c r="E1076" s="348" t="str">
        <f t="shared" si="887"/>
        <v>julio 2026</v>
      </c>
      <c r="F1076" s="349">
        <v>46206.0</v>
      </c>
      <c r="G1076" s="24">
        <f t="shared" ref="G1076:H1076" si="1083">F1076</f>
        <v>46206</v>
      </c>
      <c r="H1076" s="26">
        <f t="shared" si="1083"/>
        <v>46206</v>
      </c>
      <c r="I1076" s="50" t="s">
        <v>90</v>
      </c>
      <c r="K1076" s="27"/>
      <c r="L1076" s="29" t="s">
        <v>3085</v>
      </c>
      <c r="M1076" s="31"/>
      <c r="N1076" s="14" t="s">
        <v>84</v>
      </c>
      <c r="O1076" s="31"/>
      <c r="Q1076" s="36"/>
      <c r="R1076" s="36"/>
      <c r="S1076" s="36"/>
      <c r="T1076" s="36"/>
      <c r="V1076" s="31"/>
    </row>
    <row r="1077">
      <c r="A1077" s="14" t="s">
        <v>736</v>
      </c>
      <c r="B1077" s="351" t="s">
        <v>3579</v>
      </c>
      <c r="C1077" s="50" t="s">
        <v>1673</v>
      </c>
      <c r="D1077" s="50"/>
      <c r="E1077" s="348" t="str">
        <f t="shared" si="887"/>
        <v>julio 2026</v>
      </c>
      <c r="F1077" s="349">
        <v>46232.0</v>
      </c>
      <c r="G1077" s="24">
        <f t="shared" ref="G1077:H1077" si="1084">F1077</f>
        <v>46232</v>
      </c>
      <c r="H1077" s="26">
        <f t="shared" si="1084"/>
        <v>46232</v>
      </c>
      <c r="I1077" s="50" t="s">
        <v>90</v>
      </c>
      <c r="K1077" s="27"/>
      <c r="L1077" s="29" t="s">
        <v>3085</v>
      </c>
      <c r="M1077" s="31"/>
      <c r="N1077" s="14" t="s">
        <v>84</v>
      </c>
      <c r="O1077" s="31"/>
      <c r="Q1077" s="36"/>
      <c r="R1077" s="36"/>
      <c r="S1077" s="36"/>
      <c r="T1077" s="36"/>
      <c r="V1077" s="31"/>
    </row>
    <row r="1078">
      <c r="A1078" s="14" t="s">
        <v>736</v>
      </c>
      <c r="B1078" s="351" t="s">
        <v>3580</v>
      </c>
      <c r="C1078" s="50" t="s">
        <v>1674</v>
      </c>
      <c r="D1078" s="50"/>
      <c r="E1078" s="348" t="str">
        <f t="shared" si="887"/>
        <v>julio 2026</v>
      </c>
      <c r="F1078" s="349">
        <v>46212.0</v>
      </c>
      <c r="G1078" s="24">
        <f t="shared" ref="G1078:H1078" si="1085">F1078</f>
        <v>46212</v>
      </c>
      <c r="H1078" s="26">
        <f t="shared" si="1085"/>
        <v>46212</v>
      </c>
      <c r="I1078" s="50" t="s">
        <v>90</v>
      </c>
      <c r="K1078" s="27"/>
      <c r="L1078" s="29" t="s">
        <v>3085</v>
      </c>
      <c r="M1078" s="31"/>
      <c r="N1078" s="14" t="s">
        <v>84</v>
      </c>
      <c r="O1078" s="31"/>
      <c r="Q1078" s="36"/>
      <c r="R1078" s="36"/>
      <c r="S1078" s="36"/>
      <c r="T1078" s="36"/>
      <c r="V1078" s="31"/>
    </row>
    <row r="1079">
      <c r="A1079" s="14" t="s">
        <v>736</v>
      </c>
      <c r="B1079" s="351" t="s">
        <v>3581</v>
      </c>
      <c r="C1079" s="50" t="s">
        <v>1675</v>
      </c>
      <c r="D1079" s="50"/>
      <c r="E1079" s="348" t="str">
        <f t="shared" si="887"/>
        <v>julio 2026</v>
      </c>
      <c r="F1079" s="349">
        <v>46210.0</v>
      </c>
      <c r="G1079" s="24">
        <f t="shared" ref="G1079:H1079" si="1086">F1079</f>
        <v>46210</v>
      </c>
      <c r="H1079" s="26">
        <f t="shared" si="1086"/>
        <v>46210</v>
      </c>
      <c r="I1079" s="50" t="s">
        <v>90</v>
      </c>
      <c r="K1079" s="27"/>
      <c r="L1079" s="29" t="s">
        <v>3085</v>
      </c>
      <c r="M1079" s="31"/>
      <c r="N1079" s="14" t="s">
        <v>84</v>
      </c>
      <c r="O1079" s="31"/>
      <c r="Q1079" s="36"/>
      <c r="R1079" s="36"/>
      <c r="S1079" s="36"/>
      <c r="T1079" s="36"/>
      <c r="V1079" s="31"/>
    </row>
    <row r="1080">
      <c r="A1080" s="14" t="s">
        <v>736</v>
      </c>
      <c r="B1080" s="351" t="s">
        <v>3582</v>
      </c>
      <c r="C1080" s="50" t="s">
        <v>1678</v>
      </c>
      <c r="D1080" s="50"/>
      <c r="E1080" s="348" t="str">
        <f t="shared" si="887"/>
        <v>julio 2026</v>
      </c>
      <c r="F1080" s="349">
        <v>46209.0</v>
      </c>
      <c r="G1080" s="24">
        <f t="shared" ref="G1080:H1080" si="1087">F1080</f>
        <v>46209</v>
      </c>
      <c r="H1080" s="26">
        <f t="shared" si="1087"/>
        <v>46209</v>
      </c>
      <c r="I1080" s="50" t="s">
        <v>90</v>
      </c>
      <c r="K1080" s="27"/>
      <c r="L1080" s="29" t="s">
        <v>3085</v>
      </c>
      <c r="M1080" s="31"/>
      <c r="N1080" s="14" t="s">
        <v>84</v>
      </c>
      <c r="O1080" s="31"/>
      <c r="Q1080" s="36"/>
      <c r="R1080" s="36"/>
      <c r="S1080" s="36"/>
      <c r="T1080" s="36"/>
      <c r="V1080" s="31"/>
    </row>
    <row r="1081">
      <c r="A1081" s="14" t="s">
        <v>736</v>
      </c>
      <c r="B1081" s="351" t="s">
        <v>3583</v>
      </c>
      <c r="C1081" s="50" t="s">
        <v>1679</v>
      </c>
      <c r="D1081" s="50"/>
      <c r="E1081" s="348" t="str">
        <f t="shared" si="887"/>
        <v>agosto 2026</v>
      </c>
      <c r="F1081" s="349">
        <v>46242.0</v>
      </c>
      <c r="G1081" s="24">
        <f t="shared" ref="G1081:H1081" si="1088">F1081</f>
        <v>46242</v>
      </c>
      <c r="H1081" s="26">
        <f t="shared" si="1088"/>
        <v>46242</v>
      </c>
      <c r="I1081" s="50" t="s">
        <v>90</v>
      </c>
      <c r="K1081" s="27"/>
      <c r="L1081" s="29" t="s">
        <v>3085</v>
      </c>
      <c r="M1081" s="31"/>
      <c r="N1081" s="14" t="s">
        <v>84</v>
      </c>
      <c r="O1081" s="31"/>
      <c r="Q1081" s="36"/>
      <c r="R1081" s="36"/>
      <c r="S1081" s="36"/>
      <c r="T1081" s="36"/>
      <c r="V1081" s="31"/>
    </row>
    <row r="1082">
      <c r="A1082" s="14" t="s">
        <v>736</v>
      </c>
      <c r="B1082" s="351" t="s">
        <v>3584</v>
      </c>
      <c r="C1082" s="50" t="s">
        <v>1682</v>
      </c>
      <c r="D1082" s="50"/>
      <c r="E1082" s="348" t="str">
        <f t="shared" si="887"/>
        <v>julio 2026</v>
      </c>
      <c r="F1082" s="349">
        <v>46207.0</v>
      </c>
      <c r="G1082" s="24">
        <f t="shared" ref="G1082:H1082" si="1089">F1082</f>
        <v>46207</v>
      </c>
      <c r="H1082" s="26">
        <f t="shared" si="1089"/>
        <v>46207</v>
      </c>
      <c r="I1082" s="50" t="s">
        <v>90</v>
      </c>
      <c r="K1082" s="27"/>
      <c r="L1082" s="29" t="s">
        <v>3085</v>
      </c>
      <c r="M1082" s="31"/>
      <c r="N1082" s="14" t="s">
        <v>84</v>
      </c>
      <c r="O1082" s="31"/>
      <c r="Q1082" s="36"/>
      <c r="R1082" s="36"/>
      <c r="S1082" s="36"/>
      <c r="T1082" s="36"/>
      <c r="V1082" s="31"/>
    </row>
    <row r="1083">
      <c r="A1083" s="14" t="s">
        <v>736</v>
      </c>
      <c r="B1083" s="351" t="s">
        <v>3585</v>
      </c>
      <c r="C1083" s="50" t="s">
        <v>1683</v>
      </c>
      <c r="D1083" s="50"/>
      <c r="E1083" s="348" t="str">
        <f t="shared" si="887"/>
        <v>julio 2026</v>
      </c>
      <c r="F1083" s="349">
        <v>46210.0</v>
      </c>
      <c r="G1083" s="24">
        <f t="shared" ref="G1083:H1083" si="1090">F1083</f>
        <v>46210</v>
      </c>
      <c r="H1083" s="26">
        <f t="shared" si="1090"/>
        <v>46210</v>
      </c>
      <c r="I1083" s="50" t="s">
        <v>90</v>
      </c>
      <c r="K1083" s="27"/>
      <c r="L1083" s="29" t="s">
        <v>3085</v>
      </c>
      <c r="M1083" s="31"/>
      <c r="N1083" s="14" t="s">
        <v>84</v>
      </c>
      <c r="O1083" s="31"/>
      <c r="Q1083" s="36"/>
      <c r="R1083" s="36"/>
      <c r="S1083" s="36"/>
      <c r="T1083" s="36"/>
      <c r="V1083" s="31"/>
    </row>
    <row r="1084">
      <c r="A1084" s="14" t="s">
        <v>736</v>
      </c>
      <c r="B1084" s="351" t="s">
        <v>3586</v>
      </c>
      <c r="C1084" s="50" t="s">
        <v>1684</v>
      </c>
      <c r="D1084" s="50"/>
      <c r="E1084" s="348" t="str">
        <f t="shared" si="887"/>
        <v>julio 2026</v>
      </c>
      <c r="F1084" s="349">
        <v>46209.0</v>
      </c>
      <c r="G1084" s="24">
        <f t="shared" ref="G1084:H1084" si="1091">F1084</f>
        <v>46209</v>
      </c>
      <c r="H1084" s="26">
        <f t="shared" si="1091"/>
        <v>46209</v>
      </c>
      <c r="I1084" s="50" t="s">
        <v>90</v>
      </c>
      <c r="K1084" s="27"/>
      <c r="L1084" s="29" t="s">
        <v>3085</v>
      </c>
      <c r="M1084" s="31"/>
      <c r="N1084" s="14" t="s">
        <v>84</v>
      </c>
      <c r="O1084" s="31"/>
      <c r="Q1084" s="36"/>
      <c r="R1084" s="36"/>
      <c r="S1084" s="36"/>
      <c r="T1084" s="36"/>
      <c r="V1084" s="31"/>
    </row>
    <row r="1085">
      <c r="A1085" s="14" t="s">
        <v>736</v>
      </c>
      <c r="B1085" s="351" t="s">
        <v>3587</v>
      </c>
      <c r="C1085" s="50" t="s">
        <v>1685</v>
      </c>
      <c r="D1085" s="50"/>
      <c r="E1085" s="348" t="str">
        <f t="shared" si="887"/>
        <v>julio 2026</v>
      </c>
      <c r="F1085" s="349">
        <v>46207.0</v>
      </c>
      <c r="G1085" s="24">
        <f t="shared" ref="G1085:H1085" si="1092">F1085</f>
        <v>46207</v>
      </c>
      <c r="H1085" s="26">
        <f t="shared" si="1092"/>
        <v>46207</v>
      </c>
      <c r="I1085" s="50" t="s">
        <v>90</v>
      </c>
      <c r="K1085" s="27"/>
      <c r="L1085" s="29" t="s">
        <v>3085</v>
      </c>
      <c r="M1085" s="31"/>
      <c r="N1085" s="14" t="s">
        <v>84</v>
      </c>
      <c r="O1085" s="31"/>
      <c r="Q1085" s="36"/>
      <c r="R1085" s="36"/>
      <c r="S1085" s="36"/>
      <c r="T1085" s="36"/>
      <c r="V1085" s="31"/>
    </row>
    <row r="1086">
      <c r="A1086" s="14" t="s">
        <v>736</v>
      </c>
      <c r="B1086" s="351" t="s">
        <v>3588</v>
      </c>
      <c r="C1086" s="50" t="s">
        <v>1686</v>
      </c>
      <c r="D1086" s="50"/>
      <c r="E1086" s="348" t="str">
        <f t="shared" si="887"/>
        <v>julio 2026</v>
      </c>
      <c r="F1086" s="349">
        <v>46207.0</v>
      </c>
      <c r="G1086" s="24">
        <f t="shared" ref="G1086:H1086" si="1093">F1086</f>
        <v>46207</v>
      </c>
      <c r="H1086" s="26">
        <f t="shared" si="1093"/>
        <v>46207</v>
      </c>
      <c r="I1086" s="50" t="s">
        <v>90</v>
      </c>
      <c r="K1086" s="27"/>
      <c r="L1086" s="29" t="s">
        <v>3085</v>
      </c>
      <c r="M1086" s="31"/>
      <c r="N1086" s="14" t="s">
        <v>84</v>
      </c>
      <c r="O1086" s="31"/>
      <c r="Q1086" s="36"/>
      <c r="R1086" s="36"/>
      <c r="S1086" s="36"/>
      <c r="T1086" s="36"/>
      <c r="V1086" s="31"/>
    </row>
    <row r="1087">
      <c r="A1087" s="14" t="s">
        <v>736</v>
      </c>
      <c r="B1087" s="351" t="s">
        <v>3589</v>
      </c>
      <c r="C1087" s="50" t="s">
        <v>1687</v>
      </c>
      <c r="D1087" s="50"/>
      <c r="E1087" s="348" t="str">
        <f t="shared" si="887"/>
        <v>julio 2026</v>
      </c>
      <c r="F1087" s="349">
        <v>46207.0</v>
      </c>
      <c r="G1087" s="24">
        <f t="shared" ref="G1087:H1087" si="1094">F1087</f>
        <v>46207</v>
      </c>
      <c r="H1087" s="26">
        <f t="shared" si="1094"/>
        <v>46207</v>
      </c>
      <c r="I1087" s="50" t="s">
        <v>90</v>
      </c>
      <c r="K1087" s="27"/>
      <c r="L1087" s="29" t="s">
        <v>3085</v>
      </c>
      <c r="M1087" s="31"/>
      <c r="N1087" s="14" t="s">
        <v>84</v>
      </c>
      <c r="O1087" s="31"/>
      <c r="Q1087" s="36"/>
      <c r="R1087" s="36"/>
      <c r="S1087" s="36"/>
      <c r="T1087" s="36"/>
      <c r="V1087" s="31"/>
    </row>
    <row r="1088">
      <c r="A1088" s="14" t="s">
        <v>736</v>
      </c>
      <c r="B1088" s="351" t="s">
        <v>3590</v>
      </c>
      <c r="C1088" s="50" t="s">
        <v>1690</v>
      </c>
      <c r="D1088" s="50"/>
      <c r="E1088" s="348" t="str">
        <f t="shared" si="887"/>
        <v>julio 2026</v>
      </c>
      <c r="F1088" s="349">
        <v>46207.0</v>
      </c>
      <c r="G1088" s="24">
        <f t="shared" ref="G1088:H1088" si="1095">F1088</f>
        <v>46207</v>
      </c>
      <c r="H1088" s="26">
        <f t="shared" si="1095"/>
        <v>46207</v>
      </c>
      <c r="I1088" s="50" t="s">
        <v>90</v>
      </c>
      <c r="K1088" s="27"/>
      <c r="L1088" s="29" t="s">
        <v>3085</v>
      </c>
      <c r="M1088" s="31"/>
      <c r="N1088" s="14" t="s">
        <v>84</v>
      </c>
      <c r="O1088" s="31"/>
      <c r="Q1088" s="36"/>
      <c r="R1088" s="36"/>
      <c r="S1088" s="36"/>
      <c r="T1088" s="36"/>
      <c r="V1088" s="31"/>
    </row>
    <row r="1089">
      <c r="A1089" s="14" t="s">
        <v>736</v>
      </c>
      <c r="B1089" s="351" t="s">
        <v>3591</v>
      </c>
      <c r="C1089" s="50" t="s">
        <v>1691</v>
      </c>
      <c r="D1089" s="50"/>
      <c r="E1089" s="348" t="str">
        <f t="shared" si="887"/>
        <v>julio 2026</v>
      </c>
      <c r="F1089" s="349">
        <v>46207.0</v>
      </c>
      <c r="G1089" s="24">
        <f t="shared" ref="G1089:H1089" si="1096">F1089</f>
        <v>46207</v>
      </c>
      <c r="H1089" s="26">
        <f t="shared" si="1096"/>
        <v>46207</v>
      </c>
      <c r="I1089" s="50" t="s">
        <v>90</v>
      </c>
      <c r="K1089" s="27"/>
      <c r="L1089" s="29" t="s">
        <v>3085</v>
      </c>
      <c r="M1089" s="31"/>
      <c r="N1089" s="14" t="s">
        <v>84</v>
      </c>
      <c r="O1089" s="31"/>
      <c r="Q1089" s="36"/>
      <c r="R1089" s="36"/>
      <c r="S1089" s="36"/>
      <c r="T1089" s="36"/>
      <c r="V1089" s="31"/>
    </row>
    <row r="1090">
      <c r="A1090" s="14" t="s">
        <v>736</v>
      </c>
      <c r="B1090" s="351" t="s">
        <v>3592</v>
      </c>
      <c r="C1090" s="50" t="s">
        <v>1692</v>
      </c>
      <c r="D1090" s="50"/>
      <c r="E1090" s="348" t="str">
        <f t="shared" si="887"/>
        <v>julio 2026</v>
      </c>
      <c r="F1090" s="349">
        <v>46207.0</v>
      </c>
      <c r="G1090" s="24">
        <f t="shared" ref="G1090:H1090" si="1097">F1090</f>
        <v>46207</v>
      </c>
      <c r="H1090" s="26">
        <f t="shared" si="1097"/>
        <v>46207</v>
      </c>
      <c r="I1090" s="50" t="s">
        <v>90</v>
      </c>
      <c r="K1090" s="27"/>
      <c r="L1090" s="29" t="s">
        <v>3085</v>
      </c>
      <c r="M1090" s="31"/>
      <c r="N1090" s="14" t="s">
        <v>84</v>
      </c>
      <c r="O1090" s="31"/>
      <c r="Q1090" s="36"/>
      <c r="R1090" s="36"/>
      <c r="S1090" s="36"/>
      <c r="T1090" s="36"/>
      <c r="V1090" s="31"/>
    </row>
    <row r="1091">
      <c r="A1091" s="14" t="s">
        <v>736</v>
      </c>
      <c r="B1091" s="351" t="s">
        <v>3593</v>
      </c>
      <c r="C1091" s="50" t="s">
        <v>1693</v>
      </c>
      <c r="D1091" s="50"/>
      <c r="E1091" s="348" t="str">
        <f t="shared" si="887"/>
        <v>julio 2026</v>
      </c>
      <c r="F1091" s="349">
        <v>46220.0</v>
      </c>
      <c r="G1091" s="24">
        <f t="shared" ref="G1091:H1091" si="1098">F1091</f>
        <v>46220</v>
      </c>
      <c r="H1091" s="26">
        <f t="shared" si="1098"/>
        <v>46220</v>
      </c>
      <c r="I1091" s="50" t="s">
        <v>90</v>
      </c>
      <c r="K1091" s="27"/>
      <c r="L1091" s="29" t="s">
        <v>3085</v>
      </c>
      <c r="M1091" s="31"/>
      <c r="N1091" s="14" t="s">
        <v>84</v>
      </c>
      <c r="O1091" s="31"/>
      <c r="Q1091" s="36"/>
      <c r="R1091" s="36"/>
      <c r="S1091" s="36"/>
      <c r="T1091" s="36"/>
      <c r="V1091" s="31"/>
    </row>
    <row r="1092">
      <c r="A1092" s="14" t="s">
        <v>736</v>
      </c>
      <c r="B1092" s="351" t="s">
        <v>3594</v>
      </c>
      <c r="C1092" s="50" t="s">
        <v>1695</v>
      </c>
      <c r="D1092" s="50"/>
      <c r="E1092" s="348" t="str">
        <f t="shared" si="887"/>
        <v>julio 2026</v>
      </c>
      <c r="F1092" s="349">
        <v>46225.0</v>
      </c>
      <c r="G1092" s="24">
        <f t="shared" ref="G1092:H1092" si="1099">F1092</f>
        <v>46225</v>
      </c>
      <c r="H1092" s="26">
        <f t="shared" si="1099"/>
        <v>46225</v>
      </c>
      <c r="I1092" s="50" t="s">
        <v>90</v>
      </c>
      <c r="K1092" s="27"/>
      <c r="L1092" s="29" t="s">
        <v>3085</v>
      </c>
      <c r="M1092" s="31"/>
      <c r="N1092" s="14" t="s">
        <v>84</v>
      </c>
      <c r="O1092" s="31"/>
      <c r="Q1092" s="36"/>
      <c r="R1092" s="36"/>
      <c r="S1092" s="36"/>
      <c r="T1092" s="36"/>
      <c r="V1092" s="31"/>
    </row>
    <row r="1093">
      <c r="A1093" s="14" t="s">
        <v>736</v>
      </c>
      <c r="B1093" s="351" t="s">
        <v>3595</v>
      </c>
      <c r="C1093" s="50" t="s">
        <v>1697</v>
      </c>
      <c r="D1093" s="50"/>
      <c r="E1093" s="348" t="str">
        <f t="shared" si="887"/>
        <v>julio 2026</v>
      </c>
      <c r="F1093" s="349">
        <v>46220.0</v>
      </c>
      <c r="G1093" s="24">
        <f t="shared" ref="G1093:H1093" si="1100">F1093</f>
        <v>46220</v>
      </c>
      <c r="H1093" s="26">
        <f t="shared" si="1100"/>
        <v>46220</v>
      </c>
      <c r="I1093" s="50" t="s">
        <v>90</v>
      </c>
      <c r="K1093" s="27"/>
      <c r="L1093" s="29" t="s">
        <v>3085</v>
      </c>
      <c r="M1093" s="31"/>
      <c r="N1093" s="14" t="s">
        <v>84</v>
      </c>
      <c r="O1093" s="31"/>
      <c r="Q1093" s="36"/>
      <c r="R1093" s="36"/>
      <c r="S1093" s="36"/>
      <c r="T1093" s="36"/>
      <c r="V1093" s="31"/>
    </row>
    <row r="1094">
      <c r="A1094" s="14" t="s">
        <v>736</v>
      </c>
      <c r="B1094" s="351" t="s">
        <v>3596</v>
      </c>
      <c r="C1094" s="50" t="s">
        <v>1698</v>
      </c>
      <c r="D1094" s="50"/>
      <c r="E1094" s="348" t="str">
        <f t="shared" si="887"/>
        <v>julio 2026</v>
      </c>
      <c r="F1094" s="349">
        <v>46220.0</v>
      </c>
      <c r="G1094" s="24">
        <f t="shared" ref="G1094:H1094" si="1101">F1094</f>
        <v>46220</v>
      </c>
      <c r="H1094" s="26">
        <f t="shared" si="1101"/>
        <v>46220</v>
      </c>
      <c r="I1094" s="50" t="s">
        <v>90</v>
      </c>
      <c r="K1094" s="27"/>
      <c r="L1094" s="29" t="s">
        <v>3085</v>
      </c>
      <c r="M1094" s="31"/>
      <c r="N1094" s="14" t="s">
        <v>84</v>
      </c>
      <c r="O1094" s="31"/>
      <c r="Q1094" s="36"/>
      <c r="R1094" s="36"/>
      <c r="S1094" s="36"/>
      <c r="T1094" s="36"/>
      <c r="V1094" s="31"/>
    </row>
    <row r="1095">
      <c r="A1095" s="14" t="s">
        <v>736</v>
      </c>
      <c r="B1095" s="351" t="s">
        <v>3597</v>
      </c>
      <c r="C1095" s="50" t="s">
        <v>1699</v>
      </c>
      <c r="D1095" s="50"/>
      <c r="E1095" s="348" t="str">
        <f t="shared" si="887"/>
        <v>julio 2026</v>
      </c>
      <c r="F1095" s="349">
        <v>46217.0</v>
      </c>
      <c r="G1095" s="24">
        <f t="shared" ref="G1095:H1095" si="1102">F1095</f>
        <v>46217</v>
      </c>
      <c r="H1095" s="26">
        <f t="shared" si="1102"/>
        <v>46217</v>
      </c>
      <c r="I1095" s="50" t="s">
        <v>90</v>
      </c>
      <c r="K1095" s="27"/>
      <c r="L1095" s="29" t="s">
        <v>3085</v>
      </c>
      <c r="M1095" s="31"/>
      <c r="N1095" s="14" t="s">
        <v>84</v>
      </c>
      <c r="O1095" s="31"/>
      <c r="Q1095" s="36"/>
      <c r="R1095" s="36"/>
      <c r="S1095" s="36"/>
      <c r="T1095" s="36"/>
      <c r="V1095" s="31"/>
    </row>
    <row r="1096">
      <c r="A1096" s="14" t="s">
        <v>736</v>
      </c>
      <c r="B1096" s="351" t="s">
        <v>3598</v>
      </c>
      <c r="C1096" s="50" t="s">
        <v>1700</v>
      </c>
      <c r="D1096" s="50"/>
      <c r="E1096" s="348" t="str">
        <f t="shared" si="887"/>
        <v>julio 2026</v>
      </c>
      <c r="F1096" s="349">
        <v>46230.0</v>
      </c>
      <c r="G1096" s="24">
        <f t="shared" ref="G1096:H1096" si="1103">F1096</f>
        <v>46230</v>
      </c>
      <c r="H1096" s="26">
        <f t="shared" si="1103"/>
        <v>46230</v>
      </c>
      <c r="I1096" s="50" t="s">
        <v>90</v>
      </c>
      <c r="K1096" s="27"/>
      <c r="L1096" s="29" t="s">
        <v>3085</v>
      </c>
      <c r="M1096" s="31"/>
      <c r="N1096" s="14" t="s">
        <v>84</v>
      </c>
      <c r="O1096" s="31"/>
      <c r="Q1096" s="36"/>
      <c r="R1096" s="36"/>
      <c r="S1096" s="36"/>
      <c r="T1096" s="36"/>
      <c r="V1096" s="31"/>
    </row>
    <row r="1097">
      <c r="A1097" s="14" t="s">
        <v>736</v>
      </c>
      <c r="B1097" s="351" t="s">
        <v>3599</v>
      </c>
      <c r="C1097" s="50" t="s">
        <v>1703</v>
      </c>
      <c r="D1097" s="50"/>
      <c r="E1097" s="348" t="str">
        <f t="shared" si="887"/>
        <v>agosto 2026</v>
      </c>
      <c r="F1097" s="349">
        <v>46248.0</v>
      </c>
      <c r="G1097" s="24">
        <f t="shared" ref="G1097:H1097" si="1104">F1097</f>
        <v>46248</v>
      </c>
      <c r="H1097" s="26">
        <f t="shared" si="1104"/>
        <v>46248</v>
      </c>
      <c r="I1097" s="50" t="s">
        <v>90</v>
      </c>
      <c r="K1097" s="27"/>
      <c r="L1097" s="29" t="s">
        <v>3085</v>
      </c>
      <c r="M1097" s="31"/>
      <c r="N1097" s="14" t="s">
        <v>84</v>
      </c>
      <c r="O1097" s="31"/>
      <c r="Q1097" s="36"/>
      <c r="R1097" s="36"/>
      <c r="S1097" s="36"/>
      <c r="T1097" s="36"/>
      <c r="V1097" s="31"/>
    </row>
    <row r="1098">
      <c r="A1098" s="14" t="s">
        <v>736</v>
      </c>
      <c r="B1098" s="351" t="s">
        <v>3600</v>
      </c>
      <c r="C1098" s="50" t="s">
        <v>1705</v>
      </c>
      <c r="D1098" s="50"/>
      <c r="E1098" s="348" t="str">
        <f t="shared" si="887"/>
        <v>julio 2026</v>
      </c>
      <c r="F1098" s="349">
        <v>46233.0</v>
      </c>
      <c r="G1098" s="24">
        <f t="shared" ref="G1098:H1098" si="1105">F1098</f>
        <v>46233</v>
      </c>
      <c r="H1098" s="26">
        <f t="shared" si="1105"/>
        <v>46233</v>
      </c>
      <c r="I1098" s="50" t="s">
        <v>90</v>
      </c>
      <c r="K1098" s="27"/>
      <c r="L1098" s="29" t="s">
        <v>3085</v>
      </c>
      <c r="M1098" s="31"/>
      <c r="N1098" s="14" t="s">
        <v>84</v>
      </c>
      <c r="O1098" s="31"/>
      <c r="Q1098" s="36"/>
      <c r="R1098" s="36"/>
      <c r="S1098" s="36"/>
      <c r="T1098" s="36"/>
      <c r="V1098" s="31"/>
    </row>
    <row r="1099">
      <c r="A1099" s="14" t="s">
        <v>736</v>
      </c>
      <c r="B1099" s="351" t="s">
        <v>3601</v>
      </c>
      <c r="C1099" s="50" t="s">
        <v>1706</v>
      </c>
      <c r="D1099" s="50"/>
      <c r="E1099" s="348" t="str">
        <f t="shared" si="887"/>
        <v>julio 2026</v>
      </c>
      <c r="F1099" s="349">
        <v>46222.0</v>
      </c>
      <c r="G1099" s="24">
        <f t="shared" ref="G1099:H1099" si="1106">F1099</f>
        <v>46222</v>
      </c>
      <c r="H1099" s="26">
        <f t="shared" si="1106"/>
        <v>46222</v>
      </c>
      <c r="I1099" s="50" t="s">
        <v>90</v>
      </c>
      <c r="K1099" s="27"/>
      <c r="L1099" s="29" t="s">
        <v>3085</v>
      </c>
      <c r="M1099" s="31"/>
      <c r="N1099" s="14" t="s">
        <v>84</v>
      </c>
      <c r="O1099" s="31"/>
      <c r="Q1099" s="36"/>
      <c r="R1099" s="36"/>
      <c r="S1099" s="36"/>
      <c r="T1099" s="36"/>
      <c r="V1099" s="31"/>
    </row>
    <row r="1100">
      <c r="A1100" s="14" t="s">
        <v>736</v>
      </c>
      <c r="B1100" s="351" t="s">
        <v>3602</v>
      </c>
      <c r="C1100" s="50" t="s">
        <v>1707</v>
      </c>
      <c r="D1100" s="50"/>
      <c r="E1100" s="348" t="str">
        <f t="shared" si="887"/>
        <v>julio 2026</v>
      </c>
      <c r="F1100" s="349">
        <v>46217.0</v>
      </c>
      <c r="G1100" s="24">
        <f t="shared" ref="G1100:H1100" si="1107">F1100</f>
        <v>46217</v>
      </c>
      <c r="H1100" s="26">
        <f t="shared" si="1107"/>
        <v>46217</v>
      </c>
      <c r="I1100" s="50" t="s">
        <v>90</v>
      </c>
      <c r="K1100" s="27"/>
      <c r="L1100" s="29" t="s">
        <v>3085</v>
      </c>
      <c r="M1100" s="31"/>
      <c r="N1100" s="14" t="s">
        <v>84</v>
      </c>
      <c r="O1100" s="31"/>
      <c r="Q1100" s="36"/>
      <c r="R1100" s="36"/>
      <c r="S1100" s="36"/>
      <c r="T1100" s="36"/>
      <c r="V1100" s="31"/>
    </row>
    <row r="1101">
      <c r="A1101" s="14" t="s">
        <v>736</v>
      </c>
      <c r="B1101" s="351" t="s">
        <v>3603</v>
      </c>
      <c r="C1101" s="50" t="s">
        <v>1708</v>
      </c>
      <c r="D1101" s="50"/>
      <c r="E1101" s="348" t="str">
        <f t="shared" si="887"/>
        <v>julio 2026</v>
      </c>
      <c r="F1101" s="349">
        <v>46217.0</v>
      </c>
      <c r="G1101" s="24">
        <f t="shared" ref="G1101:H1101" si="1108">F1101</f>
        <v>46217</v>
      </c>
      <c r="H1101" s="26">
        <f t="shared" si="1108"/>
        <v>46217</v>
      </c>
      <c r="I1101" s="50" t="s">
        <v>90</v>
      </c>
      <c r="K1101" s="27"/>
      <c r="L1101" s="29" t="s">
        <v>3085</v>
      </c>
      <c r="M1101" s="31"/>
      <c r="N1101" s="14" t="s">
        <v>84</v>
      </c>
      <c r="O1101" s="31"/>
      <c r="Q1101" s="36"/>
      <c r="R1101" s="36"/>
      <c r="S1101" s="36"/>
      <c r="T1101" s="36"/>
      <c r="V1101" s="31"/>
    </row>
    <row r="1102">
      <c r="A1102" s="14" t="s">
        <v>736</v>
      </c>
      <c r="B1102" s="351" t="s">
        <v>3604</v>
      </c>
      <c r="C1102" s="50" t="s">
        <v>1710</v>
      </c>
      <c r="D1102" s="50"/>
      <c r="E1102" s="348" t="str">
        <f t="shared" si="887"/>
        <v>julio 2026</v>
      </c>
      <c r="F1102" s="349">
        <v>46217.0</v>
      </c>
      <c r="G1102" s="24">
        <f t="shared" ref="G1102:H1102" si="1109">F1102</f>
        <v>46217</v>
      </c>
      <c r="H1102" s="26">
        <f t="shared" si="1109"/>
        <v>46217</v>
      </c>
      <c r="I1102" s="50" t="s">
        <v>90</v>
      </c>
      <c r="K1102" s="27"/>
      <c r="L1102" s="29" t="s">
        <v>3085</v>
      </c>
      <c r="M1102" s="31"/>
      <c r="N1102" s="14" t="s">
        <v>84</v>
      </c>
      <c r="O1102" s="31"/>
      <c r="Q1102" s="36"/>
      <c r="R1102" s="36"/>
      <c r="S1102" s="36"/>
      <c r="T1102" s="36"/>
      <c r="V1102" s="31"/>
    </row>
    <row r="1103">
      <c r="A1103" s="14" t="s">
        <v>736</v>
      </c>
      <c r="B1103" s="351" t="s">
        <v>3605</v>
      </c>
      <c r="C1103" s="50" t="s">
        <v>1713</v>
      </c>
      <c r="D1103" s="50"/>
      <c r="E1103" s="348" t="str">
        <f t="shared" si="887"/>
        <v>julio 2026</v>
      </c>
      <c r="F1103" s="349">
        <v>46218.0</v>
      </c>
      <c r="G1103" s="24">
        <f t="shared" ref="G1103:H1103" si="1110">F1103</f>
        <v>46218</v>
      </c>
      <c r="H1103" s="26">
        <f t="shared" si="1110"/>
        <v>46218</v>
      </c>
      <c r="I1103" s="50" t="s">
        <v>90</v>
      </c>
      <c r="K1103" s="27"/>
      <c r="L1103" s="29" t="s">
        <v>3085</v>
      </c>
      <c r="M1103" s="31"/>
      <c r="N1103" s="14" t="s">
        <v>84</v>
      </c>
      <c r="O1103" s="31"/>
      <c r="Q1103" s="36"/>
      <c r="R1103" s="36"/>
      <c r="S1103" s="36"/>
      <c r="T1103" s="36"/>
      <c r="V1103" s="31"/>
    </row>
    <row r="1104">
      <c r="A1104" s="14" t="s">
        <v>736</v>
      </c>
      <c r="B1104" s="351" t="s">
        <v>3606</v>
      </c>
      <c r="C1104" s="50" t="s">
        <v>1714</v>
      </c>
      <c r="D1104" s="50"/>
      <c r="E1104" s="348" t="str">
        <f t="shared" si="887"/>
        <v>julio 2026</v>
      </c>
      <c r="F1104" s="349">
        <v>46218.0</v>
      </c>
      <c r="G1104" s="24">
        <f t="shared" ref="G1104:H1104" si="1111">F1104</f>
        <v>46218</v>
      </c>
      <c r="H1104" s="26">
        <f t="shared" si="1111"/>
        <v>46218</v>
      </c>
      <c r="I1104" s="50" t="s">
        <v>90</v>
      </c>
      <c r="K1104" s="27"/>
      <c r="L1104" s="29" t="s">
        <v>3085</v>
      </c>
      <c r="M1104" s="31"/>
      <c r="N1104" s="14" t="s">
        <v>84</v>
      </c>
      <c r="O1104" s="31"/>
      <c r="Q1104" s="36"/>
      <c r="R1104" s="36"/>
      <c r="S1104" s="36"/>
      <c r="T1104" s="36"/>
      <c r="V1104" s="31"/>
    </row>
    <row r="1105">
      <c r="A1105" s="14" t="s">
        <v>736</v>
      </c>
      <c r="B1105" s="351" t="s">
        <v>3605</v>
      </c>
      <c r="C1105" s="50" t="s">
        <v>1715</v>
      </c>
      <c r="D1105" s="50"/>
      <c r="E1105" s="348" t="str">
        <f t="shared" si="887"/>
        <v>julio 2026</v>
      </c>
      <c r="F1105" s="349">
        <v>46218.0</v>
      </c>
      <c r="G1105" s="24">
        <f t="shared" ref="G1105:H1105" si="1112">F1105</f>
        <v>46218</v>
      </c>
      <c r="H1105" s="26">
        <f t="shared" si="1112"/>
        <v>46218</v>
      </c>
      <c r="I1105" s="50" t="s">
        <v>90</v>
      </c>
      <c r="K1105" s="27"/>
      <c r="L1105" s="29" t="s">
        <v>3085</v>
      </c>
      <c r="M1105" s="31"/>
      <c r="N1105" s="14" t="s">
        <v>84</v>
      </c>
      <c r="O1105" s="31"/>
      <c r="Q1105" s="36"/>
      <c r="R1105" s="36"/>
      <c r="S1105" s="36"/>
      <c r="T1105" s="36"/>
      <c r="V1105" s="31"/>
    </row>
    <row r="1106">
      <c r="A1106" s="14" t="s">
        <v>736</v>
      </c>
      <c r="B1106" s="351" t="s">
        <v>3607</v>
      </c>
      <c r="C1106" s="50" t="s">
        <v>1716</v>
      </c>
      <c r="D1106" s="50"/>
      <c r="E1106" s="348" t="str">
        <f t="shared" si="887"/>
        <v>julio 2026</v>
      </c>
      <c r="F1106" s="349">
        <v>46218.0</v>
      </c>
      <c r="G1106" s="24">
        <f t="shared" ref="G1106:H1106" si="1113">F1106</f>
        <v>46218</v>
      </c>
      <c r="H1106" s="26">
        <f t="shared" si="1113"/>
        <v>46218</v>
      </c>
      <c r="I1106" s="50" t="s">
        <v>90</v>
      </c>
      <c r="K1106" s="27"/>
      <c r="L1106" s="29" t="s">
        <v>3085</v>
      </c>
      <c r="M1106" s="31"/>
      <c r="N1106" s="14" t="s">
        <v>84</v>
      </c>
      <c r="O1106" s="31"/>
      <c r="Q1106" s="36"/>
      <c r="R1106" s="36"/>
      <c r="S1106" s="36"/>
      <c r="T1106" s="36"/>
      <c r="V1106" s="31"/>
    </row>
    <row r="1107">
      <c r="A1107" s="14" t="s">
        <v>736</v>
      </c>
      <c r="B1107" s="351" t="s">
        <v>3608</v>
      </c>
      <c r="C1107" s="50" t="s">
        <v>1718</v>
      </c>
      <c r="D1107" s="50"/>
      <c r="E1107" s="348" t="str">
        <f t="shared" si="887"/>
        <v>julio 2026</v>
      </c>
      <c r="F1107" s="349">
        <v>46219.0</v>
      </c>
      <c r="G1107" s="24">
        <f t="shared" ref="G1107:H1107" si="1114">F1107</f>
        <v>46219</v>
      </c>
      <c r="H1107" s="26">
        <f t="shared" si="1114"/>
        <v>46219</v>
      </c>
      <c r="I1107" s="50" t="s">
        <v>90</v>
      </c>
      <c r="K1107" s="27"/>
      <c r="L1107" s="29" t="s">
        <v>3085</v>
      </c>
      <c r="M1107" s="31"/>
      <c r="N1107" s="14" t="s">
        <v>84</v>
      </c>
      <c r="O1107" s="31"/>
      <c r="Q1107" s="36"/>
      <c r="R1107" s="36"/>
      <c r="S1107" s="36"/>
      <c r="T1107" s="36"/>
      <c r="V1107" s="31"/>
    </row>
    <row r="1108">
      <c r="A1108" s="14" t="s">
        <v>736</v>
      </c>
      <c r="B1108" s="351" t="s">
        <v>3609</v>
      </c>
      <c r="C1108" s="50" t="s">
        <v>1720</v>
      </c>
      <c r="D1108" s="50"/>
      <c r="E1108" s="348" t="str">
        <f t="shared" si="887"/>
        <v>julio 2026</v>
      </c>
      <c r="F1108" s="349">
        <v>46219.0</v>
      </c>
      <c r="G1108" s="24">
        <f t="shared" ref="G1108:H1108" si="1115">F1108</f>
        <v>46219</v>
      </c>
      <c r="H1108" s="26">
        <f t="shared" si="1115"/>
        <v>46219</v>
      </c>
      <c r="I1108" s="50" t="s">
        <v>90</v>
      </c>
      <c r="K1108" s="27"/>
      <c r="L1108" s="29" t="s">
        <v>3085</v>
      </c>
      <c r="M1108" s="31"/>
      <c r="N1108" s="14" t="s">
        <v>84</v>
      </c>
      <c r="O1108" s="31"/>
      <c r="Q1108" s="36"/>
      <c r="R1108" s="36"/>
      <c r="S1108" s="36"/>
      <c r="T1108" s="36"/>
      <c r="V1108" s="31"/>
    </row>
    <row r="1109">
      <c r="A1109" s="14" t="s">
        <v>736</v>
      </c>
      <c r="B1109" s="351" t="s">
        <v>3610</v>
      </c>
      <c r="C1109" s="50" t="s">
        <v>1721</v>
      </c>
      <c r="D1109" s="50"/>
      <c r="E1109" s="348" t="str">
        <f t="shared" si="887"/>
        <v>julio 2026</v>
      </c>
      <c r="F1109" s="349">
        <v>46219.0</v>
      </c>
      <c r="G1109" s="24">
        <f t="shared" ref="G1109:H1109" si="1116">F1109</f>
        <v>46219</v>
      </c>
      <c r="H1109" s="26">
        <f t="shared" si="1116"/>
        <v>46219</v>
      </c>
      <c r="I1109" s="50" t="s">
        <v>90</v>
      </c>
      <c r="K1109" s="27"/>
      <c r="L1109" s="29" t="s">
        <v>3085</v>
      </c>
      <c r="M1109" s="31"/>
      <c r="N1109" s="14" t="s">
        <v>84</v>
      </c>
      <c r="O1109" s="31"/>
      <c r="Q1109" s="36"/>
      <c r="R1109" s="36"/>
      <c r="S1109" s="36"/>
      <c r="T1109" s="36"/>
      <c r="V1109" s="31"/>
    </row>
    <row r="1110">
      <c r="A1110" s="14" t="s">
        <v>736</v>
      </c>
      <c r="B1110" s="351" t="s">
        <v>3611</v>
      </c>
      <c r="C1110" s="50" t="s">
        <v>1722</v>
      </c>
      <c r="D1110" s="50"/>
      <c r="E1110" s="348" t="str">
        <f t="shared" si="887"/>
        <v>julio 2026</v>
      </c>
      <c r="F1110" s="349">
        <v>46233.0</v>
      </c>
      <c r="G1110" s="24">
        <f t="shared" ref="G1110:H1110" si="1117">F1110</f>
        <v>46233</v>
      </c>
      <c r="H1110" s="26">
        <f t="shared" si="1117"/>
        <v>46233</v>
      </c>
      <c r="I1110" s="50" t="s">
        <v>90</v>
      </c>
      <c r="K1110" s="27"/>
      <c r="L1110" s="29" t="s">
        <v>3085</v>
      </c>
      <c r="M1110" s="31"/>
      <c r="N1110" s="14" t="s">
        <v>84</v>
      </c>
      <c r="O1110" s="31"/>
      <c r="Q1110" s="36"/>
      <c r="R1110" s="36"/>
      <c r="S1110" s="36"/>
      <c r="T1110" s="36"/>
      <c r="V1110" s="31"/>
    </row>
    <row r="1111">
      <c r="A1111" s="14" t="s">
        <v>736</v>
      </c>
      <c r="B1111" s="351" t="s">
        <v>3612</v>
      </c>
      <c r="C1111" s="50" t="s">
        <v>1723</v>
      </c>
      <c r="D1111" s="50"/>
      <c r="E1111" s="348" t="str">
        <f t="shared" si="887"/>
        <v>julio 2026</v>
      </c>
      <c r="F1111" s="349">
        <v>46234.0</v>
      </c>
      <c r="G1111" s="24">
        <f t="shared" ref="G1111:H1111" si="1118">F1111</f>
        <v>46234</v>
      </c>
      <c r="H1111" s="26">
        <f t="shared" si="1118"/>
        <v>46234</v>
      </c>
      <c r="I1111" s="50" t="s">
        <v>90</v>
      </c>
      <c r="K1111" s="27"/>
      <c r="L1111" s="29" t="s">
        <v>3085</v>
      </c>
      <c r="M1111" s="31"/>
      <c r="N1111" s="14" t="s">
        <v>84</v>
      </c>
      <c r="O1111" s="31"/>
      <c r="Q1111" s="36"/>
      <c r="R1111" s="36"/>
      <c r="S1111" s="36"/>
      <c r="T1111" s="36"/>
      <c r="V1111" s="31"/>
    </row>
    <row r="1112">
      <c r="A1112" s="14" t="s">
        <v>736</v>
      </c>
      <c r="B1112" s="351" t="s">
        <v>3613</v>
      </c>
      <c r="C1112" s="50" t="s">
        <v>1726</v>
      </c>
      <c r="D1112" s="50"/>
      <c r="E1112" s="348" t="str">
        <f t="shared" si="887"/>
        <v>agosto 2026</v>
      </c>
      <c r="F1112" s="349">
        <v>46246.0</v>
      </c>
      <c r="G1112" s="24">
        <f t="shared" ref="G1112:H1112" si="1119">F1112</f>
        <v>46246</v>
      </c>
      <c r="H1112" s="26">
        <f t="shared" si="1119"/>
        <v>46246</v>
      </c>
      <c r="I1112" s="50" t="s">
        <v>90</v>
      </c>
      <c r="K1112" s="27"/>
      <c r="L1112" s="29" t="s">
        <v>3085</v>
      </c>
      <c r="M1112" s="31"/>
      <c r="N1112" s="14" t="s">
        <v>84</v>
      </c>
      <c r="O1112" s="31"/>
      <c r="Q1112" s="36"/>
      <c r="R1112" s="36"/>
      <c r="S1112" s="36"/>
      <c r="T1112" s="36"/>
      <c r="V1112" s="31"/>
    </row>
    <row r="1113">
      <c r="A1113" s="14" t="s">
        <v>117</v>
      </c>
      <c r="B1113" s="351"/>
      <c r="C1113" s="302" t="s">
        <v>3614</v>
      </c>
      <c r="D1113" s="50" t="s">
        <v>40</v>
      </c>
      <c r="E1113" s="380" t="str">
        <f t="shared" si="887"/>
        <v>julio 2026</v>
      </c>
      <c r="F1113" s="381">
        <v>46224.0</v>
      </c>
      <c r="G1113" s="24">
        <f t="shared" ref="G1113:H1113" si="1120">F1113</f>
        <v>46224</v>
      </c>
      <c r="H1113" s="26">
        <f t="shared" si="1120"/>
        <v>46224</v>
      </c>
      <c r="I1113" s="50" t="s">
        <v>90</v>
      </c>
      <c r="K1113" s="448"/>
      <c r="L1113" s="29" t="s">
        <v>3157</v>
      </c>
      <c r="M1113" s="31"/>
      <c r="N1113" s="14" t="s">
        <v>84</v>
      </c>
      <c r="O1113" s="31"/>
      <c r="Q1113" s="36"/>
      <c r="R1113" s="36"/>
      <c r="S1113" s="36"/>
      <c r="T1113" s="36"/>
      <c r="V1113" s="31"/>
    </row>
    <row r="1114">
      <c r="A1114" s="14" t="s">
        <v>679</v>
      </c>
      <c r="B1114" s="351"/>
      <c r="C1114" s="302" t="s">
        <v>3615</v>
      </c>
      <c r="D1114" s="50" t="s">
        <v>133</v>
      </c>
      <c r="E1114" s="383" t="str">
        <f t="shared" si="887"/>
        <v>julio 2026</v>
      </c>
      <c r="F1114" s="386">
        <v>46220.0</v>
      </c>
      <c r="G1114" s="449" t="s">
        <v>3196</v>
      </c>
      <c r="H1114" s="449">
        <v>2026.0</v>
      </c>
      <c r="I1114" s="50" t="s">
        <v>1865</v>
      </c>
      <c r="K1114" s="448"/>
      <c r="L1114" s="29"/>
      <c r="M1114" s="31"/>
      <c r="N1114" s="14"/>
      <c r="O1114" s="31"/>
      <c r="Q1114" s="36"/>
      <c r="R1114" s="36"/>
      <c r="S1114" s="36"/>
      <c r="T1114" s="36"/>
      <c r="V1114" s="31"/>
    </row>
    <row r="1115">
      <c r="A1115" s="14" t="s">
        <v>679</v>
      </c>
      <c r="B1115" s="351"/>
      <c r="C1115" s="302" t="s">
        <v>3616</v>
      </c>
      <c r="D1115" s="50" t="s">
        <v>40</v>
      </c>
      <c r="E1115" s="441">
        <v>46235.0</v>
      </c>
      <c r="F1115" s="381">
        <v>46220.0</v>
      </c>
      <c r="G1115" s="24">
        <f t="shared" ref="G1115:H1115" si="1121">F1115</f>
        <v>46220</v>
      </c>
      <c r="H1115" s="26">
        <f t="shared" si="1121"/>
        <v>46220</v>
      </c>
      <c r="I1115" s="50" t="s">
        <v>1865</v>
      </c>
      <c r="K1115" s="448"/>
      <c r="L1115" s="29" t="s">
        <v>3157</v>
      </c>
      <c r="M1115" s="31"/>
      <c r="N1115" s="14" t="s">
        <v>84</v>
      </c>
      <c r="O1115" s="31"/>
      <c r="Q1115" s="36"/>
      <c r="R1115" s="36"/>
      <c r="S1115" s="36"/>
      <c r="T1115" s="36"/>
      <c r="V1115" s="31"/>
    </row>
    <row r="1116">
      <c r="A1116" s="37" t="s">
        <v>66</v>
      </c>
      <c r="B1116" s="351"/>
      <c r="C1116" s="15" t="s">
        <v>3617</v>
      </c>
      <c r="D1116" s="50" t="s">
        <v>40</v>
      </c>
      <c r="E1116" s="444">
        <v>46235.0</v>
      </c>
      <c r="F1116" s="386"/>
      <c r="G1116" s="24" t="str">
        <f t="shared" ref="G1116:H1116" si="1122">F1116</f>
        <v/>
      </c>
      <c r="H1116" s="26" t="str">
        <f t="shared" si="1122"/>
        <v/>
      </c>
      <c r="I1116" s="50" t="s">
        <v>2398</v>
      </c>
      <c r="K1116" s="448"/>
      <c r="L1116" s="29" t="s">
        <v>3157</v>
      </c>
      <c r="M1116" s="31"/>
      <c r="N1116" s="14" t="s">
        <v>133</v>
      </c>
      <c r="O1116" s="31"/>
      <c r="Q1116" s="36"/>
      <c r="R1116" s="36"/>
      <c r="S1116" s="36"/>
      <c r="T1116" s="36"/>
      <c r="V1116" s="31"/>
    </row>
    <row r="1117">
      <c r="A1117" s="37" t="s">
        <v>66</v>
      </c>
      <c r="B1117" s="351"/>
      <c r="C1117" s="302" t="s">
        <v>3618</v>
      </c>
      <c r="D1117" s="50" t="s">
        <v>40</v>
      </c>
      <c r="E1117" s="441">
        <v>46235.0</v>
      </c>
      <c r="F1117" s="450"/>
      <c r="G1117" s="24"/>
      <c r="H1117" s="26"/>
      <c r="I1117" s="50" t="s">
        <v>2398</v>
      </c>
      <c r="K1117" s="448"/>
      <c r="L1117" s="29" t="s">
        <v>3157</v>
      </c>
      <c r="M1117" s="31"/>
      <c r="N1117" s="14" t="s">
        <v>133</v>
      </c>
      <c r="O1117" s="31"/>
      <c r="Q1117" s="36"/>
      <c r="R1117" s="36"/>
      <c r="S1117" s="36"/>
      <c r="T1117" s="36"/>
      <c r="V1117" s="31"/>
    </row>
    <row r="1118">
      <c r="A1118" s="37" t="s">
        <v>66</v>
      </c>
      <c r="B1118" s="351"/>
      <c r="C1118" s="302" t="s">
        <v>3619</v>
      </c>
      <c r="D1118" s="50" t="s">
        <v>40</v>
      </c>
      <c r="E1118" s="444">
        <v>46235.0</v>
      </c>
      <c r="F1118" s="451"/>
      <c r="G1118" s="24"/>
      <c r="H1118" s="26"/>
      <c r="I1118" s="50" t="s">
        <v>2398</v>
      </c>
      <c r="K1118" s="448"/>
      <c r="L1118" s="29" t="s">
        <v>3157</v>
      </c>
      <c r="M1118" s="31"/>
      <c r="N1118" s="14" t="s">
        <v>133</v>
      </c>
      <c r="O1118" s="31"/>
      <c r="Q1118" s="36"/>
      <c r="R1118" s="36"/>
      <c r="S1118" s="36"/>
      <c r="T1118" s="36"/>
      <c r="V1118" s="31"/>
    </row>
    <row r="1119">
      <c r="A1119" s="37" t="s">
        <v>66</v>
      </c>
      <c r="B1119" s="351"/>
      <c r="C1119" s="302" t="s">
        <v>3620</v>
      </c>
      <c r="D1119" s="50" t="s">
        <v>40</v>
      </c>
      <c r="E1119" s="441">
        <v>46235.0</v>
      </c>
      <c r="F1119" s="450"/>
      <c r="G1119" s="24"/>
      <c r="H1119" s="26"/>
      <c r="I1119" s="50" t="s">
        <v>2398</v>
      </c>
      <c r="K1119" s="448"/>
      <c r="L1119" s="29" t="s">
        <v>3157</v>
      </c>
      <c r="M1119" s="31"/>
      <c r="N1119" s="14" t="s">
        <v>133</v>
      </c>
      <c r="O1119" s="31"/>
      <c r="Q1119" s="36"/>
      <c r="R1119" s="36"/>
      <c r="S1119" s="36"/>
      <c r="T1119" s="36"/>
      <c r="V1119" s="31"/>
    </row>
    <row r="1120">
      <c r="A1120" s="14" t="s">
        <v>736</v>
      </c>
      <c r="B1120" s="351" t="s">
        <v>3622</v>
      </c>
      <c r="C1120" s="50" t="s">
        <v>1727</v>
      </c>
      <c r="D1120" s="50"/>
      <c r="E1120" s="348" t="str">
        <f t="shared" ref="E1120:E1123" si="1124">TEXT(F1120, "mmmm yyyy")
</f>
        <v>julio 2026</v>
      </c>
      <c r="F1120" s="349">
        <v>46224.0</v>
      </c>
      <c r="G1120" s="24">
        <f t="shared" ref="G1120:H1120" si="1123">F1120</f>
        <v>46224</v>
      </c>
      <c r="H1120" s="26">
        <f t="shared" si="1123"/>
        <v>46224</v>
      </c>
      <c r="I1120" s="50" t="s">
        <v>90</v>
      </c>
      <c r="K1120" s="27"/>
      <c r="L1120" s="29" t="s">
        <v>3085</v>
      </c>
      <c r="M1120" s="31"/>
      <c r="N1120" s="14" t="s">
        <v>84</v>
      </c>
      <c r="O1120" s="31"/>
      <c r="Q1120" s="36"/>
      <c r="R1120" s="36"/>
      <c r="S1120" s="36"/>
      <c r="T1120" s="36"/>
      <c r="V1120" s="31"/>
    </row>
    <row r="1121">
      <c r="A1121" s="14" t="s">
        <v>736</v>
      </c>
      <c r="B1121" s="351" t="s">
        <v>3623</v>
      </c>
      <c r="C1121" s="50" t="s">
        <v>1728</v>
      </c>
      <c r="D1121" s="50"/>
      <c r="E1121" s="348" t="str">
        <f t="shared" si="1124"/>
        <v>julio 2026</v>
      </c>
      <c r="F1121" s="349">
        <v>46218.0</v>
      </c>
      <c r="G1121" s="24">
        <f t="shared" ref="G1121:H1121" si="1125">F1121</f>
        <v>46218</v>
      </c>
      <c r="H1121" s="26">
        <f t="shared" si="1125"/>
        <v>46218</v>
      </c>
      <c r="I1121" s="50" t="s">
        <v>90</v>
      </c>
      <c r="K1121" s="27"/>
      <c r="L1121" s="29" t="s">
        <v>3085</v>
      </c>
      <c r="M1121" s="31"/>
      <c r="N1121" s="14" t="s">
        <v>84</v>
      </c>
      <c r="O1121" s="31"/>
      <c r="Q1121" s="36"/>
      <c r="R1121" s="36"/>
      <c r="S1121" s="36"/>
      <c r="T1121" s="36"/>
      <c r="V1121" s="31"/>
    </row>
    <row r="1122">
      <c r="A1122" s="14" t="s">
        <v>736</v>
      </c>
      <c r="B1122" s="351" t="s">
        <v>3624</v>
      </c>
      <c r="C1122" s="50" t="s">
        <v>1729</v>
      </c>
      <c r="D1122" s="50"/>
      <c r="E1122" s="348" t="str">
        <f t="shared" si="1124"/>
        <v>julio 2026</v>
      </c>
      <c r="F1122" s="349">
        <v>46218.0</v>
      </c>
      <c r="G1122" s="24">
        <f t="shared" ref="G1122:H1122" si="1126">F1122</f>
        <v>46218</v>
      </c>
      <c r="H1122" s="26">
        <f t="shared" si="1126"/>
        <v>46218</v>
      </c>
      <c r="I1122" s="50" t="s">
        <v>90</v>
      </c>
      <c r="K1122" s="27"/>
      <c r="L1122" s="29" t="s">
        <v>3085</v>
      </c>
      <c r="M1122" s="31"/>
      <c r="N1122" s="14" t="s">
        <v>84</v>
      </c>
      <c r="O1122" s="31"/>
      <c r="Q1122" s="36"/>
      <c r="R1122" s="36"/>
      <c r="S1122" s="36"/>
      <c r="T1122" s="36"/>
      <c r="V1122" s="31"/>
    </row>
    <row r="1123">
      <c r="A1123" s="14" t="s">
        <v>736</v>
      </c>
      <c r="B1123" s="351" t="s">
        <v>3625</v>
      </c>
      <c r="C1123" s="50" t="s">
        <v>1732</v>
      </c>
      <c r="D1123" s="50"/>
      <c r="E1123" s="348" t="str">
        <f t="shared" si="1124"/>
        <v>julio 2026</v>
      </c>
      <c r="F1123" s="349">
        <v>46232.0</v>
      </c>
      <c r="G1123" s="24">
        <f t="shared" ref="G1123:H1123" si="1127">F1123</f>
        <v>46232</v>
      </c>
      <c r="H1123" s="26">
        <f t="shared" si="1127"/>
        <v>46232</v>
      </c>
      <c r="I1123" s="50" t="s">
        <v>90</v>
      </c>
      <c r="K1123" s="27"/>
      <c r="L1123" s="29" t="s">
        <v>3085</v>
      </c>
      <c r="M1123" s="31"/>
      <c r="N1123" s="14" t="s">
        <v>84</v>
      </c>
      <c r="O1123" s="31"/>
      <c r="Q1123" s="36"/>
      <c r="R1123" s="36"/>
      <c r="S1123" s="36"/>
      <c r="T1123" s="36"/>
      <c r="V1123" s="31"/>
    </row>
    <row r="1124">
      <c r="A1124" s="14" t="s">
        <v>736</v>
      </c>
      <c r="B1124" s="351" t="s">
        <v>3626</v>
      </c>
      <c r="C1124" s="50" t="s">
        <v>1733</v>
      </c>
      <c r="D1124" s="50"/>
      <c r="E1124" s="348"/>
      <c r="F1124" s="349"/>
      <c r="G1124" s="24"/>
      <c r="H1124" s="26"/>
      <c r="I1124" s="50" t="s">
        <v>90</v>
      </c>
      <c r="K1124" s="27"/>
      <c r="L1124" s="29" t="s">
        <v>3085</v>
      </c>
      <c r="M1124" s="31"/>
      <c r="N1124" s="14" t="s">
        <v>84</v>
      </c>
      <c r="O1124" s="31"/>
      <c r="Q1124" s="36"/>
      <c r="R1124" s="36"/>
      <c r="S1124" s="36"/>
      <c r="T1124" s="36"/>
      <c r="V1124" s="31"/>
    </row>
    <row r="1125">
      <c r="A1125" s="14" t="s">
        <v>736</v>
      </c>
      <c r="B1125" s="351" t="s">
        <v>3627</v>
      </c>
      <c r="C1125" s="50" t="s">
        <v>1734</v>
      </c>
      <c r="D1125" s="50"/>
      <c r="E1125" s="348" t="str">
        <f t="shared" ref="E1125:E1152" si="1129">TEXT(F1125, "mmmm yyyy")
</f>
        <v>julio 2026</v>
      </c>
      <c r="F1125" s="349">
        <v>46232.0</v>
      </c>
      <c r="G1125" s="24">
        <f t="shared" ref="G1125:H1125" si="1128">F1125</f>
        <v>46232</v>
      </c>
      <c r="H1125" s="26">
        <f t="shared" si="1128"/>
        <v>46232</v>
      </c>
      <c r="I1125" s="50" t="s">
        <v>90</v>
      </c>
      <c r="K1125" s="27"/>
      <c r="L1125" s="29" t="s">
        <v>3085</v>
      </c>
      <c r="M1125" s="31"/>
      <c r="N1125" s="14" t="s">
        <v>84</v>
      </c>
      <c r="O1125" s="31"/>
      <c r="Q1125" s="36"/>
      <c r="R1125" s="36"/>
      <c r="S1125" s="36"/>
      <c r="T1125" s="36"/>
      <c r="V1125" s="31"/>
    </row>
    <row r="1126">
      <c r="A1126" s="14" t="s">
        <v>736</v>
      </c>
      <c r="B1126" s="351" t="s">
        <v>3628</v>
      </c>
      <c r="C1126" s="50" t="s">
        <v>1737</v>
      </c>
      <c r="D1126" s="50"/>
      <c r="E1126" s="348" t="str">
        <f t="shared" si="1129"/>
        <v>julio 2026</v>
      </c>
      <c r="F1126" s="349">
        <v>46220.0</v>
      </c>
      <c r="G1126" s="24">
        <f t="shared" ref="G1126:H1126" si="1130">F1126</f>
        <v>46220</v>
      </c>
      <c r="H1126" s="26">
        <f t="shared" si="1130"/>
        <v>46220</v>
      </c>
      <c r="I1126" s="50" t="s">
        <v>90</v>
      </c>
      <c r="K1126" s="27"/>
      <c r="L1126" s="29" t="s">
        <v>3085</v>
      </c>
      <c r="M1126" s="31"/>
      <c r="N1126" s="14" t="s">
        <v>84</v>
      </c>
      <c r="O1126" s="31"/>
      <c r="Q1126" s="36"/>
      <c r="R1126" s="36"/>
      <c r="S1126" s="36"/>
      <c r="T1126" s="36"/>
      <c r="V1126" s="31"/>
    </row>
    <row r="1127">
      <c r="A1127" s="14" t="s">
        <v>736</v>
      </c>
      <c r="B1127" s="351" t="s">
        <v>3629</v>
      </c>
      <c r="C1127" s="50" t="s">
        <v>1738</v>
      </c>
      <c r="D1127" s="50"/>
      <c r="E1127" s="348" t="str">
        <f t="shared" si="1129"/>
        <v>julio 2026</v>
      </c>
      <c r="F1127" s="349">
        <v>46220.0</v>
      </c>
      <c r="G1127" s="24">
        <f t="shared" ref="G1127:H1127" si="1131">F1127</f>
        <v>46220</v>
      </c>
      <c r="H1127" s="26">
        <f t="shared" si="1131"/>
        <v>46220</v>
      </c>
      <c r="I1127" s="50" t="s">
        <v>90</v>
      </c>
      <c r="K1127" s="27"/>
      <c r="L1127" s="29" t="s">
        <v>3085</v>
      </c>
      <c r="M1127" s="31"/>
      <c r="N1127" s="14" t="s">
        <v>84</v>
      </c>
      <c r="O1127" s="31"/>
      <c r="Q1127" s="36"/>
      <c r="R1127" s="36"/>
      <c r="S1127" s="36"/>
      <c r="T1127" s="36"/>
      <c r="V1127" s="31"/>
    </row>
    <row r="1128">
      <c r="A1128" s="14" t="s">
        <v>736</v>
      </c>
      <c r="B1128" s="351" t="s">
        <v>3630</v>
      </c>
      <c r="C1128" s="50" t="s">
        <v>1740</v>
      </c>
      <c r="D1128" s="50"/>
      <c r="E1128" s="348" t="str">
        <f t="shared" si="1129"/>
        <v>julio 2026</v>
      </c>
      <c r="F1128" s="349">
        <v>46221.0</v>
      </c>
      <c r="G1128" s="24">
        <f t="shared" ref="G1128:H1128" si="1132">F1128</f>
        <v>46221</v>
      </c>
      <c r="H1128" s="26">
        <f t="shared" si="1132"/>
        <v>46221</v>
      </c>
      <c r="I1128" s="50" t="s">
        <v>90</v>
      </c>
      <c r="K1128" s="27"/>
      <c r="L1128" s="29" t="s">
        <v>3085</v>
      </c>
      <c r="M1128" s="31"/>
      <c r="N1128" s="14" t="s">
        <v>84</v>
      </c>
      <c r="O1128" s="31"/>
      <c r="Q1128" s="36"/>
      <c r="R1128" s="36"/>
      <c r="S1128" s="36"/>
      <c r="T1128" s="36"/>
      <c r="V1128" s="31"/>
    </row>
    <row r="1129">
      <c r="A1129" s="14" t="s">
        <v>736</v>
      </c>
      <c r="B1129" s="351" t="s">
        <v>3631</v>
      </c>
      <c r="C1129" s="50" t="s">
        <v>1743</v>
      </c>
      <c r="D1129" s="50"/>
      <c r="E1129" s="348" t="str">
        <f t="shared" si="1129"/>
        <v>julio 2026</v>
      </c>
      <c r="F1129" s="349">
        <v>46232.0</v>
      </c>
      <c r="G1129" s="24">
        <f t="shared" ref="G1129:H1129" si="1133">F1129</f>
        <v>46232</v>
      </c>
      <c r="H1129" s="26">
        <f t="shared" si="1133"/>
        <v>46232</v>
      </c>
      <c r="I1129" s="50" t="s">
        <v>90</v>
      </c>
      <c r="K1129" s="27"/>
      <c r="L1129" s="29" t="s">
        <v>3085</v>
      </c>
      <c r="M1129" s="31"/>
      <c r="N1129" s="14" t="s">
        <v>84</v>
      </c>
      <c r="O1129" s="31"/>
      <c r="Q1129" s="36"/>
      <c r="R1129" s="36"/>
      <c r="S1129" s="36"/>
      <c r="T1129" s="36"/>
      <c r="V1129" s="31"/>
    </row>
    <row r="1130">
      <c r="A1130" s="14" t="s">
        <v>736</v>
      </c>
      <c r="B1130" s="351" t="s">
        <v>3632</v>
      </c>
      <c r="C1130" s="50" t="s">
        <v>1744</v>
      </c>
      <c r="D1130" s="50"/>
      <c r="E1130" s="348" t="str">
        <f t="shared" si="1129"/>
        <v>julio 2026</v>
      </c>
      <c r="F1130" s="349">
        <v>46226.0</v>
      </c>
      <c r="G1130" s="24">
        <f t="shared" ref="G1130:H1130" si="1134">F1130</f>
        <v>46226</v>
      </c>
      <c r="H1130" s="26">
        <f t="shared" si="1134"/>
        <v>46226</v>
      </c>
      <c r="I1130" s="50" t="s">
        <v>90</v>
      </c>
      <c r="K1130" s="27"/>
      <c r="L1130" s="29" t="s">
        <v>3085</v>
      </c>
      <c r="M1130" s="31"/>
      <c r="N1130" s="14" t="s">
        <v>84</v>
      </c>
      <c r="O1130" s="31"/>
      <c r="Q1130" s="36"/>
      <c r="R1130" s="36"/>
      <c r="S1130" s="36"/>
      <c r="T1130" s="36"/>
      <c r="V1130" s="31"/>
    </row>
    <row r="1131">
      <c r="A1131" s="14" t="s">
        <v>736</v>
      </c>
      <c r="B1131" s="351" t="s">
        <v>3633</v>
      </c>
      <c r="C1131" s="50" t="s">
        <v>1745</v>
      </c>
      <c r="D1131" s="50"/>
      <c r="E1131" s="348" t="str">
        <f t="shared" si="1129"/>
        <v>julio 2026</v>
      </c>
      <c r="F1131" s="349">
        <v>46224.0</v>
      </c>
      <c r="G1131" s="24">
        <f t="shared" ref="G1131:H1131" si="1135">F1131</f>
        <v>46224</v>
      </c>
      <c r="H1131" s="26">
        <f t="shared" si="1135"/>
        <v>46224</v>
      </c>
      <c r="I1131" s="50" t="s">
        <v>90</v>
      </c>
      <c r="K1131" s="27"/>
      <c r="L1131" s="29" t="s">
        <v>3085</v>
      </c>
      <c r="M1131" s="31"/>
      <c r="N1131" s="14" t="s">
        <v>84</v>
      </c>
      <c r="O1131" s="31"/>
      <c r="Q1131" s="36"/>
      <c r="R1131" s="36"/>
      <c r="S1131" s="36"/>
      <c r="T1131" s="36"/>
      <c r="V1131" s="31"/>
    </row>
    <row r="1132">
      <c r="A1132" s="14" t="s">
        <v>736</v>
      </c>
      <c r="B1132" s="351" t="s">
        <v>3634</v>
      </c>
      <c r="C1132" s="50" t="s">
        <v>1746</v>
      </c>
      <c r="D1132" s="50"/>
      <c r="E1132" s="348" t="str">
        <f t="shared" si="1129"/>
        <v>julio 2026</v>
      </c>
      <c r="F1132" s="349">
        <v>46220.0</v>
      </c>
      <c r="G1132" s="24">
        <f t="shared" ref="G1132:H1132" si="1136">F1132</f>
        <v>46220</v>
      </c>
      <c r="H1132" s="26">
        <f t="shared" si="1136"/>
        <v>46220</v>
      </c>
      <c r="I1132" s="50" t="s">
        <v>90</v>
      </c>
      <c r="K1132" s="27"/>
      <c r="L1132" s="29" t="s">
        <v>3085</v>
      </c>
      <c r="M1132" s="31"/>
      <c r="N1132" s="14" t="s">
        <v>84</v>
      </c>
      <c r="O1132" s="31"/>
      <c r="Q1132" s="36"/>
      <c r="R1132" s="36"/>
      <c r="S1132" s="36"/>
      <c r="T1132" s="36"/>
      <c r="V1132" s="31"/>
    </row>
    <row r="1133">
      <c r="A1133" s="14" t="s">
        <v>736</v>
      </c>
      <c r="B1133" s="351" t="s">
        <v>3635</v>
      </c>
      <c r="C1133" s="50" t="s">
        <v>1748</v>
      </c>
      <c r="D1133" s="50"/>
      <c r="E1133" s="348" t="str">
        <f t="shared" si="1129"/>
        <v>julio 2026</v>
      </c>
      <c r="F1133" s="349">
        <v>46233.0</v>
      </c>
      <c r="G1133" s="24">
        <f t="shared" ref="G1133:H1133" si="1137">F1133</f>
        <v>46233</v>
      </c>
      <c r="H1133" s="26">
        <f t="shared" si="1137"/>
        <v>46233</v>
      </c>
      <c r="I1133" s="50" t="s">
        <v>90</v>
      </c>
      <c r="K1133" s="27"/>
      <c r="L1133" s="29" t="s">
        <v>3085</v>
      </c>
      <c r="M1133" s="31"/>
      <c r="N1133" s="14" t="s">
        <v>84</v>
      </c>
      <c r="O1133" s="31"/>
      <c r="Q1133" s="36"/>
      <c r="R1133" s="36"/>
      <c r="S1133" s="36"/>
      <c r="T1133" s="36"/>
      <c r="V1133" s="31"/>
    </row>
    <row r="1134">
      <c r="A1134" s="14" t="s">
        <v>736</v>
      </c>
      <c r="B1134" s="351" t="s">
        <v>3636</v>
      </c>
      <c r="C1134" s="50" t="s">
        <v>1750</v>
      </c>
      <c r="D1134" s="50"/>
      <c r="E1134" s="348" t="str">
        <f t="shared" si="1129"/>
        <v>julio 2026</v>
      </c>
      <c r="F1134" s="349">
        <v>46224.0</v>
      </c>
      <c r="G1134" s="24">
        <f t="shared" ref="G1134:H1134" si="1138">F1134</f>
        <v>46224</v>
      </c>
      <c r="H1134" s="26">
        <f t="shared" si="1138"/>
        <v>46224</v>
      </c>
      <c r="I1134" s="50" t="s">
        <v>90</v>
      </c>
      <c r="K1134" s="27"/>
      <c r="L1134" s="29" t="s">
        <v>3085</v>
      </c>
      <c r="M1134" s="31"/>
      <c r="N1134" s="14" t="s">
        <v>84</v>
      </c>
      <c r="O1134" s="31"/>
      <c r="Q1134" s="36"/>
      <c r="R1134" s="36"/>
      <c r="S1134" s="36"/>
      <c r="T1134" s="36"/>
      <c r="V1134" s="31"/>
    </row>
    <row r="1135">
      <c r="A1135" s="14" t="s">
        <v>736</v>
      </c>
      <c r="B1135" s="351" t="s">
        <v>3636</v>
      </c>
      <c r="C1135" s="50" t="s">
        <v>1751</v>
      </c>
      <c r="D1135" s="50"/>
      <c r="E1135" s="348" t="str">
        <f t="shared" si="1129"/>
        <v>julio 2026</v>
      </c>
      <c r="F1135" s="349">
        <v>46224.0</v>
      </c>
      <c r="G1135" s="24">
        <f t="shared" ref="G1135:H1135" si="1139">F1135</f>
        <v>46224</v>
      </c>
      <c r="H1135" s="26">
        <f t="shared" si="1139"/>
        <v>46224</v>
      </c>
      <c r="I1135" s="50" t="s">
        <v>90</v>
      </c>
      <c r="K1135" s="27"/>
      <c r="L1135" s="29" t="s">
        <v>3085</v>
      </c>
      <c r="M1135" s="31"/>
      <c r="N1135" s="14" t="s">
        <v>84</v>
      </c>
      <c r="O1135" s="31"/>
      <c r="Q1135" s="36"/>
      <c r="R1135" s="36"/>
      <c r="S1135" s="36"/>
      <c r="T1135" s="36"/>
      <c r="V1135" s="31"/>
    </row>
    <row r="1136">
      <c r="A1136" s="14" t="s">
        <v>736</v>
      </c>
      <c r="B1136" s="351" t="s">
        <v>3637</v>
      </c>
      <c r="C1136" s="50" t="s">
        <v>1752</v>
      </c>
      <c r="D1136" s="50"/>
      <c r="E1136" s="348" t="str">
        <f t="shared" si="1129"/>
        <v>julio 2026</v>
      </c>
      <c r="F1136" s="349">
        <v>46224.0</v>
      </c>
      <c r="G1136" s="24">
        <f t="shared" ref="G1136:H1136" si="1140">F1136</f>
        <v>46224</v>
      </c>
      <c r="H1136" s="26">
        <f t="shared" si="1140"/>
        <v>46224</v>
      </c>
      <c r="I1136" s="50" t="s">
        <v>90</v>
      </c>
      <c r="K1136" s="27"/>
      <c r="L1136" s="29" t="s">
        <v>3085</v>
      </c>
      <c r="M1136" s="31"/>
      <c r="N1136" s="14" t="s">
        <v>84</v>
      </c>
      <c r="O1136" s="31"/>
      <c r="Q1136" s="36"/>
      <c r="R1136" s="36"/>
      <c r="S1136" s="36"/>
      <c r="T1136" s="36"/>
      <c r="V1136" s="31"/>
    </row>
    <row r="1137">
      <c r="A1137" s="14" t="s">
        <v>736</v>
      </c>
      <c r="B1137" s="351" t="s">
        <v>3638</v>
      </c>
      <c r="C1137" s="50" t="s">
        <v>1753</v>
      </c>
      <c r="D1137" s="50"/>
      <c r="E1137" s="348" t="str">
        <f t="shared" si="1129"/>
        <v>julio 2026</v>
      </c>
      <c r="F1137" s="349">
        <v>46221.0</v>
      </c>
      <c r="G1137" s="24">
        <f t="shared" ref="G1137:H1137" si="1141">F1137</f>
        <v>46221</v>
      </c>
      <c r="H1137" s="26">
        <f t="shared" si="1141"/>
        <v>46221</v>
      </c>
      <c r="I1137" s="50" t="s">
        <v>90</v>
      </c>
      <c r="K1137" s="27"/>
      <c r="L1137" s="29" t="s">
        <v>3085</v>
      </c>
      <c r="M1137" s="31"/>
      <c r="N1137" s="14" t="s">
        <v>84</v>
      </c>
      <c r="O1137" s="31"/>
      <c r="Q1137" s="36"/>
      <c r="R1137" s="36"/>
      <c r="S1137" s="36"/>
      <c r="T1137" s="36"/>
      <c r="V1137" s="31"/>
    </row>
    <row r="1138">
      <c r="A1138" s="14" t="s">
        <v>736</v>
      </c>
      <c r="B1138" s="351" t="s">
        <v>3639</v>
      </c>
      <c r="C1138" s="50" t="s">
        <v>1756</v>
      </c>
      <c r="D1138" s="50"/>
      <c r="E1138" s="348" t="str">
        <f t="shared" si="1129"/>
        <v>julio 2026</v>
      </c>
      <c r="F1138" s="349">
        <v>46225.0</v>
      </c>
      <c r="G1138" s="24">
        <f t="shared" ref="G1138:H1138" si="1142">F1138</f>
        <v>46225</v>
      </c>
      <c r="H1138" s="26">
        <f t="shared" si="1142"/>
        <v>46225</v>
      </c>
      <c r="I1138" s="50" t="s">
        <v>90</v>
      </c>
      <c r="K1138" s="27"/>
      <c r="L1138" s="29" t="s">
        <v>3085</v>
      </c>
      <c r="M1138" s="31"/>
      <c r="N1138" s="14" t="s">
        <v>84</v>
      </c>
      <c r="O1138" s="31"/>
      <c r="Q1138" s="36"/>
      <c r="R1138" s="36"/>
      <c r="S1138" s="36"/>
      <c r="T1138" s="36"/>
      <c r="V1138" s="31"/>
    </row>
    <row r="1139">
      <c r="A1139" s="14" t="s">
        <v>736</v>
      </c>
      <c r="B1139" s="351" t="s">
        <v>3640</v>
      </c>
      <c r="C1139" s="50" t="s">
        <v>1757</v>
      </c>
      <c r="D1139" s="50"/>
      <c r="E1139" s="348" t="str">
        <f t="shared" si="1129"/>
        <v>agosto 2026</v>
      </c>
      <c r="F1139" s="349">
        <v>46246.0</v>
      </c>
      <c r="G1139" s="24">
        <f t="shared" ref="G1139:H1139" si="1143">F1139</f>
        <v>46246</v>
      </c>
      <c r="H1139" s="26">
        <f t="shared" si="1143"/>
        <v>46246</v>
      </c>
      <c r="I1139" s="50" t="s">
        <v>90</v>
      </c>
      <c r="K1139" s="27"/>
      <c r="L1139" s="29" t="s">
        <v>3085</v>
      </c>
      <c r="M1139" s="31"/>
      <c r="N1139" s="14" t="s">
        <v>84</v>
      </c>
      <c r="O1139" s="31"/>
      <c r="Q1139" s="36"/>
      <c r="R1139" s="36"/>
      <c r="S1139" s="36"/>
      <c r="T1139" s="36"/>
      <c r="V1139" s="31"/>
    </row>
    <row r="1140">
      <c r="A1140" s="14" t="s">
        <v>117</v>
      </c>
      <c r="B1140" s="351"/>
      <c r="C1140" s="302" t="s">
        <v>3641</v>
      </c>
      <c r="D1140" s="50" t="s">
        <v>40</v>
      </c>
      <c r="E1140" s="348" t="str">
        <f t="shared" si="1129"/>
        <v>julio 2026</v>
      </c>
      <c r="F1140" s="386">
        <v>46224.0</v>
      </c>
      <c r="G1140" s="24">
        <f t="shared" ref="G1140:H1140" si="1144">F1140</f>
        <v>46224</v>
      </c>
      <c r="H1140" s="26">
        <f t="shared" si="1144"/>
        <v>46224</v>
      </c>
      <c r="I1140" s="50" t="s">
        <v>90</v>
      </c>
      <c r="K1140" s="448"/>
      <c r="L1140" s="29" t="s">
        <v>3157</v>
      </c>
      <c r="M1140" s="31"/>
      <c r="N1140" s="14" t="s">
        <v>84</v>
      </c>
      <c r="O1140" s="31"/>
      <c r="Q1140" s="36"/>
      <c r="R1140" s="36"/>
      <c r="S1140" s="36"/>
      <c r="T1140" s="36"/>
      <c r="V1140" s="31"/>
    </row>
    <row r="1141">
      <c r="A1141" s="14" t="s">
        <v>117</v>
      </c>
      <c r="B1141" s="351"/>
      <c r="C1141" s="302" t="s">
        <v>3642</v>
      </c>
      <c r="D1141" s="50" t="s">
        <v>40</v>
      </c>
      <c r="E1141" s="348" t="str">
        <f t="shared" si="1129"/>
        <v>julio 2026</v>
      </c>
      <c r="F1141" s="381">
        <v>46224.0</v>
      </c>
      <c r="G1141" s="24">
        <f t="shared" ref="G1141:H1141" si="1145">F1141</f>
        <v>46224</v>
      </c>
      <c r="H1141" s="26">
        <f t="shared" si="1145"/>
        <v>46224</v>
      </c>
      <c r="I1141" s="50" t="s">
        <v>90</v>
      </c>
      <c r="K1141" s="448"/>
      <c r="L1141" s="29" t="s">
        <v>3157</v>
      </c>
      <c r="M1141" s="31"/>
      <c r="N1141" s="14" t="s">
        <v>84</v>
      </c>
      <c r="O1141" s="31"/>
      <c r="Q1141" s="36"/>
      <c r="R1141" s="36"/>
      <c r="S1141" s="36"/>
      <c r="T1141" s="36"/>
      <c r="V1141" s="31"/>
    </row>
    <row r="1142">
      <c r="A1142" s="14" t="s">
        <v>117</v>
      </c>
      <c r="B1142" s="351"/>
      <c r="C1142" s="302" t="s">
        <v>3643</v>
      </c>
      <c r="D1142" s="50" t="s">
        <v>40</v>
      </c>
      <c r="E1142" s="348" t="str">
        <f t="shared" si="1129"/>
        <v>julio 2026</v>
      </c>
      <c r="F1142" s="386">
        <v>46224.0</v>
      </c>
      <c r="G1142" s="24">
        <f t="shared" ref="G1142:H1142" si="1146">F1142</f>
        <v>46224</v>
      </c>
      <c r="H1142" s="26">
        <f t="shared" si="1146"/>
        <v>46224</v>
      </c>
      <c r="I1142" s="50" t="s">
        <v>90</v>
      </c>
      <c r="K1142" s="448"/>
      <c r="L1142" s="29" t="s">
        <v>3157</v>
      </c>
      <c r="M1142" s="31"/>
      <c r="N1142" s="14" t="s">
        <v>84</v>
      </c>
      <c r="O1142" s="31"/>
      <c r="Q1142" s="36"/>
      <c r="R1142" s="36"/>
      <c r="S1142" s="36"/>
      <c r="T1142" s="36"/>
      <c r="V1142" s="31"/>
    </row>
    <row r="1143">
      <c r="A1143" s="14" t="s">
        <v>117</v>
      </c>
      <c r="B1143" s="351"/>
      <c r="C1143" s="302" t="s">
        <v>3644</v>
      </c>
      <c r="D1143" s="50" t="s">
        <v>40</v>
      </c>
      <c r="E1143" s="348" t="str">
        <f t="shared" si="1129"/>
        <v>julio 2026</v>
      </c>
      <c r="F1143" s="381">
        <v>46224.0</v>
      </c>
      <c r="G1143" s="24">
        <f t="shared" ref="G1143:H1143" si="1147">F1143</f>
        <v>46224</v>
      </c>
      <c r="H1143" s="26">
        <f t="shared" si="1147"/>
        <v>46224</v>
      </c>
      <c r="I1143" s="50" t="s">
        <v>90</v>
      </c>
      <c r="K1143" s="448"/>
      <c r="L1143" s="29" t="s">
        <v>3157</v>
      </c>
      <c r="M1143" s="31"/>
      <c r="N1143" s="14" t="s">
        <v>84</v>
      </c>
      <c r="O1143" s="31"/>
      <c r="Q1143" s="36"/>
      <c r="R1143" s="36"/>
      <c r="S1143" s="36"/>
      <c r="T1143" s="36"/>
      <c r="V1143" s="31"/>
    </row>
    <row r="1144">
      <c r="A1144" s="14" t="s">
        <v>736</v>
      </c>
      <c r="B1144" s="351" t="s">
        <v>3645</v>
      </c>
      <c r="C1144" s="452" t="s">
        <v>1758</v>
      </c>
      <c r="D1144" s="50"/>
      <c r="E1144" s="348" t="str">
        <f t="shared" si="1129"/>
        <v>agosto 2026</v>
      </c>
      <c r="F1144" s="349">
        <v>46253.0</v>
      </c>
      <c r="G1144" s="24">
        <f t="shared" ref="G1144:H1144" si="1148">F1144</f>
        <v>46253</v>
      </c>
      <c r="H1144" s="26">
        <f t="shared" si="1148"/>
        <v>46253</v>
      </c>
      <c r="I1144" s="50" t="s">
        <v>90</v>
      </c>
      <c r="K1144" s="27"/>
      <c r="L1144" s="29" t="s">
        <v>3085</v>
      </c>
      <c r="M1144" s="31"/>
      <c r="N1144" s="14" t="s">
        <v>84</v>
      </c>
      <c r="O1144" s="31"/>
      <c r="Q1144" s="36"/>
      <c r="R1144" s="36"/>
      <c r="S1144" s="36"/>
      <c r="T1144" s="36"/>
      <c r="V1144" s="31"/>
    </row>
    <row r="1145">
      <c r="A1145" s="14" t="s">
        <v>736</v>
      </c>
      <c r="B1145" s="351" t="s">
        <v>3646</v>
      </c>
      <c r="C1145" s="452" t="s">
        <v>1759</v>
      </c>
      <c r="D1145" s="50"/>
      <c r="E1145" s="348" t="str">
        <f t="shared" si="1129"/>
        <v>julio 2026</v>
      </c>
      <c r="F1145" s="349">
        <v>46233.0</v>
      </c>
      <c r="G1145" s="24">
        <f t="shared" ref="G1145:H1145" si="1149">F1145</f>
        <v>46233</v>
      </c>
      <c r="H1145" s="26">
        <f t="shared" si="1149"/>
        <v>46233</v>
      </c>
      <c r="I1145" s="50" t="s">
        <v>90</v>
      </c>
      <c r="K1145" s="27"/>
      <c r="L1145" s="29" t="s">
        <v>3085</v>
      </c>
      <c r="M1145" s="31"/>
      <c r="N1145" s="14" t="s">
        <v>84</v>
      </c>
      <c r="O1145" s="31"/>
      <c r="Q1145" s="36"/>
      <c r="R1145" s="36"/>
      <c r="S1145" s="36"/>
      <c r="T1145" s="36"/>
      <c r="V1145" s="31"/>
    </row>
    <row r="1146">
      <c r="A1146" s="14" t="s">
        <v>736</v>
      </c>
      <c r="B1146" s="351" t="s">
        <v>3647</v>
      </c>
      <c r="C1146" s="452" t="s">
        <v>1761</v>
      </c>
      <c r="D1146" s="50"/>
      <c r="E1146" s="348" t="str">
        <f t="shared" si="1129"/>
        <v>julio 2026</v>
      </c>
      <c r="F1146" s="349">
        <v>46233.0</v>
      </c>
      <c r="G1146" s="24">
        <f t="shared" ref="G1146:H1146" si="1150">F1146</f>
        <v>46233</v>
      </c>
      <c r="H1146" s="26">
        <f t="shared" si="1150"/>
        <v>46233</v>
      </c>
      <c r="I1146" s="50" t="s">
        <v>90</v>
      </c>
      <c r="K1146" s="27"/>
      <c r="L1146" s="29" t="s">
        <v>3085</v>
      </c>
      <c r="M1146" s="31"/>
      <c r="N1146" s="14" t="s">
        <v>84</v>
      </c>
      <c r="O1146" s="31"/>
      <c r="Q1146" s="36"/>
      <c r="R1146" s="36"/>
      <c r="S1146" s="36"/>
      <c r="T1146" s="36"/>
      <c r="V1146" s="31"/>
    </row>
    <row r="1147">
      <c r="A1147" s="14" t="s">
        <v>736</v>
      </c>
      <c r="B1147" s="351" t="s">
        <v>3648</v>
      </c>
      <c r="C1147" s="452" t="s">
        <v>1763</v>
      </c>
      <c r="D1147" s="50"/>
      <c r="E1147" s="348" t="str">
        <f t="shared" si="1129"/>
        <v>agosto 2026</v>
      </c>
      <c r="F1147" s="349">
        <v>46242.0</v>
      </c>
      <c r="G1147" s="24">
        <f t="shared" ref="G1147:H1147" si="1151">F1147</f>
        <v>46242</v>
      </c>
      <c r="H1147" s="26">
        <f t="shared" si="1151"/>
        <v>46242</v>
      </c>
      <c r="I1147" s="50" t="s">
        <v>90</v>
      </c>
      <c r="K1147" s="27"/>
      <c r="L1147" s="29" t="s">
        <v>3085</v>
      </c>
      <c r="M1147" s="31"/>
      <c r="N1147" s="14" t="s">
        <v>84</v>
      </c>
      <c r="O1147" s="31"/>
      <c r="Q1147" s="36"/>
      <c r="R1147" s="36"/>
      <c r="S1147" s="36"/>
      <c r="T1147" s="36"/>
      <c r="V1147" s="31"/>
    </row>
    <row r="1148">
      <c r="A1148" s="14" t="s">
        <v>736</v>
      </c>
      <c r="B1148" s="351" t="s">
        <v>3649</v>
      </c>
      <c r="C1148" s="452" t="s">
        <v>1764</v>
      </c>
      <c r="D1148" s="50"/>
      <c r="E1148" s="348" t="str">
        <f t="shared" si="1129"/>
        <v>julio 2026</v>
      </c>
      <c r="F1148" s="349">
        <v>46233.0</v>
      </c>
      <c r="G1148" s="24">
        <f t="shared" ref="G1148:H1148" si="1152">F1148</f>
        <v>46233</v>
      </c>
      <c r="H1148" s="26">
        <f t="shared" si="1152"/>
        <v>46233</v>
      </c>
      <c r="I1148" s="50" t="s">
        <v>90</v>
      </c>
      <c r="K1148" s="27"/>
      <c r="L1148" s="29" t="s">
        <v>3085</v>
      </c>
      <c r="M1148" s="31"/>
      <c r="N1148" s="14" t="s">
        <v>84</v>
      </c>
      <c r="O1148" s="31"/>
      <c r="Q1148" s="36"/>
      <c r="R1148" s="36"/>
      <c r="S1148" s="36"/>
      <c r="T1148" s="36"/>
      <c r="V1148" s="31"/>
    </row>
    <row r="1149">
      <c r="A1149" s="14" t="s">
        <v>736</v>
      </c>
      <c r="B1149" s="351" t="s">
        <v>3650</v>
      </c>
      <c r="C1149" s="452" t="s">
        <v>1765</v>
      </c>
      <c r="D1149" s="50"/>
      <c r="E1149" s="348" t="str">
        <f t="shared" si="1129"/>
        <v>julio 2026</v>
      </c>
      <c r="F1149" s="349">
        <v>46233.0</v>
      </c>
      <c r="G1149" s="24">
        <f t="shared" ref="G1149:H1149" si="1153">F1149</f>
        <v>46233</v>
      </c>
      <c r="H1149" s="26">
        <f t="shared" si="1153"/>
        <v>46233</v>
      </c>
      <c r="I1149" s="50" t="s">
        <v>90</v>
      </c>
      <c r="K1149" s="27"/>
      <c r="L1149" s="29" t="s">
        <v>3085</v>
      </c>
      <c r="M1149" s="31"/>
      <c r="N1149" s="14" t="s">
        <v>84</v>
      </c>
      <c r="O1149" s="31"/>
      <c r="Q1149" s="36"/>
      <c r="R1149" s="36"/>
      <c r="S1149" s="36"/>
      <c r="T1149" s="36"/>
      <c r="V1149" s="31"/>
    </row>
    <row r="1150">
      <c r="A1150" s="14" t="s">
        <v>736</v>
      </c>
      <c r="B1150" s="351" t="s">
        <v>3651</v>
      </c>
      <c r="C1150" s="452" t="s">
        <v>1768</v>
      </c>
      <c r="D1150" s="50"/>
      <c r="E1150" s="348" t="str">
        <f t="shared" si="1129"/>
        <v>julio 2026</v>
      </c>
      <c r="F1150" s="349">
        <v>46233.0</v>
      </c>
      <c r="G1150" s="24">
        <f t="shared" ref="G1150:H1150" si="1154">F1150</f>
        <v>46233</v>
      </c>
      <c r="H1150" s="26">
        <f t="shared" si="1154"/>
        <v>46233</v>
      </c>
      <c r="I1150" s="50" t="s">
        <v>90</v>
      </c>
      <c r="K1150" s="27"/>
      <c r="L1150" s="29" t="s">
        <v>3085</v>
      </c>
      <c r="M1150" s="31"/>
      <c r="N1150" s="14" t="s">
        <v>84</v>
      </c>
      <c r="O1150" s="31"/>
      <c r="Q1150" s="36"/>
      <c r="R1150" s="36"/>
      <c r="S1150" s="36"/>
      <c r="T1150" s="36"/>
      <c r="V1150" s="31"/>
    </row>
    <row r="1151">
      <c r="A1151" s="14" t="s">
        <v>736</v>
      </c>
      <c r="B1151" s="351" t="s">
        <v>3652</v>
      </c>
      <c r="C1151" s="452" t="s">
        <v>1769</v>
      </c>
      <c r="D1151" s="50"/>
      <c r="E1151" s="348" t="str">
        <f t="shared" si="1129"/>
        <v>julio 2026</v>
      </c>
      <c r="F1151" s="349">
        <v>46233.0</v>
      </c>
      <c r="G1151" s="24">
        <f t="shared" ref="G1151:H1151" si="1155">F1151</f>
        <v>46233</v>
      </c>
      <c r="H1151" s="26">
        <f t="shared" si="1155"/>
        <v>46233</v>
      </c>
      <c r="I1151" s="50" t="s">
        <v>90</v>
      </c>
      <c r="K1151" s="27"/>
      <c r="L1151" s="29" t="s">
        <v>3085</v>
      </c>
      <c r="M1151" s="31"/>
      <c r="N1151" s="14" t="s">
        <v>84</v>
      </c>
      <c r="O1151" s="31"/>
      <c r="Q1151" s="36"/>
      <c r="R1151" s="36"/>
      <c r="S1151" s="36"/>
      <c r="T1151" s="36"/>
      <c r="V1151" s="31"/>
    </row>
    <row r="1152">
      <c r="A1152" s="14" t="s">
        <v>736</v>
      </c>
      <c r="B1152" s="351" t="s">
        <v>3653</v>
      </c>
      <c r="C1152" s="452" t="s">
        <v>1770</v>
      </c>
      <c r="D1152" s="50"/>
      <c r="E1152" s="348" t="str">
        <f t="shared" si="1129"/>
        <v>julio 2026</v>
      </c>
      <c r="F1152" s="349">
        <v>46234.0</v>
      </c>
      <c r="G1152" s="24">
        <f t="shared" ref="G1152:H1152" si="1156">F1152</f>
        <v>46234</v>
      </c>
      <c r="H1152" s="26">
        <f t="shared" si="1156"/>
        <v>46234</v>
      </c>
      <c r="I1152" s="50" t="s">
        <v>90</v>
      </c>
      <c r="K1152" s="27"/>
      <c r="L1152" s="29" t="s">
        <v>3085</v>
      </c>
      <c r="M1152" s="31"/>
      <c r="N1152" s="14" t="s">
        <v>84</v>
      </c>
      <c r="O1152" s="31"/>
      <c r="Q1152" s="36"/>
      <c r="R1152" s="36"/>
      <c r="S1152" s="36"/>
      <c r="T1152" s="36"/>
      <c r="V1152" s="31"/>
    </row>
    <row r="1153">
      <c r="A1153" s="14" t="s">
        <v>736</v>
      </c>
      <c r="B1153" s="351" t="s">
        <v>3654</v>
      </c>
      <c r="C1153" s="452" t="s">
        <v>1772</v>
      </c>
      <c r="D1153" s="50"/>
      <c r="E1153" s="348"/>
      <c r="F1153" s="349"/>
      <c r="G1153" s="24"/>
      <c r="H1153" s="26"/>
      <c r="I1153" s="50" t="s">
        <v>90</v>
      </c>
      <c r="K1153" s="27"/>
      <c r="L1153" s="29" t="s">
        <v>3085</v>
      </c>
      <c r="M1153" s="31"/>
      <c r="N1153" s="14" t="s">
        <v>84</v>
      </c>
      <c r="O1153" s="31"/>
      <c r="Q1153" s="36"/>
      <c r="R1153" s="36"/>
      <c r="S1153" s="36"/>
      <c r="T1153" s="36"/>
      <c r="V1153" s="31"/>
    </row>
    <row r="1154">
      <c r="A1154" s="14" t="s">
        <v>736</v>
      </c>
      <c r="B1154" s="351" t="s">
        <v>3655</v>
      </c>
      <c r="C1154" s="452" t="s">
        <v>1773</v>
      </c>
      <c r="D1154" s="50"/>
      <c r="E1154" s="348" t="str">
        <f t="shared" ref="E1154:E1176" si="1158">TEXT(F1154, "mmmm yyyy")
</f>
        <v>agosto 2026</v>
      </c>
      <c r="F1154" s="349">
        <v>46242.0</v>
      </c>
      <c r="G1154" s="24">
        <f t="shared" ref="G1154:H1154" si="1157">F1154</f>
        <v>46242</v>
      </c>
      <c r="H1154" s="26">
        <f t="shared" si="1157"/>
        <v>46242</v>
      </c>
      <c r="I1154" s="50" t="s">
        <v>90</v>
      </c>
      <c r="K1154" s="27"/>
      <c r="L1154" s="29" t="s">
        <v>3085</v>
      </c>
      <c r="M1154" s="31"/>
      <c r="N1154" s="14" t="s">
        <v>84</v>
      </c>
      <c r="O1154" s="31"/>
      <c r="Q1154" s="36"/>
      <c r="R1154" s="36"/>
      <c r="S1154" s="36"/>
      <c r="T1154" s="36"/>
      <c r="V1154" s="31"/>
    </row>
    <row r="1155">
      <c r="A1155" s="14" t="s">
        <v>736</v>
      </c>
      <c r="B1155" s="351" t="s">
        <v>3656</v>
      </c>
      <c r="C1155" s="452" t="s">
        <v>1774</v>
      </c>
      <c r="D1155" s="50"/>
      <c r="E1155" s="348" t="str">
        <f t="shared" si="1158"/>
        <v>julio 2026</v>
      </c>
      <c r="F1155" s="349">
        <v>46234.0</v>
      </c>
      <c r="G1155" s="24">
        <f t="shared" ref="G1155:H1155" si="1159">F1155</f>
        <v>46234</v>
      </c>
      <c r="H1155" s="26">
        <f t="shared" si="1159"/>
        <v>46234</v>
      </c>
      <c r="I1155" s="50" t="s">
        <v>90</v>
      </c>
      <c r="K1155" s="27"/>
      <c r="L1155" s="29" t="s">
        <v>3085</v>
      </c>
      <c r="M1155" s="31"/>
      <c r="N1155" s="14" t="s">
        <v>84</v>
      </c>
      <c r="O1155" s="31"/>
      <c r="Q1155" s="36"/>
      <c r="R1155" s="36"/>
      <c r="S1155" s="36"/>
      <c r="T1155" s="36"/>
      <c r="V1155" s="31"/>
    </row>
    <row r="1156">
      <c r="A1156" s="14" t="s">
        <v>736</v>
      </c>
      <c r="B1156" s="351" t="s">
        <v>3657</v>
      </c>
      <c r="C1156" s="452" t="s">
        <v>1775</v>
      </c>
      <c r="D1156" s="50"/>
      <c r="E1156" s="348" t="str">
        <f t="shared" si="1158"/>
        <v>julio 2026</v>
      </c>
      <c r="F1156" s="349">
        <v>46234.0</v>
      </c>
      <c r="G1156" s="24">
        <f t="shared" ref="G1156:H1156" si="1160">F1156</f>
        <v>46234</v>
      </c>
      <c r="H1156" s="26">
        <f t="shared" si="1160"/>
        <v>46234</v>
      </c>
      <c r="I1156" s="50" t="s">
        <v>90</v>
      </c>
      <c r="K1156" s="27"/>
      <c r="L1156" s="29" t="s">
        <v>3085</v>
      </c>
      <c r="M1156" s="31"/>
      <c r="N1156" s="14" t="s">
        <v>84</v>
      </c>
      <c r="O1156" s="31"/>
      <c r="Q1156" s="36"/>
      <c r="R1156" s="36"/>
      <c r="S1156" s="36"/>
      <c r="T1156" s="36"/>
      <c r="V1156" s="31"/>
    </row>
    <row r="1157">
      <c r="A1157" s="14" t="s">
        <v>736</v>
      </c>
      <c r="B1157" s="351" t="s">
        <v>3658</v>
      </c>
      <c r="C1157" s="452" t="s">
        <v>1777</v>
      </c>
      <c r="D1157" s="50"/>
      <c r="E1157" s="348" t="str">
        <f t="shared" si="1158"/>
        <v>julio 2026</v>
      </c>
      <c r="F1157" s="349">
        <v>46234.0</v>
      </c>
      <c r="G1157" s="24">
        <f t="shared" ref="G1157:H1157" si="1161">F1157</f>
        <v>46234</v>
      </c>
      <c r="H1157" s="26">
        <f t="shared" si="1161"/>
        <v>46234</v>
      </c>
      <c r="I1157" s="50" t="s">
        <v>90</v>
      </c>
      <c r="K1157" s="27"/>
      <c r="L1157" s="29" t="s">
        <v>3085</v>
      </c>
      <c r="M1157" s="31"/>
      <c r="N1157" s="14" t="s">
        <v>84</v>
      </c>
      <c r="O1157" s="31"/>
      <c r="Q1157" s="36"/>
      <c r="R1157" s="36"/>
      <c r="S1157" s="36"/>
      <c r="T1157" s="36"/>
      <c r="V1157" s="31"/>
    </row>
    <row r="1158">
      <c r="A1158" s="14" t="s">
        <v>736</v>
      </c>
      <c r="B1158" s="351" t="s">
        <v>3659</v>
      </c>
      <c r="C1158" s="452" t="s">
        <v>1779</v>
      </c>
      <c r="D1158" s="50"/>
      <c r="E1158" s="348" t="str">
        <f t="shared" si="1158"/>
        <v>julio 2026</v>
      </c>
      <c r="F1158" s="349">
        <v>46233.0</v>
      </c>
      <c r="G1158" s="24">
        <f t="shared" ref="G1158:H1158" si="1162">F1158</f>
        <v>46233</v>
      </c>
      <c r="H1158" s="26">
        <f t="shared" si="1162"/>
        <v>46233</v>
      </c>
      <c r="I1158" s="50" t="s">
        <v>90</v>
      </c>
      <c r="K1158" s="27"/>
      <c r="L1158" s="29" t="s">
        <v>3085</v>
      </c>
      <c r="M1158" s="31"/>
      <c r="N1158" s="14" t="s">
        <v>84</v>
      </c>
      <c r="O1158" s="31"/>
      <c r="Q1158" s="36"/>
      <c r="R1158" s="36"/>
      <c r="S1158" s="36"/>
      <c r="T1158" s="36"/>
      <c r="V1158" s="31"/>
    </row>
    <row r="1159">
      <c r="A1159" s="14" t="s">
        <v>736</v>
      </c>
      <c r="B1159" s="351" t="s">
        <v>3660</v>
      </c>
      <c r="C1159" s="452" t="s">
        <v>1780</v>
      </c>
      <c r="D1159" s="50"/>
      <c r="E1159" s="348" t="str">
        <f t="shared" si="1158"/>
        <v>julio 2026</v>
      </c>
      <c r="F1159" s="349">
        <v>46232.0</v>
      </c>
      <c r="G1159" s="24">
        <f t="shared" ref="G1159:H1159" si="1163">F1159</f>
        <v>46232</v>
      </c>
      <c r="H1159" s="26">
        <f t="shared" si="1163"/>
        <v>46232</v>
      </c>
      <c r="I1159" s="50" t="s">
        <v>90</v>
      </c>
      <c r="K1159" s="27"/>
      <c r="L1159" s="29" t="s">
        <v>3085</v>
      </c>
      <c r="M1159" s="31"/>
      <c r="N1159" s="14" t="s">
        <v>84</v>
      </c>
      <c r="O1159" s="31"/>
      <c r="Q1159" s="36"/>
      <c r="R1159" s="36"/>
      <c r="S1159" s="36"/>
      <c r="T1159" s="36"/>
      <c r="V1159" s="31"/>
    </row>
    <row r="1160">
      <c r="A1160" s="14" t="s">
        <v>736</v>
      </c>
      <c r="B1160" s="351" t="s">
        <v>3661</v>
      </c>
      <c r="C1160" s="452" t="s">
        <v>1781</v>
      </c>
      <c r="D1160" s="50"/>
      <c r="E1160" s="348" t="str">
        <f t="shared" si="1158"/>
        <v>julio 2026</v>
      </c>
      <c r="F1160" s="349">
        <v>46233.0</v>
      </c>
      <c r="G1160" s="24">
        <f t="shared" ref="G1160:H1160" si="1164">F1160</f>
        <v>46233</v>
      </c>
      <c r="H1160" s="26">
        <f t="shared" si="1164"/>
        <v>46233</v>
      </c>
      <c r="I1160" s="50" t="s">
        <v>90</v>
      </c>
      <c r="K1160" s="27"/>
      <c r="L1160" s="29" t="s">
        <v>3085</v>
      </c>
      <c r="M1160" s="31"/>
      <c r="N1160" s="14" t="s">
        <v>84</v>
      </c>
      <c r="O1160" s="31"/>
      <c r="Q1160" s="36"/>
      <c r="R1160" s="36"/>
      <c r="S1160" s="36"/>
      <c r="T1160" s="36"/>
      <c r="V1160" s="31"/>
    </row>
    <row r="1161">
      <c r="A1161" s="14" t="s">
        <v>736</v>
      </c>
      <c r="B1161" s="351" t="s">
        <v>3662</v>
      </c>
      <c r="C1161" s="452" t="s">
        <v>1783</v>
      </c>
      <c r="D1161" s="50"/>
      <c r="E1161" s="348" t="str">
        <f t="shared" si="1158"/>
        <v>agosto 2026</v>
      </c>
      <c r="F1161" s="349">
        <v>46238.0</v>
      </c>
      <c r="G1161" s="24">
        <f t="shared" ref="G1161:H1161" si="1165">F1161</f>
        <v>46238</v>
      </c>
      <c r="H1161" s="26">
        <f t="shared" si="1165"/>
        <v>46238</v>
      </c>
      <c r="I1161" s="50" t="s">
        <v>90</v>
      </c>
      <c r="K1161" s="27"/>
      <c r="L1161" s="29" t="s">
        <v>3085</v>
      </c>
      <c r="M1161" s="31"/>
      <c r="N1161" s="14" t="s">
        <v>84</v>
      </c>
      <c r="O1161" s="31"/>
      <c r="Q1161" s="36"/>
      <c r="R1161" s="36"/>
      <c r="S1161" s="36"/>
      <c r="T1161" s="36"/>
      <c r="V1161" s="31"/>
    </row>
    <row r="1162">
      <c r="A1162" s="14" t="s">
        <v>736</v>
      </c>
      <c r="B1162" s="351" t="s">
        <v>3663</v>
      </c>
      <c r="C1162" s="453" t="s">
        <v>1784</v>
      </c>
      <c r="D1162" s="50"/>
      <c r="E1162" s="348" t="str">
        <f t="shared" si="1158"/>
        <v>agosto 2026</v>
      </c>
      <c r="F1162" s="349">
        <v>46245.0</v>
      </c>
      <c r="G1162" s="24">
        <f t="shared" ref="G1162:H1162" si="1166">F1162</f>
        <v>46245</v>
      </c>
      <c r="H1162" s="26">
        <f t="shared" si="1166"/>
        <v>46245</v>
      </c>
      <c r="I1162" s="50" t="s">
        <v>90</v>
      </c>
      <c r="K1162" s="27"/>
      <c r="L1162" s="29" t="s">
        <v>3085</v>
      </c>
      <c r="M1162" s="31"/>
      <c r="N1162" s="14" t="s">
        <v>84</v>
      </c>
      <c r="O1162" s="31"/>
      <c r="Q1162" s="36"/>
      <c r="R1162" s="36"/>
      <c r="S1162" s="36"/>
      <c r="T1162" s="36"/>
      <c r="V1162" s="31"/>
    </row>
    <row r="1163">
      <c r="A1163" s="14" t="s">
        <v>736</v>
      </c>
      <c r="B1163" s="351" t="s">
        <v>3665</v>
      </c>
      <c r="C1163" s="453" t="s">
        <v>1785</v>
      </c>
      <c r="D1163" s="50"/>
      <c r="E1163" s="348" t="str">
        <f t="shared" si="1158"/>
        <v>septiembre 2026</v>
      </c>
      <c r="F1163" s="349">
        <v>46266.0</v>
      </c>
      <c r="G1163" s="24">
        <f t="shared" ref="G1163:H1163" si="1167">F1163</f>
        <v>46266</v>
      </c>
      <c r="H1163" s="26">
        <f t="shared" si="1167"/>
        <v>46266</v>
      </c>
      <c r="I1163" s="50" t="s">
        <v>90</v>
      </c>
      <c r="K1163" s="27"/>
      <c r="L1163" s="29" t="s">
        <v>3085</v>
      </c>
      <c r="M1163" s="31"/>
      <c r="N1163" s="14" t="s">
        <v>84</v>
      </c>
      <c r="O1163" s="31"/>
      <c r="Q1163" s="36"/>
      <c r="R1163" s="36"/>
      <c r="S1163" s="36"/>
      <c r="T1163" s="36"/>
      <c r="V1163" s="31"/>
    </row>
    <row r="1164">
      <c r="A1164" s="14" t="s">
        <v>736</v>
      </c>
      <c r="B1164" s="351" t="s">
        <v>3666</v>
      </c>
      <c r="C1164" s="453" t="s">
        <v>1786</v>
      </c>
      <c r="D1164" s="50"/>
      <c r="E1164" s="348" t="str">
        <f t="shared" si="1158"/>
        <v>julio 2026</v>
      </c>
      <c r="F1164" s="349">
        <v>46234.0</v>
      </c>
      <c r="G1164" s="24">
        <f t="shared" ref="G1164:H1164" si="1168">F1164</f>
        <v>46234</v>
      </c>
      <c r="H1164" s="26">
        <f t="shared" si="1168"/>
        <v>46234</v>
      </c>
      <c r="I1164" s="50" t="s">
        <v>90</v>
      </c>
      <c r="K1164" s="27"/>
      <c r="L1164" s="29" t="s">
        <v>3085</v>
      </c>
      <c r="M1164" s="31"/>
      <c r="N1164" s="14" t="s">
        <v>84</v>
      </c>
      <c r="O1164" s="31"/>
      <c r="Q1164" s="36"/>
      <c r="R1164" s="36"/>
      <c r="S1164" s="36"/>
      <c r="T1164" s="36"/>
      <c r="V1164" s="31"/>
    </row>
    <row r="1165">
      <c r="A1165" s="14" t="s">
        <v>736</v>
      </c>
      <c r="B1165" s="351" t="s">
        <v>3667</v>
      </c>
      <c r="C1165" s="453" t="s">
        <v>1790</v>
      </c>
      <c r="D1165" s="50"/>
      <c r="E1165" s="348" t="str">
        <f t="shared" si="1158"/>
        <v>julio 2026</v>
      </c>
      <c r="F1165" s="349">
        <v>46234.0</v>
      </c>
      <c r="G1165" s="24">
        <f t="shared" ref="G1165:H1165" si="1169">F1165</f>
        <v>46234</v>
      </c>
      <c r="H1165" s="26">
        <f t="shared" si="1169"/>
        <v>46234</v>
      </c>
      <c r="I1165" s="50" t="s">
        <v>90</v>
      </c>
      <c r="K1165" s="27"/>
      <c r="L1165" s="29" t="s">
        <v>3085</v>
      </c>
      <c r="M1165" s="31"/>
      <c r="N1165" s="14" t="s">
        <v>84</v>
      </c>
      <c r="O1165" s="31"/>
      <c r="Q1165" s="36"/>
      <c r="R1165" s="36"/>
      <c r="S1165" s="36"/>
      <c r="T1165" s="36"/>
      <c r="V1165" s="31"/>
    </row>
    <row r="1166">
      <c r="A1166" s="14" t="s">
        <v>736</v>
      </c>
      <c r="B1166" s="351" t="s">
        <v>3668</v>
      </c>
      <c r="C1166" s="453" t="s">
        <v>1791</v>
      </c>
      <c r="D1166" s="50"/>
      <c r="E1166" s="348" t="str">
        <f t="shared" si="1158"/>
        <v>agosto 2026</v>
      </c>
      <c r="F1166" s="349">
        <v>46240.0</v>
      </c>
      <c r="G1166" s="24">
        <f t="shared" ref="G1166:H1166" si="1170">F1166</f>
        <v>46240</v>
      </c>
      <c r="H1166" s="26">
        <f t="shared" si="1170"/>
        <v>46240</v>
      </c>
      <c r="I1166" s="50" t="s">
        <v>90</v>
      </c>
      <c r="K1166" s="27"/>
      <c r="L1166" s="29" t="s">
        <v>3085</v>
      </c>
      <c r="M1166" s="31"/>
      <c r="N1166" s="14" t="s">
        <v>84</v>
      </c>
      <c r="O1166" s="31"/>
      <c r="Q1166" s="36"/>
      <c r="R1166" s="36"/>
      <c r="S1166" s="36"/>
      <c r="T1166" s="36"/>
      <c r="V1166" s="31"/>
    </row>
    <row r="1167">
      <c r="A1167" s="14" t="s">
        <v>736</v>
      </c>
      <c r="B1167" s="351" t="s">
        <v>3669</v>
      </c>
      <c r="C1167" s="453" t="s">
        <v>1792</v>
      </c>
      <c r="D1167" s="50"/>
      <c r="E1167" s="348" t="str">
        <f t="shared" si="1158"/>
        <v>agosto 2026</v>
      </c>
      <c r="F1167" s="349">
        <v>46240.0</v>
      </c>
      <c r="G1167" s="24">
        <f t="shared" ref="G1167:H1167" si="1171">F1167</f>
        <v>46240</v>
      </c>
      <c r="H1167" s="26">
        <f t="shared" si="1171"/>
        <v>46240</v>
      </c>
      <c r="I1167" s="50" t="s">
        <v>90</v>
      </c>
      <c r="K1167" s="27"/>
      <c r="L1167" s="29" t="s">
        <v>3085</v>
      </c>
      <c r="M1167" s="31"/>
      <c r="N1167" s="14" t="s">
        <v>84</v>
      </c>
      <c r="O1167" s="31"/>
      <c r="Q1167" s="36"/>
      <c r="R1167" s="36"/>
      <c r="S1167" s="36"/>
      <c r="T1167" s="36"/>
      <c r="V1167" s="31"/>
    </row>
    <row r="1168">
      <c r="A1168" s="14" t="s">
        <v>736</v>
      </c>
      <c r="B1168" s="351" t="s">
        <v>3670</v>
      </c>
      <c r="C1168" s="453" t="s">
        <v>1793</v>
      </c>
      <c r="D1168" s="50"/>
      <c r="E1168" s="348" t="str">
        <f t="shared" si="1158"/>
        <v>agosto 2026</v>
      </c>
      <c r="F1168" s="349">
        <v>46240.0</v>
      </c>
      <c r="G1168" s="24">
        <f t="shared" ref="G1168:H1168" si="1172">F1168</f>
        <v>46240</v>
      </c>
      <c r="H1168" s="26">
        <f t="shared" si="1172"/>
        <v>46240</v>
      </c>
      <c r="I1168" s="50" t="s">
        <v>90</v>
      </c>
      <c r="K1168" s="27"/>
      <c r="L1168" s="29" t="s">
        <v>3085</v>
      </c>
      <c r="M1168" s="31"/>
      <c r="N1168" s="14" t="s">
        <v>84</v>
      </c>
      <c r="O1168" s="31"/>
      <c r="Q1168" s="36"/>
      <c r="R1168" s="36"/>
      <c r="S1168" s="36"/>
      <c r="T1168" s="36"/>
      <c r="V1168" s="31"/>
    </row>
    <row r="1169">
      <c r="A1169" s="14" t="s">
        <v>736</v>
      </c>
      <c r="B1169" s="351" t="s">
        <v>3671</v>
      </c>
      <c r="C1169" s="453" t="s">
        <v>1794</v>
      </c>
      <c r="D1169" s="50"/>
      <c r="E1169" s="348" t="str">
        <f t="shared" si="1158"/>
        <v>agosto 2026</v>
      </c>
      <c r="F1169" s="349">
        <v>46240.0</v>
      </c>
      <c r="G1169" s="24">
        <f t="shared" ref="G1169:H1169" si="1173">F1169</f>
        <v>46240</v>
      </c>
      <c r="H1169" s="26">
        <f t="shared" si="1173"/>
        <v>46240</v>
      </c>
      <c r="I1169" s="50" t="s">
        <v>90</v>
      </c>
      <c r="K1169" s="27"/>
      <c r="L1169" s="29" t="s">
        <v>3085</v>
      </c>
      <c r="M1169" s="31"/>
      <c r="N1169" s="14" t="s">
        <v>84</v>
      </c>
      <c r="O1169" s="31"/>
      <c r="Q1169" s="36"/>
      <c r="R1169" s="36"/>
      <c r="S1169" s="36"/>
      <c r="T1169" s="36"/>
      <c r="V1169" s="31"/>
    </row>
    <row r="1170">
      <c r="A1170" s="14" t="s">
        <v>736</v>
      </c>
      <c r="B1170" s="351" t="s">
        <v>3672</v>
      </c>
      <c r="C1170" s="453" t="s">
        <v>1795</v>
      </c>
      <c r="D1170" s="50"/>
      <c r="E1170" s="348" t="str">
        <f t="shared" si="1158"/>
        <v>agosto 2026</v>
      </c>
      <c r="F1170" s="349">
        <v>46242.0</v>
      </c>
      <c r="G1170" s="24">
        <f t="shared" ref="G1170:H1170" si="1174">F1170</f>
        <v>46242</v>
      </c>
      <c r="H1170" s="26">
        <f t="shared" si="1174"/>
        <v>46242</v>
      </c>
      <c r="I1170" s="50" t="s">
        <v>90</v>
      </c>
      <c r="K1170" s="27"/>
      <c r="L1170" s="29" t="s">
        <v>3085</v>
      </c>
      <c r="M1170" s="31"/>
      <c r="N1170" s="14" t="s">
        <v>84</v>
      </c>
      <c r="O1170" s="31"/>
      <c r="Q1170" s="36"/>
      <c r="R1170" s="36"/>
      <c r="S1170" s="36"/>
      <c r="T1170" s="36"/>
      <c r="V1170" s="31"/>
    </row>
    <row r="1171">
      <c r="A1171" s="14" t="s">
        <v>736</v>
      </c>
      <c r="B1171" s="351" t="s">
        <v>3673</v>
      </c>
      <c r="C1171" s="453" t="s">
        <v>1797</v>
      </c>
      <c r="D1171" s="50"/>
      <c r="E1171" s="348" t="str">
        <f t="shared" si="1158"/>
        <v>agosto 2026</v>
      </c>
      <c r="F1171" s="349">
        <v>46253.0</v>
      </c>
      <c r="G1171" s="24">
        <f t="shared" ref="G1171:H1171" si="1175">F1171</f>
        <v>46253</v>
      </c>
      <c r="H1171" s="26">
        <f t="shared" si="1175"/>
        <v>46253</v>
      </c>
      <c r="I1171" s="50" t="s">
        <v>90</v>
      </c>
      <c r="K1171" s="27"/>
      <c r="L1171" s="29" t="s">
        <v>3085</v>
      </c>
      <c r="M1171" s="31"/>
      <c r="N1171" s="14" t="s">
        <v>84</v>
      </c>
      <c r="O1171" s="31"/>
      <c r="Q1171" s="36"/>
      <c r="R1171" s="36"/>
      <c r="S1171" s="36"/>
      <c r="T1171" s="36"/>
      <c r="V1171" s="31"/>
    </row>
    <row r="1172">
      <c r="A1172" s="14" t="s">
        <v>117</v>
      </c>
      <c r="B1172" s="50" t="s">
        <v>3674</v>
      </c>
      <c r="C1172" s="302" t="s">
        <v>3675</v>
      </c>
      <c r="D1172" s="50" t="s">
        <v>133</v>
      </c>
      <c r="E1172" s="348" t="str">
        <f t="shared" si="1158"/>
        <v>agosto 2026</v>
      </c>
      <c r="F1172" s="386">
        <v>46237.0</v>
      </c>
      <c r="G1172" s="24">
        <f t="shared" ref="G1172:H1172" si="1176">F1172</f>
        <v>46237</v>
      </c>
      <c r="H1172" s="26">
        <f t="shared" si="1176"/>
        <v>46237</v>
      </c>
      <c r="I1172" s="50" t="s">
        <v>2398</v>
      </c>
      <c r="K1172" s="454">
        <v>2.5E8</v>
      </c>
      <c r="L1172" s="29" t="s">
        <v>3676</v>
      </c>
      <c r="M1172" s="31"/>
      <c r="N1172" s="14" t="s">
        <v>84</v>
      </c>
      <c r="O1172" s="14" t="s">
        <v>40</v>
      </c>
      <c r="Q1172" s="36"/>
      <c r="R1172" s="36"/>
      <c r="S1172" s="36"/>
      <c r="T1172" s="36"/>
      <c r="V1172" s="31"/>
    </row>
    <row r="1173">
      <c r="A1173" s="14" t="s">
        <v>117</v>
      </c>
      <c r="B1173" s="50" t="s">
        <v>3674</v>
      </c>
      <c r="C1173" s="302" t="s">
        <v>3677</v>
      </c>
      <c r="D1173" s="50" t="s">
        <v>133</v>
      </c>
      <c r="E1173" s="348" t="str">
        <f t="shared" si="1158"/>
        <v>agosto 2026</v>
      </c>
      <c r="F1173" s="381">
        <v>46237.0</v>
      </c>
      <c r="G1173" s="24">
        <f t="shared" ref="G1173:H1173" si="1177">F1173</f>
        <v>46237</v>
      </c>
      <c r="H1173" s="26">
        <f t="shared" si="1177"/>
        <v>46237</v>
      </c>
      <c r="I1173" s="50" t="s">
        <v>2398</v>
      </c>
      <c r="K1173" s="454">
        <v>2.0E8</v>
      </c>
      <c r="L1173" s="29" t="s">
        <v>3676</v>
      </c>
      <c r="M1173" s="31"/>
      <c r="N1173" s="14" t="s">
        <v>84</v>
      </c>
      <c r="O1173" s="14" t="s">
        <v>40</v>
      </c>
      <c r="Q1173" s="36"/>
      <c r="R1173" s="36"/>
      <c r="S1173" s="36"/>
      <c r="T1173" s="36"/>
      <c r="V1173" s="31"/>
    </row>
    <row r="1174">
      <c r="A1174" s="14" t="s">
        <v>117</v>
      </c>
      <c r="B1174" s="50" t="s">
        <v>3678</v>
      </c>
      <c r="C1174" s="302" t="s">
        <v>3679</v>
      </c>
      <c r="D1174" s="50" t="s">
        <v>133</v>
      </c>
      <c r="E1174" s="348" t="str">
        <f t="shared" si="1158"/>
        <v>agosto 2026</v>
      </c>
      <c r="F1174" s="386">
        <v>46255.0</v>
      </c>
      <c r="G1174" s="22"/>
      <c r="H1174" s="22"/>
      <c r="I1174" s="50" t="s">
        <v>2398</v>
      </c>
      <c r="K1174" s="454">
        <v>5.0E8</v>
      </c>
      <c r="L1174" s="29" t="s">
        <v>3680</v>
      </c>
      <c r="M1174" s="31"/>
      <c r="N1174" s="14"/>
      <c r="O1174" s="31"/>
      <c r="Q1174" s="36"/>
      <c r="R1174" s="36"/>
      <c r="S1174" s="36"/>
      <c r="T1174" s="36"/>
      <c r="V1174" s="31"/>
    </row>
    <row r="1175">
      <c r="A1175" s="37" t="s">
        <v>66</v>
      </c>
      <c r="B1175" s="50" t="s">
        <v>3681</v>
      </c>
      <c r="C1175" s="302" t="s">
        <v>3682</v>
      </c>
      <c r="D1175" s="50" t="s">
        <v>40</v>
      </c>
      <c r="E1175" s="348" t="str">
        <f t="shared" si="1158"/>
        <v>agosto 2026</v>
      </c>
      <c r="F1175" s="381">
        <v>46254.0</v>
      </c>
      <c r="G1175" s="22"/>
      <c r="H1175" s="22"/>
      <c r="I1175" s="50" t="s">
        <v>1865</v>
      </c>
      <c r="K1175" s="454">
        <v>3.0E8</v>
      </c>
      <c r="L1175" s="455" t="s">
        <v>2658</v>
      </c>
      <c r="M1175" s="31"/>
      <c r="N1175" s="14" t="s">
        <v>84</v>
      </c>
      <c r="O1175" s="14" t="s">
        <v>40</v>
      </c>
      <c r="Q1175" s="36"/>
      <c r="R1175" s="36"/>
      <c r="S1175" s="36"/>
      <c r="T1175" s="36"/>
      <c r="V1175" s="31"/>
    </row>
    <row r="1176">
      <c r="A1176" s="37" t="s">
        <v>66</v>
      </c>
      <c r="B1176" s="50" t="s">
        <v>3683</v>
      </c>
      <c r="C1176" s="382" t="s">
        <v>3684</v>
      </c>
      <c r="D1176" s="50" t="s">
        <v>40</v>
      </c>
      <c r="E1176" s="348" t="str">
        <f t="shared" si="1158"/>
        <v>diciembre 1899</v>
      </c>
      <c r="F1176" s="386"/>
      <c r="G1176" s="22"/>
      <c r="H1176" s="22"/>
      <c r="I1176" s="50" t="s">
        <v>1865</v>
      </c>
      <c r="K1176" s="454">
        <v>6.0E8</v>
      </c>
      <c r="L1176" s="29" t="s">
        <v>3685</v>
      </c>
      <c r="M1176" s="31"/>
      <c r="N1176" s="14" t="s">
        <v>84</v>
      </c>
      <c r="O1176" s="14" t="s">
        <v>40</v>
      </c>
      <c r="Q1176" s="36"/>
      <c r="R1176" s="36"/>
      <c r="S1176" s="36"/>
      <c r="T1176" s="36"/>
      <c r="V1176" s="31"/>
    </row>
    <row r="1177">
      <c r="A1177" s="37" t="s">
        <v>66</v>
      </c>
      <c r="B1177" s="50" t="s">
        <v>3686</v>
      </c>
      <c r="C1177" s="456" t="s">
        <v>3687</v>
      </c>
      <c r="D1177" s="50" t="s">
        <v>40</v>
      </c>
      <c r="E1177" s="441">
        <v>46204.0</v>
      </c>
      <c r="F1177" s="381"/>
      <c r="G1177" s="22"/>
      <c r="H1177" s="22"/>
      <c r="I1177" s="50" t="s">
        <v>1865</v>
      </c>
      <c r="K1177" s="454">
        <v>1.0E9</v>
      </c>
      <c r="L1177" s="15" t="s">
        <v>3688</v>
      </c>
      <c r="M1177" s="31"/>
      <c r="N1177" s="14" t="s">
        <v>84</v>
      </c>
      <c r="O1177" s="14" t="s">
        <v>40</v>
      </c>
      <c r="Q1177" s="36"/>
      <c r="R1177" s="36"/>
      <c r="S1177" s="36"/>
      <c r="T1177" s="36"/>
      <c r="V1177" s="31"/>
    </row>
    <row r="1178">
      <c r="A1178" s="37" t="s">
        <v>66</v>
      </c>
      <c r="B1178" s="50" t="s">
        <v>3686</v>
      </c>
      <c r="C1178" s="457" t="s">
        <v>3689</v>
      </c>
      <c r="D1178" s="50" t="s">
        <v>40</v>
      </c>
      <c r="E1178" s="444">
        <v>46204.0</v>
      </c>
      <c r="F1178" s="386"/>
      <c r="G1178" s="22"/>
      <c r="H1178" s="22"/>
      <c r="I1178" s="50" t="s">
        <v>1865</v>
      </c>
      <c r="K1178" s="454">
        <v>1.0E9</v>
      </c>
      <c r="L1178" s="15" t="s">
        <v>3688</v>
      </c>
      <c r="M1178" s="31"/>
      <c r="N1178" s="14" t="s">
        <v>84</v>
      </c>
      <c r="O1178" s="14" t="s">
        <v>40</v>
      </c>
      <c r="Q1178" s="36"/>
      <c r="R1178" s="36"/>
      <c r="S1178" s="36"/>
      <c r="T1178" s="36"/>
      <c r="V1178" s="31"/>
    </row>
    <row r="1179">
      <c r="A1179" s="37" t="s">
        <v>66</v>
      </c>
      <c r="B1179" s="50" t="s">
        <v>3686</v>
      </c>
      <c r="C1179" s="456" t="s">
        <v>3690</v>
      </c>
      <c r="D1179" s="50" t="s">
        <v>40</v>
      </c>
      <c r="E1179" s="441">
        <v>46204.0</v>
      </c>
      <c r="F1179" s="381"/>
      <c r="G1179" s="22"/>
      <c r="H1179" s="22"/>
      <c r="I1179" s="50" t="s">
        <v>1865</v>
      </c>
      <c r="K1179" s="454">
        <v>1.0E9</v>
      </c>
      <c r="L1179" s="15" t="s">
        <v>3688</v>
      </c>
      <c r="M1179" s="31"/>
      <c r="N1179" s="14" t="s">
        <v>84</v>
      </c>
      <c r="O1179" s="14" t="s">
        <v>40</v>
      </c>
      <c r="Q1179" s="36"/>
      <c r="R1179" s="36"/>
      <c r="S1179" s="36"/>
      <c r="T1179" s="36"/>
      <c r="V1179" s="31"/>
    </row>
    <row r="1180">
      <c r="A1180" s="37" t="s">
        <v>66</v>
      </c>
      <c r="B1180" s="50" t="s">
        <v>3686</v>
      </c>
      <c r="C1180" s="457" t="s">
        <v>3691</v>
      </c>
      <c r="D1180" s="50" t="s">
        <v>40</v>
      </c>
      <c r="E1180" s="444">
        <v>46204.0</v>
      </c>
      <c r="F1180" s="386"/>
      <c r="G1180" s="22"/>
      <c r="H1180" s="22"/>
      <c r="I1180" s="50" t="s">
        <v>1865</v>
      </c>
      <c r="K1180" s="454">
        <v>1.0E9</v>
      </c>
      <c r="L1180" s="15" t="s">
        <v>3688</v>
      </c>
      <c r="M1180" s="31"/>
      <c r="N1180" s="14" t="s">
        <v>84</v>
      </c>
      <c r="O1180" s="14" t="s">
        <v>40</v>
      </c>
      <c r="Q1180" s="36"/>
      <c r="R1180" s="36"/>
      <c r="S1180" s="36"/>
      <c r="T1180" s="36"/>
      <c r="V1180" s="31"/>
    </row>
    <row r="1181">
      <c r="A1181" s="37" t="s">
        <v>66</v>
      </c>
      <c r="B1181" s="50" t="s">
        <v>3686</v>
      </c>
      <c r="C1181" s="456" t="s">
        <v>3692</v>
      </c>
      <c r="D1181" s="50" t="s">
        <v>40</v>
      </c>
      <c r="E1181" s="441">
        <v>46204.0</v>
      </c>
      <c r="F1181" s="22"/>
      <c r="G1181" s="22"/>
      <c r="H1181" s="22"/>
      <c r="I1181" s="50" t="s">
        <v>1865</v>
      </c>
      <c r="K1181" s="454">
        <v>1.0E9</v>
      </c>
      <c r="L1181" s="15" t="s">
        <v>3688</v>
      </c>
      <c r="M1181" s="31"/>
      <c r="N1181" s="14" t="s">
        <v>84</v>
      </c>
      <c r="O1181" s="14" t="s">
        <v>40</v>
      </c>
      <c r="Q1181" s="36"/>
      <c r="R1181" s="36"/>
      <c r="S1181" s="36"/>
      <c r="T1181" s="36"/>
      <c r="V1181" s="31"/>
    </row>
    <row r="1182">
      <c r="A1182" s="37" t="s">
        <v>66</v>
      </c>
      <c r="B1182" s="50" t="s">
        <v>3686</v>
      </c>
      <c r="C1182" s="458" t="s">
        <v>3693</v>
      </c>
      <c r="D1182" s="50" t="s">
        <v>40</v>
      </c>
      <c r="E1182" s="444">
        <v>46204.0</v>
      </c>
      <c r="F1182" s="22"/>
      <c r="G1182" s="22"/>
      <c r="H1182" s="22"/>
      <c r="I1182" s="50" t="s">
        <v>1865</v>
      </c>
      <c r="K1182" s="454">
        <v>1.0E9</v>
      </c>
      <c r="L1182" s="15" t="s">
        <v>3688</v>
      </c>
      <c r="M1182" s="31"/>
      <c r="N1182" s="14" t="s">
        <v>84</v>
      </c>
      <c r="O1182" s="14" t="s">
        <v>40</v>
      </c>
      <c r="Q1182" s="36"/>
      <c r="R1182" s="36"/>
      <c r="S1182" s="36"/>
      <c r="T1182" s="36"/>
      <c r="V1182" s="31"/>
    </row>
    <row r="1183">
      <c r="A1183" s="37" t="s">
        <v>66</v>
      </c>
      <c r="B1183" s="50" t="s">
        <v>3686</v>
      </c>
      <c r="C1183" s="456" t="s">
        <v>3694</v>
      </c>
      <c r="D1183" s="50" t="s">
        <v>40</v>
      </c>
      <c r="E1183" s="441">
        <v>46204.0</v>
      </c>
      <c r="F1183" s="22"/>
      <c r="G1183" s="22"/>
      <c r="H1183" s="22"/>
      <c r="I1183" s="50" t="s">
        <v>1865</v>
      </c>
      <c r="K1183" s="454">
        <v>1.0E9</v>
      </c>
      <c r="L1183" s="15" t="s">
        <v>3688</v>
      </c>
      <c r="M1183" s="31"/>
      <c r="N1183" s="14" t="s">
        <v>84</v>
      </c>
      <c r="O1183" s="14" t="s">
        <v>40</v>
      </c>
      <c r="Q1183" s="36"/>
      <c r="R1183" s="36"/>
      <c r="S1183" s="36"/>
      <c r="T1183" s="36"/>
      <c r="V1183" s="31"/>
    </row>
    <row r="1184">
      <c r="A1184" s="37" t="s">
        <v>66</v>
      </c>
      <c r="B1184" s="50" t="s">
        <v>3686</v>
      </c>
      <c r="C1184" s="457" t="s">
        <v>3696</v>
      </c>
      <c r="D1184" s="50" t="s">
        <v>40</v>
      </c>
      <c r="E1184" s="444">
        <v>46204.0</v>
      </c>
      <c r="F1184" s="22"/>
      <c r="G1184" s="22"/>
      <c r="H1184" s="22"/>
      <c r="I1184" s="50" t="s">
        <v>1865</v>
      </c>
      <c r="K1184" s="454">
        <v>1.0E9</v>
      </c>
      <c r="L1184" s="15" t="s">
        <v>3688</v>
      </c>
      <c r="M1184" s="31"/>
      <c r="N1184" s="14" t="s">
        <v>84</v>
      </c>
      <c r="O1184" s="14" t="s">
        <v>40</v>
      </c>
      <c r="Q1184" s="36"/>
      <c r="R1184" s="36"/>
      <c r="S1184" s="36"/>
      <c r="T1184" s="36"/>
      <c r="V1184" s="31"/>
    </row>
    <row r="1185">
      <c r="A1185" s="37" t="s">
        <v>66</v>
      </c>
      <c r="B1185" s="50" t="s">
        <v>3686</v>
      </c>
      <c r="C1185" s="456" t="s">
        <v>3697</v>
      </c>
      <c r="D1185" s="50" t="s">
        <v>40</v>
      </c>
      <c r="E1185" s="441">
        <v>46204.0</v>
      </c>
      <c r="F1185" s="22"/>
      <c r="G1185" s="22"/>
      <c r="H1185" s="22"/>
      <c r="I1185" s="50" t="s">
        <v>1865</v>
      </c>
      <c r="K1185" s="454">
        <v>1.0E9</v>
      </c>
      <c r="L1185" s="15" t="s">
        <v>3688</v>
      </c>
      <c r="M1185" s="31"/>
      <c r="N1185" s="14" t="s">
        <v>84</v>
      </c>
      <c r="O1185" s="14" t="s">
        <v>40</v>
      </c>
      <c r="Q1185" s="36"/>
      <c r="R1185" s="36"/>
      <c r="S1185" s="36"/>
      <c r="T1185" s="36"/>
      <c r="V1185" s="31"/>
    </row>
    <row r="1186">
      <c r="A1186" s="37" t="s">
        <v>66</v>
      </c>
      <c r="B1186" s="50" t="s">
        <v>3686</v>
      </c>
      <c r="C1186" s="457" t="s">
        <v>3699</v>
      </c>
      <c r="D1186" s="50" t="s">
        <v>40</v>
      </c>
      <c r="E1186" s="444">
        <v>46204.0</v>
      </c>
      <c r="F1186" s="22"/>
      <c r="G1186" s="22"/>
      <c r="H1186" s="22"/>
      <c r="I1186" s="50" t="s">
        <v>1865</v>
      </c>
      <c r="K1186" s="454">
        <v>1.0E9</v>
      </c>
      <c r="L1186" s="15" t="s">
        <v>3688</v>
      </c>
      <c r="M1186" s="31"/>
      <c r="N1186" s="14" t="s">
        <v>84</v>
      </c>
      <c r="O1186" s="14" t="s">
        <v>40</v>
      </c>
      <c r="Q1186" s="36"/>
      <c r="R1186" s="36"/>
      <c r="S1186" s="36"/>
      <c r="T1186" s="36"/>
      <c r="V1186" s="31"/>
    </row>
    <row r="1187">
      <c r="A1187" s="37" t="s">
        <v>66</v>
      </c>
      <c r="B1187" s="50" t="s">
        <v>3686</v>
      </c>
      <c r="C1187" s="456" t="s">
        <v>3701</v>
      </c>
      <c r="D1187" s="50" t="s">
        <v>40</v>
      </c>
      <c r="E1187" s="441">
        <v>46204.0</v>
      </c>
      <c r="F1187" s="22"/>
      <c r="G1187" s="22"/>
      <c r="H1187" s="22"/>
      <c r="I1187" s="50" t="s">
        <v>1865</v>
      </c>
      <c r="K1187" s="454">
        <v>1.0E9</v>
      </c>
      <c r="L1187" s="15" t="s">
        <v>3688</v>
      </c>
      <c r="M1187" s="31"/>
      <c r="N1187" s="14" t="s">
        <v>84</v>
      </c>
      <c r="O1187" s="14" t="s">
        <v>40</v>
      </c>
      <c r="Q1187" s="36"/>
      <c r="R1187" s="36"/>
      <c r="S1187" s="36"/>
      <c r="T1187" s="36"/>
      <c r="V1187" s="31"/>
    </row>
    <row r="1188">
      <c r="A1188" s="37" t="s">
        <v>66</v>
      </c>
      <c r="B1188" s="50" t="s">
        <v>3686</v>
      </c>
      <c r="C1188" s="457" t="s">
        <v>3703</v>
      </c>
      <c r="D1188" s="50" t="s">
        <v>40</v>
      </c>
      <c r="E1188" s="444">
        <v>46204.0</v>
      </c>
      <c r="F1188" s="22"/>
      <c r="G1188" s="22"/>
      <c r="H1188" s="22"/>
      <c r="I1188" s="50" t="s">
        <v>1865</v>
      </c>
      <c r="K1188" s="454">
        <v>1.0E9</v>
      </c>
      <c r="L1188" s="15" t="s">
        <v>3688</v>
      </c>
      <c r="M1188" s="31"/>
      <c r="N1188" s="14" t="s">
        <v>84</v>
      </c>
      <c r="O1188" s="14" t="s">
        <v>40</v>
      </c>
      <c r="Q1188" s="36"/>
      <c r="R1188" s="36"/>
      <c r="S1188" s="36"/>
      <c r="T1188" s="36"/>
      <c r="V1188" s="31"/>
    </row>
    <row r="1189">
      <c r="A1189" s="37" t="s">
        <v>66</v>
      </c>
      <c r="B1189" s="50" t="s">
        <v>3686</v>
      </c>
      <c r="C1189" s="456" t="s">
        <v>3704</v>
      </c>
      <c r="D1189" s="50" t="s">
        <v>40</v>
      </c>
      <c r="E1189" s="441">
        <v>46204.0</v>
      </c>
      <c r="F1189" s="22"/>
      <c r="G1189" s="22"/>
      <c r="H1189" s="22"/>
      <c r="I1189" s="50" t="s">
        <v>1865</v>
      </c>
      <c r="K1189" s="454">
        <v>1.0E9</v>
      </c>
      <c r="L1189" s="15" t="s">
        <v>3688</v>
      </c>
      <c r="M1189" s="31"/>
      <c r="N1189" s="14" t="s">
        <v>84</v>
      </c>
      <c r="O1189" s="14" t="s">
        <v>40</v>
      </c>
      <c r="Q1189" s="36"/>
      <c r="R1189" s="36"/>
      <c r="S1189" s="36"/>
      <c r="T1189" s="36"/>
      <c r="V1189" s="31"/>
    </row>
    <row r="1190">
      <c r="A1190" s="37" t="s">
        <v>66</v>
      </c>
      <c r="B1190" s="50" t="s">
        <v>3686</v>
      </c>
      <c r="C1190" s="457" t="s">
        <v>3705</v>
      </c>
      <c r="D1190" s="50" t="s">
        <v>40</v>
      </c>
      <c r="E1190" s="444">
        <v>46204.0</v>
      </c>
      <c r="F1190" s="22"/>
      <c r="G1190" s="22"/>
      <c r="H1190" s="22"/>
      <c r="I1190" s="50" t="s">
        <v>1865</v>
      </c>
      <c r="K1190" s="454">
        <v>1.0E9</v>
      </c>
      <c r="L1190" s="15" t="s">
        <v>3688</v>
      </c>
      <c r="M1190" s="31"/>
      <c r="N1190" s="14" t="s">
        <v>84</v>
      </c>
      <c r="O1190" s="14" t="s">
        <v>40</v>
      </c>
      <c r="Q1190" s="36"/>
      <c r="R1190" s="36"/>
      <c r="S1190" s="36"/>
      <c r="T1190" s="36"/>
      <c r="V1190" s="31"/>
    </row>
    <row r="1191">
      <c r="A1191" s="37" t="s">
        <v>66</v>
      </c>
      <c r="B1191" s="50" t="s">
        <v>3686</v>
      </c>
      <c r="C1191" s="456" t="s">
        <v>3706</v>
      </c>
      <c r="D1191" s="50" t="s">
        <v>40</v>
      </c>
      <c r="E1191" s="441">
        <v>46204.0</v>
      </c>
      <c r="F1191" s="22"/>
      <c r="G1191" s="22"/>
      <c r="H1191" s="22"/>
      <c r="I1191" s="50" t="s">
        <v>1865</v>
      </c>
      <c r="K1191" s="454">
        <v>1.0E9</v>
      </c>
      <c r="L1191" s="15" t="s">
        <v>3688</v>
      </c>
      <c r="M1191" s="31"/>
      <c r="N1191" s="14" t="s">
        <v>84</v>
      </c>
      <c r="O1191" s="14" t="s">
        <v>40</v>
      </c>
      <c r="Q1191" s="36"/>
      <c r="R1191" s="36"/>
      <c r="S1191" s="36"/>
      <c r="T1191" s="36"/>
      <c r="V1191" s="31"/>
    </row>
    <row r="1192">
      <c r="A1192" s="37" t="s">
        <v>66</v>
      </c>
      <c r="B1192" s="50" t="s">
        <v>3686</v>
      </c>
      <c r="C1192" s="457" t="s">
        <v>3707</v>
      </c>
      <c r="D1192" s="50" t="s">
        <v>40</v>
      </c>
      <c r="E1192" s="444">
        <v>46204.0</v>
      </c>
      <c r="F1192" s="22"/>
      <c r="G1192" s="22"/>
      <c r="H1192" s="22"/>
      <c r="I1192" s="50" t="s">
        <v>1865</v>
      </c>
      <c r="K1192" s="454">
        <v>1.0E9</v>
      </c>
      <c r="L1192" s="15" t="s">
        <v>3688</v>
      </c>
      <c r="M1192" s="31"/>
      <c r="N1192" s="14" t="s">
        <v>84</v>
      </c>
      <c r="O1192" s="14" t="s">
        <v>40</v>
      </c>
      <c r="Q1192" s="36"/>
      <c r="R1192" s="36"/>
      <c r="S1192" s="36"/>
      <c r="T1192" s="36"/>
      <c r="V1192" s="31"/>
    </row>
    <row r="1193">
      <c r="A1193" s="37" t="s">
        <v>66</v>
      </c>
      <c r="B1193" s="50" t="s">
        <v>3686</v>
      </c>
      <c r="C1193" s="456" t="s">
        <v>3708</v>
      </c>
      <c r="D1193" s="50" t="s">
        <v>40</v>
      </c>
      <c r="E1193" s="441">
        <v>46204.0</v>
      </c>
      <c r="F1193" s="22"/>
      <c r="G1193" s="22"/>
      <c r="H1193" s="22"/>
      <c r="I1193" s="50" t="s">
        <v>1865</v>
      </c>
      <c r="K1193" s="454">
        <v>1.0E9</v>
      </c>
      <c r="L1193" s="15" t="s">
        <v>3688</v>
      </c>
      <c r="M1193" s="31"/>
      <c r="N1193" s="14" t="s">
        <v>84</v>
      </c>
      <c r="O1193" s="14" t="s">
        <v>40</v>
      </c>
      <c r="Q1193" s="36"/>
      <c r="R1193" s="36"/>
      <c r="S1193" s="36"/>
      <c r="T1193" s="36"/>
      <c r="V1193" s="31"/>
    </row>
    <row r="1194">
      <c r="A1194" s="37" t="s">
        <v>66</v>
      </c>
      <c r="B1194" s="50" t="s">
        <v>3686</v>
      </c>
      <c r="C1194" s="457" t="s">
        <v>3709</v>
      </c>
      <c r="D1194" s="50" t="s">
        <v>40</v>
      </c>
      <c r="E1194" s="444">
        <v>46204.0</v>
      </c>
      <c r="F1194" s="22"/>
      <c r="G1194" s="22"/>
      <c r="H1194" s="22"/>
      <c r="I1194" s="50" t="s">
        <v>1865</v>
      </c>
      <c r="K1194" s="454">
        <v>1.0E9</v>
      </c>
      <c r="L1194" s="15" t="s">
        <v>3688</v>
      </c>
      <c r="M1194" s="31"/>
      <c r="N1194" s="14" t="s">
        <v>84</v>
      </c>
      <c r="O1194" s="14" t="s">
        <v>40</v>
      </c>
      <c r="Q1194" s="36"/>
      <c r="R1194" s="36"/>
      <c r="S1194" s="36"/>
      <c r="T1194" s="36"/>
      <c r="V1194" s="31"/>
    </row>
    <row r="1195">
      <c r="A1195" s="37" t="s">
        <v>66</v>
      </c>
      <c r="B1195" s="50" t="s">
        <v>3686</v>
      </c>
      <c r="C1195" s="456" t="s">
        <v>3710</v>
      </c>
      <c r="D1195" s="50" t="s">
        <v>40</v>
      </c>
      <c r="E1195" s="441">
        <v>46204.0</v>
      </c>
      <c r="F1195" s="22"/>
      <c r="G1195" s="22"/>
      <c r="H1195" s="22"/>
      <c r="I1195" s="50" t="s">
        <v>1865</v>
      </c>
      <c r="K1195" s="454">
        <v>1.0E9</v>
      </c>
      <c r="L1195" s="15" t="s">
        <v>3688</v>
      </c>
      <c r="M1195" s="31"/>
      <c r="N1195" s="14" t="s">
        <v>84</v>
      </c>
      <c r="O1195" s="14" t="s">
        <v>40</v>
      </c>
      <c r="Q1195" s="36"/>
      <c r="R1195" s="36"/>
      <c r="S1195" s="36"/>
      <c r="T1195" s="36"/>
      <c r="V1195" s="31"/>
    </row>
    <row r="1196">
      <c r="A1196" s="37" t="s">
        <v>66</v>
      </c>
      <c r="B1196" s="50" t="s">
        <v>3686</v>
      </c>
      <c r="C1196" s="457" t="s">
        <v>3711</v>
      </c>
      <c r="D1196" s="50" t="s">
        <v>40</v>
      </c>
      <c r="E1196" s="444">
        <v>46204.0</v>
      </c>
      <c r="F1196" s="22"/>
      <c r="G1196" s="22"/>
      <c r="H1196" s="22"/>
      <c r="I1196" s="50" t="s">
        <v>1865</v>
      </c>
      <c r="K1196" s="454">
        <v>1.0E9</v>
      </c>
      <c r="L1196" s="15" t="s">
        <v>3688</v>
      </c>
      <c r="M1196" s="31"/>
      <c r="N1196" s="14" t="s">
        <v>84</v>
      </c>
      <c r="O1196" s="14" t="s">
        <v>40</v>
      </c>
      <c r="Q1196" s="36"/>
      <c r="R1196" s="36"/>
      <c r="S1196" s="36"/>
      <c r="T1196" s="36"/>
      <c r="V1196" s="31"/>
    </row>
    <row r="1197">
      <c r="A1197" s="37" t="s">
        <v>66</v>
      </c>
      <c r="B1197" s="50" t="s">
        <v>3686</v>
      </c>
      <c r="C1197" s="456" t="s">
        <v>3712</v>
      </c>
      <c r="D1197" s="50" t="s">
        <v>40</v>
      </c>
      <c r="E1197" s="441">
        <v>46204.0</v>
      </c>
      <c r="F1197" s="22"/>
      <c r="G1197" s="22"/>
      <c r="H1197" s="22"/>
      <c r="I1197" s="50" t="s">
        <v>1865</v>
      </c>
      <c r="K1197" s="454">
        <v>1.0E9</v>
      </c>
      <c r="L1197" s="15" t="s">
        <v>3688</v>
      </c>
      <c r="M1197" s="31"/>
      <c r="N1197" s="14" t="s">
        <v>84</v>
      </c>
      <c r="O1197" s="14" t="s">
        <v>40</v>
      </c>
      <c r="Q1197" s="36"/>
      <c r="R1197" s="36"/>
      <c r="S1197" s="36"/>
      <c r="T1197" s="36"/>
      <c r="V1197" s="31"/>
    </row>
    <row r="1198">
      <c r="A1198" s="37" t="s">
        <v>66</v>
      </c>
      <c r="B1198" s="50" t="s">
        <v>3713</v>
      </c>
      <c r="C1198" s="15" t="s">
        <v>397</v>
      </c>
      <c r="D1198" s="50" t="s">
        <v>40</v>
      </c>
      <c r="E1198" s="459">
        <v>46235.0</v>
      </c>
      <c r="F1198" s="22"/>
      <c r="G1198" s="22"/>
      <c r="H1198" s="22"/>
      <c r="I1198" s="50" t="s">
        <v>1865</v>
      </c>
      <c r="K1198" s="454">
        <v>1.2E9</v>
      </c>
      <c r="L1198" s="29" t="s">
        <v>3714</v>
      </c>
      <c r="M1198" s="31"/>
      <c r="N1198" s="14" t="s">
        <v>84</v>
      </c>
      <c r="O1198" s="14" t="s">
        <v>133</v>
      </c>
      <c r="Q1198" s="36"/>
      <c r="R1198" s="36"/>
      <c r="S1198" s="36"/>
      <c r="T1198" s="36"/>
      <c r="V1198" s="31"/>
    </row>
    <row r="1199">
      <c r="A1199" s="37" t="s">
        <v>66</v>
      </c>
      <c r="B1199" s="50" t="s">
        <v>3713</v>
      </c>
      <c r="C1199" s="15" t="s">
        <v>401</v>
      </c>
      <c r="D1199" s="50" t="s">
        <v>40</v>
      </c>
      <c r="E1199" s="441">
        <v>46236.0</v>
      </c>
      <c r="F1199" s="22"/>
      <c r="G1199" s="22"/>
      <c r="H1199" s="22"/>
      <c r="I1199" s="50" t="s">
        <v>1865</v>
      </c>
      <c r="K1199" s="454">
        <v>1.2E9</v>
      </c>
      <c r="L1199" s="29" t="s">
        <v>3714</v>
      </c>
      <c r="M1199" s="31"/>
      <c r="N1199" s="14" t="s">
        <v>84</v>
      </c>
      <c r="O1199" s="14" t="s">
        <v>133</v>
      </c>
      <c r="Q1199" s="36"/>
      <c r="R1199" s="36"/>
      <c r="S1199" s="36"/>
      <c r="T1199" s="36"/>
      <c r="V1199" s="31"/>
    </row>
    <row r="1200">
      <c r="A1200" s="14" t="s">
        <v>117</v>
      </c>
      <c r="B1200" s="351"/>
      <c r="C1200" s="302" t="s">
        <v>3715</v>
      </c>
      <c r="D1200" s="50" t="s">
        <v>40</v>
      </c>
      <c r="E1200" s="444">
        <v>46261.0</v>
      </c>
      <c r="F1200" s="22"/>
      <c r="G1200" s="22"/>
      <c r="H1200" s="22"/>
      <c r="I1200" s="50" t="s">
        <v>90</v>
      </c>
      <c r="K1200" s="454">
        <v>5.0E8</v>
      </c>
      <c r="L1200" s="29" t="s">
        <v>3714</v>
      </c>
      <c r="M1200" s="31"/>
      <c r="N1200" s="14" t="s">
        <v>84</v>
      </c>
      <c r="O1200" s="14" t="s">
        <v>40</v>
      </c>
      <c r="Q1200" s="36"/>
      <c r="R1200" s="36"/>
      <c r="S1200" s="36"/>
      <c r="T1200" s="36"/>
      <c r="V1200" s="31"/>
    </row>
    <row r="1201">
      <c r="A1201" s="14" t="s">
        <v>117</v>
      </c>
      <c r="B1201" s="351"/>
      <c r="C1201" s="302" t="s">
        <v>3716</v>
      </c>
      <c r="D1201" s="50" t="s">
        <v>40</v>
      </c>
      <c r="E1201" s="441">
        <v>46267.0</v>
      </c>
      <c r="F1201" s="22"/>
      <c r="G1201" s="22"/>
      <c r="H1201" s="22"/>
      <c r="I1201" s="50" t="s">
        <v>90</v>
      </c>
      <c r="K1201" s="454">
        <v>5.0E7</v>
      </c>
      <c r="L1201" s="29" t="s">
        <v>3717</v>
      </c>
      <c r="M1201" s="31"/>
      <c r="N1201" s="14" t="s">
        <v>84</v>
      </c>
      <c r="O1201" s="31"/>
      <c r="Q1201" s="36"/>
      <c r="R1201" s="36"/>
      <c r="S1201" s="36"/>
      <c r="T1201" s="36"/>
      <c r="V1201" s="31"/>
    </row>
    <row r="1202">
      <c r="A1202" s="37" t="s">
        <v>66</v>
      </c>
      <c r="B1202" s="50" t="s">
        <v>3718</v>
      </c>
      <c r="C1202" s="15" t="s">
        <v>301</v>
      </c>
      <c r="D1202" s="50" t="s">
        <v>40</v>
      </c>
      <c r="E1202" s="383"/>
      <c r="F1202" s="22"/>
      <c r="G1202" s="22"/>
      <c r="H1202" s="22"/>
      <c r="I1202" s="50"/>
      <c r="K1202" s="448"/>
      <c r="L1202" s="29"/>
      <c r="M1202" s="31"/>
      <c r="N1202" s="14"/>
      <c r="O1202" s="31"/>
      <c r="Q1202" s="36"/>
      <c r="R1202" s="36"/>
      <c r="S1202" s="36"/>
      <c r="T1202" s="36"/>
      <c r="V1202" s="31"/>
    </row>
    <row r="1203">
      <c r="A1203" s="14" t="s">
        <v>117</v>
      </c>
      <c r="B1203" s="50" t="s">
        <v>3719</v>
      </c>
      <c r="C1203" s="302" t="s">
        <v>3720</v>
      </c>
      <c r="D1203" s="50" t="s">
        <v>40</v>
      </c>
      <c r="E1203" s="441">
        <v>46279.0</v>
      </c>
      <c r="F1203" s="22"/>
      <c r="G1203" s="22"/>
      <c r="H1203" s="22"/>
      <c r="I1203" s="50" t="s">
        <v>2398</v>
      </c>
      <c r="K1203" s="454">
        <v>5.0E8</v>
      </c>
      <c r="L1203" s="29" t="s">
        <v>2621</v>
      </c>
      <c r="M1203" s="31"/>
      <c r="N1203" s="14" t="s">
        <v>84</v>
      </c>
      <c r="O1203" s="14" t="s">
        <v>133</v>
      </c>
      <c r="Q1203" s="36"/>
      <c r="R1203" s="36"/>
      <c r="S1203" s="36"/>
      <c r="T1203" s="36"/>
      <c r="V1203" s="31"/>
    </row>
    <row r="1204">
      <c r="A1204" s="14" t="s">
        <v>736</v>
      </c>
      <c r="B1204" s="351" t="s">
        <v>3721</v>
      </c>
      <c r="C1204" s="460" t="s">
        <v>3722</v>
      </c>
      <c r="D1204" s="50"/>
      <c r="E1204" s="348" t="str">
        <f t="shared" ref="E1204:E1292" si="1179">TEXT(F1204, "mmmm yyyy")
</f>
        <v>agosto 2026</v>
      </c>
      <c r="F1204" s="349">
        <v>46238.0</v>
      </c>
      <c r="G1204" s="24">
        <f t="shared" ref="G1204:H1204" si="1178">F1204</f>
        <v>46238</v>
      </c>
      <c r="H1204" s="26">
        <f t="shared" si="1178"/>
        <v>46238</v>
      </c>
      <c r="I1204" s="50" t="s">
        <v>90</v>
      </c>
      <c r="K1204" s="27"/>
      <c r="L1204" s="29" t="s">
        <v>3085</v>
      </c>
      <c r="M1204" s="31"/>
      <c r="N1204" s="14" t="s">
        <v>84</v>
      </c>
      <c r="O1204" s="31"/>
      <c r="Q1204" s="36"/>
      <c r="R1204" s="36"/>
      <c r="S1204" s="36"/>
      <c r="T1204" s="36"/>
      <c r="V1204" s="31"/>
    </row>
    <row r="1205">
      <c r="A1205" s="14" t="s">
        <v>736</v>
      </c>
      <c r="B1205" s="351" t="s">
        <v>3723</v>
      </c>
      <c r="C1205" s="460" t="s">
        <v>3724</v>
      </c>
      <c r="D1205" s="50"/>
      <c r="E1205" s="348" t="str">
        <f t="shared" si="1179"/>
        <v>agosto 2026</v>
      </c>
      <c r="F1205" s="349">
        <v>46262.0</v>
      </c>
      <c r="G1205" s="24">
        <f t="shared" ref="G1205:H1205" si="1180">F1205</f>
        <v>46262</v>
      </c>
      <c r="H1205" s="26">
        <f t="shared" si="1180"/>
        <v>46262</v>
      </c>
      <c r="I1205" s="50" t="s">
        <v>90</v>
      </c>
      <c r="K1205" s="27"/>
      <c r="L1205" s="29" t="s">
        <v>3085</v>
      </c>
      <c r="M1205" s="31"/>
      <c r="N1205" s="14" t="s">
        <v>84</v>
      </c>
      <c r="O1205" s="31"/>
      <c r="Q1205" s="36"/>
      <c r="R1205" s="36"/>
      <c r="S1205" s="36"/>
      <c r="T1205" s="36"/>
      <c r="V1205" s="31"/>
    </row>
    <row r="1206">
      <c r="A1206" s="14" t="s">
        <v>736</v>
      </c>
      <c r="B1206" s="351" t="s">
        <v>3725</v>
      </c>
      <c r="C1206" s="460" t="s">
        <v>3726</v>
      </c>
      <c r="D1206" s="50"/>
      <c r="E1206" s="348" t="str">
        <f t="shared" si="1179"/>
        <v>agosto 2026</v>
      </c>
      <c r="F1206" s="349">
        <v>46261.0</v>
      </c>
      <c r="G1206" s="24">
        <f t="shared" ref="G1206:H1206" si="1181">F1206</f>
        <v>46261</v>
      </c>
      <c r="H1206" s="26">
        <f t="shared" si="1181"/>
        <v>46261</v>
      </c>
      <c r="I1206" s="50" t="s">
        <v>90</v>
      </c>
      <c r="K1206" s="27"/>
      <c r="L1206" s="29" t="s">
        <v>3085</v>
      </c>
      <c r="M1206" s="31"/>
      <c r="N1206" s="14" t="s">
        <v>84</v>
      </c>
      <c r="O1206" s="31"/>
      <c r="Q1206" s="36"/>
      <c r="R1206" s="36"/>
      <c r="S1206" s="36"/>
      <c r="T1206" s="36"/>
      <c r="V1206" s="31"/>
    </row>
    <row r="1207">
      <c r="A1207" s="14" t="s">
        <v>736</v>
      </c>
      <c r="B1207" s="351" t="s">
        <v>3727</v>
      </c>
      <c r="C1207" s="460" t="s">
        <v>3728</v>
      </c>
      <c r="D1207" s="50"/>
      <c r="E1207" s="348" t="str">
        <f t="shared" si="1179"/>
        <v>agosto 2026</v>
      </c>
      <c r="F1207" s="349">
        <v>46240.0</v>
      </c>
      <c r="G1207" s="24">
        <f t="shared" ref="G1207:H1207" si="1182">F1207</f>
        <v>46240</v>
      </c>
      <c r="H1207" s="26">
        <f t="shared" si="1182"/>
        <v>46240</v>
      </c>
      <c r="I1207" s="50" t="s">
        <v>90</v>
      </c>
      <c r="K1207" s="27"/>
      <c r="L1207" s="29" t="s">
        <v>3085</v>
      </c>
      <c r="M1207" s="31"/>
      <c r="N1207" s="14" t="s">
        <v>84</v>
      </c>
      <c r="O1207" s="31"/>
      <c r="Q1207" s="36"/>
      <c r="R1207" s="36"/>
      <c r="S1207" s="36"/>
      <c r="T1207" s="36"/>
      <c r="V1207" s="31"/>
    </row>
    <row r="1208">
      <c r="A1208" s="14" t="s">
        <v>736</v>
      </c>
      <c r="B1208" s="351" t="s">
        <v>3729</v>
      </c>
      <c r="C1208" s="460" t="s">
        <v>3730</v>
      </c>
      <c r="D1208" s="50"/>
      <c r="E1208" s="348" t="str">
        <f t="shared" si="1179"/>
        <v>septiembre 2026</v>
      </c>
      <c r="F1208" s="349">
        <v>46267.0</v>
      </c>
      <c r="G1208" s="24">
        <f t="shared" ref="G1208:H1208" si="1183">F1208</f>
        <v>46267</v>
      </c>
      <c r="H1208" s="26">
        <f t="shared" si="1183"/>
        <v>46267</v>
      </c>
      <c r="I1208" s="50" t="s">
        <v>90</v>
      </c>
      <c r="K1208" s="27"/>
      <c r="L1208" s="29" t="s">
        <v>3085</v>
      </c>
      <c r="M1208" s="31"/>
      <c r="N1208" s="14" t="s">
        <v>84</v>
      </c>
      <c r="O1208" s="31"/>
      <c r="Q1208" s="36"/>
      <c r="R1208" s="36"/>
      <c r="S1208" s="36"/>
      <c r="T1208" s="36"/>
      <c r="V1208" s="31"/>
    </row>
    <row r="1209">
      <c r="A1209" s="14" t="s">
        <v>736</v>
      </c>
      <c r="B1209" s="351" t="s">
        <v>3731</v>
      </c>
      <c r="C1209" s="460" t="s">
        <v>3732</v>
      </c>
      <c r="D1209" s="50"/>
      <c r="E1209" s="348" t="str">
        <f t="shared" si="1179"/>
        <v>agosto 2026</v>
      </c>
      <c r="F1209" s="349">
        <v>46261.0</v>
      </c>
      <c r="G1209" s="24">
        <f t="shared" ref="G1209:H1209" si="1184">F1209</f>
        <v>46261</v>
      </c>
      <c r="H1209" s="26">
        <f t="shared" si="1184"/>
        <v>46261</v>
      </c>
      <c r="I1209" s="50" t="s">
        <v>90</v>
      </c>
      <c r="K1209" s="27"/>
      <c r="L1209" s="29" t="s">
        <v>3085</v>
      </c>
      <c r="M1209" s="31"/>
      <c r="N1209" s="14" t="s">
        <v>84</v>
      </c>
      <c r="O1209" s="31"/>
      <c r="Q1209" s="36"/>
      <c r="R1209" s="36"/>
      <c r="S1209" s="36"/>
      <c r="T1209" s="36"/>
      <c r="V1209" s="31"/>
    </row>
    <row r="1210">
      <c r="A1210" s="14" t="s">
        <v>736</v>
      </c>
      <c r="B1210" s="351" t="s">
        <v>3733</v>
      </c>
      <c r="C1210" s="460" t="s">
        <v>3734</v>
      </c>
      <c r="D1210" s="50"/>
      <c r="E1210" s="348" t="str">
        <f t="shared" si="1179"/>
        <v>septiembre 2026</v>
      </c>
      <c r="F1210" s="349">
        <v>46279.0</v>
      </c>
      <c r="G1210" s="24">
        <f t="shared" ref="G1210:H1210" si="1185">F1210</f>
        <v>46279</v>
      </c>
      <c r="H1210" s="26">
        <f t="shared" si="1185"/>
        <v>46279</v>
      </c>
      <c r="I1210" s="50" t="s">
        <v>90</v>
      </c>
      <c r="K1210" s="27"/>
      <c r="L1210" s="29" t="s">
        <v>3085</v>
      </c>
      <c r="M1210" s="31"/>
      <c r="N1210" s="14" t="s">
        <v>84</v>
      </c>
      <c r="O1210" s="31"/>
      <c r="Q1210" s="36"/>
      <c r="R1210" s="36"/>
      <c r="S1210" s="36"/>
      <c r="T1210" s="36"/>
      <c r="V1210" s="31"/>
    </row>
    <row r="1211">
      <c r="A1211" s="14" t="s">
        <v>736</v>
      </c>
      <c r="B1211" s="351" t="s">
        <v>3735</v>
      </c>
      <c r="C1211" s="460" t="s">
        <v>3736</v>
      </c>
      <c r="D1211" s="50"/>
      <c r="E1211" s="348" t="str">
        <f t="shared" si="1179"/>
        <v>agosto 2026</v>
      </c>
      <c r="F1211" s="349">
        <v>46247.0</v>
      </c>
      <c r="G1211" s="24">
        <f t="shared" ref="G1211:H1211" si="1186">F1211</f>
        <v>46247</v>
      </c>
      <c r="H1211" s="26">
        <f t="shared" si="1186"/>
        <v>46247</v>
      </c>
      <c r="I1211" s="50" t="s">
        <v>90</v>
      </c>
      <c r="K1211" s="27"/>
      <c r="L1211" s="29" t="s">
        <v>3085</v>
      </c>
      <c r="M1211" s="31"/>
      <c r="N1211" s="14" t="s">
        <v>84</v>
      </c>
      <c r="O1211" s="31"/>
      <c r="Q1211" s="36"/>
      <c r="R1211" s="36"/>
      <c r="S1211" s="36"/>
      <c r="T1211" s="36"/>
      <c r="V1211" s="31"/>
    </row>
    <row r="1212">
      <c r="A1212" s="14" t="s">
        <v>736</v>
      </c>
      <c r="B1212" s="351" t="s">
        <v>3737</v>
      </c>
      <c r="C1212" s="460" t="s">
        <v>3738</v>
      </c>
      <c r="D1212" s="50"/>
      <c r="E1212" s="348" t="str">
        <f t="shared" si="1179"/>
        <v>agosto 2026</v>
      </c>
      <c r="F1212" s="349">
        <v>46253.0</v>
      </c>
      <c r="G1212" s="24">
        <f t="shared" ref="G1212:H1212" si="1187">F1212</f>
        <v>46253</v>
      </c>
      <c r="H1212" s="26">
        <f t="shared" si="1187"/>
        <v>46253</v>
      </c>
      <c r="I1212" s="50" t="s">
        <v>90</v>
      </c>
      <c r="K1212" s="27"/>
      <c r="L1212" s="29" t="s">
        <v>3085</v>
      </c>
      <c r="M1212" s="31"/>
      <c r="N1212" s="14" t="s">
        <v>84</v>
      </c>
      <c r="O1212" s="31"/>
      <c r="Q1212" s="36"/>
      <c r="R1212" s="36"/>
      <c r="S1212" s="36"/>
      <c r="T1212" s="36"/>
      <c r="V1212" s="31"/>
    </row>
    <row r="1213">
      <c r="A1213" s="14" t="s">
        <v>736</v>
      </c>
      <c r="B1213" s="351" t="s">
        <v>3739</v>
      </c>
      <c r="C1213" s="460" t="s">
        <v>3740</v>
      </c>
      <c r="D1213" s="50"/>
      <c r="E1213" s="348" t="str">
        <f t="shared" si="1179"/>
        <v>agosto 2026</v>
      </c>
      <c r="F1213" s="349">
        <v>46253.0</v>
      </c>
      <c r="G1213" s="24">
        <f t="shared" ref="G1213:H1213" si="1188">F1213</f>
        <v>46253</v>
      </c>
      <c r="H1213" s="26">
        <f t="shared" si="1188"/>
        <v>46253</v>
      </c>
      <c r="I1213" s="50" t="s">
        <v>90</v>
      </c>
      <c r="K1213" s="27"/>
      <c r="L1213" s="29" t="s">
        <v>3085</v>
      </c>
      <c r="M1213" s="31"/>
      <c r="N1213" s="14" t="s">
        <v>84</v>
      </c>
      <c r="O1213" s="31"/>
      <c r="Q1213" s="36"/>
      <c r="R1213" s="36"/>
      <c r="S1213" s="36"/>
      <c r="T1213" s="36"/>
      <c r="V1213" s="31"/>
    </row>
    <row r="1214">
      <c r="A1214" s="14" t="s">
        <v>736</v>
      </c>
      <c r="B1214" s="351" t="s">
        <v>3741</v>
      </c>
      <c r="C1214" s="460" t="s">
        <v>3742</v>
      </c>
      <c r="D1214" s="50"/>
      <c r="E1214" s="348" t="str">
        <f t="shared" si="1179"/>
        <v>agosto 2026</v>
      </c>
      <c r="F1214" s="349">
        <v>46256.0</v>
      </c>
      <c r="G1214" s="24">
        <f t="shared" ref="G1214:H1214" si="1189">F1214</f>
        <v>46256</v>
      </c>
      <c r="H1214" s="26">
        <f t="shared" si="1189"/>
        <v>46256</v>
      </c>
      <c r="I1214" s="50" t="s">
        <v>90</v>
      </c>
      <c r="K1214" s="27"/>
      <c r="L1214" s="29" t="s">
        <v>3085</v>
      </c>
      <c r="M1214" s="31"/>
      <c r="N1214" s="14" t="s">
        <v>84</v>
      </c>
      <c r="O1214" s="31"/>
      <c r="Q1214" s="36"/>
      <c r="R1214" s="36"/>
      <c r="S1214" s="36"/>
      <c r="T1214" s="36"/>
      <c r="V1214" s="31"/>
    </row>
    <row r="1215">
      <c r="A1215" s="14" t="s">
        <v>736</v>
      </c>
      <c r="B1215" s="351" t="s">
        <v>3743</v>
      </c>
      <c r="C1215" s="460" t="s">
        <v>3744</v>
      </c>
      <c r="D1215" s="50"/>
      <c r="E1215" s="348" t="str">
        <f t="shared" si="1179"/>
        <v>agosto 2026</v>
      </c>
      <c r="F1215" s="349">
        <v>46256.0</v>
      </c>
      <c r="G1215" s="24">
        <f t="shared" ref="G1215:H1215" si="1190">F1215</f>
        <v>46256</v>
      </c>
      <c r="H1215" s="26">
        <f t="shared" si="1190"/>
        <v>46256</v>
      </c>
      <c r="I1215" s="50" t="s">
        <v>90</v>
      </c>
      <c r="K1215" s="27"/>
      <c r="L1215" s="29" t="s">
        <v>3085</v>
      </c>
      <c r="M1215" s="31"/>
      <c r="N1215" s="14" t="s">
        <v>84</v>
      </c>
      <c r="O1215" s="31"/>
      <c r="Q1215" s="36"/>
      <c r="R1215" s="36"/>
      <c r="S1215" s="36"/>
      <c r="T1215" s="36"/>
      <c r="V1215" s="31"/>
    </row>
    <row r="1216">
      <c r="A1216" s="14" t="s">
        <v>736</v>
      </c>
      <c r="B1216" s="351" t="s">
        <v>3745</v>
      </c>
      <c r="C1216" s="460" t="s">
        <v>3746</v>
      </c>
      <c r="D1216" s="50"/>
      <c r="E1216" s="348" t="str">
        <f t="shared" si="1179"/>
        <v>agosto 2026</v>
      </c>
      <c r="F1216" s="349">
        <v>46256.0</v>
      </c>
      <c r="G1216" s="24">
        <f t="shared" ref="G1216:H1216" si="1191">F1216</f>
        <v>46256</v>
      </c>
      <c r="H1216" s="26">
        <f t="shared" si="1191"/>
        <v>46256</v>
      </c>
      <c r="I1216" s="50" t="s">
        <v>90</v>
      </c>
      <c r="K1216" s="27"/>
      <c r="L1216" s="29" t="s">
        <v>3085</v>
      </c>
      <c r="M1216" s="31"/>
      <c r="N1216" s="14" t="s">
        <v>84</v>
      </c>
      <c r="O1216" s="31"/>
      <c r="Q1216" s="36"/>
      <c r="R1216" s="36"/>
      <c r="S1216" s="36"/>
      <c r="T1216" s="36"/>
      <c r="V1216" s="31"/>
    </row>
    <row r="1217">
      <c r="A1217" s="14" t="s">
        <v>736</v>
      </c>
      <c r="B1217" s="351" t="s">
        <v>3747</v>
      </c>
      <c r="C1217" s="460" t="s">
        <v>3748</v>
      </c>
      <c r="D1217" s="50"/>
      <c r="E1217" s="348" t="str">
        <f t="shared" si="1179"/>
        <v>agosto 2026</v>
      </c>
      <c r="F1217" s="349">
        <v>46256.0</v>
      </c>
      <c r="G1217" s="24">
        <f t="shared" ref="G1217:H1217" si="1192">F1217</f>
        <v>46256</v>
      </c>
      <c r="H1217" s="26">
        <f t="shared" si="1192"/>
        <v>46256</v>
      </c>
      <c r="I1217" s="50" t="s">
        <v>90</v>
      </c>
      <c r="K1217" s="27"/>
      <c r="L1217" s="29" t="s">
        <v>3085</v>
      </c>
      <c r="M1217" s="31"/>
      <c r="N1217" s="14" t="s">
        <v>84</v>
      </c>
      <c r="O1217" s="31"/>
      <c r="Q1217" s="36"/>
      <c r="R1217" s="36"/>
      <c r="S1217" s="36"/>
      <c r="T1217" s="36"/>
      <c r="V1217" s="31"/>
    </row>
    <row r="1218">
      <c r="A1218" s="14" t="s">
        <v>736</v>
      </c>
      <c r="B1218" s="351" t="s">
        <v>3749</v>
      </c>
      <c r="C1218" s="460" t="s">
        <v>3750</v>
      </c>
      <c r="D1218" s="50"/>
      <c r="E1218" s="348" t="str">
        <f t="shared" si="1179"/>
        <v>agosto 2026</v>
      </c>
      <c r="F1218" s="349">
        <v>46256.0</v>
      </c>
      <c r="G1218" s="24">
        <f t="shared" ref="G1218:H1218" si="1193">F1218</f>
        <v>46256</v>
      </c>
      <c r="H1218" s="26">
        <f t="shared" si="1193"/>
        <v>46256</v>
      </c>
      <c r="I1218" s="50" t="s">
        <v>90</v>
      </c>
      <c r="K1218" s="27"/>
      <c r="L1218" s="29" t="s">
        <v>3085</v>
      </c>
      <c r="M1218" s="31"/>
      <c r="N1218" s="14" t="s">
        <v>84</v>
      </c>
      <c r="O1218" s="31"/>
      <c r="Q1218" s="36"/>
      <c r="R1218" s="36"/>
      <c r="S1218" s="36"/>
      <c r="T1218" s="36"/>
      <c r="V1218" s="31"/>
    </row>
    <row r="1219">
      <c r="A1219" s="14" t="s">
        <v>736</v>
      </c>
      <c r="B1219" s="351" t="s">
        <v>3751</v>
      </c>
      <c r="C1219" s="460" t="s">
        <v>3752</v>
      </c>
      <c r="D1219" s="50"/>
      <c r="E1219" s="348" t="str">
        <f t="shared" si="1179"/>
        <v>agosto 2026</v>
      </c>
      <c r="F1219" s="349">
        <v>46256.0</v>
      </c>
      <c r="G1219" s="24">
        <f t="shared" ref="G1219:H1219" si="1194">F1219</f>
        <v>46256</v>
      </c>
      <c r="H1219" s="26">
        <f t="shared" si="1194"/>
        <v>46256</v>
      </c>
      <c r="I1219" s="50" t="s">
        <v>90</v>
      </c>
      <c r="K1219" s="27"/>
      <c r="L1219" s="29" t="s">
        <v>3085</v>
      </c>
      <c r="M1219" s="31"/>
      <c r="N1219" s="14" t="s">
        <v>84</v>
      </c>
      <c r="O1219" s="31"/>
      <c r="Q1219" s="36"/>
      <c r="R1219" s="36"/>
      <c r="S1219" s="36"/>
      <c r="T1219" s="36"/>
      <c r="V1219" s="31"/>
    </row>
    <row r="1220">
      <c r="A1220" s="14" t="s">
        <v>736</v>
      </c>
      <c r="B1220" s="351" t="s">
        <v>3753</v>
      </c>
      <c r="C1220" s="460" t="s">
        <v>3754</v>
      </c>
      <c r="D1220" s="50"/>
      <c r="E1220" s="348" t="str">
        <f t="shared" si="1179"/>
        <v>agosto 2026</v>
      </c>
      <c r="F1220" s="349">
        <v>46256.0</v>
      </c>
      <c r="G1220" s="24">
        <f t="shared" ref="G1220:H1220" si="1195">F1220</f>
        <v>46256</v>
      </c>
      <c r="H1220" s="26">
        <f t="shared" si="1195"/>
        <v>46256</v>
      </c>
      <c r="I1220" s="50" t="s">
        <v>90</v>
      </c>
      <c r="K1220" s="27"/>
      <c r="L1220" s="29" t="s">
        <v>3085</v>
      </c>
      <c r="M1220" s="31"/>
      <c r="N1220" s="14" t="s">
        <v>84</v>
      </c>
      <c r="O1220" s="31"/>
      <c r="Q1220" s="36"/>
      <c r="R1220" s="36"/>
      <c r="S1220" s="36"/>
      <c r="T1220" s="36"/>
      <c r="V1220" s="31"/>
    </row>
    <row r="1221">
      <c r="A1221" s="14" t="s">
        <v>736</v>
      </c>
      <c r="B1221" s="351" t="s">
        <v>3755</v>
      </c>
      <c r="C1221" s="460" t="s">
        <v>3756</v>
      </c>
      <c r="D1221" s="50"/>
      <c r="E1221" s="348" t="str">
        <f t="shared" si="1179"/>
        <v>agosto 2026</v>
      </c>
      <c r="F1221" s="349">
        <v>46256.0</v>
      </c>
      <c r="G1221" s="24">
        <f t="shared" ref="G1221:H1221" si="1196">F1221</f>
        <v>46256</v>
      </c>
      <c r="H1221" s="26">
        <f t="shared" si="1196"/>
        <v>46256</v>
      </c>
      <c r="I1221" s="50" t="s">
        <v>90</v>
      </c>
      <c r="K1221" s="27"/>
      <c r="L1221" s="29" t="s">
        <v>3085</v>
      </c>
      <c r="M1221" s="31"/>
      <c r="N1221" s="14" t="s">
        <v>84</v>
      </c>
      <c r="O1221" s="31"/>
      <c r="Q1221" s="36"/>
      <c r="R1221" s="36"/>
      <c r="S1221" s="36"/>
      <c r="T1221" s="36"/>
      <c r="V1221" s="31"/>
    </row>
    <row r="1222">
      <c r="A1222" s="14" t="s">
        <v>736</v>
      </c>
      <c r="B1222" s="351" t="s">
        <v>3757</v>
      </c>
      <c r="C1222" s="460" t="s">
        <v>3758</v>
      </c>
      <c r="D1222" s="50"/>
      <c r="E1222" s="348" t="str">
        <f t="shared" si="1179"/>
        <v>agosto 2026</v>
      </c>
      <c r="F1222" s="349">
        <v>46256.0</v>
      </c>
      <c r="G1222" s="24">
        <f t="shared" ref="G1222:H1222" si="1197">F1222</f>
        <v>46256</v>
      </c>
      <c r="H1222" s="26">
        <f t="shared" si="1197"/>
        <v>46256</v>
      </c>
      <c r="I1222" s="50" t="s">
        <v>90</v>
      </c>
      <c r="K1222" s="27"/>
      <c r="L1222" s="29" t="s">
        <v>3085</v>
      </c>
      <c r="M1222" s="31"/>
      <c r="N1222" s="14" t="s">
        <v>84</v>
      </c>
      <c r="O1222" s="31"/>
      <c r="Q1222" s="36"/>
      <c r="R1222" s="36"/>
      <c r="S1222" s="36"/>
      <c r="T1222" s="36"/>
      <c r="V1222" s="31"/>
    </row>
    <row r="1223">
      <c r="A1223" s="14" t="s">
        <v>736</v>
      </c>
      <c r="B1223" s="351" t="s">
        <v>3759</v>
      </c>
      <c r="C1223" s="460" t="s">
        <v>3760</v>
      </c>
      <c r="D1223" s="50"/>
      <c r="E1223" s="348" t="str">
        <f t="shared" si="1179"/>
        <v>agosto 2026</v>
      </c>
      <c r="F1223" s="349">
        <v>46256.0</v>
      </c>
      <c r="G1223" s="24">
        <f t="shared" ref="G1223:H1223" si="1198">F1223</f>
        <v>46256</v>
      </c>
      <c r="H1223" s="26">
        <f t="shared" si="1198"/>
        <v>46256</v>
      </c>
      <c r="I1223" s="50" t="s">
        <v>90</v>
      </c>
      <c r="K1223" s="27"/>
      <c r="L1223" s="29" t="s">
        <v>3085</v>
      </c>
      <c r="M1223" s="31"/>
      <c r="N1223" s="14" t="s">
        <v>84</v>
      </c>
      <c r="O1223" s="31"/>
      <c r="Q1223" s="36"/>
      <c r="R1223" s="36"/>
      <c r="S1223" s="36"/>
      <c r="T1223" s="36"/>
      <c r="V1223" s="31"/>
    </row>
    <row r="1224">
      <c r="A1224" s="14" t="s">
        <v>736</v>
      </c>
      <c r="B1224" s="351" t="s">
        <v>3761</v>
      </c>
      <c r="C1224" s="460" t="s">
        <v>3762</v>
      </c>
      <c r="D1224" s="50"/>
      <c r="E1224" s="348" t="str">
        <f t="shared" si="1179"/>
        <v>agosto 2026</v>
      </c>
      <c r="F1224" s="349">
        <v>46256.0</v>
      </c>
      <c r="G1224" s="24">
        <f t="shared" ref="G1224:H1224" si="1199">F1224</f>
        <v>46256</v>
      </c>
      <c r="H1224" s="26">
        <f t="shared" si="1199"/>
        <v>46256</v>
      </c>
      <c r="I1224" s="50" t="s">
        <v>90</v>
      </c>
      <c r="K1224" s="27"/>
      <c r="L1224" s="29" t="s">
        <v>3085</v>
      </c>
      <c r="M1224" s="31"/>
      <c r="N1224" s="14" t="s">
        <v>84</v>
      </c>
      <c r="O1224" s="31"/>
      <c r="Q1224" s="36"/>
      <c r="R1224" s="36"/>
      <c r="S1224" s="36"/>
      <c r="T1224" s="36"/>
      <c r="V1224" s="31"/>
    </row>
    <row r="1225">
      <c r="A1225" s="14" t="s">
        <v>736</v>
      </c>
      <c r="B1225" s="351" t="s">
        <v>3763</v>
      </c>
      <c r="C1225" s="460" t="s">
        <v>3764</v>
      </c>
      <c r="D1225" s="50"/>
      <c r="E1225" s="348" t="str">
        <f t="shared" si="1179"/>
        <v>agosto 2026</v>
      </c>
      <c r="F1225" s="349">
        <v>46256.0</v>
      </c>
      <c r="G1225" s="24">
        <f t="shared" ref="G1225:H1225" si="1200">F1225</f>
        <v>46256</v>
      </c>
      <c r="H1225" s="26">
        <f t="shared" si="1200"/>
        <v>46256</v>
      </c>
      <c r="I1225" s="50" t="s">
        <v>90</v>
      </c>
      <c r="K1225" s="27"/>
      <c r="L1225" s="29" t="s">
        <v>3085</v>
      </c>
      <c r="M1225" s="31"/>
      <c r="N1225" s="14" t="s">
        <v>84</v>
      </c>
      <c r="O1225" s="31"/>
      <c r="Q1225" s="36"/>
      <c r="R1225" s="36"/>
      <c r="S1225" s="36"/>
      <c r="T1225" s="36"/>
      <c r="V1225" s="31"/>
    </row>
    <row r="1226">
      <c r="A1226" s="14" t="s">
        <v>736</v>
      </c>
      <c r="B1226" s="351" t="s">
        <v>3765</v>
      </c>
      <c r="C1226" s="460" t="s">
        <v>3766</v>
      </c>
      <c r="D1226" s="50"/>
      <c r="E1226" s="348" t="str">
        <f t="shared" si="1179"/>
        <v>agosto 2026</v>
      </c>
      <c r="F1226" s="349">
        <v>46256.0</v>
      </c>
      <c r="G1226" s="24">
        <f t="shared" ref="G1226:H1226" si="1201">F1226</f>
        <v>46256</v>
      </c>
      <c r="H1226" s="26">
        <f t="shared" si="1201"/>
        <v>46256</v>
      </c>
      <c r="I1226" s="50" t="s">
        <v>90</v>
      </c>
      <c r="K1226" s="27"/>
      <c r="L1226" s="29" t="s">
        <v>3085</v>
      </c>
      <c r="M1226" s="31"/>
      <c r="N1226" s="14" t="s">
        <v>84</v>
      </c>
      <c r="O1226" s="31"/>
      <c r="Q1226" s="36"/>
      <c r="R1226" s="36"/>
      <c r="S1226" s="36"/>
      <c r="T1226" s="36"/>
      <c r="V1226" s="31"/>
    </row>
    <row r="1227">
      <c r="A1227" s="14" t="s">
        <v>736</v>
      </c>
      <c r="B1227" s="351" t="s">
        <v>3767</v>
      </c>
      <c r="C1227" s="460" t="s">
        <v>3768</v>
      </c>
      <c r="D1227" s="50"/>
      <c r="E1227" s="348" t="str">
        <f t="shared" si="1179"/>
        <v>agosto 2026</v>
      </c>
      <c r="F1227" s="349">
        <v>46256.0</v>
      </c>
      <c r="G1227" s="24">
        <f t="shared" ref="G1227:H1227" si="1202">F1227</f>
        <v>46256</v>
      </c>
      <c r="H1227" s="26">
        <f t="shared" si="1202"/>
        <v>46256</v>
      </c>
      <c r="I1227" s="50" t="s">
        <v>90</v>
      </c>
      <c r="K1227" s="27"/>
      <c r="L1227" s="29" t="s">
        <v>3085</v>
      </c>
      <c r="M1227" s="31"/>
      <c r="N1227" s="14" t="s">
        <v>84</v>
      </c>
      <c r="O1227" s="31"/>
      <c r="Q1227" s="36"/>
      <c r="R1227" s="36"/>
      <c r="S1227" s="36"/>
      <c r="T1227" s="36"/>
      <c r="V1227" s="31"/>
    </row>
    <row r="1228">
      <c r="A1228" s="14" t="s">
        <v>736</v>
      </c>
      <c r="B1228" s="351" t="s">
        <v>3769</v>
      </c>
      <c r="C1228" s="460" t="s">
        <v>3770</v>
      </c>
      <c r="D1228" s="50"/>
      <c r="E1228" s="348" t="str">
        <f t="shared" si="1179"/>
        <v>agosto 2026</v>
      </c>
      <c r="F1228" s="349">
        <v>46256.0</v>
      </c>
      <c r="G1228" s="24">
        <f t="shared" ref="G1228:H1228" si="1203">F1228</f>
        <v>46256</v>
      </c>
      <c r="H1228" s="26">
        <f t="shared" si="1203"/>
        <v>46256</v>
      </c>
      <c r="I1228" s="50" t="s">
        <v>90</v>
      </c>
      <c r="K1228" s="27"/>
      <c r="L1228" s="29" t="s">
        <v>3085</v>
      </c>
      <c r="M1228" s="31"/>
      <c r="N1228" s="14" t="s">
        <v>84</v>
      </c>
      <c r="O1228" s="31"/>
      <c r="Q1228" s="36"/>
      <c r="R1228" s="36"/>
      <c r="S1228" s="36"/>
      <c r="T1228" s="36"/>
      <c r="V1228" s="31"/>
    </row>
    <row r="1229">
      <c r="A1229" s="14" t="s">
        <v>736</v>
      </c>
      <c r="B1229" s="351" t="s">
        <v>3771</v>
      </c>
      <c r="C1229" s="460" t="s">
        <v>3772</v>
      </c>
      <c r="D1229" s="50"/>
      <c r="E1229" s="348" t="str">
        <f t="shared" si="1179"/>
        <v>agosto 2026</v>
      </c>
      <c r="F1229" s="349">
        <v>46256.0</v>
      </c>
      <c r="G1229" s="24">
        <f t="shared" ref="G1229:H1229" si="1204">F1229</f>
        <v>46256</v>
      </c>
      <c r="H1229" s="26">
        <f t="shared" si="1204"/>
        <v>46256</v>
      </c>
      <c r="I1229" s="50" t="s">
        <v>90</v>
      </c>
      <c r="K1229" s="27"/>
      <c r="L1229" s="29" t="s">
        <v>3085</v>
      </c>
      <c r="M1229" s="31"/>
      <c r="N1229" s="14" t="s">
        <v>84</v>
      </c>
      <c r="O1229" s="31"/>
      <c r="Q1229" s="36"/>
      <c r="R1229" s="36"/>
      <c r="S1229" s="36"/>
      <c r="T1229" s="36"/>
      <c r="V1229" s="31"/>
    </row>
    <row r="1230">
      <c r="A1230" s="14" t="s">
        <v>736</v>
      </c>
      <c r="B1230" s="351" t="s">
        <v>3773</v>
      </c>
      <c r="C1230" s="460" t="s">
        <v>3774</v>
      </c>
      <c r="D1230" s="50"/>
      <c r="E1230" s="348" t="str">
        <f t="shared" si="1179"/>
        <v>agosto 2026</v>
      </c>
      <c r="F1230" s="349">
        <v>46256.0</v>
      </c>
      <c r="G1230" s="24">
        <f t="shared" ref="G1230:H1230" si="1205">F1230</f>
        <v>46256</v>
      </c>
      <c r="H1230" s="26">
        <f t="shared" si="1205"/>
        <v>46256</v>
      </c>
      <c r="I1230" s="50" t="s">
        <v>90</v>
      </c>
      <c r="K1230" s="27"/>
      <c r="L1230" s="29" t="s">
        <v>3085</v>
      </c>
      <c r="M1230" s="31"/>
      <c r="N1230" s="14" t="s">
        <v>84</v>
      </c>
      <c r="O1230" s="31"/>
      <c r="Q1230" s="36"/>
      <c r="R1230" s="36"/>
      <c r="S1230" s="36"/>
      <c r="T1230" s="36"/>
      <c r="V1230" s="31"/>
    </row>
    <row r="1231">
      <c r="A1231" s="14" t="s">
        <v>736</v>
      </c>
      <c r="B1231" s="351" t="s">
        <v>3775</v>
      </c>
      <c r="C1231" s="460" t="s">
        <v>3776</v>
      </c>
      <c r="D1231" s="50"/>
      <c r="E1231" s="348" t="str">
        <f t="shared" si="1179"/>
        <v>agosto 2026</v>
      </c>
      <c r="F1231" s="349">
        <v>46256.0</v>
      </c>
      <c r="G1231" s="24">
        <f t="shared" ref="G1231:H1231" si="1206">F1231</f>
        <v>46256</v>
      </c>
      <c r="H1231" s="26">
        <f t="shared" si="1206"/>
        <v>46256</v>
      </c>
      <c r="I1231" s="50" t="s">
        <v>90</v>
      </c>
      <c r="K1231" s="27"/>
      <c r="L1231" s="29" t="s">
        <v>3085</v>
      </c>
      <c r="M1231" s="31"/>
      <c r="N1231" s="14" t="s">
        <v>84</v>
      </c>
      <c r="O1231" s="31"/>
      <c r="Q1231" s="36"/>
      <c r="R1231" s="36"/>
      <c r="S1231" s="36"/>
      <c r="T1231" s="36"/>
      <c r="V1231" s="31"/>
    </row>
    <row r="1232">
      <c r="A1232" s="14" t="s">
        <v>736</v>
      </c>
      <c r="B1232" s="351" t="s">
        <v>3777</v>
      </c>
      <c r="C1232" s="460" t="s">
        <v>3778</v>
      </c>
      <c r="D1232" s="50"/>
      <c r="E1232" s="348" t="str">
        <f t="shared" si="1179"/>
        <v>agosto 2026</v>
      </c>
      <c r="F1232" s="349">
        <v>46256.0</v>
      </c>
      <c r="G1232" s="24">
        <f t="shared" ref="G1232:H1232" si="1207">F1232</f>
        <v>46256</v>
      </c>
      <c r="H1232" s="26">
        <f t="shared" si="1207"/>
        <v>46256</v>
      </c>
      <c r="I1232" s="50" t="s">
        <v>90</v>
      </c>
      <c r="K1232" s="27"/>
      <c r="L1232" s="29" t="s">
        <v>3085</v>
      </c>
      <c r="M1232" s="31"/>
      <c r="N1232" s="14" t="s">
        <v>84</v>
      </c>
      <c r="O1232" s="31"/>
      <c r="Q1232" s="36"/>
      <c r="R1232" s="36"/>
      <c r="S1232" s="36"/>
      <c r="T1232" s="36"/>
      <c r="V1232" s="31"/>
    </row>
    <row r="1233">
      <c r="A1233" s="14" t="s">
        <v>736</v>
      </c>
      <c r="B1233" s="351" t="s">
        <v>3779</v>
      </c>
      <c r="C1233" s="460" t="s">
        <v>3780</v>
      </c>
      <c r="D1233" s="50"/>
      <c r="E1233" s="348" t="str">
        <f t="shared" si="1179"/>
        <v>agosto 2026</v>
      </c>
      <c r="F1233" s="349">
        <v>46256.0</v>
      </c>
      <c r="G1233" s="24">
        <f t="shared" ref="G1233:H1233" si="1208">F1233</f>
        <v>46256</v>
      </c>
      <c r="H1233" s="26">
        <f t="shared" si="1208"/>
        <v>46256</v>
      </c>
      <c r="I1233" s="50" t="s">
        <v>90</v>
      </c>
      <c r="K1233" s="27"/>
      <c r="L1233" s="29" t="s">
        <v>3085</v>
      </c>
      <c r="M1233" s="31"/>
      <c r="N1233" s="14" t="s">
        <v>84</v>
      </c>
      <c r="O1233" s="31"/>
      <c r="Q1233" s="36"/>
      <c r="R1233" s="36"/>
      <c r="S1233" s="36"/>
      <c r="T1233" s="36"/>
      <c r="V1233" s="31"/>
    </row>
    <row r="1234">
      <c r="A1234" s="14" t="s">
        <v>736</v>
      </c>
      <c r="B1234" s="351" t="s">
        <v>3781</v>
      </c>
      <c r="C1234" s="460" t="s">
        <v>3782</v>
      </c>
      <c r="D1234" s="50"/>
      <c r="E1234" s="348" t="str">
        <f t="shared" si="1179"/>
        <v>agosto 2026</v>
      </c>
      <c r="F1234" s="349">
        <v>46256.0</v>
      </c>
      <c r="G1234" s="24">
        <f t="shared" ref="G1234:H1234" si="1209">F1234</f>
        <v>46256</v>
      </c>
      <c r="H1234" s="26">
        <f t="shared" si="1209"/>
        <v>46256</v>
      </c>
      <c r="I1234" s="50" t="s">
        <v>90</v>
      </c>
      <c r="K1234" s="27"/>
      <c r="L1234" s="29" t="s">
        <v>3085</v>
      </c>
      <c r="M1234" s="31"/>
      <c r="N1234" s="14" t="s">
        <v>84</v>
      </c>
      <c r="O1234" s="31"/>
      <c r="Q1234" s="36"/>
      <c r="R1234" s="36"/>
      <c r="S1234" s="36"/>
      <c r="T1234" s="36"/>
      <c r="V1234" s="31"/>
    </row>
    <row r="1235">
      <c r="A1235" s="14" t="s">
        <v>736</v>
      </c>
      <c r="B1235" s="351" t="s">
        <v>3783</v>
      </c>
      <c r="C1235" s="460" t="s">
        <v>3784</v>
      </c>
      <c r="D1235" s="50"/>
      <c r="E1235" s="348" t="str">
        <f t="shared" si="1179"/>
        <v>agosto 2026</v>
      </c>
      <c r="F1235" s="349">
        <v>46256.0</v>
      </c>
      <c r="G1235" s="24">
        <f t="shared" ref="G1235:H1235" si="1210">F1235</f>
        <v>46256</v>
      </c>
      <c r="H1235" s="26">
        <f t="shared" si="1210"/>
        <v>46256</v>
      </c>
      <c r="I1235" s="50" t="s">
        <v>90</v>
      </c>
      <c r="K1235" s="27"/>
      <c r="L1235" s="29" t="s">
        <v>3085</v>
      </c>
      <c r="M1235" s="31"/>
      <c r="N1235" s="14" t="s">
        <v>84</v>
      </c>
      <c r="O1235" s="31"/>
      <c r="Q1235" s="36"/>
      <c r="R1235" s="36"/>
      <c r="S1235" s="36"/>
      <c r="T1235" s="36"/>
      <c r="V1235" s="31"/>
    </row>
    <row r="1236">
      <c r="A1236" s="14" t="s">
        <v>736</v>
      </c>
      <c r="B1236" s="351" t="s">
        <v>3785</v>
      </c>
      <c r="C1236" s="460" t="s">
        <v>3786</v>
      </c>
      <c r="D1236" s="50"/>
      <c r="E1236" s="348" t="str">
        <f t="shared" si="1179"/>
        <v>agosto 2026</v>
      </c>
      <c r="F1236" s="349">
        <v>46256.0</v>
      </c>
      <c r="G1236" s="24">
        <f t="shared" ref="G1236:H1236" si="1211">F1236</f>
        <v>46256</v>
      </c>
      <c r="H1236" s="26">
        <f t="shared" si="1211"/>
        <v>46256</v>
      </c>
      <c r="I1236" s="50" t="s">
        <v>90</v>
      </c>
      <c r="K1236" s="27"/>
      <c r="L1236" s="29" t="s">
        <v>3085</v>
      </c>
      <c r="M1236" s="31"/>
      <c r="N1236" s="14" t="s">
        <v>84</v>
      </c>
      <c r="O1236" s="31"/>
      <c r="Q1236" s="36"/>
      <c r="R1236" s="36"/>
      <c r="S1236" s="36"/>
      <c r="T1236" s="36"/>
      <c r="V1236" s="31"/>
    </row>
    <row r="1237">
      <c r="A1237" s="14" t="s">
        <v>736</v>
      </c>
      <c r="B1237" s="351" t="s">
        <v>3787</v>
      </c>
      <c r="C1237" s="460" t="s">
        <v>3788</v>
      </c>
      <c r="D1237" s="50"/>
      <c r="E1237" s="348" t="str">
        <f t="shared" si="1179"/>
        <v>agosto 2026</v>
      </c>
      <c r="F1237" s="349">
        <v>46256.0</v>
      </c>
      <c r="G1237" s="24">
        <f t="shared" ref="G1237:H1237" si="1212">F1237</f>
        <v>46256</v>
      </c>
      <c r="H1237" s="26">
        <f t="shared" si="1212"/>
        <v>46256</v>
      </c>
      <c r="I1237" s="50" t="s">
        <v>90</v>
      </c>
      <c r="K1237" s="27"/>
      <c r="L1237" s="29" t="s">
        <v>3085</v>
      </c>
      <c r="M1237" s="31"/>
      <c r="N1237" s="14" t="s">
        <v>84</v>
      </c>
      <c r="O1237" s="31"/>
      <c r="Q1237" s="36"/>
      <c r="R1237" s="36"/>
      <c r="S1237" s="36"/>
      <c r="T1237" s="36"/>
      <c r="V1237" s="31"/>
    </row>
    <row r="1238">
      <c r="A1238" s="14" t="s">
        <v>736</v>
      </c>
      <c r="B1238" s="351" t="s">
        <v>3790</v>
      </c>
      <c r="C1238" s="460" t="s">
        <v>3791</v>
      </c>
      <c r="D1238" s="50"/>
      <c r="E1238" s="348" t="str">
        <f t="shared" si="1179"/>
        <v>agosto 2026</v>
      </c>
      <c r="F1238" s="349">
        <v>46256.0</v>
      </c>
      <c r="G1238" s="24">
        <f t="shared" ref="G1238:H1238" si="1213">F1238</f>
        <v>46256</v>
      </c>
      <c r="H1238" s="26">
        <f t="shared" si="1213"/>
        <v>46256</v>
      </c>
      <c r="I1238" s="50" t="s">
        <v>90</v>
      </c>
      <c r="K1238" s="27"/>
      <c r="L1238" s="29" t="s">
        <v>3085</v>
      </c>
      <c r="M1238" s="31"/>
      <c r="N1238" s="14" t="s">
        <v>84</v>
      </c>
      <c r="O1238" s="31"/>
      <c r="Q1238" s="36"/>
      <c r="R1238" s="36"/>
      <c r="S1238" s="36"/>
      <c r="T1238" s="36"/>
      <c r="V1238" s="31"/>
    </row>
    <row r="1239">
      <c r="A1239" s="14" t="s">
        <v>736</v>
      </c>
      <c r="B1239" s="351" t="s">
        <v>3792</v>
      </c>
      <c r="C1239" s="460" t="s">
        <v>3793</v>
      </c>
      <c r="D1239" s="50"/>
      <c r="E1239" s="348" t="str">
        <f t="shared" si="1179"/>
        <v>agosto 2026</v>
      </c>
      <c r="F1239" s="349">
        <v>46256.0</v>
      </c>
      <c r="G1239" s="24">
        <f t="shared" ref="G1239:H1239" si="1214">F1239</f>
        <v>46256</v>
      </c>
      <c r="H1239" s="26">
        <f t="shared" si="1214"/>
        <v>46256</v>
      </c>
      <c r="I1239" s="50" t="s">
        <v>90</v>
      </c>
      <c r="K1239" s="27"/>
      <c r="L1239" s="29" t="s">
        <v>3085</v>
      </c>
      <c r="M1239" s="31"/>
      <c r="N1239" s="14" t="s">
        <v>84</v>
      </c>
      <c r="O1239" s="31"/>
      <c r="Q1239" s="36"/>
      <c r="R1239" s="36"/>
      <c r="S1239" s="36"/>
      <c r="T1239" s="36"/>
      <c r="V1239" s="31"/>
    </row>
    <row r="1240">
      <c r="A1240" s="14" t="s">
        <v>736</v>
      </c>
      <c r="B1240" s="351" t="s">
        <v>3795</v>
      </c>
      <c r="C1240" s="460" t="s">
        <v>3796</v>
      </c>
      <c r="D1240" s="50"/>
      <c r="E1240" s="348" t="str">
        <f t="shared" si="1179"/>
        <v>agosto 2026</v>
      </c>
      <c r="F1240" s="349">
        <v>46256.0</v>
      </c>
      <c r="G1240" s="24">
        <f t="shared" ref="G1240:H1240" si="1215">F1240</f>
        <v>46256</v>
      </c>
      <c r="H1240" s="26">
        <f t="shared" si="1215"/>
        <v>46256</v>
      </c>
      <c r="I1240" s="50" t="s">
        <v>90</v>
      </c>
      <c r="K1240" s="27"/>
      <c r="L1240" s="29" t="s">
        <v>3085</v>
      </c>
      <c r="M1240" s="31"/>
      <c r="N1240" s="14" t="s">
        <v>84</v>
      </c>
      <c r="O1240" s="31"/>
      <c r="Q1240" s="36"/>
      <c r="R1240" s="36"/>
      <c r="S1240" s="36"/>
      <c r="T1240" s="36"/>
      <c r="V1240" s="31"/>
    </row>
    <row r="1241">
      <c r="A1241" s="14" t="s">
        <v>736</v>
      </c>
      <c r="B1241" s="351" t="s">
        <v>3798</v>
      </c>
      <c r="C1241" s="460" t="s">
        <v>3799</v>
      </c>
      <c r="D1241" s="50"/>
      <c r="E1241" s="348" t="str">
        <f t="shared" si="1179"/>
        <v>agosto 2026</v>
      </c>
      <c r="F1241" s="349">
        <v>46256.0</v>
      </c>
      <c r="G1241" s="24">
        <f t="shared" ref="G1241:H1241" si="1216">F1241</f>
        <v>46256</v>
      </c>
      <c r="H1241" s="26">
        <f t="shared" si="1216"/>
        <v>46256</v>
      </c>
      <c r="I1241" s="50" t="s">
        <v>90</v>
      </c>
      <c r="K1241" s="27"/>
      <c r="L1241" s="29" t="s">
        <v>3085</v>
      </c>
      <c r="M1241" s="31"/>
      <c r="N1241" s="14" t="s">
        <v>84</v>
      </c>
      <c r="O1241" s="31"/>
      <c r="Q1241" s="36"/>
      <c r="R1241" s="36"/>
      <c r="S1241" s="36"/>
      <c r="T1241" s="36"/>
      <c r="V1241" s="31"/>
    </row>
    <row r="1242">
      <c r="A1242" s="14" t="s">
        <v>736</v>
      </c>
      <c r="B1242" s="351" t="s">
        <v>3800</v>
      </c>
      <c r="C1242" s="460" t="s">
        <v>3801</v>
      </c>
      <c r="D1242" s="50"/>
      <c r="E1242" s="348" t="str">
        <f t="shared" si="1179"/>
        <v>agosto 2026</v>
      </c>
      <c r="F1242" s="349">
        <v>46256.0</v>
      </c>
      <c r="G1242" s="24">
        <f t="shared" ref="G1242:H1242" si="1217">F1242</f>
        <v>46256</v>
      </c>
      <c r="H1242" s="26">
        <f t="shared" si="1217"/>
        <v>46256</v>
      </c>
      <c r="I1242" s="50" t="s">
        <v>90</v>
      </c>
      <c r="K1242" s="27"/>
      <c r="L1242" s="29" t="s">
        <v>3085</v>
      </c>
      <c r="M1242" s="31"/>
      <c r="N1242" s="14" t="s">
        <v>84</v>
      </c>
      <c r="O1242" s="31"/>
      <c r="Q1242" s="36"/>
      <c r="R1242" s="36"/>
      <c r="S1242" s="36"/>
      <c r="T1242" s="36"/>
      <c r="V1242" s="31"/>
    </row>
    <row r="1243">
      <c r="A1243" s="14" t="s">
        <v>736</v>
      </c>
      <c r="B1243" s="351" t="s">
        <v>3802</v>
      </c>
      <c r="C1243" s="460" t="s">
        <v>3803</v>
      </c>
      <c r="D1243" s="50"/>
      <c r="E1243" s="348" t="str">
        <f t="shared" si="1179"/>
        <v>agosto 2026</v>
      </c>
      <c r="F1243" s="349">
        <v>46256.0</v>
      </c>
      <c r="G1243" s="24">
        <f t="shared" ref="G1243:H1243" si="1218">F1243</f>
        <v>46256</v>
      </c>
      <c r="H1243" s="26">
        <f t="shared" si="1218"/>
        <v>46256</v>
      </c>
      <c r="I1243" s="50" t="s">
        <v>90</v>
      </c>
      <c r="K1243" s="27"/>
      <c r="L1243" s="29" t="s">
        <v>3085</v>
      </c>
      <c r="M1243" s="31"/>
      <c r="N1243" s="14" t="s">
        <v>84</v>
      </c>
      <c r="O1243" s="31"/>
      <c r="Q1243" s="36"/>
      <c r="R1243" s="36"/>
      <c r="S1243" s="36"/>
      <c r="T1243" s="36"/>
      <c r="V1243" s="31"/>
    </row>
    <row r="1244">
      <c r="A1244" s="14" t="s">
        <v>736</v>
      </c>
      <c r="B1244" s="351" t="s">
        <v>3804</v>
      </c>
      <c r="C1244" s="460" t="s">
        <v>3805</v>
      </c>
      <c r="D1244" s="50"/>
      <c r="E1244" s="348" t="str">
        <f t="shared" si="1179"/>
        <v>agosto 2026</v>
      </c>
      <c r="F1244" s="349">
        <v>46256.0</v>
      </c>
      <c r="G1244" s="24">
        <f t="shared" ref="G1244:H1244" si="1219">F1244</f>
        <v>46256</v>
      </c>
      <c r="H1244" s="26">
        <f t="shared" si="1219"/>
        <v>46256</v>
      </c>
      <c r="I1244" s="50" t="s">
        <v>90</v>
      </c>
      <c r="K1244" s="27"/>
      <c r="L1244" s="29" t="s">
        <v>3085</v>
      </c>
      <c r="M1244" s="31"/>
      <c r="N1244" s="14" t="s">
        <v>84</v>
      </c>
      <c r="O1244" s="31"/>
      <c r="Q1244" s="36"/>
      <c r="R1244" s="36"/>
      <c r="S1244" s="36"/>
      <c r="T1244" s="36"/>
      <c r="V1244" s="31"/>
    </row>
    <row r="1245">
      <c r="A1245" s="14" t="s">
        <v>736</v>
      </c>
      <c r="B1245" s="351" t="s">
        <v>3806</v>
      </c>
      <c r="C1245" s="460" t="s">
        <v>3807</v>
      </c>
      <c r="D1245" s="50"/>
      <c r="E1245" s="348" t="str">
        <f t="shared" si="1179"/>
        <v>agosto 2026</v>
      </c>
      <c r="F1245" s="349">
        <v>46256.0</v>
      </c>
      <c r="G1245" s="24">
        <f t="shared" ref="G1245:H1245" si="1220">F1245</f>
        <v>46256</v>
      </c>
      <c r="H1245" s="26">
        <f t="shared" si="1220"/>
        <v>46256</v>
      </c>
      <c r="I1245" s="50" t="s">
        <v>90</v>
      </c>
      <c r="K1245" s="27"/>
      <c r="L1245" s="29" t="s">
        <v>3085</v>
      </c>
      <c r="M1245" s="31"/>
      <c r="N1245" s="14" t="s">
        <v>84</v>
      </c>
      <c r="O1245" s="31"/>
      <c r="Q1245" s="36"/>
      <c r="R1245" s="36"/>
      <c r="S1245" s="36"/>
      <c r="T1245" s="36"/>
      <c r="V1245" s="31"/>
    </row>
    <row r="1246">
      <c r="A1246" s="14" t="s">
        <v>736</v>
      </c>
      <c r="B1246" s="351" t="s">
        <v>3808</v>
      </c>
      <c r="C1246" s="460" t="s">
        <v>3809</v>
      </c>
      <c r="D1246" s="50"/>
      <c r="E1246" s="348" t="str">
        <f t="shared" si="1179"/>
        <v>agosto 2026</v>
      </c>
      <c r="F1246" s="349">
        <v>46256.0</v>
      </c>
      <c r="G1246" s="24">
        <f t="shared" ref="G1246:H1246" si="1221">F1246</f>
        <v>46256</v>
      </c>
      <c r="H1246" s="26">
        <f t="shared" si="1221"/>
        <v>46256</v>
      </c>
      <c r="I1246" s="50" t="s">
        <v>90</v>
      </c>
      <c r="K1246" s="27"/>
      <c r="L1246" s="29" t="s">
        <v>3085</v>
      </c>
      <c r="M1246" s="31"/>
      <c r="N1246" s="14" t="s">
        <v>84</v>
      </c>
      <c r="O1246" s="31"/>
      <c r="Q1246" s="36"/>
      <c r="R1246" s="36"/>
      <c r="S1246" s="36"/>
      <c r="T1246" s="36"/>
      <c r="V1246" s="31"/>
    </row>
    <row r="1247">
      <c r="A1247" s="14" t="s">
        <v>736</v>
      </c>
      <c r="B1247" s="351" t="s">
        <v>3810</v>
      </c>
      <c r="C1247" s="460" t="s">
        <v>3811</v>
      </c>
      <c r="D1247" s="50"/>
      <c r="E1247" s="348" t="str">
        <f t="shared" si="1179"/>
        <v>agosto 2026</v>
      </c>
      <c r="F1247" s="349">
        <v>46256.0</v>
      </c>
      <c r="G1247" s="24">
        <f t="shared" ref="G1247:H1247" si="1222">F1247</f>
        <v>46256</v>
      </c>
      <c r="H1247" s="26">
        <f t="shared" si="1222"/>
        <v>46256</v>
      </c>
      <c r="I1247" s="50" t="s">
        <v>90</v>
      </c>
      <c r="K1247" s="27"/>
      <c r="L1247" s="29" t="s">
        <v>3085</v>
      </c>
      <c r="M1247" s="31"/>
      <c r="N1247" s="14" t="s">
        <v>84</v>
      </c>
      <c r="O1247" s="31"/>
      <c r="Q1247" s="36"/>
      <c r="R1247" s="36"/>
      <c r="S1247" s="36"/>
      <c r="T1247" s="36"/>
      <c r="V1247" s="31"/>
    </row>
    <row r="1248">
      <c r="A1248" s="14" t="s">
        <v>736</v>
      </c>
      <c r="B1248" s="351" t="s">
        <v>3812</v>
      </c>
      <c r="C1248" s="460" t="s">
        <v>3813</v>
      </c>
      <c r="D1248" s="50"/>
      <c r="E1248" s="348" t="str">
        <f t="shared" si="1179"/>
        <v>agosto 2026</v>
      </c>
      <c r="F1248" s="349">
        <v>46256.0</v>
      </c>
      <c r="G1248" s="24">
        <f t="shared" ref="G1248:H1248" si="1223">F1248</f>
        <v>46256</v>
      </c>
      <c r="H1248" s="26">
        <f t="shared" si="1223"/>
        <v>46256</v>
      </c>
      <c r="I1248" s="50" t="s">
        <v>90</v>
      </c>
      <c r="K1248" s="27"/>
      <c r="L1248" s="29" t="s">
        <v>3085</v>
      </c>
      <c r="M1248" s="31"/>
      <c r="N1248" s="14" t="s">
        <v>84</v>
      </c>
      <c r="O1248" s="31"/>
      <c r="Q1248" s="36"/>
      <c r="R1248" s="36"/>
      <c r="S1248" s="36"/>
      <c r="T1248" s="36"/>
      <c r="V1248" s="31"/>
    </row>
    <row r="1249">
      <c r="A1249" s="14" t="s">
        <v>736</v>
      </c>
      <c r="B1249" s="351" t="s">
        <v>3814</v>
      </c>
      <c r="C1249" s="460" t="s">
        <v>3815</v>
      </c>
      <c r="D1249" s="50"/>
      <c r="E1249" s="348" t="str">
        <f t="shared" si="1179"/>
        <v>agosto 2026</v>
      </c>
      <c r="F1249" s="349">
        <v>46256.0</v>
      </c>
      <c r="G1249" s="24">
        <f t="shared" ref="G1249:H1249" si="1224">F1249</f>
        <v>46256</v>
      </c>
      <c r="H1249" s="26">
        <f t="shared" si="1224"/>
        <v>46256</v>
      </c>
      <c r="I1249" s="50" t="s">
        <v>90</v>
      </c>
      <c r="K1249" s="27"/>
      <c r="L1249" s="29" t="s">
        <v>3085</v>
      </c>
      <c r="M1249" s="31"/>
      <c r="N1249" s="14" t="s">
        <v>84</v>
      </c>
      <c r="O1249" s="31"/>
      <c r="Q1249" s="36"/>
      <c r="R1249" s="36"/>
      <c r="S1249" s="36"/>
      <c r="T1249" s="36"/>
      <c r="V1249" s="31"/>
    </row>
    <row r="1250">
      <c r="A1250" s="14" t="s">
        <v>736</v>
      </c>
      <c r="B1250" s="351" t="s">
        <v>3816</v>
      </c>
      <c r="C1250" s="460" t="s">
        <v>3817</v>
      </c>
      <c r="D1250" s="50"/>
      <c r="E1250" s="348" t="str">
        <f t="shared" si="1179"/>
        <v>septiembre 2026</v>
      </c>
      <c r="F1250" s="349">
        <v>46279.0</v>
      </c>
      <c r="G1250" s="24">
        <f t="shared" ref="G1250:H1250" si="1225">F1250</f>
        <v>46279</v>
      </c>
      <c r="H1250" s="26">
        <f t="shared" si="1225"/>
        <v>46279</v>
      </c>
      <c r="I1250" s="50" t="s">
        <v>90</v>
      </c>
      <c r="K1250" s="27"/>
      <c r="L1250" s="29" t="s">
        <v>3085</v>
      </c>
      <c r="M1250" s="31"/>
      <c r="N1250" s="14" t="s">
        <v>84</v>
      </c>
      <c r="O1250" s="31"/>
      <c r="Q1250" s="36"/>
      <c r="R1250" s="36"/>
      <c r="S1250" s="36"/>
      <c r="T1250" s="36"/>
      <c r="V1250" s="31"/>
    </row>
    <row r="1251">
      <c r="A1251" s="14" t="s">
        <v>736</v>
      </c>
      <c r="B1251" s="351" t="s">
        <v>3818</v>
      </c>
      <c r="C1251" s="460" t="s">
        <v>3819</v>
      </c>
      <c r="D1251" s="50"/>
      <c r="E1251" s="348" t="str">
        <f t="shared" si="1179"/>
        <v>agosto 2026</v>
      </c>
      <c r="F1251" s="349">
        <v>46263.0</v>
      </c>
      <c r="G1251" s="24">
        <f t="shared" ref="G1251:H1251" si="1226">F1251</f>
        <v>46263</v>
      </c>
      <c r="H1251" s="26">
        <f t="shared" si="1226"/>
        <v>46263</v>
      </c>
      <c r="I1251" s="50" t="s">
        <v>90</v>
      </c>
      <c r="K1251" s="27"/>
      <c r="L1251" s="29" t="s">
        <v>3085</v>
      </c>
      <c r="M1251" s="31"/>
      <c r="N1251" s="14" t="s">
        <v>84</v>
      </c>
      <c r="O1251" s="31"/>
      <c r="Q1251" s="36"/>
      <c r="R1251" s="36"/>
      <c r="S1251" s="36"/>
      <c r="T1251" s="36"/>
      <c r="V1251" s="31"/>
    </row>
    <row r="1252">
      <c r="A1252" s="14" t="s">
        <v>736</v>
      </c>
      <c r="B1252" s="351" t="s">
        <v>3820</v>
      </c>
      <c r="C1252" s="460" t="s">
        <v>3821</v>
      </c>
      <c r="D1252" s="50"/>
      <c r="E1252" s="348" t="str">
        <f t="shared" si="1179"/>
        <v>septiembre 2026</v>
      </c>
      <c r="F1252" s="349">
        <v>46277.0</v>
      </c>
      <c r="G1252" s="24">
        <f t="shared" ref="G1252:H1252" si="1227">F1252</f>
        <v>46277</v>
      </c>
      <c r="H1252" s="26">
        <f t="shared" si="1227"/>
        <v>46277</v>
      </c>
      <c r="I1252" s="50" t="s">
        <v>90</v>
      </c>
      <c r="K1252" s="27"/>
      <c r="L1252" s="29" t="s">
        <v>3085</v>
      </c>
      <c r="M1252" s="31"/>
      <c r="N1252" s="14" t="s">
        <v>84</v>
      </c>
      <c r="O1252" s="31"/>
      <c r="Q1252" s="36"/>
      <c r="R1252" s="36"/>
      <c r="S1252" s="36"/>
      <c r="T1252" s="36"/>
      <c r="V1252" s="31"/>
    </row>
    <row r="1253">
      <c r="A1253" s="14" t="s">
        <v>736</v>
      </c>
      <c r="B1253" s="351" t="s">
        <v>3822</v>
      </c>
      <c r="C1253" s="460" t="s">
        <v>3823</v>
      </c>
      <c r="D1253" s="50"/>
      <c r="E1253" s="348" t="str">
        <f t="shared" si="1179"/>
        <v>agosto 2026</v>
      </c>
      <c r="F1253" s="349">
        <v>46265.0</v>
      </c>
      <c r="G1253" s="24">
        <f t="shared" ref="G1253:H1253" si="1228">F1253</f>
        <v>46265</v>
      </c>
      <c r="H1253" s="26">
        <f t="shared" si="1228"/>
        <v>46265</v>
      </c>
      <c r="I1253" s="50" t="s">
        <v>90</v>
      </c>
      <c r="K1253" s="27"/>
      <c r="L1253" s="29" t="s">
        <v>3085</v>
      </c>
      <c r="M1253" s="31"/>
      <c r="N1253" s="14" t="s">
        <v>84</v>
      </c>
      <c r="O1253" s="31"/>
      <c r="Q1253" s="36"/>
      <c r="R1253" s="36"/>
      <c r="S1253" s="36"/>
      <c r="T1253" s="36"/>
      <c r="V1253" s="31"/>
    </row>
    <row r="1254">
      <c r="A1254" s="14" t="s">
        <v>736</v>
      </c>
      <c r="B1254" s="351" t="s">
        <v>3824</v>
      </c>
      <c r="C1254" s="460" t="s">
        <v>3825</v>
      </c>
      <c r="D1254" s="50"/>
      <c r="E1254" s="348" t="str">
        <f t="shared" si="1179"/>
        <v>agosto 2026</v>
      </c>
      <c r="F1254" s="349">
        <v>46265.0</v>
      </c>
      <c r="G1254" s="24">
        <f t="shared" ref="G1254:H1254" si="1229">F1254</f>
        <v>46265</v>
      </c>
      <c r="H1254" s="26">
        <f t="shared" si="1229"/>
        <v>46265</v>
      </c>
      <c r="I1254" s="50" t="s">
        <v>90</v>
      </c>
      <c r="K1254" s="27"/>
      <c r="L1254" s="29" t="s">
        <v>3085</v>
      </c>
      <c r="M1254" s="31"/>
      <c r="N1254" s="14" t="s">
        <v>84</v>
      </c>
      <c r="O1254" s="31"/>
      <c r="Q1254" s="36"/>
      <c r="R1254" s="36"/>
      <c r="S1254" s="36"/>
      <c r="T1254" s="36"/>
      <c r="V1254" s="31"/>
    </row>
    <row r="1255">
      <c r="A1255" s="14" t="s">
        <v>736</v>
      </c>
      <c r="B1255" s="351" t="s">
        <v>3826</v>
      </c>
      <c r="C1255" s="460" t="s">
        <v>3827</v>
      </c>
      <c r="D1255" s="50"/>
      <c r="E1255" s="348" t="str">
        <f t="shared" si="1179"/>
        <v>agosto 2026</v>
      </c>
      <c r="F1255" s="349">
        <v>46265.0</v>
      </c>
      <c r="G1255" s="24">
        <f t="shared" ref="G1255:H1255" si="1230">F1255</f>
        <v>46265</v>
      </c>
      <c r="H1255" s="26">
        <f t="shared" si="1230"/>
        <v>46265</v>
      </c>
      <c r="I1255" s="50" t="s">
        <v>90</v>
      </c>
      <c r="K1255" s="27"/>
      <c r="L1255" s="29" t="s">
        <v>3085</v>
      </c>
      <c r="M1255" s="31"/>
      <c r="N1255" s="14" t="s">
        <v>84</v>
      </c>
      <c r="O1255" s="31"/>
      <c r="Q1255" s="36"/>
      <c r="R1255" s="36"/>
      <c r="S1255" s="36"/>
      <c r="T1255" s="36"/>
      <c r="V1255" s="31"/>
    </row>
    <row r="1256">
      <c r="A1256" s="14" t="s">
        <v>736</v>
      </c>
      <c r="B1256" s="351" t="s">
        <v>3828</v>
      </c>
      <c r="C1256" s="460" t="s">
        <v>3829</v>
      </c>
      <c r="D1256" s="50"/>
      <c r="E1256" s="348" t="str">
        <f t="shared" si="1179"/>
        <v>septiembre 2026</v>
      </c>
      <c r="F1256" s="349">
        <v>46272.0</v>
      </c>
      <c r="G1256" s="24">
        <f t="shared" ref="G1256:H1256" si="1231">F1256</f>
        <v>46272</v>
      </c>
      <c r="H1256" s="26">
        <f t="shared" si="1231"/>
        <v>46272</v>
      </c>
      <c r="I1256" s="50" t="s">
        <v>90</v>
      </c>
      <c r="K1256" s="27"/>
      <c r="L1256" s="29" t="s">
        <v>3085</v>
      </c>
      <c r="M1256" s="31"/>
      <c r="N1256" s="14" t="s">
        <v>84</v>
      </c>
      <c r="O1256" s="31"/>
      <c r="Q1256" s="36"/>
      <c r="R1256" s="36"/>
      <c r="S1256" s="36"/>
      <c r="T1256" s="36"/>
      <c r="V1256" s="31"/>
    </row>
    <row r="1257">
      <c r="A1257" s="14" t="s">
        <v>736</v>
      </c>
      <c r="B1257" s="351" t="s">
        <v>3830</v>
      </c>
      <c r="C1257" s="460" t="s">
        <v>3831</v>
      </c>
      <c r="D1257" s="50"/>
      <c r="E1257" s="348" t="str">
        <f t="shared" si="1179"/>
        <v>septiembre 2026</v>
      </c>
      <c r="F1257" s="349">
        <v>46280.0</v>
      </c>
      <c r="G1257" s="24">
        <f t="shared" ref="G1257:H1257" si="1232">F1257</f>
        <v>46280</v>
      </c>
      <c r="H1257" s="26">
        <f t="shared" si="1232"/>
        <v>46280</v>
      </c>
      <c r="I1257" s="50" t="s">
        <v>90</v>
      </c>
      <c r="K1257" s="27"/>
      <c r="L1257" s="29" t="s">
        <v>3085</v>
      </c>
      <c r="M1257" s="31"/>
      <c r="N1257" s="14" t="s">
        <v>84</v>
      </c>
      <c r="O1257" s="31"/>
      <c r="Q1257" s="36"/>
      <c r="R1257" s="36"/>
      <c r="S1257" s="36"/>
      <c r="T1257" s="36"/>
      <c r="V1257" s="31"/>
    </row>
    <row r="1258">
      <c r="A1258" s="14" t="s">
        <v>736</v>
      </c>
      <c r="B1258" s="351" t="s">
        <v>3832</v>
      </c>
      <c r="C1258" s="460" t="s">
        <v>3833</v>
      </c>
      <c r="D1258" s="50"/>
      <c r="E1258" s="348" t="str">
        <f t="shared" si="1179"/>
        <v>diciembre 1899</v>
      </c>
      <c r="F1258" s="349"/>
      <c r="G1258" s="24" t="str">
        <f t="shared" ref="G1258:H1258" si="1233">F1258</f>
        <v/>
      </c>
      <c r="H1258" s="26" t="str">
        <f t="shared" si="1233"/>
        <v/>
      </c>
      <c r="I1258" s="50" t="s">
        <v>90</v>
      </c>
      <c r="K1258" s="27"/>
      <c r="L1258" s="29" t="s">
        <v>3085</v>
      </c>
      <c r="M1258" s="31"/>
      <c r="N1258" s="14" t="s">
        <v>84</v>
      </c>
      <c r="O1258" s="31"/>
      <c r="Q1258" s="36"/>
      <c r="R1258" s="36"/>
      <c r="S1258" s="36"/>
      <c r="T1258" s="36"/>
      <c r="V1258" s="31"/>
    </row>
    <row r="1259">
      <c r="A1259" s="14" t="s">
        <v>736</v>
      </c>
      <c r="B1259" s="351" t="s">
        <v>3834</v>
      </c>
      <c r="C1259" s="460" t="s">
        <v>3835</v>
      </c>
      <c r="D1259" s="50"/>
      <c r="E1259" s="348" t="str">
        <f t="shared" si="1179"/>
        <v>septiembre 2026</v>
      </c>
      <c r="F1259" s="349">
        <v>46280.0</v>
      </c>
      <c r="G1259" s="24">
        <f t="shared" ref="G1259:H1259" si="1234">F1259</f>
        <v>46280</v>
      </c>
      <c r="H1259" s="26">
        <f t="shared" si="1234"/>
        <v>46280</v>
      </c>
      <c r="I1259" s="50" t="s">
        <v>90</v>
      </c>
      <c r="K1259" s="27"/>
      <c r="L1259" s="29" t="s">
        <v>3085</v>
      </c>
      <c r="M1259" s="31"/>
      <c r="N1259" s="14" t="s">
        <v>84</v>
      </c>
      <c r="O1259" s="31"/>
      <c r="Q1259" s="36"/>
      <c r="R1259" s="36"/>
      <c r="S1259" s="36"/>
      <c r="T1259" s="36"/>
      <c r="V1259" s="31"/>
    </row>
    <row r="1260">
      <c r="A1260" s="14" t="s">
        <v>736</v>
      </c>
      <c r="B1260" s="351" t="s">
        <v>3836</v>
      </c>
      <c r="C1260" s="460" t="s">
        <v>3837</v>
      </c>
      <c r="D1260" s="50"/>
      <c r="E1260" s="348" t="str">
        <f t="shared" si="1179"/>
        <v>septiembre 2026</v>
      </c>
      <c r="F1260" s="349">
        <v>46283.0</v>
      </c>
      <c r="G1260" s="24">
        <f t="shared" ref="G1260:H1260" si="1235">F1260</f>
        <v>46283</v>
      </c>
      <c r="H1260" s="26">
        <f t="shared" si="1235"/>
        <v>46283</v>
      </c>
      <c r="I1260" s="50" t="s">
        <v>90</v>
      </c>
      <c r="K1260" s="27"/>
      <c r="L1260" s="29" t="s">
        <v>3085</v>
      </c>
      <c r="M1260" s="31"/>
      <c r="N1260" s="14" t="s">
        <v>84</v>
      </c>
      <c r="O1260" s="31"/>
      <c r="Q1260" s="36"/>
      <c r="R1260" s="36"/>
      <c r="S1260" s="36"/>
      <c r="T1260" s="36"/>
      <c r="V1260" s="31"/>
    </row>
    <row r="1261">
      <c r="A1261" s="14" t="s">
        <v>736</v>
      </c>
      <c r="B1261" s="351" t="s">
        <v>3838</v>
      </c>
      <c r="C1261" s="460" t="s">
        <v>3839</v>
      </c>
      <c r="D1261" s="50"/>
      <c r="E1261" s="348" t="str">
        <f t="shared" si="1179"/>
        <v>diciembre 1899</v>
      </c>
      <c r="F1261" s="349"/>
      <c r="G1261" s="24" t="str">
        <f t="shared" ref="G1261:H1261" si="1236">F1261</f>
        <v/>
      </c>
      <c r="H1261" s="26" t="str">
        <f t="shared" si="1236"/>
        <v/>
      </c>
      <c r="I1261" s="50" t="s">
        <v>90</v>
      </c>
      <c r="K1261" s="27"/>
      <c r="L1261" s="29" t="s">
        <v>3085</v>
      </c>
      <c r="M1261" s="31"/>
      <c r="N1261" s="14" t="s">
        <v>84</v>
      </c>
      <c r="O1261" s="31"/>
      <c r="Q1261" s="36"/>
      <c r="R1261" s="36"/>
      <c r="S1261" s="36"/>
      <c r="T1261" s="36"/>
      <c r="V1261" s="31"/>
    </row>
    <row r="1262">
      <c r="A1262" s="14" t="s">
        <v>736</v>
      </c>
      <c r="B1262" s="351" t="s">
        <v>3840</v>
      </c>
      <c r="C1262" s="460" t="s">
        <v>3841</v>
      </c>
      <c r="D1262" s="50"/>
      <c r="E1262" s="348" t="str">
        <f t="shared" si="1179"/>
        <v>septiembre 2026</v>
      </c>
      <c r="F1262" s="349">
        <v>46280.0</v>
      </c>
      <c r="G1262" s="24">
        <f t="shared" ref="G1262:H1262" si="1237">F1262</f>
        <v>46280</v>
      </c>
      <c r="H1262" s="26">
        <f t="shared" si="1237"/>
        <v>46280</v>
      </c>
      <c r="I1262" s="50" t="s">
        <v>90</v>
      </c>
      <c r="K1262" s="27"/>
      <c r="L1262" s="29" t="s">
        <v>3085</v>
      </c>
      <c r="M1262" s="31"/>
      <c r="N1262" s="14" t="s">
        <v>84</v>
      </c>
      <c r="O1262" s="31"/>
      <c r="Q1262" s="36"/>
      <c r="R1262" s="36"/>
      <c r="S1262" s="36"/>
      <c r="T1262" s="36"/>
      <c r="V1262" s="31"/>
    </row>
    <row r="1263">
      <c r="A1263" s="14" t="s">
        <v>736</v>
      </c>
      <c r="B1263" s="351" t="s">
        <v>3842</v>
      </c>
      <c r="C1263" s="460" t="s">
        <v>3843</v>
      </c>
      <c r="D1263" s="50"/>
      <c r="E1263" s="348" t="str">
        <f t="shared" si="1179"/>
        <v>septiembre 2026</v>
      </c>
      <c r="F1263" s="349">
        <v>46286.0</v>
      </c>
      <c r="G1263" s="24">
        <f t="shared" ref="G1263:H1263" si="1238">F1263</f>
        <v>46286</v>
      </c>
      <c r="H1263" s="26">
        <f t="shared" si="1238"/>
        <v>46286</v>
      </c>
      <c r="I1263" s="50" t="s">
        <v>90</v>
      </c>
      <c r="K1263" s="27"/>
      <c r="L1263" s="29" t="s">
        <v>3085</v>
      </c>
      <c r="M1263" s="31"/>
      <c r="N1263" s="14" t="s">
        <v>84</v>
      </c>
      <c r="O1263" s="31"/>
      <c r="Q1263" s="36"/>
      <c r="R1263" s="36"/>
      <c r="S1263" s="36"/>
      <c r="T1263" s="36"/>
      <c r="V1263" s="31"/>
    </row>
    <row r="1264">
      <c r="A1264" s="14" t="s">
        <v>736</v>
      </c>
      <c r="B1264" s="351" t="s">
        <v>3844</v>
      </c>
      <c r="C1264" s="460" t="s">
        <v>3845</v>
      </c>
      <c r="D1264" s="50"/>
      <c r="E1264" s="348" t="str">
        <f t="shared" si="1179"/>
        <v>septiembre 2026</v>
      </c>
      <c r="F1264" s="349">
        <v>46288.0</v>
      </c>
      <c r="G1264" s="24">
        <f t="shared" ref="G1264:H1264" si="1239">F1264</f>
        <v>46288</v>
      </c>
      <c r="H1264" s="26">
        <f t="shared" si="1239"/>
        <v>46288</v>
      </c>
      <c r="I1264" s="50" t="s">
        <v>90</v>
      </c>
      <c r="K1264" s="27"/>
      <c r="L1264" s="29" t="s">
        <v>3085</v>
      </c>
      <c r="M1264" s="31"/>
      <c r="N1264" s="14" t="s">
        <v>84</v>
      </c>
      <c r="O1264" s="31"/>
      <c r="Q1264" s="36"/>
      <c r="R1264" s="36"/>
      <c r="S1264" s="36"/>
      <c r="T1264" s="36"/>
      <c r="V1264" s="31"/>
    </row>
    <row r="1265">
      <c r="A1265" s="14" t="s">
        <v>736</v>
      </c>
      <c r="B1265" s="351" t="s">
        <v>3846</v>
      </c>
      <c r="C1265" s="460" t="s">
        <v>3847</v>
      </c>
      <c r="D1265" s="50"/>
      <c r="E1265" s="348" t="str">
        <f t="shared" si="1179"/>
        <v>diciembre 1899</v>
      </c>
      <c r="F1265" s="349"/>
      <c r="G1265" s="24" t="str">
        <f t="shared" ref="G1265:H1265" si="1240">F1265</f>
        <v/>
      </c>
      <c r="H1265" s="26" t="str">
        <f t="shared" si="1240"/>
        <v/>
      </c>
      <c r="I1265" s="50" t="s">
        <v>90</v>
      </c>
      <c r="K1265" s="27"/>
      <c r="L1265" s="29" t="s">
        <v>3085</v>
      </c>
      <c r="M1265" s="31"/>
      <c r="N1265" s="14" t="s">
        <v>84</v>
      </c>
      <c r="O1265" s="31"/>
      <c r="Q1265" s="36"/>
      <c r="R1265" s="36"/>
      <c r="S1265" s="36"/>
      <c r="T1265" s="36"/>
      <c r="V1265" s="31"/>
    </row>
    <row r="1266">
      <c r="A1266" s="14" t="s">
        <v>736</v>
      </c>
      <c r="B1266" s="351" t="s">
        <v>3848</v>
      </c>
      <c r="C1266" s="460" t="s">
        <v>3849</v>
      </c>
      <c r="D1266" s="50"/>
      <c r="E1266" s="348" t="str">
        <f t="shared" si="1179"/>
        <v>diciembre 1899</v>
      </c>
      <c r="F1266" s="349"/>
      <c r="G1266" s="24" t="str">
        <f t="shared" ref="G1266:H1266" si="1241">F1266</f>
        <v/>
      </c>
      <c r="H1266" s="26" t="str">
        <f t="shared" si="1241"/>
        <v/>
      </c>
      <c r="I1266" s="50" t="s">
        <v>90</v>
      </c>
      <c r="K1266" s="27"/>
      <c r="L1266" s="29" t="s">
        <v>3085</v>
      </c>
      <c r="M1266" s="31"/>
      <c r="N1266" s="14" t="s">
        <v>84</v>
      </c>
      <c r="O1266" s="31"/>
      <c r="Q1266" s="36"/>
      <c r="R1266" s="36"/>
      <c r="S1266" s="36"/>
      <c r="T1266" s="36"/>
      <c r="V1266" s="31"/>
    </row>
    <row r="1267">
      <c r="A1267" s="14" t="s">
        <v>736</v>
      </c>
      <c r="B1267" s="351" t="s">
        <v>3850</v>
      </c>
      <c r="C1267" s="460" t="s">
        <v>3851</v>
      </c>
      <c r="D1267" s="50"/>
      <c r="E1267" s="348" t="str">
        <f t="shared" si="1179"/>
        <v>diciembre 1899</v>
      </c>
      <c r="F1267" s="349"/>
      <c r="G1267" s="24" t="str">
        <f t="shared" ref="G1267:H1267" si="1242">F1267</f>
        <v/>
      </c>
      <c r="H1267" s="26" t="str">
        <f t="shared" si="1242"/>
        <v/>
      </c>
      <c r="I1267" s="50" t="s">
        <v>90</v>
      </c>
      <c r="K1267" s="27"/>
      <c r="L1267" s="29" t="s">
        <v>3085</v>
      </c>
      <c r="M1267" s="31"/>
      <c r="N1267" s="14" t="s">
        <v>84</v>
      </c>
      <c r="O1267" s="31"/>
      <c r="Q1267" s="36"/>
      <c r="R1267" s="36"/>
      <c r="S1267" s="36"/>
      <c r="T1267" s="36"/>
      <c r="V1267" s="31"/>
    </row>
    <row r="1268">
      <c r="A1268" s="14" t="s">
        <v>736</v>
      </c>
      <c r="B1268" s="351" t="s">
        <v>3852</v>
      </c>
      <c r="C1268" s="460" t="s">
        <v>3853</v>
      </c>
      <c r="D1268" s="50"/>
      <c r="E1268" s="348" t="str">
        <f t="shared" si="1179"/>
        <v>diciembre 1899</v>
      </c>
      <c r="F1268" s="349"/>
      <c r="G1268" s="24" t="str">
        <f t="shared" ref="G1268:H1268" si="1243">F1268</f>
        <v/>
      </c>
      <c r="H1268" s="26" t="str">
        <f t="shared" si="1243"/>
        <v/>
      </c>
      <c r="I1268" s="50" t="s">
        <v>90</v>
      </c>
      <c r="K1268" s="27"/>
      <c r="L1268" s="29" t="s">
        <v>3085</v>
      </c>
      <c r="M1268" s="31"/>
      <c r="N1268" s="14" t="s">
        <v>84</v>
      </c>
      <c r="O1268" s="31"/>
      <c r="Q1268" s="36"/>
      <c r="R1268" s="36"/>
      <c r="S1268" s="36"/>
      <c r="T1268" s="36"/>
      <c r="V1268" s="31"/>
    </row>
    <row r="1269">
      <c r="A1269" s="14" t="s">
        <v>736</v>
      </c>
      <c r="B1269" s="351" t="s">
        <v>3854</v>
      </c>
      <c r="C1269" s="460" t="s">
        <v>3855</v>
      </c>
      <c r="D1269" s="50"/>
      <c r="E1269" s="348" t="str">
        <f t="shared" si="1179"/>
        <v>diciembre 1899</v>
      </c>
      <c r="F1269" s="349"/>
      <c r="G1269" s="24" t="str">
        <f t="shared" ref="G1269:H1269" si="1244">F1269</f>
        <v/>
      </c>
      <c r="H1269" s="26" t="str">
        <f t="shared" si="1244"/>
        <v/>
      </c>
      <c r="I1269" s="50" t="s">
        <v>90</v>
      </c>
      <c r="K1269" s="27"/>
      <c r="L1269" s="29" t="s">
        <v>3085</v>
      </c>
      <c r="M1269" s="31"/>
      <c r="N1269" s="14" t="s">
        <v>84</v>
      </c>
      <c r="O1269" s="31"/>
      <c r="Q1269" s="36"/>
      <c r="R1269" s="36"/>
      <c r="S1269" s="36"/>
      <c r="T1269" s="36"/>
      <c r="V1269" s="31"/>
    </row>
    <row r="1270">
      <c r="A1270" s="14" t="s">
        <v>736</v>
      </c>
      <c r="B1270" s="351" t="s">
        <v>3856</v>
      </c>
      <c r="C1270" s="460" t="s">
        <v>3857</v>
      </c>
      <c r="D1270" s="50"/>
      <c r="E1270" s="348" t="str">
        <f t="shared" si="1179"/>
        <v>diciembre 1899</v>
      </c>
      <c r="F1270" s="349"/>
      <c r="G1270" s="24" t="str">
        <f t="shared" ref="G1270:H1270" si="1245">F1270</f>
        <v/>
      </c>
      <c r="H1270" s="26" t="str">
        <f t="shared" si="1245"/>
        <v/>
      </c>
      <c r="I1270" s="50" t="s">
        <v>90</v>
      </c>
      <c r="K1270" s="27"/>
      <c r="L1270" s="29" t="s">
        <v>3085</v>
      </c>
      <c r="M1270" s="31"/>
      <c r="N1270" s="14" t="s">
        <v>84</v>
      </c>
      <c r="O1270" s="31"/>
      <c r="Q1270" s="36"/>
      <c r="R1270" s="36"/>
      <c r="S1270" s="36"/>
      <c r="T1270" s="36"/>
      <c r="V1270" s="31"/>
    </row>
    <row r="1271">
      <c r="A1271" s="14" t="s">
        <v>736</v>
      </c>
      <c r="B1271" s="351" t="s">
        <v>3858</v>
      </c>
      <c r="C1271" s="460" t="s">
        <v>3859</v>
      </c>
      <c r="D1271" s="50"/>
      <c r="E1271" s="348" t="str">
        <f t="shared" si="1179"/>
        <v>diciembre 1899</v>
      </c>
      <c r="F1271" s="349"/>
      <c r="G1271" s="24" t="str">
        <f t="shared" ref="G1271:H1271" si="1246">F1271</f>
        <v/>
      </c>
      <c r="H1271" s="26" t="str">
        <f t="shared" si="1246"/>
        <v/>
      </c>
      <c r="I1271" s="50" t="s">
        <v>90</v>
      </c>
      <c r="K1271" s="27"/>
      <c r="L1271" s="29" t="s">
        <v>3085</v>
      </c>
      <c r="M1271" s="31"/>
      <c r="N1271" s="14" t="s">
        <v>84</v>
      </c>
      <c r="O1271" s="31"/>
      <c r="Q1271" s="36"/>
      <c r="R1271" s="36"/>
      <c r="S1271" s="36"/>
      <c r="T1271" s="36"/>
      <c r="V1271" s="31"/>
    </row>
    <row r="1272">
      <c r="A1272" s="14" t="s">
        <v>736</v>
      </c>
      <c r="B1272" s="351" t="s">
        <v>3860</v>
      </c>
      <c r="C1272" s="460" t="s">
        <v>3861</v>
      </c>
      <c r="D1272" s="50"/>
      <c r="E1272" s="348" t="str">
        <f t="shared" si="1179"/>
        <v>diciembre 1899</v>
      </c>
      <c r="F1272" s="349"/>
      <c r="G1272" s="24" t="str">
        <f t="shared" ref="G1272:H1272" si="1247">F1272</f>
        <v/>
      </c>
      <c r="H1272" s="26" t="str">
        <f t="shared" si="1247"/>
        <v/>
      </c>
      <c r="I1272" s="50" t="s">
        <v>90</v>
      </c>
      <c r="K1272" s="27"/>
      <c r="L1272" s="29" t="s">
        <v>3085</v>
      </c>
      <c r="M1272" s="31"/>
      <c r="N1272" s="14" t="s">
        <v>84</v>
      </c>
      <c r="O1272" s="31"/>
      <c r="Q1272" s="36"/>
      <c r="R1272" s="36"/>
      <c r="S1272" s="36"/>
      <c r="T1272" s="36"/>
      <c r="V1272" s="31"/>
    </row>
    <row r="1273">
      <c r="A1273" s="14" t="s">
        <v>736</v>
      </c>
      <c r="B1273" s="351" t="s">
        <v>3863</v>
      </c>
      <c r="C1273" s="460" t="s">
        <v>3864</v>
      </c>
      <c r="D1273" s="50"/>
      <c r="E1273" s="348" t="str">
        <f t="shared" si="1179"/>
        <v>diciembre 1899</v>
      </c>
      <c r="F1273" s="349"/>
      <c r="G1273" s="24" t="str">
        <f t="shared" ref="G1273:H1273" si="1248">F1273</f>
        <v/>
      </c>
      <c r="H1273" s="26" t="str">
        <f t="shared" si="1248"/>
        <v/>
      </c>
      <c r="I1273" s="50" t="s">
        <v>90</v>
      </c>
      <c r="K1273" s="27"/>
      <c r="L1273" s="29" t="s">
        <v>3085</v>
      </c>
      <c r="M1273" s="31"/>
      <c r="N1273" s="14" t="s">
        <v>84</v>
      </c>
      <c r="O1273" s="31"/>
      <c r="Q1273" s="36"/>
      <c r="R1273" s="36"/>
      <c r="S1273" s="36"/>
      <c r="T1273" s="36"/>
      <c r="V1273" s="31"/>
    </row>
    <row r="1274">
      <c r="A1274" s="14" t="s">
        <v>736</v>
      </c>
      <c r="B1274" s="351" t="s">
        <v>3865</v>
      </c>
      <c r="C1274" s="460" t="s">
        <v>3866</v>
      </c>
      <c r="D1274" s="50"/>
      <c r="E1274" s="348" t="str">
        <f t="shared" si="1179"/>
        <v>diciembre 1899</v>
      </c>
      <c r="F1274" s="349"/>
      <c r="G1274" s="24" t="str">
        <f t="shared" ref="G1274:H1274" si="1249">F1274</f>
        <v/>
      </c>
      <c r="H1274" s="26" t="str">
        <f t="shared" si="1249"/>
        <v/>
      </c>
      <c r="I1274" s="50" t="s">
        <v>90</v>
      </c>
      <c r="K1274" s="27"/>
      <c r="L1274" s="29" t="s">
        <v>3085</v>
      </c>
      <c r="M1274" s="31"/>
      <c r="N1274" s="14" t="s">
        <v>84</v>
      </c>
      <c r="O1274" s="31"/>
      <c r="Q1274" s="36"/>
      <c r="R1274" s="36"/>
      <c r="S1274" s="36"/>
      <c r="T1274" s="36"/>
      <c r="V1274" s="31"/>
    </row>
    <row r="1275">
      <c r="A1275" s="14" t="s">
        <v>736</v>
      </c>
      <c r="B1275" s="351" t="s">
        <v>3868</v>
      </c>
      <c r="C1275" s="460" t="s">
        <v>3869</v>
      </c>
      <c r="D1275" s="50"/>
      <c r="E1275" s="348" t="str">
        <f t="shared" si="1179"/>
        <v>diciembre 1899</v>
      </c>
      <c r="F1275" s="349"/>
      <c r="G1275" s="24" t="str">
        <f t="shared" ref="G1275:H1275" si="1250">F1275</f>
        <v/>
      </c>
      <c r="H1275" s="26" t="str">
        <f t="shared" si="1250"/>
        <v/>
      </c>
      <c r="I1275" s="50" t="s">
        <v>90</v>
      </c>
      <c r="K1275" s="27"/>
      <c r="L1275" s="29" t="s">
        <v>3085</v>
      </c>
      <c r="M1275" s="31"/>
      <c r="N1275" s="14" t="s">
        <v>84</v>
      </c>
      <c r="O1275" s="31"/>
      <c r="Q1275" s="36"/>
      <c r="R1275" s="36"/>
      <c r="S1275" s="36"/>
      <c r="T1275" s="36"/>
      <c r="V1275" s="31"/>
    </row>
    <row r="1276">
      <c r="A1276" s="14" t="s">
        <v>736</v>
      </c>
      <c r="B1276" s="351" t="s">
        <v>3870</v>
      </c>
      <c r="C1276" s="460" t="s">
        <v>3871</v>
      </c>
      <c r="D1276" s="50"/>
      <c r="E1276" s="348" t="str">
        <f t="shared" si="1179"/>
        <v>septiembre 2026</v>
      </c>
      <c r="F1276" s="349">
        <v>46288.0</v>
      </c>
      <c r="G1276" s="24">
        <f t="shared" ref="G1276:H1276" si="1251">F1276</f>
        <v>46288</v>
      </c>
      <c r="H1276" s="26">
        <f t="shared" si="1251"/>
        <v>46288</v>
      </c>
      <c r="I1276" s="50" t="s">
        <v>90</v>
      </c>
      <c r="K1276" s="27"/>
      <c r="L1276" s="29" t="s">
        <v>3085</v>
      </c>
      <c r="M1276" s="31"/>
      <c r="N1276" s="14" t="s">
        <v>84</v>
      </c>
      <c r="O1276" s="31"/>
      <c r="Q1276" s="36"/>
      <c r="R1276" s="36"/>
      <c r="S1276" s="36"/>
      <c r="T1276" s="36"/>
      <c r="V1276" s="31"/>
    </row>
    <row r="1277">
      <c r="A1277" s="14" t="s">
        <v>736</v>
      </c>
      <c r="B1277" s="351" t="s">
        <v>3873</v>
      </c>
      <c r="C1277" s="460" t="s">
        <v>3874</v>
      </c>
      <c r="D1277" s="50"/>
      <c r="E1277" s="348" t="str">
        <f t="shared" si="1179"/>
        <v>septiembre 2026</v>
      </c>
      <c r="F1277" s="349">
        <v>46284.0</v>
      </c>
      <c r="G1277" s="24">
        <f t="shared" ref="G1277:H1277" si="1252">F1277</f>
        <v>46284</v>
      </c>
      <c r="H1277" s="26">
        <f t="shared" si="1252"/>
        <v>46284</v>
      </c>
      <c r="I1277" s="50" t="s">
        <v>90</v>
      </c>
      <c r="K1277" s="27"/>
      <c r="L1277" s="29" t="s">
        <v>3085</v>
      </c>
      <c r="M1277" s="31"/>
      <c r="N1277" s="14" t="s">
        <v>84</v>
      </c>
      <c r="O1277" s="31"/>
      <c r="Q1277" s="36"/>
      <c r="R1277" s="36"/>
      <c r="S1277" s="36"/>
      <c r="T1277" s="36"/>
      <c r="V1277" s="31"/>
    </row>
    <row r="1278">
      <c r="A1278" s="14" t="s">
        <v>736</v>
      </c>
      <c r="B1278" s="351" t="s">
        <v>3875</v>
      </c>
      <c r="C1278" s="460" t="s">
        <v>3876</v>
      </c>
      <c r="D1278" s="50"/>
      <c r="E1278" s="348" t="str">
        <f t="shared" si="1179"/>
        <v>septiembre 2026</v>
      </c>
      <c r="F1278" s="349">
        <v>46284.0</v>
      </c>
      <c r="G1278" s="24">
        <f t="shared" ref="G1278:H1278" si="1253">F1278</f>
        <v>46284</v>
      </c>
      <c r="H1278" s="26">
        <f t="shared" si="1253"/>
        <v>46284</v>
      </c>
      <c r="I1278" s="50" t="s">
        <v>90</v>
      </c>
      <c r="K1278" s="27"/>
      <c r="L1278" s="29" t="s">
        <v>3085</v>
      </c>
      <c r="M1278" s="31"/>
      <c r="N1278" s="14" t="s">
        <v>84</v>
      </c>
      <c r="O1278" s="31"/>
      <c r="Q1278" s="36"/>
      <c r="R1278" s="36"/>
      <c r="S1278" s="36"/>
      <c r="T1278" s="36"/>
      <c r="V1278" s="31"/>
    </row>
    <row r="1279">
      <c r="A1279" s="14" t="s">
        <v>736</v>
      </c>
      <c r="B1279" s="351" t="s">
        <v>3877</v>
      </c>
      <c r="C1279" s="460" t="s">
        <v>3878</v>
      </c>
      <c r="D1279" s="50"/>
      <c r="E1279" s="348" t="str">
        <f t="shared" si="1179"/>
        <v>septiembre 2026</v>
      </c>
      <c r="F1279" s="349">
        <v>46284.0</v>
      </c>
      <c r="G1279" s="24">
        <f t="shared" ref="G1279:H1279" si="1254">F1279</f>
        <v>46284</v>
      </c>
      <c r="H1279" s="26">
        <f t="shared" si="1254"/>
        <v>46284</v>
      </c>
      <c r="I1279" s="50" t="s">
        <v>90</v>
      </c>
      <c r="K1279" s="27"/>
      <c r="L1279" s="29" t="s">
        <v>3085</v>
      </c>
      <c r="M1279" s="31"/>
      <c r="N1279" s="14" t="s">
        <v>84</v>
      </c>
      <c r="O1279" s="31"/>
      <c r="Q1279" s="36"/>
      <c r="R1279" s="36"/>
      <c r="S1279" s="36"/>
      <c r="T1279" s="36"/>
      <c r="V1279" s="31"/>
    </row>
    <row r="1280">
      <c r="A1280" s="14" t="s">
        <v>736</v>
      </c>
      <c r="B1280" s="351" t="s">
        <v>3879</v>
      </c>
      <c r="C1280" s="460" t="s">
        <v>3880</v>
      </c>
      <c r="D1280" s="50"/>
      <c r="E1280" s="348" t="str">
        <f t="shared" si="1179"/>
        <v>septiembre 2026</v>
      </c>
      <c r="F1280" s="349">
        <v>46284.0</v>
      </c>
      <c r="G1280" s="24">
        <f t="shared" ref="G1280:H1280" si="1255">F1280</f>
        <v>46284</v>
      </c>
      <c r="H1280" s="26">
        <f t="shared" si="1255"/>
        <v>46284</v>
      </c>
      <c r="I1280" s="50" t="s">
        <v>90</v>
      </c>
      <c r="K1280" s="27"/>
      <c r="L1280" s="29" t="s">
        <v>3085</v>
      </c>
      <c r="M1280" s="31"/>
      <c r="N1280" s="14" t="s">
        <v>84</v>
      </c>
      <c r="O1280" s="31"/>
      <c r="Q1280" s="36"/>
      <c r="R1280" s="36"/>
      <c r="S1280" s="36"/>
      <c r="T1280" s="36"/>
      <c r="V1280" s="31"/>
    </row>
    <row r="1281">
      <c r="A1281" s="14" t="s">
        <v>736</v>
      </c>
      <c r="B1281" s="351" t="s">
        <v>3881</v>
      </c>
      <c r="C1281" s="460" t="s">
        <v>3882</v>
      </c>
      <c r="D1281" s="50"/>
      <c r="E1281" s="348" t="str">
        <f t="shared" si="1179"/>
        <v>septiembre 2026</v>
      </c>
      <c r="F1281" s="349">
        <v>46288.0</v>
      </c>
      <c r="G1281" s="24">
        <f t="shared" ref="G1281:H1281" si="1256">F1281</f>
        <v>46288</v>
      </c>
      <c r="H1281" s="26">
        <f t="shared" si="1256"/>
        <v>46288</v>
      </c>
      <c r="I1281" s="50" t="s">
        <v>90</v>
      </c>
      <c r="K1281" s="27"/>
      <c r="L1281" s="29" t="s">
        <v>3085</v>
      </c>
      <c r="M1281" s="31"/>
      <c r="N1281" s="14" t="s">
        <v>84</v>
      </c>
      <c r="O1281" s="31"/>
      <c r="Q1281" s="36"/>
      <c r="R1281" s="36"/>
      <c r="S1281" s="36"/>
      <c r="T1281" s="36"/>
      <c r="V1281" s="31"/>
    </row>
    <row r="1282">
      <c r="A1282" s="14" t="s">
        <v>736</v>
      </c>
      <c r="B1282" s="351" t="s">
        <v>3883</v>
      </c>
      <c r="C1282" s="460" t="s">
        <v>3884</v>
      </c>
      <c r="D1282" s="50"/>
      <c r="E1282" s="348" t="str">
        <f t="shared" si="1179"/>
        <v>diciembre 1899</v>
      </c>
      <c r="F1282" s="349"/>
      <c r="G1282" s="24" t="str">
        <f t="shared" ref="G1282:H1282" si="1257">F1282</f>
        <v/>
      </c>
      <c r="H1282" s="26" t="str">
        <f t="shared" si="1257"/>
        <v/>
      </c>
      <c r="I1282" s="50" t="s">
        <v>90</v>
      </c>
      <c r="K1282" s="27"/>
      <c r="L1282" s="29" t="s">
        <v>3085</v>
      </c>
      <c r="M1282" s="31"/>
      <c r="N1282" s="14" t="s">
        <v>84</v>
      </c>
      <c r="O1282" s="31"/>
      <c r="Q1282" s="36"/>
      <c r="R1282" s="36"/>
      <c r="S1282" s="36"/>
      <c r="T1282" s="36"/>
      <c r="V1282" s="31"/>
    </row>
    <row r="1283">
      <c r="A1283" s="14" t="s">
        <v>736</v>
      </c>
      <c r="B1283" s="351" t="s">
        <v>3885</v>
      </c>
      <c r="C1283" s="460" t="s">
        <v>3886</v>
      </c>
      <c r="D1283" s="50"/>
      <c r="E1283" s="348" t="str">
        <f t="shared" si="1179"/>
        <v>diciembre 1899</v>
      </c>
      <c r="F1283" s="349"/>
      <c r="G1283" s="24" t="str">
        <f t="shared" ref="G1283:H1283" si="1258">F1283</f>
        <v/>
      </c>
      <c r="H1283" s="26" t="str">
        <f t="shared" si="1258"/>
        <v/>
      </c>
      <c r="I1283" s="50" t="s">
        <v>90</v>
      </c>
      <c r="K1283" s="27"/>
      <c r="L1283" s="29" t="s">
        <v>3085</v>
      </c>
      <c r="M1283" s="31"/>
      <c r="N1283" s="14" t="s">
        <v>84</v>
      </c>
      <c r="O1283" s="31"/>
      <c r="Q1283" s="36"/>
      <c r="R1283" s="36"/>
      <c r="S1283" s="36"/>
      <c r="T1283" s="36"/>
      <c r="V1283" s="31"/>
    </row>
    <row r="1284">
      <c r="A1284" s="14" t="s">
        <v>736</v>
      </c>
      <c r="B1284" s="351" t="s">
        <v>3887</v>
      </c>
      <c r="C1284" s="460" t="s">
        <v>3888</v>
      </c>
      <c r="D1284" s="50"/>
      <c r="E1284" s="348" t="str">
        <f t="shared" si="1179"/>
        <v>septiembre 2026</v>
      </c>
      <c r="F1284" s="349">
        <v>46289.0</v>
      </c>
      <c r="G1284" s="24">
        <f t="shared" ref="G1284:H1284" si="1259">F1284</f>
        <v>46289</v>
      </c>
      <c r="H1284" s="26">
        <f t="shared" si="1259"/>
        <v>46289</v>
      </c>
      <c r="I1284" s="50" t="s">
        <v>90</v>
      </c>
      <c r="K1284" s="27"/>
      <c r="L1284" s="29" t="s">
        <v>3085</v>
      </c>
      <c r="M1284" s="31"/>
      <c r="N1284" s="14" t="s">
        <v>84</v>
      </c>
      <c r="O1284" s="31"/>
      <c r="Q1284" s="36"/>
      <c r="R1284" s="36"/>
      <c r="S1284" s="36"/>
      <c r="T1284" s="36"/>
      <c r="V1284" s="31"/>
    </row>
    <row r="1285">
      <c r="A1285" s="14" t="s">
        <v>736</v>
      </c>
      <c r="B1285" s="351" t="s">
        <v>3889</v>
      </c>
      <c r="C1285" s="460" t="s">
        <v>3890</v>
      </c>
      <c r="D1285" s="50"/>
      <c r="E1285" s="348" t="str">
        <f t="shared" si="1179"/>
        <v>septiembre 2026</v>
      </c>
      <c r="F1285" s="349">
        <v>46289.0</v>
      </c>
      <c r="G1285" s="24">
        <f t="shared" ref="G1285:H1285" si="1260">F1285</f>
        <v>46289</v>
      </c>
      <c r="H1285" s="26">
        <f t="shared" si="1260"/>
        <v>46289</v>
      </c>
      <c r="I1285" s="50" t="s">
        <v>90</v>
      </c>
      <c r="K1285" s="27"/>
      <c r="L1285" s="29" t="s">
        <v>3085</v>
      </c>
      <c r="M1285" s="31"/>
      <c r="N1285" s="14" t="s">
        <v>84</v>
      </c>
      <c r="O1285" s="31"/>
      <c r="Q1285" s="36"/>
      <c r="R1285" s="36"/>
      <c r="S1285" s="36"/>
      <c r="T1285" s="36"/>
      <c r="V1285" s="31"/>
    </row>
    <row r="1286">
      <c r="A1286" s="14" t="s">
        <v>736</v>
      </c>
      <c r="B1286" s="351" t="s">
        <v>3891</v>
      </c>
      <c r="C1286" s="460" t="s">
        <v>3892</v>
      </c>
      <c r="D1286" s="50"/>
      <c r="E1286" s="348" t="str">
        <f t="shared" si="1179"/>
        <v>septiembre 2026</v>
      </c>
      <c r="F1286" s="349">
        <v>46289.0</v>
      </c>
      <c r="G1286" s="24">
        <f t="shared" ref="G1286:H1286" si="1261">F1286</f>
        <v>46289</v>
      </c>
      <c r="H1286" s="26">
        <f t="shared" si="1261"/>
        <v>46289</v>
      </c>
      <c r="I1286" s="50" t="s">
        <v>90</v>
      </c>
      <c r="K1286" s="27"/>
      <c r="L1286" s="29" t="s">
        <v>3085</v>
      </c>
      <c r="M1286" s="31"/>
      <c r="N1286" s="14" t="s">
        <v>84</v>
      </c>
      <c r="O1286" s="31"/>
      <c r="Q1286" s="36"/>
      <c r="R1286" s="36"/>
      <c r="S1286" s="36"/>
      <c r="T1286" s="36"/>
      <c r="V1286" s="31"/>
    </row>
    <row r="1287">
      <c r="A1287" s="14" t="s">
        <v>736</v>
      </c>
      <c r="B1287" s="351" t="s">
        <v>3893</v>
      </c>
      <c r="C1287" s="460" t="s">
        <v>3894</v>
      </c>
      <c r="D1287" s="50"/>
      <c r="E1287" s="348" t="str">
        <f t="shared" si="1179"/>
        <v>septiembre 2026</v>
      </c>
      <c r="F1287" s="349">
        <v>46289.0</v>
      </c>
      <c r="G1287" s="24">
        <f t="shared" ref="G1287:H1287" si="1262">F1287</f>
        <v>46289</v>
      </c>
      <c r="H1287" s="26">
        <f t="shared" si="1262"/>
        <v>46289</v>
      </c>
      <c r="I1287" s="50" t="s">
        <v>90</v>
      </c>
      <c r="K1287" s="27"/>
      <c r="L1287" s="29" t="s">
        <v>3085</v>
      </c>
      <c r="M1287" s="31"/>
      <c r="N1287" s="14" t="s">
        <v>84</v>
      </c>
      <c r="O1287" s="31"/>
      <c r="Q1287" s="36"/>
      <c r="R1287" s="36"/>
      <c r="S1287" s="36"/>
      <c r="T1287" s="36"/>
      <c r="V1287" s="31"/>
    </row>
    <row r="1288">
      <c r="A1288" s="14" t="s">
        <v>736</v>
      </c>
      <c r="B1288" s="351" t="s">
        <v>3895</v>
      </c>
      <c r="C1288" s="460" t="s">
        <v>3896</v>
      </c>
      <c r="D1288" s="50"/>
      <c r="E1288" s="348" t="str">
        <f t="shared" si="1179"/>
        <v>septiembre 2026</v>
      </c>
      <c r="F1288" s="349">
        <v>46289.0</v>
      </c>
      <c r="G1288" s="24">
        <f t="shared" ref="G1288:H1288" si="1263">F1288</f>
        <v>46289</v>
      </c>
      <c r="H1288" s="26">
        <f t="shared" si="1263"/>
        <v>46289</v>
      </c>
      <c r="I1288" s="50" t="s">
        <v>90</v>
      </c>
      <c r="K1288" s="27"/>
      <c r="L1288" s="29" t="s">
        <v>3085</v>
      </c>
      <c r="M1288" s="31"/>
      <c r="N1288" s="14" t="s">
        <v>84</v>
      </c>
      <c r="O1288" s="31"/>
      <c r="Q1288" s="36"/>
      <c r="R1288" s="36"/>
      <c r="S1288" s="36"/>
      <c r="T1288" s="36"/>
      <c r="V1288" s="31"/>
    </row>
    <row r="1289">
      <c r="A1289" s="14" t="s">
        <v>736</v>
      </c>
      <c r="B1289" s="351" t="s">
        <v>3897</v>
      </c>
      <c r="C1289" s="460" t="s">
        <v>3898</v>
      </c>
      <c r="D1289" s="50"/>
      <c r="E1289" s="348" t="str">
        <f t="shared" si="1179"/>
        <v>diciembre 1899</v>
      </c>
      <c r="F1289" s="349"/>
      <c r="G1289" s="24" t="str">
        <f t="shared" ref="G1289:H1289" si="1264">F1289</f>
        <v/>
      </c>
      <c r="H1289" s="26" t="str">
        <f t="shared" si="1264"/>
        <v/>
      </c>
      <c r="I1289" s="50" t="s">
        <v>90</v>
      </c>
      <c r="K1289" s="27"/>
      <c r="L1289" s="29" t="s">
        <v>3085</v>
      </c>
      <c r="M1289" s="31"/>
      <c r="N1289" s="14" t="s">
        <v>84</v>
      </c>
      <c r="O1289" s="31"/>
      <c r="Q1289" s="36"/>
      <c r="R1289" s="36"/>
      <c r="S1289" s="36"/>
      <c r="T1289" s="36"/>
      <c r="V1289" s="31"/>
    </row>
    <row r="1290">
      <c r="A1290" s="14" t="s">
        <v>736</v>
      </c>
      <c r="B1290" s="351" t="s">
        <v>3899</v>
      </c>
      <c r="C1290" s="460" t="s">
        <v>3900</v>
      </c>
      <c r="D1290" s="50"/>
      <c r="E1290" s="348" t="str">
        <f t="shared" si="1179"/>
        <v>septiembre 2026</v>
      </c>
      <c r="F1290" s="349">
        <v>46289.0</v>
      </c>
      <c r="G1290" s="24">
        <f t="shared" ref="G1290:H1290" si="1265">F1290</f>
        <v>46289</v>
      </c>
      <c r="H1290" s="26">
        <f t="shared" si="1265"/>
        <v>46289</v>
      </c>
      <c r="I1290" s="50" t="s">
        <v>90</v>
      </c>
      <c r="K1290" s="27"/>
      <c r="L1290" s="29" t="s">
        <v>3085</v>
      </c>
      <c r="M1290" s="31"/>
      <c r="N1290" s="14" t="s">
        <v>84</v>
      </c>
      <c r="O1290" s="31"/>
      <c r="Q1290" s="36"/>
      <c r="R1290" s="36"/>
      <c r="S1290" s="36"/>
      <c r="T1290" s="36"/>
      <c r="V1290" s="31"/>
    </row>
    <row r="1291">
      <c r="A1291" s="14" t="s">
        <v>736</v>
      </c>
      <c r="B1291" s="351" t="s">
        <v>3901</v>
      </c>
      <c r="C1291" s="460" t="s">
        <v>3902</v>
      </c>
      <c r="D1291" s="50"/>
      <c r="E1291" s="348" t="str">
        <f t="shared" si="1179"/>
        <v>septiembre 2026</v>
      </c>
      <c r="F1291" s="349">
        <v>46289.0</v>
      </c>
      <c r="G1291" s="24">
        <f t="shared" ref="G1291:H1291" si="1266">F1291</f>
        <v>46289</v>
      </c>
      <c r="H1291" s="26">
        <f t="shared" si="1266"/>
        <v>46289</v>
      </c>
      <c r="I1291" s="50" t="s">
        <v>90</v>
      </c>
      <c r="K1291" s="27"/>
      <c r="L1291" s="29" t="s">
        <v>3085</v>
      </c>
      <c r="M1291" s="31"/>
      <c r="N1291" s="14" t="s">
        <v>84</v>
      </c>
      <c r="O1291" s="31"/>
      <c r="Q1291" s="36"/>
      <c r="R1291" s="36"/>
      <c r="S1291" s="36"/>
      <c r="T1291" s="36"/>
      <c r="V1291" s="31"/>
    </row>
    <row r="1292">
      <c r="A1292" s="14" t="s">
        <v>736</v>
      </c>
      <c r="B1292" s="351" t="s">
        <v>3903</v>
      </c>
      <c r="C1292" s="460" t="s">
        <v>3904</v>
      </c>
      <c r="D1292" s="50"/>
      <c r="E1292" s="348" t="str">
        <f t="shared" si="1179"/>
        <v>septiembre 2026</v>
      </c>
      <c r="F1292" s="349">
        <v>46288.0</v>
      </c>
      <c r="G1292" s="24">
        <f t="shared" ref="G1292:H1292" si="1267">F1292</f>
        <v>46288</v>
      </c>
      <c r="H1292" s="26">
        <f t="shared" si="1267"/>
        <v>46288</v>
      </c>
      <c r="I1292" s="50" t="s">
        <v>90</v>
      </c>
      <c r="K1292" s="27"/>
      <c r="L1292" s="29" t="s">
        <v>3085</v>
      </c>
      <c r="M1292" s="31"/>
      <c r="N1292" s="14" t="s">
        <v>84</v>
      </c>
      <c r="O1292" s="31"/>
      <c r="Q1292" s="36"/>
      <c r="R1292" s="36"/>
      <c r="S1292" s="36"/>
      <c r="T1292" s="36"/>
      <c r="V1292" s="31"/>
    </row>
    <row r="1293">
      <c r="A1293" s="14"/>
      <c r="B1293" s="460"/>
      <c r="C1293" s="302"/>
      <c r="D1293" s="50"/>
      <c r="E1293" s="348"/>
      <c r="F1293" s="22"/>
      <c r="G1293" s="22"/>
      <c r="H1293" s="26" t="str">
        <f t="shared" ref="H1293:H1374" si="1268">G1293</f>
        <v/>
      </c>
      <c r="I1293" s="50"/>
      <c r="J1293" s="351"/>
      <c r="K1293" s="448"/>
      <c r="L1293" s="29"/>
      <c r="M1293" s="31"/>
      <c r="N1293" s="14"/>
      <c r="O1293" s="31"/>
      <c r="Q1293" s="36"/>
      <c r="R1293" s="36"/>
      <c r="S1293" s="36"/>
      <c r="T1293" s="36"/>
      <c r="V1293" s="31"/>
    </row>
    <row r="1294">
      <c r="A1294" s="14"/>
      <c r="B1294" s="460"/>
      <c r="C1294" s="302"/>
      <c r="D1294" s="50"/>
      <c r="E1294" s="348"/>
      <c r="F1294" s="22"/>
      <c r="G1294" s="22"/>
      <c r="H1294" s="26" t="str">
        <f t="shared" si="1268"/>
        <v/>
      </c>
      <c r="I1294" s="50"/>
      <c r="J1294" s="351"/>
      <c r="K1294" s="448"/>
      <c r="L1294" s="29"/>
      <c r="M1294" s="31"/>
      <c r="N1294" s="14"/>
      <c r="O1294" s="31"/>
      <c r="Q1294" s="36"/>
      <c r="R1294" s="36"/>
      <c r="S1294" s="36"/>
      <c r="T1294" s="36"/>
      <c r="V1294" s="31"/>
    </row>
    <row r="1295">
      <c r="A1295" s="14"/>
      <c r="B1295" s="460"/>
      <c r="C1295" s="302"/>
      <c r="D1295" s="50"/>
      <c r="E1295" s="348"/>
      <c r="F1295" s="22"/>
      <c r="G1295" s="22"/>
      <c r="H1295" s="26" t="str">
        <f t="shared" si="1268"/>
        <v/>
      </c>
      <c r="I1295" s="50"/>
      <c r="J1295" s="351"/>
      <c r="K1295" s="448"/>
      <c r="L1295" s="29"/>
      <c r="M1295" s="31"/>
      <c r="N1295" s="14"/>
      <c r="O1295" s="31"/>
      <c r="Q1295" s="36"/>
      <c r="R1295" s="36"/>
      <c r="S1295" s="36"/>
      <c r="T1295" s="36"/>
      <c r="V1295" s="31"/>
    </row>
    <row r="1296">
      <c r="A1296" s="14"/>
      <c r="B1296" s="460"/>
      <c r="C1296" s="302"/>
      <c r="D1296" s="50"/>
      <c r="E1296" s="348"/>
      <c r="F1296" s="22"/>
      <c r="G1296" s="22"/>
      <c r="H1296" s="26" t="str">
        <f t="shared" si="1268"/>
        <v/>
      </c>
      <c r="I1296" s="50"/>
      <c r="J1296" s="351"/>
      <c r="K1296" s="448"/>
      <c r="L1296" s="29"/>
      <c r="M1296" s="31"/>
      <c r="N1296" s="14"/>
      <c r="O1296" s="31"/>
      <c r="Q1296" s="36"/>
      <c r="R1296" s="36"/>
      <c r="S1296" s="36"/>
      <c r="T1296" s="36"/>
      <c r="V1296" s="31"/>
    </row>
    <row r="1297">
      <c r="A1297" s="14"/>
      <c r="B1297" s="460"/>
      <c r="C1297" s="302"/>
      <c r="D1297" s="50"/>
      <c r="E1297" s="348"/>
      <c r="F1297" s="22"/>
      <c r="G1297" s="22"/>
      <c r="H1297" s="26" t="str">
        <f t="shared" si="1268"/>
        <v/>
      </c>
      <c r="I1297" s="50"/>
      <c r="J1297" s="351"/>
      <c r="K1297" s="448"/>
      <c r="L1297" s="29"/>
      <c r="M1297" s="31"/>
      <c r="N1297" s="14"/>
      <c r="O1297" s="31"/>
      <c r="Q1297" s="36"/>
      <c r="R1297" s="36"/>
      <c r="S1297" s="36"/>
      <c r="T1297" s="36"/>
      <c r="V1297" s="31"/>
    </row>
    <row r="1298">
      <c r="A1298" s="14"/>
      <c r="B1298" s="460"/>
      <c r="C1298" s="302"/>
      <c r="D1298" s="50"/>
      <c r="E1298" s="348"/>
      <c r="F1298" s="22"/>
      <c r="G1298" s="22"/>
      <c r="H1298" s="26" t="str">
        <f t="shared" si="1268"/>
        <v/>
      </c>
      <c r="I1298" s="50"/>
      <c r="J1298" s="351"/>
      <c r="K1298" s="448"/>
      <c r="L1298" s="29"/>
      <c r="M1298" s="31"/>
      <c r="N1298" s="14"/>
      <c r="O1298" s="31"/>
      <c r="Q1298" s="36"/>
      <c r="R1298" s="36"/>
      <c r="S1298" s="36"/>
      <c r="T1298" s="36"/>
      <c r="V1298" s="31"/>
    </row>
    <row r="1299">
      <c r="A1299" s="14"/>
      <c r="B1299" s="460"/>
      <c r="C1299" s="302"/>
      <c r="D1299" s="50"/>
      <c r="E1299" s="348"/>
      <c r="F1299" s="22"/>
      <c r="G1299" s="22"/>
      <c r="H1299" s="26" t="str">
        <f t="shared" si="1268"/>
        <v/>
      </c>
      <c r="I1299" s="50"/>
      <c r="J1299" s="351"/>
      <c r="K1299" s="448"/>
      <c r="L1299" s="29"/>
      <c r="M1299" s="31"/>
      <c r="N1299" s="14"/>
      <c r="O1299" s="31"/>
      <c r="Q1299" s="36"/>
      <c r="R1299" s="36"/>
      <c r="S1299" s="36"/>
      <c r="T1299" s="36"/>
      <c r="V1299" s="31"/>
    </row>
    <row r="1300">
      <c r="A1300" s="14"/>
      <c r="B1300" s="460"/>
      <c r="C1300" s="302"/>
      <c r="D1300" s="50"/>
      <c r="E1300" s="348"/>
      <c r="F1300" s="22"/>
      <c r="G1300" s="22"/>
      <c r="H1300" s="26" t="str">
        <f t="shared" si="1268"/>
        <v/>
      </c>
      <c r="I1300" s="50"/>
      <c r="J1300" s="351"/>
      <c r="K1300" s="448"/>
      <c r="L1300" s="29"/>
      <c r="M1300" s="31"/>
      <c r="N1300" s="14"/>
      <c r="O1300" s="31"/>
      <c r="Q1300" s="36"/>
      <c r="R1300" s="36"/>
      <c r="S1300" s="36"/>
      <c r="T1300" s="36"/>
      <c r="V1300" s="31"/>
    </row>
    <row r="1301">
      <c r="A1301" s="14"/>
      <c r="B1301" s="460"/>
      <c r="C1301" s="302"/>
      <c r="D1301" s="50"/>
      <c r="E1301" s="348"/>
      <c r="F1301" s="22"/>
      <c r="G1301" s="22"/>
      <c r="H1301" s="26" t="str">
        <f t="shared" si="1268"/>
        <v/>
      </c>
      <c r="I1301" s="50"/>
      <c r="J1301" s="351"/>
      <c r="K1301" s="448"/>
      <c r="L1301" s="29"/>
      <c r="M1301" s="31"/>
      <c r="N1301" s="14"/>
      <c r="O1301" s="31"/>
      <c r="Q1301" s="36"/>
      <c r="R1301" s="36"/>
      <c r="S1301" s="36"/>
      <c r="T1301" s="36"/>
      <c r="V1301" s="31"/>
    </row>
    <row r="1302">
      <c r="A1302" s="14"/>
      <c r="B1302" s="460"/>
      <c r="C1302" s="302"/>
      <c r="D1302" s="50"/>
      <c r="E1302" s="348"/>
      <c r="F1302" s="22"/>
      <c r="G1302" s="22"/>
      <c r="H1302" s="26" t="str">
        <f t="shared" si="1268"/>
        <v/>
      </c>
      <c r="I1302" s="50"/>
      <c r="J1302" s="351"/>
      <c r="K1302" s="448"/>
      <c r="L1302" s="29"/>
      <c r="M1302" s="31"/>
      <c r="N1302" s="14"/>
      <c r="O1302" s="31"/>
      <c r="Q1302" s="36"/>
      <c r="R1302" s="36"/>
      <c r="S1302" s="36"/>
      <c r="T1302" s="36"/>
      <c r="V1302" s="31"/>
    </row>
    <row r="1303">
      <c r="A1303" s="14"/>
      <c r="B1303" s="460"/>
      <c r="C1303" s="302"/>
      <c r="D1303" s="50"/>
      <c r="E1303" s="348"/>
      <c r="F1303" s="22"/>
      <c r="G1303" s="22"/>
      <c r="H1303" s="26" t="str">
        <f t="shared" si="1268"/>
        <v/>
      </c>
      <c r="I1303" s="50"/>
      <c r="J1303" s="351"/>
      <c r="K1303" s="448"/>
      <c r="L1303" s="29"/>
      <c r="M1303" s="31"/>
      <c r="N1303" s="14"/>
      <c r="O1303" s="31"/>
      <c r="Q1303" s="36"/>
      <c r="R1303" s="36"/>
      <c r="S1303" s="36"/>
      <c r="T1303" s="36"/>
      <c r="V1303" s="31"/>
    </row>
    <row r="1304">
      <c r="A1304" s="14"/>
      <c r="B1304" s="460"/>
      <c r="C1304" s="302"/>
      <c r="D1304" s="50"/>
      <c r="E1304" s="348"/>
      <c r="F1304" s="22"/>
      <c r="G1304" s="22"/>
      <c r="H1304" s="26" t="str">
        <f t="shared" si="1268"/>
        <v/>
      </c>
      <c r="I1304" s="50"/>
      <c r="J1304" s="351"/>
      <c r="K1304" s="448"/>
      <c r="L1304" s="29"/>
      <c r="M1304" s="31"/>
      <c r="N1304" s="14"/>
      <c r="O1304" s="31"/>
      <c r="Q1304" s="36"/>
      <c r="R1304" s="36"/>
      <c r="S1304" s="36"/>
      <c r="T1304" s="36"/>
      <c r="V1304" s="31"/>
    </row>
    <row r="1305">
      <c r="A1305" s="14"/>
      <c r="B1305" s="460"/>
      <c r="C1305" s="302"/>
      <c r="D1305" s="50"/>
      <c r="E1305" s="348"/>
      <c r="F1305" s="22"/>
      <c r="G1305" s="22"/>
      <c r="H1305" s="26" t="str">
        <f t="shared" si="1268"/>
        <v/>
      </c>
      <c r="I1305" s="50"/>
      <c r="J1305" s="351"/>
      <c r="K1305" s="448"/>
      <c r="L1305" s="29"/>
      <c r="M1305" s="31"/>
      <c r="N1305" s="14"/>
      <c r="O1305" s="31"/>
      <c r="Q1305" s="36"/>
      <c r="R1305" s="36"/>
      <c r="S1305" s="36"/>
      <c r="T1305" s="36"/>
      <c r="V1305" s="31"/>
    </row>
    <row r="1306">
      <c r="A1306" s="14"/>
      <c r="B1306" s="460"/>
      <c r="C1306" s="302"/>
      <c r="D1306" s="50"/>
      <c r="E1306" s="348"/>
      <c r="F1306" s="22"/>
      <c r="G1306" s="22"/>
      <c r="H1306" s="26" t="str">
        <f t="shared" si="1268"/>
        <v/>
      </c>
      <c r="I1306" s="50"/>
      <c r="J1306" s="351"/>
      <c r="K1306" s="448"/>
      <c r="L1306" s="29"/>
      <c r="M1306" s="31"/>
      <c r="N1306" s="14"/>
      <c r="O1306" s="31"/>
      <c r="Q1306" s="36"/>
      <c r="R1306" s="36"/>
      <c r="S1306" s="36"/>
      <c r="T1306" s="36"/>
      <c r="V1306" s="31"/>
    </row>
    <row r="1307">
      <c r="A1307" s="14"/>
      <c r="B1307" s="460"/>
      <c r="C1307" s="302"/>
      <c r="D1307" s="50"/>
      <c r="E1307" s="348"/>
      <c r="F1307" s="22"/>
      <c r="G1307" s="22"/>
      <c r="H1307" s="26" t="str">
        <f t="shared" si="1268"/>
        <v/>
      </c>
      <c r="I1307" s="50"/>
      <c r="J1307" s="351"/>
      <c r="K1307" s="448"/>
      <c r="L1307" s="29"/>
      <c r="M1307" s="31"/>
      <c r="N1307" s="14"/>
      <c r="O1307" s="31"/>
      <c r="Q1307" s="36"/>
      <c r="R1307" s="36"/>
      <c r="S1307" s="36"/>
      <c r="T1307" s="36"/>
      <c r="V1307" s="31"/>
    </row>
    <row r="1308">
      <c r="A1308" s="14"/>
      <c r="B1308" s="460"/>
      <c r="C1308" s="302"/>
      <c r="D1308" s="50"/>
      <c r="E1308" s="348"/>
      <c r="F1308" s="22"/>
      <c r="G1308" s="22"/>
      <c r="H1308" s="26" t="str">
        <f t="shared" si="1268"/>
        <v/>
      </c>
      <c r="I1308" s="50"/>
      <c r="J1308" s="351"/>
      <c r="K1308" s="448"/>
      <c r="L1308" s="29"/>
      <c r="M1308" s="31"/>
      <c r="N1308" s="14"/>
      <c r="O1308" s="31"/>
      <c r="Q1308" s="36"/>
      <c r="R1308" s="36"/>
      <c r="S1308" s="36"/>
      <c r="T1308" s="36"/>
      <c r="V1308" s="31"/>
    </row>
    <row r="1309">
      <c r="A1309" s="14"/>
      <c r="B1309" s="460"/>
      <c r="C1309" s="302"/>
      <c r="D1309" s="50"/>
      <c r="E1309" s="348"/>
      <c r="F1309" s="22"/>
      <c r="G1309" s="22"/>
      <c r="H1309" s="26" t="str">
        <f t="shared" si="1268"/>
        <v/>
      </c>
      <c r="I1309" s="50"/>
      <c r="J1309" s="351"/>
      <c r="K1309" s="448"/>
      <c r="L1309" s="29"/>
      <c r="M1309" s="31"/>
      <c r="N1309" s="14"/>
      <c r="O1309" s="31"/>
      <c r="Q1309" s="36"/>
      <c r="R1309" s="36"/>
      <c r="S1309" s="36"/>
      <c r="T1309" s="36"/>
      <c r="V1309" s="31"/>
    </row>
    <row r="1310">
      <c r="A1310" s="14"/>
      <c r="B1310" s="460"/>
      <c r="C1310" s="302"/>
      <c r="D1310" s="50"/>
      <c r="E1310" s="348"/>
      <c r="F1310" s="22"/>
      <c r="G1310" s="22"/>
      <c r="H1310" s="26" t="str">
        <f t="shared" si="1268"/>
        <v/>
      </c>
      <c r="I1310" s="50"/>
      <c r="J1310" s="351"/>
      <c r="K1310" s="448"/>
      <c r="L1310" s="29"/>
      <c r="M1310" s="31"/>
      <c r="N1310" s="14"/>
      <c r="O1310" s="31"/>
      <c r="Q1310" s="36"/>
      <c r="R1310" s="36"/>
      <c r="S1310" s="36"/>
      <c r="T1310" s="36"/>
      <c r="V1310" s="31"/>
    </row>
    <row r="1311">
      <c r="A1311" s="14"/>
      <c r="B1311" s="460"/>
      <c r="C1311" s="302"/>
      <c r="D1311" s="50"/>
      <c r="E1311" s="348"/>
      <c r="F1311" s="22"/>
      <c r="G1311" s="22"/>
      <c r="H1311" s="26" t="str">
        <f t="shared" si="1268"/>
        <v/>
      </c>
      <c r="I1311" s="50"/>
      <c r="J1311" s="351"/>
      <c r="K1311" s="448"/>
      <c r="L1311" s="29"/>
      <c r="M1311" s="31"/>
      <c r="N1311" s="14"/>
      <c r="O1311" s="31"/>
      <c r="Q1311" s="36"/>
      <c r="R1311" s="36"/>
      <c r="S1311" s="36"/>
      <c r="T1311" s="36"/>
      <c r="V1311" s="31"/>
    </row>
    <row r="1312">
      <c r="A1312" s="14"/>
      <c r="B1312" s="460"/>
      <c r="C1312" s="302"/>
      <c r="D1312" s="50"/>
      <c r="E1312" s="348"/>
      <c r="F1312" s="22"/>
      <c r="G1312" s="22"/>
      <c r="H1312" s="26" t="str">
        <f t="shared" si="1268"/>
        <v/>
      </c>
      <c r="I1312" s="50"/>
      <c r="J1312" s="351"/>
      <c r="K1312" s="448"/>
      <c r="L1312" s="29"/>
      <c r="M1312" s="31"/>
      <c r="N1312" s="14"/>
      <c r="O1312" s="31"/>
      <c r="Q1312" s="36"/>
      <c r="R1312" s="36"/>
      <c r="S1312" s="36"/>
      <c r="T1312" s="36"/>
      <c r="V1312" s="31"/>
    </row>
    <row r="1313">
      <c r="A1313" s="14"/>
      <c r="B1313" s="460"/>
      <c r="C1313" s="302"/>
      <c r="D1313" s="50"/>
      <c r="E1313" s="348"/>
      <c r="F1313" s="22"/>
      <c r="G1313" s="22"/>
      <c r="H1313" s="26" t="str">
        <f t="shared" si="1268"/>
        <v/>
      </c>
      <c r="I1313" s="50"/>
      <c r="J1313" s="351"/>
      <c r="K1313" s="448"/>
      <c r="L1313" s="29"/>
      <c r="M1313" s="31"/>
      <c r="N1313" s="14"/>
      <c r="O1313" s="31"/>
      <c r="Q1313" s="36"/>
      <c r="R1313" s="36"/>
      <c r="S1313" s="36"/>
      <c r="T1313" s="36"/>
      <c r="V1313" s="31"/>
    </row>
    <row r="1314">
      <c r="A1314" s="14"/>
      <c r="B1314" s="460"/>
      <c r="C1314" s="302"/>
      <c r="D1314" s="50"/>
      <c r="E1314" s="348"/>
      <c r="F1314" s="22"/>
      <c r="G1314" s="22"/>
      <c r="H1314" s="26" t="str">
        <f t="shared" si="1268"/>
        <v/>
      </c>
      <c r="I1314" s="50"/>
      <c r="J1314" s="351"/>
      <c r="K1314" s="448"/>
      <c r="L1314" s="29"/>
      <c r="M1314" s="31"/>
      <c r="N1314" s="14"/>
      <c r="O1314" s="31"/>
      <c r="Q1314" s="36"/>
      <c r="R1314" s="36"/>
      <c r="S1314" s="36"/>
      <c r="T1314" s="36"/>
      <c r="V1314" s="31"/>
    </row>
    <row r="1315">
      <c r="A1315" s="14"/>
      <c r="B1315" s="460"/>
      <c r="C1315" s="302"/>
      <c r="D1315" s="50"/>
      <c r="E1315" s="348"/>
      <c r="F1315" s="22"/>
      <c r="G1315" s="22"/>
      <c r="H1315" s="26" t="str">
        <f t="shared" si="1268"/>
        <v/>
      </c>
      <c r="I1315" s="50"/>
      <c r="J1315" s="351"/>
      <c r="K1315" s="448"/>
      <c r="L1315" s="29"/>
      <c r="M1315" s="31"/>
      <c r="N1315" s="14"/>
      <c r="O1315" s="31"/>
      <c r="Q1315" s="36"/>
      <c r="R1315" s="36"/>
      <c r="S1315" s="36"/>
      <c r="T1315" s="36"/>
      <c r="V1315" s="31"/>
    </row>
    <row r="1316">
      <c r="A1316" s="14"/>
      <c r="B1316" s="460"/>
      <c r="C1316" s="302"/>
      <c r="D1316" s="50"/>
      <c r="E1316" s="348"/>
      <c r="F1316" s="22"/>
      <c r="G1316" s="22"/>
      <c r="H1316" s="26" t="str">
        <f t="shared" si="1268"/>
        <v/>
      </c>
      <c r="I1316" s="50"/>
      <c r="J1316" s="351"/>
      <c r="K1316" s="448"/>
      <c r="L1316" s="29"/>
      <c r="M1316" s="31"/>
      <c r="N1316" s="14"/>
      <c r="O1316" s="31"/>
      <c r="Q1316" s="36"/>
      <c r="R1316" s="36"/>
      <c r="S1316" s="36"/>
      <c r="T1316" s="36"/>
      <c r="V1316" s="31"/>
    </row>
    <row r="1317">
      <c r="A1317" s="14"/>
      <c r="B1317" s="460"/>
      <c r="C1317" s="302"/>
      <c r="D1317" s="50"/>
      <c r="E1317" s="348"/>
      <c r="F1317" s="22"/>
      <c r="G1317" s="22"/>
      <c r="H1317" s="26" t="str">
        <f t="shared" si="1268"/>
        <v/>
      </c>
      <c r="I1317" s="50"/>
      <c r="J1317" s="351"/>
      <c r="K1317" s="448"/>
      <c r="L1317" s="29"/>
      <c r="M1317" s="31"/>
      <c r="N1317" s="14"/>
      <c r="O1317" s="31"/>
      <c r="Q1317" s="36"/>
      <c r="R1317" s="36"/>
      <c r="S1317" s="36"/>
      <c r="T1317" s="36"/>
      <c r="V1317" s="31"/>
    </row>
    <row r="1318">
      <c r="A1318" s="14"/>
      <c r="B1318" s="460"/>
      <c r="C1318" s="302"/>
      <c r="D1318" s="50"/>
      <c r="E1318" s="348"/>
      <c r="F1318" s="22"/>
      <c r="G1318" s="22"/>
      <c r="H1318" s="26" t="str">
        <f t="shared" si="1268"/>
        <v/>
      </c>
      <c r="I1318" s="50"/>
      <c r="J1318" s="351"/>
      <c r="K1318" s="448"/>
      <c r="L1318" s="29"/>
      <c r="M1318" s="31"/>
      <c r="N1318" s="14"/>
      <c r="O1318" s="31"/>
      <c r="Q1318" s="36"/>
      <c r="R1318" s="36"/>
      <c r="S1318" s="36"/>
      <c r="T1318" s="36"/>
      <c r="V1318" s="31"/>
    </row>
    <row r="1319">
      <c r="A1319" s="14"/>
      <c r="B1319" s="460"/>
      <c r="C1319" s="302"/>
      <c r="D1319" s="50"/>
      <c r="E1319" s="348"/>
      <c r="F1319" s="22"/>
      <c r="G1319" s="22"/>
      <c r="H1319" s="26" t="str">
        <f t="shared" si="1268"/>
        <v/>
      </c>
      <c r="I1319" s="50"/>
      <c r="J1319" s="351"/>
      <c r="K1319" s="448"/>
      <c r="L1319" s="29"/>
      <c r="M1319" s="31"/>
      <c r="N1319" s="14"/>
      <c r="O1319" s="31"/>
      <c r="Q1319" s="36"/>
      <c r="R1319" s="36"/>
      <c r="S1319" s="36"/>
      <c r="T1319" s="36"/>
      <c r="V1319" s="31"/>
    </row>
    <row r="1320">
      <c r="A1320" s="14"/>
      <c r="B1320" s="460"/>
      <c r="C1320" s="302"/>
      <c r="D1320" s="50"/>
      <c r="E1320" s="348"/>
      <c r="F1320" s="22"/>
      <c r="G1320" s="22"/>
      <c r="H1320" s="26" t="str">
        <f t="shared" si="1268"/>
        <v/>
      </c>
      <c r="I1320" s="50"/>
      <c r="J1320" s="351"/>
      <c r="K1320" s="448"/>
      <c r="L1320" s="29"/>
      <c r="M1320" s="31"/>
      <c r="N1320" s="14"/>
      <c r="O1320" s="31"/>
      <c r="Q1320" s="36"/>
      <c r="R1320" s="36"/>
      <c r="S1320" s="36"/>
      <c r="T1320" s="36"/>
      <c r="V1320" s="31"/>
    </row>
    <row r="1321">
      <c r="A1321" s="14"/>
      <c r="B1321" s="460"/>
      <c r="C1321" s="302"/>
      <c r="D1321" s="50"/>
      <c r="E1321" s="348"/>
      <c r="F1321" s="22"/>
      <c r="G1321" s="22"/>
      <c r="H1321" s="26" t="str">
        <f t="shared" si="1268"/>
        <v/>
      </c>
      <c r="I1321" s="50"/>
      <c r="J1321" s="351"/>
      <c r="K1321" s="448"/>
      <c r="L1321" s="29"/>
      <c r="M1321" s="31"/>
      <c r="N1321" s="14"/>
      <c r="O1321" s="31"/>
      <c r="Q1321" s="36"/>
      <c r="R1321" s="36"/>
      <c r="S1321" s="36"/>
      <c r="T1321" s="36"/>
      <c r="V1321" s="31"/>
    </row>
    <row r="1322">
      <c r="A1322" s="14"/>
      <c r="B1322" s="460"/>
      <c r="C1322" s="302"/>
      <c r="D1322" s="50"/>
      <c r="E1322" s="348"/>
      <c r="F1322" s="22"/>
      <c r="G1322" s="22"/>
      <c r="H1322" s="26" t="str">
        <f t="shared" si="1268"/>
        <v/>
      </c>
      <c r="I1322" s="50"/>
      <c r="J1322" s="351"/>
      <c r="K1322" s="448"/>
      <c r="L1322" s="29"/>
      <c r="M1322" s="31"/>
      <c r="N1322" s="14"/>
      <c r="O1322" s="31"/>
      <c r="Q1322" s="36"/>
      <c r="R1322" s="36"/>
      <c r="S1322" s="36"/>
      <c r="T1322" s="36"/>
      <c r="V1322" s="31"/>
    </row>
    <row r="1323">
      <c r="A1323" s="14"/>
      <c r="B1323" s="460"/>
      <c r="C1323" s="302"/>
      <c r="D1323" s="50"/>
      <c r="E1323" s="348"/>
      <c r="F1323" s="22"/>
      <c r="G1323" s="22"/>
      <c r="H1323" s="26" t="str">
        <f t="shared" si="1268"/>
        <v/>
      </c>
      <c r="I1323" s="50"/>
      <c r="J1323" s="351"/>
      <c r="K1323" s="448"/>
      <c r="L1323" s="29"/>
      <c r="M1323" s="31"/>
      <c r="N1323" s="14"/>
      <c r="O1323" s="31"/>
      <c r="Q1323" s="36"/>
      <c r="R1323" s="36"/>
      <c r="S1323" s="36"/>
      <c r="T1323" s="36"/>
      <c r="V1323" s="31"/>
    </row>
    <row r="1324">
      <c r="A1324" s="14"/>
      <c r="B1324" s="460"/>
      <c r="C1324" s="302"/>
      <c r="D1324" s="50"/>
      <c r="E1324" s="348"/>
      <c r="F1324" s="22"/>
      <c r="G1324" s="22"/>
      <c r="H1324" s="26" t="str">
        <f t="shared" si="1268"/>
        <v/>
      </c>
      <c r="I1324" s="50"/>
      <c r="J1324" s="351"/>
      <c r="K1324" s="448"/>
      <c r="L1324" s="29"/>
      <c r="M1324" s="31"/>
      <c r="N1324" s="14"/>
      <c r="O1324" s="31"/>
      <c r="Q1324" s="36"/>
      <c r="R1324" s="36"/>
      <c r="S1324" s="36"/>
      <c r="T1324" s="36"/>
      <c r="V1324" s="31"/>
    </row>
    <row r="1325">
      <c r="A1325" s="14"/>
      <c r="B1325" s="460"/>
      <c r="C1325" s="302"/>
      <c r="D1325" s="50"/>
      <c r="E1325" s="348"/>
      <c r="F1325" s="22"/>
      <c r="G1325" s="22"/>
      <c r="H1325" s="26" t="str">
        <f t="shared" si="1268"/>
        <v/>
      </c>
      <c r="I1325" s="50"/>
      <c r="J1325" s="351"/>
      <c r="K1325" s="448"/>
      <c r="L1325" s="29"/>
      <c r="M1325" s="31"/>
      <c r="N1325" s="14"/>
      <c r="O1325" s="31"/>
      <c r="Q1325" s="36"/>
      <c r="R1325" s="36"/>
      <c r="S1325" s="36"/>
      <c r="T1325" s="36"/>
      <c r="V1325" s="31"/>
    </row>
    <row r="1326">
      <c r="A1326" s="14"/>
      <c r="B1326" s="460"/>
      <c r="C1326" s="302"/>
      <c r="D1326" s="50"/>
      <c r="E1326" s="348"/>
      <c r="F1326" s="22"/>
      <c r="G1326" s="22"/>
      <c r="H1326" s="26" t="str">
        <f t="shared" si="1268"/>
        <v/>
      </c>
      <c r="I1326" s="50"/>
      <c r="J1326" s="351"/>
      <c r="K1326" s="448"/>
      <c r="L1326" s="29"/>
      <c r="M1326" s="31"/>
      <c r="N1326" s="14"/>
      <c r="O1326" s="31"/>
      <c r="Q1326" s="36"/>
      <c r="R1326" s="36"/>
      <c r="S1326" s="36"/>
      <c r="T1326" s="36"/>
      <c r="V1326" s="31"/>
    </row>
    <row r="1327">
      <c r="A1327" s="14"/>
      <c r="B1327" s="460"/>
      <c r="C1327" s="302"/>
      <c r="D1327" s="50"/>
      <c r="E1327" s="348"/>
      <c r="F1327" s="22"/>
      <c r="G1327" s="22"/>
      <c r="H1327" s="26" t="str">
        <f t="shared" si="1268"/>
        <v/>
      </c>
      <c r="I1327" s="50"/>
      <c r="J1327" s="351"/>
      <c r="K1327" s="448"/>
      <c r="L1327" s="29"/>
      <c r="M1327" s="31"/>
      <c r="N1327" s="14"/>
      <c r="O1327" s="31"/>
      <c r="Q1327" s="36"/>
      <c r="R1327" s="36"/>
      <c r="S1327" s="36"/>
      <c r="T1327" s="36"/>
      <c r="V1327" s="31"/>
    </row>
    <row r="1328">
      <c r="A1328" s="14"/>
      <c r="B1328" s="460"/>
      <c r="C1328" s="302"/>
      <c r="D1328" s="50"/>
      <c r="E1328" s="348"/>
      <c r="F1328" s="22"/>
      <c r="G1328" s="22"/>
      <c r="H1328" s="26" t="str">
        <f t="shared" si="1268"/>
        <v/>
      </c>
      <c r="I1328" s="50"/>
      <c r="J1328" s="351"/>
      <c r="K1328" s="448"/>
      <c r="L1328" s="29"/>
      <c r="M1328" s="31"/>
      <c r="N1328" s="14"/>
      <c r="O1328" s="31"/>
      <c r="Q1328" s="36"/>
      <c r="R1328" s="36"/>
      <c r="S1328" s="36"/>
      <c r="T1328" s="36"/>
      <c r="V1328" s="31"/>
    </row>
    <row r="1329">
      <c r="A1329" s="14"/>
      <c r="B1329" s="460"/>
      <c r="C1329" s="302"/>
      <c r="D1329" s="50"/>
      <c r="E1329" s="348"/>
      <c r="F1329" s="22"/>
      <c r="G1329" s="22"/>
      <c r="H1329" s="26" t="str">
        <f t="shared" si="1268"/>
        <v/>
      </c>
      <c r="I1329" s="50"/>
      <c r="J1329" s="351"/>
      <c r="K1329" s="448"/>
      <c r="L1329" s="29"/>
      <c r="M1329" s="31"/>
      <c r="N1329" s="14"/>
      <c r="O1329" s="31"/>
      <c r="Q1329" s="36"/>
      <c r="R1329" s="36"/>
      <c r="S1329" s="36"/>
      <c r="T1329" s="36"/>
      <c r="V1329" s="31"/>
    </row>
    <row r="1330">
      <c r="A1330" s="14"/>
      <c r="B1330" s="460"/>
      <c r="C1330" s="302"/>
      <c r="D1330" s="50"/>
      <c r="E1330" s="348"/>
      <c r="F1330" s="22"/>
      <c r="G1330" s="22"/>
      <c r="H1330" s="26" t="str">
        <f t="shared" si="1268"/>
        <v/>
      </c>
      <c r="I1330" s="50"/>
      <c r="J1330" s="351"/>
      <c r="K1330" s="448"/>
      <c r="L1330" s="29"/>
      <c r="M1330" s="31"/>
      <c r="N1330" s="14"/>
      <c r="O1330" s="31"/>
      <c r="Q1330" s="36"/>
      <c r="R1330" s="36"/>
      <c r="S1330" s="36"/>
      <c r="T1330" s="36"/>
      <c r="V1330" s="31"/>
    </row>
    <row r="1331">
      <c r="A1331" s="14"/>
      <c r="B1331" s="460"/>
      <c r="C1331" s="302"/>
      <c r="D1331" s="50"/>
      <c r="E1331" s="348"/>
      <c r="F1331" s="22"/>
      <c r="G1331" s="22"/>
      <c r="H1331" s="26" t="str">
        <f t="shared" si="1268"/>
        <v/>
      </c>
      <c r="I1331" s="50"/>
      <c r="J1331" s="351"/>
      <c r="K1331" s="448"/>
      <c r="L1331" s="29"/>
      <c r="M1331" s="31"/>
      <c r="N1331" s="14"/>
      <c r="O1331" s="31"/>
      <c r="Q1331" s="36"/>
      <c r="R1331" s="36"/>
      <c r="S1331" s="36"/>
      <c r="T1331" s="36"/>
      <c r="V1331" s="31"/>
    </row>
    <row r="1332">
      <c r="A1332" s="14"/>
      <c r="B1332" s="460"/>
      <c r="C1332" s="302"/>
      <c r="D1332" s="50"/>
      <c r="E1332" s="348"/>
      <c r="F1332" s="22"/>
      <c r="G1332" s="22"/>
      <c r="H1332" s="26" t="str">
        <f t="shared" si="1268"/>
        <v/>
      </c>
      <c r="I1332" s="50"/>
      <c r="J1332" s="351"/>
      <c r="K1332" s="448"/>
      <c r="L1332" s="29"/>
      <c r="M1332" s="31"/>
      <c r="N1332" s="14"/>
      <c r="O1332" s="31"/>
      <c r="Q1332" s="36"/>
      <c r="R1332" s="36"/>
      <c r="S1332" s="36"/>
      <c r="T1332" s="36"/>
      <c r="V1332" s="31"/>
    </row>
    <row r="1333">
      <c r="A1333" s="14"/>
      <c r="B1333" s="460"/>
      <c r="C1333" s="302"/>
      <c r="D1333" s="50"/>
      <c r="E1333" s="348"/>
      <c r="F1333" s="22"/>
      <c r="G1333" s="22"/>
      <c r="H1333" s="26" t="str">
        <f t="shared" si="1268"/>
        <v/>
      </c>
      <c r="I1333" s="50"/>
      <c r="J1333" s="351"/>
      <c r="K1333" s="448"/>
      <c r="L1333" s="29"/>
      <c r="M1333" s="31"/>
      <c r="N1333" s="14"/>
      <c r="O1333" s="31"/>
      <c r="Q1333" s="36"/>
      <c r="R1333" s="36"/>
      <c r="S1333" s="36"/>
      <c r="T1333" s="36"/>
      <c r="V1333" s="31"/>
    </row>
    <row r="1334">
      <c r="A1334" s="14"/>
      <c r="B1334" s="460"/>
      <c r="C1334" s="302"/>
      <c r="D1334" s="50"/>
      <c r="E1334" s="348"/>
      <c r="F1334" s="22"/>
      <c r="G1334" s="22"/>
      <c r="H1334" s="26" t="str">
        <f t="shared" si="1268"/>
        <v/>
      </c>
      <c r="I1334" s="50"/>
      <c r="J1334" s="351"/>
      <c r="K1334" s="448"/>
      <c r="L1334" s="29"/>
      <c r="M1334" s="31"/>
      <c r="N1334" s="14"/>
      <c r="O1334" s="31"/>
      <c r="Q1334" s="36"/>
      <c r="R1334" s="36"/>
      <c r="S1334" s="36"/>
      <c r="T1334" s="36"/>
      <c r="V1334" s="31"/>
    </row>
    <row r="1335">
      <c r="A1335" s="14"/>
      <c r="B1335" s="460"/>
      <c r="C1335" s="302"/>
      <c r="D1335" s="50"/>
      <c r="E1335" s="348"/>
      <c r="F1335" s="22"/>
      <c r="G1335" s="22"/>
      <c r="H1335" s="26" t="str">
        <f t="shared" si="1268"/>
        <v/>
      </c>
      <c r="I1335" s="50"/>
      <c r="J1335" s="351"/>
      <c r="K1335" s="448"/>
      <c r="L1335" s="29"/>
      <c r="M1335" s="31"/>
      <c r="N1335" s="14"/>
      <c r="O1335" s="31"/>
      <c r="Q1335" s="36"/>
      <c r="R1335" s="36"/>
      <c r="S1335" s="36"/>
      <c r="T1335" s="36"/>
      <c r="V1335" s="31"/>
    </row>
    <row r="1336">
      <c r="A1336" s="14"/>
      <c r="B1336" s="460"/>
      <c r="C1336" s="302"/>
      <c r="D1336" s="50"/>
      <c r="E1336" s="348"/>
      <c r="F1336" s="22"/>
      <c r="G1336" s="22"/>
      <c r="H1336" s="26" t="str">
        <f t="shared" si="1268"/>
        <v/>
      </c>
      <c r="I1336" s="50"/>
      <c r="J1336" s="351"/>
      <c r="K1336" s="448"/>
      <c r="L1336" s="29"/>
      <c r="M1336" s="31"/>
      <c r="N1336" s="14"/>
      <c r="O1336" s="31"/>
      <c r="Q1336" s="36"/>
      <c r="R1336" s="36"/>
      <c r="S1336" s="36"/>
      <c r="T1336" s="36"/>
      <c r="V1336" s="31"/>
    </row>
    <row r="1337">
      <c r="A1337" s="14"/>
      <c r="B1337" s="460"/>
      <c r="C1337" s="302"/>
      <c r="D1337" s="50"/>
      <c r="E1337" s="348"/>
      <c r="F1337" s="22"/>
      <c r="G1337" s="22"/>
      <c r="H1337" s="26" t="str">
        <f t="shared" si="1268"/>
        <v/>
      </c>
      <c r="I1337" s="50"/>
      <c r="J1337" s="351"/>
      <c r="K1337" s="448"/>
      <c r="L1337" s="29"/>
      <c r="M1337" s="31"/>
      <c r="N1337" s="14"/>
      <c r="O1337" s="31"/>
      <c r="Q1337" s="36"/>
      <c r="R1337" s="36"/>
      <c r="S1337" s="36"/>
      <c r="T1337" s="36"/>
      <c r="V1337" s="31"/>
    </row>
    <row r="1338">
      <c r="A1338" s="14"/>
      <c r="B1338" s="460"/>
      <c r="C1338" s="302"/>
      <c r="D1338" s="50"/>
      <c r="E1338" s="348"/>
      <c r="F1338" s="22"/>
      <c r="G1338" s="22"/>
      <c r="H1338" s="26" t="str">
        <f t="shared" si="1268"/>
        <v/>
      </c>
      <c r="I1338" s="50"/>
      <c r="J1338" s="351"/>
      <c r="K1338" s="448"/>
      <c r="L1338" s="29"/>
      <c r="M1338" s="31"/>
      <c r="N1338" s="14"/>
      <c r="O1338" s="31"/>
      <c r="Q1338" s="36"/>
      <c r="R1338" s="36"/>
      <c r="S1338" s="36"/>
      <c r="T1338" s="36"/>
      <c r="V1338" s="31"/>
    </row>
    <row r="1339">
      <c r="A1339" s="14"/>
      <c r="B1339" s="460"/>
      <c r="C1339" s="302"/>
      <c r="D1339" s="50"/>
      <c r="E1339" s="348"/>
      <c r="F1339" s="22"/>
      <c r="G1339" s="22"/>
      <c r="H1339" s="26" t="str">
        <f t="shared" si="1268"/>
        <v/>
      </c>
      <c r="I1339" s="50"/>
      <c r="J1339" s="351"/>
      <c r="K1339" s="448"/>
      <c r="L1339" s="29"/>
      <c r="M1339" s="31"/>
      <c r="N1339" s="14"/>
      <c r="O1339" s="31"/>
      <c r="Q1339" s="36"/>
      <c r="R1339" s="36"/>
      <c r="S1339" s="36"/>
      <c r="T1339" s="36"/>
      <c r="V1339" s="31"/>
    </row>
    <row r="1340">
      <c r="A1340" s="14"/>
      <c r="B1340" s="460"/>
      <c r="C1340" s="302"/>
      <c r="D1340" s="50"/>
      <c r="E1340" s="348"/>
      <c r="F1340" s="22"/>
      <c r="G1340" s="22"/>
      <c r="H1340" s="26" t="str">
        <f t="shared" si="1268"/>
        <v/>
      </c>
      <c r="I1340" s="50"/>
      <c r="J1340" s="351"/>
      <c r="K1340" s="448"/>
      <c r="L1340" s="29"/>
      <c r="M1340" s="31"/>
      <c r="N1340" s="14"/>
      <c r="O1340" s="31"/>
      <c r="Q1340" s="36"/>
      <c r="R1340" s="36"/>
      <c r="S1340" s="36"/>
      <c r="T1340" s="36"/>
      <c r="V1340" s="31"/>
    </row>
    <row r="1341">
      <c r="A1341" s="14"/>
      <c r="B1341" s="460"/>
      <c r="C1341" s="302"/>
      <c r="D1341" s="50"/>
      <c r="E1341" s="348"/>
      <c r="F1341" s="22"/>
      <c r="G1341" s="22"/>
      <c r="H1341" s="26" t="str">
        <f t="shared" si="1268"/>
        <v/>
      </c>
      <c r="I1341" s="50"/>
      <c r="J1341" s="351"/>
      <c r="K1341" s="448"/>
      <c r="L1341" s="29"/>
      <c r="M1341" s="31"/>
      <c r="N1341" s="14"/>
      <c r="O1341" s="31"/>
      <c r="Q1341" s="36"/>
      <c r="R1341" s="36"/>
      <c r="S1341" s="36"/>
      <c r="T1341" s="36"/>
      <c r="V1341" s="31"/>
    </row>
    <row r="1342">
      <c r="A1342" s="14"/>
      <c r="B1342" s="460"/>
      <c r="C1342" s="302"/>
      <c r="D1342" s="50"/>
      <c r="E1342" s="348"/>
      <c r="F1342" s="22"/>
      <c r="G1342" s="22"/>
      <c r="H1342" s="26" t="str">
        <f t="shared" si="1268"/>
        <v/>
      </c>
      <c r="I1342" s="50"/>
      <c r="J1342" s="351"/>
      <c r="K1342" s="448"/>
      <c r="L1342" s="29"/>
      <c r="M1342" s="31"/>
      <c r="N1342" s="14"/>
      <c r="O1342" s="31"/>
      <c r="Q1342" s="36"/>
      <c r="R1342" s="36"/>
      <c r="S1342" s="36"/>
      <c r="T1342" s="36"/>
      <c r="V1342" s="31"/>
    </row>
    <row r="1343">
      <c r="A1343" s="14"/>
      <c r="B1343" s="460"/>
      <c r="C1343" s="302"/>
      <c r="D1343" s="50"/>
      <c r="E1343" s="348"/>
      <c r="F1343" s="22"/>
      <c r="G1343" s="22"/>
      <c r="H1343" s="26" t="str">
        <f t="shared" si="1268"/>
        <v/>
      </c>
      <c r="I1343" s="50"/>
      <c r="J1343" s="351"/>
      <c r="K1343" s="448"/>
      <c r="L1343" s="29"/>
      <c r="M1343" s="31"/>
      <c r="N1343" s="14"/>
      <c r="O1343" s="31"/>
      <c r="Q1343" s="36"/>
      <c r="R1343" s="36"/>
      <c r="S1343" s="36"/>
      <c r="T1343" s="36"/>
      <c r="V1343" s="31"/>
    </row>
    <row r="1344">
      <c r="A1344" s="14"/>
      <c r="B1344" s="460"/>
      <c r="C1344" s="302"/>
      <c r="D1344" s="50"/>
      <c r="E1344" s="348"/>
      <c r="F1344" s="22"/>
      <c r="G1344" s="22"/>
      <c r="H1344" s="26" t="str">
        <f t="shared" si="1268"/>
        <v/>
      </c>
      <c r="I1344" s="50"/>
      <c r="J1344" s="351"/>
      <c r="K1344" s="448"/>
      <c r="L1344" s="29"/>
      <c r="M1344" s="31"/>
      <c r="N1344" s="14"/>
      <c r="O1344" s="31"/>
      <c r="Q1344" s="36"/>
      <c r="R1344" s="36"/>
      <c r="S1344" s="36"/>
      <c r="T1344" s="36"/>
      <c r="V1344" s="31"/>
    </row>
    <row r="1345">
      <c r="A1345" s="14"/>
      <c r="B1345" s="460"/>
      <c r="C1345" s="302"/>
      <c r="D1345" s="50"/>
      <c r="E1345" s="348"/>
      <c r="F1345" s="22"/>
      <c r="G1345" s="22"/>
      <c r="H1345" s="26" t="str">
        <f t="shared" si="1268"/>
        <v/>
      </c>
      <c r="I1345" s="50"/>
      <c r="J1345" s="351"/>
      <c r="K1345" s="448"/>
      <c r="L1345" s="29"/>
      <c r="M1345" s="31"/>
      <c r="N1345" s="14"/>
      <c r="O1345" s="31"/>
      <c r="Q1345" s="36"/>
      <c r="R1345" s="36"/>
      <c r="S1345" s="36"/>
      <c r="T1345" s="36"/>
      <c r="V1345" s="31"/>
    </row>
    <row r="1346">
      <c r="A1346" s="14"/>
      <c r="B1346" s="460"/>
      <c r="C1346" s="302"/>
      <c r="D1346" s="50"/>
      <c r="E1346" s="348"/>
      <c r="F1346" s="22"/>
      <c r="G1346" s="22"/>
      <c r="H1346" s="26" t="str">
        <f t="shared" si="1268"/>
        <v/>
      </c>
      <c r="I1346" s="50"/>
      <c r="J1346" s="351"/>
      <c r="K1346" s="448"/>
      <c r="L1346" s="29"/>
      <c r="M1346" s="31"/>
      <c r="N1346" s="14"/>
      <c r="O1346" s="31"/>
      <c r="Q1346" s="36"/>
      <c r="R1346" s="36"/>
      <c r="S1346" s="36"/>
      <c r="T1346" s="36"/>
      <c r="V1346" s="31"/>
    </row>
    <row r="1347">
      <c r="A1347" s="14"/>
      <c r="B1347" s="460"/>
      <c r="C1347" s="302"/>
      <c r="D1347" s="50"/>
      <c r="E1347" s="348"/>
      <c r="F1347" s="22"/>
      <c r="G1347" s="22"/>
      <c r="H1347" s="26" t="str">
        <f t="shared" si="1268"/>
        <v/>
      </c>
      <c r="I1347" s="50"/>
      <c r="J1347" s="351"/>
      <c r="K1347" s="448"/>
      <c r="L1347" s="29"/>
      <c r="M1347" s="31"/>
      <c r="N1347" s="14"/>
      <c r="O1347" s="31"/>
      <c r="Q1347" s="36"/>
      <c r="R1347" s="36"/>
      <c r="S1347" s="36"/>
      <c r="T1347" s="36"/>
      <c r="V1347" s="31"/>
    </row>
    <row r="1348">
      <c r="A1348" s="14"/>
      <c r="B1348" s="460"/>
      <c r="C1348" s="302"/>
      <c r="D1348" s="50"/>
      <c r="E1348" s="348"/>
      <c r="F1348" s="22"/>
      <c r="G1348" s="22"/>
      <c r="H1348" s="26" t="str">
        <f t="shared" si="1268"/>
        <v/>
      </c>
      <c r="I1348" s="50"/>
      <c r="J1348" s="351"/>
      <c r="K1348" s="448"/>
      <c r="L1348" s="29"/>
      <c r="M1348" s="31"/>
      <c r="N1348" s="14"/>
      <c r="O1348" s="31"/>
      <c r="Q1348" s="36"/>
      <c r="R1348" s="36"/>
      <c r="S1348" s="36"/>
      <c r="T1348" s="36"/>
      <c r="V1348" s="31"/>
    </row>
    <row r="1349">
      <c r="A1349" s="14"/>
      <c r="B1349" s="460"/>
      <c r="C1349" s="302"/>
      <c r="D1349" s="50"/>
      <c r="E1349" s="348"/>
      <c r="F1349" s="22"/>
      <c r="G1349" s="22"/>
      <c r="H1349" s="26" t="str">
        <f t="shared" si="1268"/>
        <v/>
      </c>
      <c r="I1349" s="50"/>
      <c r="J1349" s="351"/>
      <c r="K1349" s="448"/>
      <c r="L1349" s="29"/>
      <c r="M1349" s="31"/>
      <c r="N1349" s="14"/>
      <c r="O1349" s="31"/>
      <c r="Q1349" s="36"/>
      <c r="R1349" s="36"/>
      <c r="S1349" s="36"/>
      <c r="T1349" s="36"/>
      <c r="V1349" s="31"/>
    </row>
    <row r="1350">
      <c r="A1350" s="14"/>
      <c r="B1350" s="460"/>
      <c r="C1350" s="302"/>
      <c r="D1350" s="50"/>
      <c r="E1350" s="348"/>
      <c r="F1350" s="22"/>
      <c r="G1350" s="22"/>
      <c r="H1350" s="26" t="str">
        <f t="shared" si="1268"/>
        <v/>
      </c>
      <c r="I1350" s="50"/>
      <c r="J1350" s="351"/>
      <c r="K1350" s="448"/>
      <c r="L1350" s="29"/>
      <c r="M1350" s="31"/>
      <c r="N1350" s="14"/>
      <c r="O1350" s="31"/>
      <c r="Q1350" s="36"/>
      <c r="R1350" s="36"/>
      <c r="S1350" s="36"/>
      <c r="T1350" s="36"/>
      <c r="V1350" s="31"/>
    </row>
    <row r="1351">
      <c r="A1351" s="14"/>
      <c r="B1351" s="460"/>
      <c r="C1351" s="302"/>
      <c r="D1351" s="50"/>
      <c r="E1351" s="348"/>
      <c r="F1351" s="22"/>
      <c r="G1351" s="22"/>
      <c r="H1351" s="26" t="str">
        <f t="shared" si="1268"/>
        <v/>
      </c>
      <c r="I1351" s="50"/>
      <c r="J1351" s="351"/>
      <c r="K1351" s="448"/>
      <c r="L1351" s="29"/>
      <c r="M1351" s="31"/>
      <c r="N1351" s="14"/>
      <c r="O1351" s="31"/>
      <c r="Q1351" s="36"/>
      <c r="R1351" s="36"/>
      <c r="S1351" s="36"/>
      <c r="T1351" s="36"/>
      <c r="V1351" s="31"/>
    </row>
    <row r="1352">
      <c r="A1352" s="14"/>
      <c r="B1352" s="460"/>
      <c r="C1352" s="302"/>
      <c r="D1352" s="50"/>
      <c r="E1352" s="348"/>
      <c r="F1352" s="22"/>
      <c r="G1352" s="22"/>
      <c r="H1352" s="26" t="str">
        <f t="shared" si="1268"/>
        <v/>
      </c>
      <c r="I1352" s="50"/>
      <c r="J1352" s="351"/>
      <c r="K1352" s="448"/>
      <c r="L1352" s="29"/>
      <c r="M1352" s="31"/>
      <c r="N1352" s="14"/>
      <c r="O1352" s="31"/>
      <c r="Q1352" s="36"/>
      <c r="R1352" s="36"/>
      <c r="S1352" s="36"/>
      <c r="T1352" s="36"/>
      <c r="V1352" s="31"/>
    </row>
    <row r="1353">
      <c r="A1353" s="14"/>
      <c r="B1353" s="460"/>
      <c r="C1353" s="302"/>
      <c r="D1353" s="50"/>
      <c r="E1353" s="348"/>
      <c r="F1353" s="22"/>
      <c r="G1353" s="22"/>
      <c r="H1353" s="26" t="str">
        <f t="shared" si="1268"/>
        <v/>
      </c>
      <c r="I1353" s="50"/>
      <c r="J1353" s="351"/>
      <c r="K1353" s="448"/>
      <c r="L1353" s="29"/>
      <c r="M1353" s="31"/>
      <c r="N1353" s="14"/>
      <c r="O1353" s="31"/>
      <c r="Q1353" s="36"/>
      <c r="R1353" s="36"/>
      <c r="S1353" s="36"/>
      <c r="T1353" s="36"/>
      <c r="V1353" s="31"/>
    </row>
    <row r="1354">
      <c r="A1354" s="14"/>
      <c r="B1354" s="460"/>
      <c r="C1354" s="302"/>
      <c r="D1354" s="50"/>
      <c r="E1354" s="348"/>
      <c r="F1354" s="22"/>
      <c r="G1354" s="22"/>
      <c r="H1354" s="26" t="str">
        <f t="shared" si="1268"/>
        <v/>
      </c>
      <c r="I1354" s="50"/>
      <c r="J1354" s="351"/>
      <c r="K1354" s="448"/>
      <c r="L1354" s="29"/>
      <c r="M1354" s="31"/>
      <c r="N1354" s="14"/>
      <c r="O1354" s="31"/>
      <c r="Q1354" s="36"/>
      <c r="R1354" s="36"/>
      <c r="S1354" s="36"/>
      <c r="T1354" s="36"/>
      <c r="V1354" s="31"/>
    </row>
    <row r="1355">
      <c r="A1355" s="14"/>
      <c r="B1355" s="460"/>
      <c r="C1355" s="302"/>
      <c r="D1355" s="50"/>
      <c r="E1355" s="348"/>
      <c r="F1355" s="22"/>
      <c r="G1355" s="22"/>
      <c r="H1355" s="26" t="str">
        <f t="shared" si="1268"/>
        <v/>
      </c>
      <c r="I1355" s="50"/>
      <c r="J1355" s="351"/>
      <c r="K1355" s="448"/>
      <c r="L1355" s="29"/>
      <c r="M1355" s="31"/>
      <c r="N1355" s="14"/>
      <c r="O1355" s="31"/>
      <c r="Q1355" s="36"/>
      <c r="R1355" s="36"/>
      <c r="S1355" s="36"/>
      <c r="T1355" s="36"/>
      <c r="V1355" s="31"/>
    </row>
    <row r="1356">
      <c r="A1356" s="14"/>
      <c r="B1356" s="460"/>
      <c r="C1356" s="302"/>
      <c r="D1356" s="50"/>
      <c r="E1356" s="348"/>
      <c r="F1356" s="22"/>
      <c r="G1356" s="22"/>
      <c r="H1356" s="26" t="str">
        <f t="shared" si="1268"/>
        <v/>
      </c>
      <c r="I1356" s="50"/>
      <c r="J1356" s="351"/>
      <c r="K1356" s="448"/>
      <c r="L1356" s="29"/>
      <c r="M1356" s="31"/>
      <c r="N1356" s="14"/>
      <c r="O1356" s="31"/>
      <c r="Q1356" s="36"/>
      <c r="R1356" s="36"/>
      <c r="S1356" s="36"/>
      <c r="T1356" s="36"/>
      <c r="V1356" s="31"/>
    </row>
    <row r="1357">
      <c r="A1357" s="14"/>
      <c r="B1357" s="460"/>
      <c r="C1357" s="302"/>
      <c r="D1357" s="50"/>
      <c r="E1357" s="348"/>
      <c r="F1357" s="22"/>
      <c r="G1357" s="22"/>
      <c r="H1357" s="26" t="str">
        <f t="shared" si="1268"/>
        <v/>
      </c>
      <c r="I1357" s="50"/>
      <c r="J1357" s="351"/>
      <c r="K1357" s="448"/>
      <c r="L1357" s="29"/>
      <c r="M1357" s="31"/>
      <c r="N1357" s="14"/>
      <c r="O1357" s="31"/>
      <c r="Q1357" s="36"/>
      <c r="R1357" s="36"/>
      <c r="S1357" s="36"/>
      <c r="T1357" s="36"/>
      <c r="V1357" s="31"/>
    </row>
    <row r="1358">
      <c r="A1358" s="14"/>
      <c r="B1358" s="460"/>
      <c r="C1358" s="302"/>
      <c r="D1358" s="50"/>
      <c r="E1358" s="348"/>
      <c r="F1358" s="22"/>
      <c r="G1358" s="22"/>
      <c r="H1358" s="26" t="str">
        <f t="shared" si="1268"/>
        <v/>
      </c>
      <c r="I1358" s="50"/>
      <c r="J1358" s="351"/>
      <c r="K1358" s="448"/>
      <c r="L1358" s="29"/>
      <c r="M1358" s="31"/>
      <c r="N1358" s="14"/>
      <c r="O1358" s="31"/>
      <c r="Q1358" s="36"/>
      <c r="R1358" s="36"/>
      <c r="S1358" s="36"/>
      <c r="T1358" s="36"/>
      <c r="V1358" s="31"/>
    </row>
    <row r="1359">
      <c r="A1359" s="14"/>
      <c r="B1359" s="460"/>
      <c r="C1359" s="302"/>
      <c r="D1359" s="50"/>
      <c r="E1359" s="348"/>
      <c r="F1359" s="22"/>
      <c r="G1359" s="22"/>
      <c r="H1359" s="26" t="str">
        <f t="shared" si="1268"/>
        <v/>
      </c>
      <c r="I1359" s="50"/>
      <c r="J1359" s="351"/>
      <c r="K1359" s="448"/>
      <c r="L1359" s="29"/>
      <c r="M1359" s="31"/>
      <c r="N1359" s="14"/>
      <c r="O1359" s="31"/>
      <c r="Q1359" s="36"/>
      <c r="R1359" s="36"/>
      <c r="S1359" s="36"/>
      <c r="T1359" s="36"/>
      <c r="V1359" s="31"/>
    </row>
    <row r="1360">
      <c r="A1360" s="14"/>
      <c r="B1360" s="460"/>
      <c r="C1360" s="302"/>
      <c r="D1360" s="50"/>
      <c r="E1360" s="348"/>
      <c r="F1360" s="22"/>
      <c r="G1360" s="22"/>
      <c r="H1360" s="26" t="str">
        <f t="shared" si="1268"/>
        <v/>
      </c>
      <c r="I1360" s="50"/>
      <c r="J1360" s="351"/>
      <c r="K1360" s="448"/>
      <c r="L1360" s="29"/>
      <c r="M1360" s="31"/>
      <c r="N1360" s="14"/>
      <c r="O1360" s="31"/>
      <c r="Q1360" s="36"/>
      <c r="R1360" s="36"/>
      <c r="S1360" s="36"/>
      <c r="T1360" s="36"/>
      <c r="V1360" s="31"/>
    </row>
    <row r="1361">
      <c r="A1361" s="14"/>
      <c r="B1361" s="460"/>
      <c r="C1361" s="302"/>
      <c r="D1361" s="50"/>
      <c r="E1361" s="348"/>
      <c r="F1361" s="22"/>
      <c r="G1361" s="22"/>
      <c r="H1361" s="26" t="str">
        <f t="shared" si="1268"/>
        <v/>
      </c>
      <c r="I1361" s="50"/>
      <c r="J1361" s="351"/>
      <c r="K1361" s="448"/>
      <c r="L1361" s="29"/>
      <c r="M1361" s="31"/>
      <c r="N1361" s="14"/>
      <c r="O1361" s="31"/>
      <c r="Q1361" s="36"/>
      <c r="R1361" s="36"/>
      <c r="S1361" s="36"/>
      <c r="T1361" s="36"/>
      <c r="V1361" s="31"/>
    </row>
    <row r="1362">
      <c r="A1362" s="14"/>
      <c r="B1362" s="460"/>
      <c r="C1362" s="302"/>
      <c r="D1362" s="50"/>
      <c r="E1362" s="348"/>
      <c r="F1362" s="22"/>
      <c r="G1362" s="22"/>
      <c r="H1362" s="26" t="str">
        <f t="shared" si="1268"/>
        <v/>
      </c>
      <c r="I1362" s="50"/>
      <c r="J1362" s="351"/>
      <c r="K1362" s="448"/>
      <c r="L1362" s="29"/>
      <c r="M1362" s="31"/>
      <c r="N1362" s="14"/>
      <c r="O1362" s="31"/>
      <c r="Q1362" s="36"/>
      <c r="R1362" s="36"/>
      <c r="S1362" s="36"/>
      <c r="T1362" s="36"/>
      <c r="V1362" s="31"/>
    </row>
    <row r="1363">
      <c r="A1363" s="14"/>
      <c r="B1363" s="460"/>
      <c r="C1363" s="302"/>
      <c r="D1363" s="50"/>
      <c r="E1363" s="348"/>
      <c r="F1363" s="22"/>
      <c r="G1363" s="22"/>
      <c r="H1363" s="26" t="str">
        <f t="shared" si="1268"/>
        <v/>
      </c>
      <c r="I1363" s="50"/>
      <c r="J1363" s="351"/>
      <c r="K1363" s="448"/>
      <c r="L1363" s="29"/>
      <c r="M1363" s="31"/>
      <c r="N1363" s="14"/>
      <c r="O1363" s="31"/>
      <c r="Q1363" s="36"/>
      <c r="R1363" s="36"/>
      <c r="S1363" s="36"/>
      <c r="T1363" s="36"/>
      <c r="V1363" s="31"/>
    </row>
    <row r="1364">
      <c r="A1364" s="14"/>
      <c r="B1364" s="460"/>
      <c r="C1364" s="302"/>
      <c r="D1364" s="50"/>
      <c r="E1364" s="348"/>
      <c r="F1364" s="22"/>
      <c r="G1364" s="22"/>
      <c r="H1364" s="26" t="str">
        <f t="shared" si="1268"/>
        <v/>
      </c>
      <c r="I1364" s="50"/>
      <c r="J1364" s="351"/>
      <c r="K1364" s="448"/>
      <c r="L1364" s="29"/>
      <c r="M1364" s="31"/>
      <c r="N1364" s="14"/>
      <c r="O1364" s="31"/>
      <c r="Q1364" s="36"/>
      <c r="R1364" s="36"/>
      <c r="S1364" s="36"/>
      <c r="T1364" s="36"/>
      <c r="V1364" s="31"/>
    </row>
    <row r="1365">
      <c r="A1365" s="14"/>
      <c r="B1365" s="460"/>
      <c r="C1365" s="302"/>
      <c r="D1365" s="50"/>
      <c r="E1365" s="348"/>
      <c r="F1365" s="22"/>
      <c r="G1365" s="22"/>
      <c r="H1365" s="26" t="str">
        <f t="shared" si="1268"/>
        <v/>
      </c>
      <c r="I1365" s="50"/>
      <c r="J1365" s="351"/>
      <c r="K1365" s="448"/>
      <c r="L1365" s="29"/>
      <c r="M1365" s="31"/>
      <c r="N1365" s="14"/>
      <c r="O1365" s="31"/>
      <c r="Q1365" s="36"/>
      <c r="R1365" s="36"/>
      <c r="S1365" s="36"/>
      <c r="T1365" s="36"/>
      <c r="V1365" s="31"/>
    </row>
    <row r="1366">
      <c r="A1366" s="14"/>
      <c r="B1366" s="460"/>
      <c r="C1366" s="302"/>
      <c r="D1366" s="50"/>
      <c r="E1366" s="348"/>
      <c r="F1366" s="22"/>
      <c r="G1366" s="22"/>
      <c r="H1366" s="26" t="str">
        <f t="shared" si="1268"/>
        <v/>
      </c>
      <c r="I1366" s="50"/>
      <c r="J1366" s="351"/>
      <c r="K1366" s="448"/>
      <c r="L1366" s="29"/>
      <c r="M1366" s="31"/>
      <c r="N1366" s="14"/>
      <c r="O1366" s="31"/>
      <c r="Q1366" s="36"/>
      <c r="R1366" s="36"/>
      <c r="S1366" s="36"/>
      <c r="T1366" s="36"/>
      <c r="V1366" s="31"/>
    </row>
    <row r="1367">
      <c r="A1367" s="14"/>
      <c r="B1367" s="460"/>
      <c r="C1367" s="302"/>
      <c r="D1367" s="50"/>
      <c r="E1367" s="348"/>
      <c r="F1367" s="22"/>
      <c r="G1367" s="22"/>
      <c r="H1367" s="26" t="str">
        <f t="shared" si="1268"/>
        <v/>
      </c>
      <c r="I1367" s="50"/>
      <c r="J1367" s="351"/>
      <c r="K1367" s="448"/>
      <c r="L1367" s="29"/>
      <c r="M1367" s="31"/>
      <c r="N1367" s="14"/>
      <c r="O1367" s="31"/>
      <c r="Q1367" s="36"/>
      <c r="R1367" s="36"/>
      <c r="S1367" s="36"/>
      <c r="T1367" s="36"/>
      <c r="V1367" s="31"/>
    </row>
    <row r="1368">
      <c r="A1368" s="14"/>
      <c r="B1368" s="460"/>
      <c r="C1368" s="302"/>
      <c r="D1368" s="50"/>
      <c r="E1368" s="348"/>
      <c r="F1368" s="22"/>
      <c r="G1368" s="22"/>
      <c r="H1368" s="26" t="str">
        <f t="shared" si="1268"/>
        <v/>
      </c>
      <c r="I1368" s="50"/>
      <c r="J1368" s="351"/>
      <c r="K1368" s="448"/>
      <c r="L1368" s="29"/>
      <c r="M1368" s="31"/>
      <c r="N1368" s="14"/>
      <c r="O1368" s="31"/>
      <c r="Q1368" s="36"/>
      <c r="R1368" s="36"/>
      <c r="S1368" s="36"/>
      <c r="T1368" s="36"/>
      <c r="V1368" s="31"/>
    </row>
    <row r="1369">
      <c r="A1369" s="14"/>
      <c r="B1369" s="460"/>
      <c r="C1369" s="302"/>
      <c r="D1369" s="50"/>
      <c r="E1369" s="348"/>
      <c r="F1369" s="22"/>
      <c r="G1369" s="22"/>
      <c r="H1369" s="26" t="str">
        <f t="shared" si="1268"/>
        <v/>
      </c>
      <c r="I1369" s="50"/>
      <c r="J1369" s="351"/>
      <c r="K1369" s="448"/>
      <c r="L1369" s="29"/>
      <c r="M1369" s="31"/>
      <c r="N1369" s="14"/>
      <c r="O1369" s="31"/>
      <c r="Q1369" s="36"/>
      <c r="R1369" s="36"/>
      <c r="S1369" s="36"/>
      <c r="T1369" s="36"/>
      <c r="V1369" s="31"/>
    </row>
    <row r="1370">
      <c r="A1370" s="14"/>
      <c r="B1370" s="460"/>
      <c r="C1370" s="302"/>
      <c r="D1370" s="50"/>
      <c r="E1370" s="348"/>
      <c r="F1370" s="22"/>
      <c r="G1370" s="22"/>
      <c r="H1370" s="26" t="str">
        <f t="shared" si="1268"/>
        <v/>
      </c>
      <c r="I1370" s="50"/>
      <c r="J1370" s="351"/>
      <c r="K1370" s="448"/>
      <c r="L1370" s="29"/>
      <c r="M1370" s="31"/>
      <c r="N1370" s="14"/>
      <c r="O1370" s="31"/>
      <c r="Q1370" s="36"/>
      <c r="R1370" s="36"/>
      <c r="S1370" s="36"/>
      <c r="T1370" s="36"/>
      <c r="V1370" s="31"/>
    </row>
    <row r="1371">
      <c r="A1371" s="14"/>
      <c r="B1371" s="460"/>
      <c r="C1371" s="302"/>
      <c r="D1371" s="50"/>
      <c r="E1371" s="348"/>
      <c r="F1371" s="22"/>
      <c r="G1371" s="22"/>
      <c r="H1371" s="26" t="str">
        <f t="shared" si="1268"/>
        <v/>
      </c>
      <c r="I1371" s="50"/>
      <c r="J1371" s="351"/>
      <c r="K1371" s="448"/>
      <c r="L1371" s="29"/>
      <c r="M1371" s="31"/>
      <c r="N1371" s="14"/>
      <c r="O1371" s="31"/>
      <c r="Q1371" s="36"/>
      <c r="R1371" s="36"/>
      <c r="S1371" s="36"/>
      <c r="T1371" s="36"/>
      <c r="V1371" s="31"/>
    </row>
    <row r="1372">
      <c r="A1372" s="14"/>
      <c r="B1372" s="460"/>
      <c r="C1372" s="302"/>
      <c r="D1372" s="50"/>
      <c r="E1372" s="348"/>
      <c r="F1372" s="22"/>
      <c r="G1372" s="22"/>
      <c r="H1372" s="26" t="str">
        <f t="shared" si="1268"/>
        <v/>
      </c>
      <c r="I1372" s="50"/>
      <c r="J1372" s="351"/>
      <c r="K1372" s="448"/>
      <c r="L1372" s="29"/>
      <c r="M1372" s="31"/>
      <c r="N1372" s="14"/>
      <c r="O1372" s="31"/>
      <c r="Q1372" s="36"/>
      <c r="R1372" s="36"/>
      <c r="S1372" s="36"/>
      <c r="T1372" s="36"/>
      <c r="V1372" s="31"/>
    </row>
    <row r="1373">
      <c r="A1373" s="14"/>
      <c r="B1373" s="460"/>
      <c r="C1373" s="302"/>
      <c r="D1373" s="50"/>
      <c r="E1373" s="348"/>
      <c r="F1373" s="22"/>
      <c r="G1373" s="22"/>
      <c r="H1373" s="26" t="str">
        <f t="shared" si="1268"/>
        <v/>
      </c>
      <c r="I1373" s="50"/>
      <c r="J1373" s="351"/>
      <c r="K1373" s="448"/>
      <c r="L1373" s="29"/>
      <c r="M1373" s="31"/>
      <c r="N1373" s="14"/>
      <c r="O1373" s="31"/>
      <c r="Q1373" s="36"/>
      <c r="R1373" s="36"/>
      <c r="S1373" s="36"/>
      <c r="T1373" s="36"/>
      <c r="V1373" s="31"/>
    </row>
    <row r="1374">
      <c r="A1374" s="14"/>
      <c r="B1374" s="460"/>
      <c r="C1374" s="302"/>
      <c r="D1374" s="50"/>
      <c r="E1374" s="348"/>
      <c r="F1374" s="22"/>
      <c r="G1374" s="22"/>
      <c r="H1374" s="26" t="str">
        <f t="shared" si="1268"/>
        <v/>
      </c>
      <c r="I1374" s="50"/>
      <c r="J1374" s="351"/>
      <c r="K1374" s="448"/>
      <c r="L1374" s="29"/>
      <c r="M1374" s="31"/>
      <c r="N1374" s="14"/>
      <c r="O1374" s="31"/>
      <c r="Q1374" s="36"/>
      <c r="R1374" s="36"/>
      <c r="S1374" s="36"/>
      <c r="T1374" s="36"/>
      <c r="V1374" s="31"/>
    </row>
    <row r="1375">
      <c r="A1375" s="14"/>
      <c r="B1375" s="460"/>
      <c r="C1375" s="302"/>
      <c r="D1375" s="50"/>
      <c r="E1375" s="348"/>
      <c r="F1375" s="22"/>
      <c r="G1375" s="22"/>
      <c r="H1375" s="22"/>
      <c r="I1375" s="50"/>
      <c r="J1375" s="351"/>
      <c r="K1375" s="448"/>
      <c r="L1375" s="29"/>
      <c r="M1375" s="31"/>
      <c r="N1375" s="14"/>
      <c r="O1375" s="31"/>
      <c r="Q1375" s="36"/>
      <c r="R1375" s="36"/>
      <c r="S1375" s="36"/>
      <c r="T1375" s="36"/>
      <c r="V1375" s="31"/>
    </row>
    <row r="1376">
      <c r="A1376" s="14"/>
      <c r="B1376" s="460"/>
      <c r="C1376" s="302"/>
      <c r="D1376" s="50"/>
      <c r="E1376" s="348"/>
      <c r="F1376" s="22"/>
      <c r="G1376" s="22"/>
      <c r="H1376" s="22"/>
      <c r="I1376" s="50"/>
      <c r="J1376" s="351"/>
      <c r="K1376" s="448"/>
      <c r="L1376" s="29"/>
      <c r="M1376" s="31"/>
      <c r="N1376" s="14"/>
      <c r="O1376" s="31"/>
      <c r="Q1376" s="36"/>
      <c r="R1376" s="36"/>
      <c r="S1376" s="36"/>
      <c r="T1376" s="36"/>
      <c r="V1376" s="31"/>
    </row>
    <row r="1377">
      <c r="A1377" s="14"/>
      <c r="B1377" s="460"/>
      <c r="C1377" s="302"/>
      <c r="D1377" s="50"/>
      <c r="E1377" s="348"/>
      <c r="F1377" s="22"/>
      <c r="G1377" s="22"/>
      <c r="H1377" s="22"/>
      <c r="I1377" s="50"/>
      <c r="J1377" s="351"/>
      <c r="K1377" s="448"/>
      <c r="L1377" s="29"/>
      <c r="M1377" s="31"/>
      <c r="N1377" s="14"/>
      <c r="O1377" s="31"/>
      <c r="Q1377" s="36"/>
      <c r="R1377" s="36"/>
      <c r="S1377" s="36"/>
      <c r="T1377" s="36"/>
      <c r="V1377" s="31"/>
    </row>
    <row r="1378">
      <c r="A1378" s="14"/>
      <c r="B1378" s="460"/>
      <c r="C1378" s="302"/>
      <c r="D1378" s="50"/>
      <c r="E1378" s="348"/>
      <c r="F1378" s="22"/>
      <c r="G1378" s="22"/>
      <c r="H1378" s="22"/>
      <c r="I1378" s="50"/>
      <c r="J1378" s="351"/>
      <c r="K1378" s="448"/>
      <c r="L1378" s="29"/>
      <c r="M1378" s="31"/>
      <c r="N1378" s="14"/>
      <c r="O1378" s="31"/>
      <c r="Q1378" s="36"/>
      <c r="R1378" s="36"/>
      <c r="S1378" s="36"/>
      <c r="T1378" s="36"/>
      <c r="V1378" s="31"/>
    </row>
    <row r="1379">
      <c r="A1379" s="14"/>
      <c r="B1379" s="460"/>
      <c r="C1379" s="302"/>
      <c r="D1379" s="50"/>
      <c r="E1379" s="348"/>
      <c r="F1379" s="22"/>
      <c r="G1379" s="22"/>
      <c r="H1379" s="22"/>
      <c r="I1379" s="50"/>
      <c r="J1379" s="351"/>
      <c r="K1379" s="448"/>
      <c r="L1379" s="29"/>
      <c r="M1379" s="31"/>
      <c r="N1379" s="14"/>
      <c r="O1379" s="31"/>
      <c r="Q1379" s="36"/>
      <c r="R1379" s="36"/>
      <c r="S1379" s="36"/>
      <c r="T1379" s="36"/>
      <c r="V1379" s="31"/>
    </row>
    <row r="1380">
      <c r="A1380" s="14"/>
      <c r="B1380" s="460"/>
      <c r="C1380" s="302"/>
      <c r="D1380" s="50"/>
      <c r="E1380" s="348"/>
      <c r="F1380" s="22"/>
      <c r="G1380" s="22"/>
      <c r="H1380" s="22"/>
      <c r="I1380" s="50"/>
      <c r="J1380" s="351"/>
      <c r="K1380" s="448"/>
      <c r="L1380" s="29"/>
      <c r="M1380" s="31"/>
      <c r="N1380" s="14"/>
      <c r="O1380" s="31"/>
      <c r="Q1380" s="36"/>
      <c r="R1380" s="36"/>
      <c r="S1380" s="36"/>
      <c r="T1380" s="36"/>
      <c r="V1380" s="31"/>
    </row>
    <row r="1381">
      <c r="A1381" s="14"/>
      <c r="B1381" s="460"/>
      <c r="C1381" s="302"/>
      <c r="D1381" s="50"/>
      <c r="E1381" s="348"/>
      <c r="F1381" s="22"/>
      <c r="G1381" s="22"/>
      <c r="H1381" s="22"/>
      <c r="I1381" s="50"/>
      <c r="J1381" s="351"/>
      <c r="K1381" s="448"/>
      <c r="L1381" s="29"/>
      <c r="M1381" s="31"/>
      <c r="N1381" s="14"/>
      <c r="O1381" s="31"/>
      <c r="Q1381" s="36"/>
      <c r="R1381" s="36"/>
      <c r="S1381" s="36"/>
      <c r="T1381" s="36"/>
      <c r="V1381" s="31"/>
    </row>
    <row r="1382">
      <c r="A1382" s="14"/>
      <c r="B1382" s="460"/>
      <c r="C1382" s="302"/>
      <c r="D1382" s="50"/>
      <c r="E1382" s="348"/>
      <c r="F1382" s="22"/>
      <c r="G1382" s="22"/>
      <c r="H1382" s="22"/>
      <c r="I1382" s="50"/>
      <c r="J1382" s="351"/>
      <c r="K1382" s="448"/>
      <c r="L1382" s="29"/>
      <c r="M1382" s="31"/>
      <c r="N1382" s="14"/>
      <c r="O1382" s="31"/>
      <c r="Q1382" s="36"/>
      <c r="R1382" s="36"/>
      <c r="S1382" s="36"/>
      <c r="T1382" s="36"/>
      <c r="V1382" s="31"/>
    </row>
    <row r="1383">
      <c r="A1383" s="14"/>
      <c r="B1383" s="460"/>
      <c r="C1383" s="302"/>
      <c r="D1383" s="50"/>
      <c r="E1383" s="348"/>
      <c r="F1383" s="22"/>
      <c r="G1383" s="22"/>
      <c r="H1383" s="22"/>
      <c r="I1383" s="50"/>
      <c r="J1383" s="351"/>
      <c r="K1383" s="448"/>
      <c r="L1383" s="29"/>
      <c r="M1383" s="31"/>
      <c r="N1383" s="14"/>
      <c r="O1383" s="31"/>
      <c r="Q1383" s="36"/>
      <c r="R1383" s="36"/>
      <c r="S1383" s="36"/>
      <c r="T1383" s="36"/>
      <c r="V1383" s="31"/>
    </row>
    <row r="1384">
      <c r="A1384" s="14"/>
      <c r="B1384" s="460"/>
      <c r="C1384" s="302"/>
      <c r="D1384" s="50"/>
      <c r="E1384" s="348"/>
      <c r="F1384" s="22"/>
      <c r="G1384" s="22"/>
      <c r="H1384" s="22"/>
      <c r="I1384" s="50"/>
      <c r="J1384" s="351"/>
      <c r="K1384" s="448"/>
      <c r="L1384" s="29"/>
      <c r="M1384" s="31"/>
      <c r="N1384" s="14"/>
      <c r="O1384" s="31"/>
      <c r="Q1384" s="36"/>
      <c r="R1384" s="36"/>
      <c r="S1384" s="36"/>
      <c r="T1384" s="36"/>
      <c r="V1384" s="31"/>
    </row>
    <row r="1385">
      <c r="A1385" s="14"/>
      <c r="B1385" s="460"/>
      <c r="C1385" s="302"/>
      <c r="D1385" s="50"/>
      <c r="E1385" s="348"/>
      <c r="F1385" s="22"/>
      <c r="G1385" s="22"/>
      <c r="H1385" s="22"/>
      <c r="I1385" s="50"/>
      <c r="J1385" s="351"/>
      <c r="K1385" s="448"/>
      <c r="L1385" s="29"/>
      <c r="M1385" s="31"/>
      <c r="N1385" s="14"/>
      <c r="O1385" s="31"/>
      <c r="Q1385" s="36"/>
      <c r="R1385" s="36"/>
      <c r="S1385" s="36"/>
      <c r="T1385" s="36"/>
      <c r="V1385" s="31"/>
    </row>
    <row r="1386">
      <c r="A1386" s="14"/>
      <c r="B1386" s="460"/>
      <c r="C1386" s="302"/>
      <c r="D1386" s="50"/>
      <c r="E1386" s="348"/>
      <c r="F1386" s="22"/>
      <c r="G1386" s="22"/>
      <c r="H1386" s="22"/>
      <c r="I1386" s="50"/>
      <c r="J1386" s="351"/>
      <c r="K1386" s="448"/>
      <c r="L1386" s="29"/>
      <c r="M1386" s="31"/>
      <c r="N1386" s="14"/>
      <c r="O1386" s="31"/>
      <c r="Q1386" s="36"/>
      <c r="R1386" s="36"/>
      <c r="S1386" s="36"/>
      <c r="T1386" s="36"/>
      <c r="V1386" s="31"/>
    </row>
    <row r="1387">
      <c r="A1387" s="14"/>
      <c r="B1387" s="460"/>
      <c r="C1387" s="302"/>
      <c r="D1387" s="50"/>
      <c r="E1387" s="348"/>
      <c r="F1387" s="22"/>
      <c r="G1387" s="22"/>
      <c r="H1387" s="22"/>
      <c r="I1387" s="50"/>
      <c r="J1387" s="351"/>
      <c r="K1387" s="448"/>
      <c r="L1387" s="29"/>
      <c r="M1387" s="31"/>
      <c r="N1387" s="14"/>
      <c r="O1387" s="31"/>
      <c r="Q1387" s="36"/>
      <c r="R1387" s="36"/>
      <c r="S1387" s="36"/>
      <c r="T1387" s="36"/>
      <c r="V1387" s="31"/>
    </row>
    <row r="1388">
      <c r="A1388" s="14"/>
      <c r="B1388" s="460"/>
      <c r="C1388" s="302"/>
      <c r="D1388" s="50"/>
      <c r="E1388" s="348"/>
      <c r="F1388" s="22"/>
      <c r="G1388" s="22"/>
      <c r="H1388" s="22"/>
      <c r="I1388" s="50"/>
      <c r="J1388" s="351"/>
      <c r="K1388" s="448"/>
      <c r="L1388" s="29"/>
      <c r="M1388" s="31"/>
      <c r="N1388" s="14"/>
      <c r="O1388" s="31"/>
      <c r="Q1388" s="36"/>
      <c r="R1388" s="36"/>
      <c r="S1388" s="36"/>
      <c r="T1388" s="36"/>
      <c r="V1388" s="31"/>
    </row>
    <row r="1389">
      <c r="A1389" s="14"/>
      <c r="B1389" s="460"/>
      <c r="C1389" s="302"/>
      <c r="D1389" s="50"/>
      <c r="E1389" s="348"/>
      <c r="F1389" s="22"/>
      <c r="G1389" s="22"/>
      <c r="H1389" s="22"/>
      <c r="I1389" s="50"/>
      <c r="J1389" s="351"/>
      <c r="K1389" s="448"/>
      <c r="L1389" s="29"/>
      <c r="M1389" s="31"/>
      <c r="N1389" s="14"/>
      <c r="O1389" s="31"/>
      <c r="Q1389" s="36"/>
      <c r="R1389" s="36"/>
      <c r="S1389" s="36"/>
      <c r="T1389" s="36"/>
      <c r="V1389" s="31"/>
    </row>
    <row r="1390">
      <c r="A1390" s="14"/>
      <c r="B1390" s="460"/>
      <c r="C1390" s="302"/>
      <c r="D1390" s="50"/>
      <c r="E1390" s="348"/>
      <c r="F1390" s="22"/>
      <c r="G1390" s="22"/>
      <c r="H1390" s="22"/>
      <c r="I1390" s="50"/>
      <c r="J1390" s="351"/>
      <c r="K1390" s="448"/>
      <c r="L1390" s="29"/>
      <c r="M1390" s="31"/>
      <c r="N1390" s="14"/>
      <c r="O1390" s="31"/>
      <c r="Q1390" s="36"/>
      <c r="R1390" s="36"/>
      <c r="S1390" s="36"/>
      <c r="T1390" s="36"/>
      <c r="V1390" s="31"/>
    </row>
    <row r="1391">
      <c r="A1391" s="14"/>
      <c r="B1391" s="460"/>
      <c r="C1391" s="302"/>
      <c r="D1391" s="50"/>
      <c r="E1391" s="348"/>
      <c r="F1391" s="22"/>
      <c r="G1391" s="22"/>
      <c r="H1391" s="22"/>
      <c r="I1391" s="50"/>
      <c r="J1391" s="351"/>
      <c r="K1391" s="448"/>
      <c r="L1391" s="29"/>
      <c r="M1391" s="31"/>
      <c r="N1391" s="14"/>
      <c r="O1391" s="31"/>
      <c r="Q1391" s="36"/>
      <c r="R1391" s="36"/>
      <c r="S1391" s="36"/>
      <c r="T1391" s="36"/>
      <c r="V1391" s="31"/>
    </row>
    <row r="1392">
      <c r="A1392" s="14"/>
      <c r="B1392" s="460"/>
      <c r="C1392" s="302"/>
      <c r="D1392" s="50"/>
      <c r="E1392" s="348"/>
      <c r="F1392" s="22"/>
      <c r="G1392" s="22"/>
      <c r="H1392" s="22"/>
      <c r="I1392" s="50"/>
      <c r="J1392" s="351"/>
      <c r="K1392" s="448"/>
      <c r="L1392" s="29"/>
      <c r="M1392" s="31"/>
      <c r="N1392" s="14"/>
      <c r="O1392" s="31"/>
      <c r="Q1392" s="36"/>
      <c r="R1392" s="36"/>
      <c r="S1392" s="36"/>
      <c r="T1392" s="36"/>
      <c r="V1392" s="31"/>
    </row>
    <row r="1393">
      <c r="A1393" s="14"/>
      <c r="B1393" s="460"/>
      <c r="C1393" s="302"/>
      <c r="D1393" s="50"/>
      <c r="E1393" s="348"/>
      <c r="F1393" s="22"/>
      <c r="G1393" s="22"/>
      <c r="H1393" s="22"/>
      <c r="I1393" s="50"/>
      <c r="J1393" s="351"/>
      <c r="K1393" s="448"/>
      <c r="L1393" s="29"/>
      <c r="M1393" s="31"/>
      <c r="N1393" s="14"/>
      <c r="O1393" s="31"/>
      <c r="Q1393" s="36"/>
      <c r="R1393" s="36"/>
      <c r="S1393" s="36"/>
      <c r="T1393" s="36"/>
      <c r="V1393" s="31"/>
    </row>
    <row r="1394">
      <c r="A1394" s="14"/>
      <c r="B1394" s="460"/>
      <c r="C1394" s="302"/>
      <c r="D1394" s="50"/>
      <c r="E1394" s="348"/>
      <c r="F1394" s="22"/>
      <c r="G1394" s="22"/>
      <c r="H1394" s="22"/>
      <c r="I1394" s="50"/>
      <c r="J1394" s="351"/>
      <c r="K1394" s="448"/>
      <c r="L1394" s="29"/>
      <c r="M1394" s="31"/>
      <c r="N1394" s="14"/>
      <c r="O1394" s="31"/>
      <c r="Q1394" s="36"/>
      <c r="R1394" s="36"/>
      <c r="S1394" s="36"/>
      <c r="T1394" s="36"/>
      <c r="V1394" s="31"/>
    </row>
    <row r="1395">
      <c r="A1395" s="14"/>
      <c r="B1395" s="460"/>
      <c r="C1395" s="302"/>
      <c r="D1395" s="50"/>
      <c r="E1395" s="348"/>
      <c r="F1395" s="22"/>
      <c r="G1395" s="22"/>
      <c r="H1395" s="22"/>
      <c r="I1395" s="50"/>
      <c r="J1395" s="351"/>
      <c r="K1395" s="448"/>
      <c r="L1395" s="29"/>
      <c r="M1395" s="31"/>
      <c r="N1395" s="14"/>
      <c r="O1395" s="31"/>
      <c r="Q1395" s="36"/>
      <c r="R1395" s="36"/>
      <c r="S1395" s="36"/>
      <c r="T1395" s="36"/>
      <c r="V1395" s="31"/>
    </row>
    <row r="1396">
      <c r="A1396" s="14"/>
      <c r="B1396" s="460"/>
      <c r="C1396" s="302"/>
      <c r="D1396" s="50"/>
      <c r="E1396" s="348"/>
      <c r="F1396" s="22"/>
      <c r="G1396" s="22"/>
      <c r="H1396" s="22"/>
      <c r="I1396" s="50"/>
      <c r="J1396" s="351"/>
      <c r="K1396" s="448"/>
      <c r="L1396" s="29"/>
      <c r="M1396" s="31"/>
      <c r="N1396" s="14"/>
      <c r="O1396" s="31"/>
      <c r="Q1396" s="36"/>
      <c r="R1396" s="36"/>
      <c r="S1396" s="36"/>
      <c r="T1396" s="36"/>
      <c r="V1396" s="31"/>
    </row>
    <row r="1397">
      <c r="A1397" s="14"/>
      <c r="B1397" s="460"/>
      <c r="C1397" s="302"/>
      <c r="D1397" s="50"/>
      <c r="E1397" s="348"/>
      <c r="F1397" s="22"/>
      <c r="G1397" s="22"/>
      <c r="H1397" s="22"/>
      <c r="I1397" s="50"/>
      <c r="J1397" s="351"/>
      <c r="K1397" s="448"/>
      <c r="L1397" s="29"/>
      <c r="M1397" s="31"/>
      <c r="N1397" s="14"/>
      <c r="O1397" s="31"/>
      <c r="Q1397" s="36"/>
      <c r="R1397" s="36"/>
      <c r="S1397" s="36"/>
      <c r="T1397" s="36"/>
      <c r="V1397" s="31"/>
    </row>
    <row r="1398">
      <c r="A1398" s="14"/>
      <c r="B1398" s="460"/>
      <c r="C1398" s="302"/>
      <c r="D1398" s="50"/>
      <c r="E1398" s="348"/>
      <c r="F1398" s="22"/>
      <c r="G1398" s="22"/>
      <c r="H1398" s="22"/>
      <c r="I1398" s="50"/>
      <c r="J1398" s="351"/>
      <c r="K1398" s="448"/>
      <c r="L1398" s="29"/>
      <c r="M1398" s="31"/>
      <c r="N1398" s="14"/>
      <c r="O1398" s="31"/>
      <c r="Q1398" s="36"/>
      <c r="R1398" s="36"/>
      <c r="S1398" s="36"/>
      <c r="T1398" s="36"/>
      <c r="V1398" s="31"/>
    </row>
    <row r="1399">
      <c r="A1399" s="14"/>
      <c r="B1399" s="460"/>
      <c r="C1399" s="302"/>
      <c r="D1399" s="50"/>
      <c r="E1399" s="348"/>
      <c r="F1399" s="22"/>
      <c r="G1399" s="22"/>
      <c r="H1399" s="22"/>
      <c r="I1399" s="50"/>
      <c r="J1399" s="351"/>
      <c r="K1399" s="448"/>
      <c r="L1399" s="29"/>
      <c r="M1399" s="31"/>
      <c r="N1399" s="14"/>
      <c r="O1399" s="31"/>
      <c r="Q1399" s="36"/>
      <c r="R1399" s="36"/>
      <c r="S1399" s="36"/>
      <c r="T1399" s="36"/>
      <c r="V1399" s="31"/>
    </row>
    <row r="1400">
      <c r="A1400" s="14"/>
      <c r="B1400" s="460"/>
      <c r="C1400" s="302"/>
      <c r="D1400" s="50"/>
      <c r="E1400" s="348"/>
      <c r="F1400" s="22"/>
      <c r="G1400" s="22"/>
      <c r="H1400" s="22"/>
      <c r="I1400" s="50"/>
      <c r="J1400" s="351"/>
      <c r="K1400" s="448"/>
      <c r="L1400" s="29"/>
      <c r="M1400" s="31"/>
      <c r="N1400" s="14"/>
      <c r="O1400" s="31"/>
      <c r="Q1400" s="36"/>
      <c r="R1400" s="36"/>
      <c r="S1400" s="36"/>
      <c r="T1400" s="36"/>
      <c r="V1400" s="31"/>
    </row>
    <row r="1401">
      <c r="A1401" s="14"/>
      <c r="B1401" s="460"/>
      <c r="C1401" s="302"/>
      <c r="D1401" s="50"/>
      <c r="E1401" s="348"/>
      <c r="F1401" s="22"/>
      <c r="G1401" s="22"/>
      <c r="H1401" s="22"/>
      <c r="I1401" s="50"/>
      <c r="J1401" s="351"/>
      <c r="K1401" s="448"/>
      <c r="L1401" s="29"/>
      <c r="M1401" s="31"/>
      <c r="N1401" s="14"/>
      <c r="O1401" s="31"/>
      <c r="Q1401" s="36"/>
      <c r="R1401" s="36"/>
      <c r="S1401" s="36"/>
      <c r="T1401" s="36"/>
      <c r="V1401" s="31"/>
    </row>
    <row r="1402">
      <c r="A1402" s="14"/>
      <c r="B1402" s="460"/>
      <c r="C1402" s="302"/>
      <c r="D1402" s="50"/>
      <c r="E1402" s="348"/>
      <c r="F1402" s="22"/>
      <c r="G1402" s="22"/>
      <c r="H1402" s="22"/>
      <c r="I1402" s="50"/>
      <c r="J1402" s="351"/>
      <c r="K1402" s="448"/>
      <c r="L1402" s="29"/>
      <c r="M1402" s="31"/>
      <c r="N1402" s="14"/>
      <c r="O1402" s="31"/>
      <c r="Q1402" s="36"/>
      <c r="R1402" s="36"/>
      <c r="S1402" s="36"/>
      <c r="T1402" s="36"/>
      <c r="V1402" s="31"/>
    </row>
    <row r="1403">
      <c r="A1403" s="14"/>
      <c r="B1403" s="460"/>
      <c r="C1403" s="302"/>
      <c r="D1403" s="50"/>
      <c r="E1403" s="348"/>
      <c r="F1403" s="22"/>
      <c r="G1403" s="22"/>
      <c r="H1403" s="22"/>
      <c r="I1403" s="50"/>
      <c r="J1403" s="351"/>
      <c r="K1403" s="448"/>
      <c r="L1403" s="29"/>
      <c r="M1403" s="31"/>
      <c r="N1403" s="14"/>
      <c r="O1403" s="31"/>
      <c r="Q1403" s="36"/>
      <c r="R1403" s="36"/>
      <c r="S1403" s="36"/>
      <c r="T1403" s="36"/>
      <c r="V1403" s="31"/>
    </row>
    <row r="1404">
      <c r="A1404" s="14"/>
      <c r="B1404" s="460"/>
      <c r="C1404" s="302"/>
      <c r="D1404" s="50"/>
      <c r="E1404" s="348"/>
      <c r="F1404" s="22"/>
      <c r="G1404" s="22"/>
      <c r="H1404" s="22"/>
      <c r="I1404" s="50"/>
      <c r="J1404" s="351"/>
      <c r="K1404" s="448"/>
      <c r="L1404" s="29"/>
      <c r="M1404" s="31"/>
      <c r="N1404" s="14"/>
      <c r="O1404" s="31"/>
      <c r="Q1404" s="36"/>
      <c r="R1404" s="36"/>
      <c r="S1404" s="36"/>
      <c r="T1404" s="36"/>
      <c r="V1404" s="31"/>
    </row>
    <row r="1405">
      <c r="A1405" s="14"/>
      <c r="B1405" s="460"/>
      <c r="C1405" s="302"/>
      <c r="D1405" s="50"/>
      <c r="E1405" s="348"/>
      <c r="F1405" s="22"/>
      <c r="G1405" s="22"/>
      <c r="H1405" s="22"/>
      <c r="I1405" s="50"/>
      <c r="J1405" s="351"/>
      <c r="K1405" s="448"/>
      <c r="L1405" s="29"/>
      <c r="M1405" s="31"/>
      <c r="N1405" s="14"/>
      <c r="O1405" s="31"/>
      <c r="Q1405" s="36"/>
      <c r="R1405" s="36"/>
      <c r="S1405" s="36"/>
      <c r="T1405" s="36"/>
      <c r="V1405" s="31"/>
    </row>
    <row r="1406">
      <c r="A1406" s="14"/>
      <c r="B1406" s="460"/>
      <c r="C1406" s="302"/>
      <c r="D1406" s="50"/>
      <c r="E1406" s="348"/>
      <c r="F1406" s="22"/>
      <c r="G1406" s="22"/>
      <c r="H1406" s="22"/>
      <c r="I1406" s="50"/>
      <c r="J1406" s="351"/>
      <c r="K1406" s="448"/>
      <c r="L1406" s="29"/>
      <c r="M1406" s="31"/>
      <c r="N1406" s="14"/>
      <c r="O1406" s="31"/>
      <c r="Q1406" s="36"/>
      <c r="R1406" s="36"/>
      <c r="S1406" s="36"/>
      <c r="T1406" s="36"/>
      <c r="V1406" s="31"/>
    </row>
    <row r="1407">
      <c r="A1407" s="14"/>
      <c r="B1407" s="460"/>
      <c r="C1407" s="302"/>
      <c r="D1407" s="50"/>
      <c r="E1407" s="348"/>
      <c r="F1407" s="22"/>
      <c r="G1407" s="22"/>
      <c r="H1407" s="22"/>
      <c r="I1407" s="50"/>
      <c r="J1407" s="351"/>
      <c r="K1407" s="448"/>
      <c r="L1407" s="29"/>
      <c r="M1407" s="31"/>
      <c r="N1407" s="14"/>
      <c r="O1407" s="31"/>
      <c r="Q1407" s="36"/>
      <c r="R1407" s="36"/>
      <c r="S1407" s="36"/>
      <c r="T1407" s="36"/>
      <c r="V1407" s="31"/>
    </row>
    <row r="1408">
      <c r="A1408" s="14"/>
      <c r="B1408" s="460"/>
      <c r="C1408" s="302"/>
      <c r="D1408" s="50"/>
      <c r="E1408" s="348"/>
      <c r="F1408" s="22"/>
      <c r="G1408" s="22"/>
      <c r="H1408" s="22"/>
      <c r="I1408" s="50"/>
      <c r="J1408" s="351"/>
      <c r="K1408" s="448"/>
      <c r="L1408" s="29"/>
      <c r="M1408" s="31"/>
      <c r="N1408" s="14"/>
      <c r="O1408" s="31"/>
      <c r="Q1408" s="36"/>
      <c r="R1408" s="36"/>
      <c r="S1408" s="36"/>
      <c r="T1408" s="36"/>
      <c r="V1408" s="31"/>
    </row>
    <row r="1409">
      <c r="A1409" s="14"/>
      <c r="B1409" s="460"/>
      <c r="C1409" s="302"/>
      <c r="D1409" s="50"/>
      <c r="E1409" s="348"/>
      <c r="F1409" s="22"/>
      <c r="G1409" s="22"/>
      <c r="H1409" s="22"/>
      <c r="I1409" s="50"/>
      <c r="J1409" s="351"/>
      <c r="K1409" s="448"/>
      <c r="L1409" s="29"/>
      <c r="M1409" s="31"/>
      <c r="N1409" s="14"/>
      <c r="O1409" s="31"/>
      <c r="Q1409" s="36"/>
      <c r="R1409" s="36"/>
      <c r="S1409" s="36"/>
      <c r="T1409" s="36"/>
      <c r="V1409" s="31"/>
    </row>
    <row r="1410">
      <c r="A1410" s="14"/>
      <c r="B1410" s="460"/>
      <c r="C1410" s="302"/>
      <c r="D1410" s="50"/>
      <c r="E1410" s="348"/>
      <c r="F1410" s="22"/>
      <c r="G1410" s="22"/>
      <c r="H1410" s="22"/>
      <c r="I1410" s="50"/>
      <c r="J1410" s="351"/>
      <c r="K1410" s="448"/>
      <c r="L1410" s="29"/>
      <c r="M1410" s="31"/>
      <c r="N1410" s="14"/>
      <c r="O1410" s="31"/>
      <c r="Q1410" s="36"/>
      <c r="R1410" s="36"/>
      <c r="S1410" s="36"/>
      <c r="T1410" s="36"/>
      <c r="V1410" s="31"/>
    </row>
    <row r="1411">
      <c r="A1411" s="14"/>
      <c r="B1411" s="460"/>
      <c r="C1411" s="302"/>
      <c r="D1411" s="50"/>
      <c r="E1411" s="348"/>
      <c r="F1411" s="22"/>
      <c r="G1411" s="22"/>
      <c r="H1411" s="22"/>
      <c r="I1411" s="50"/>
      <c r="J1411" s="351"/>
      <c r="K1411" s="448"/>
      <c r="L1411" s="29"/>
      <c r="M1411" s="31"/>
      <c r="N1411" s="14"/>
      <c r="O1411" s="31"/>
      <c r="Q1411" s="36"/>
      <c r="R1411" s="36"/>
      <c r="S1411" s="36"/>
      <c r="T1411" s="36"/>
      <c r="V1411" s="31"/>
    </row>
    <row r="1412">
      <c r="A1412" s="14"/>
      <c r="B1412" s="460"/>
      <c r="C1412" s="302"/>
      <c r="D1412" s="50"/>
      <c r="E1412" s="348"/>
      <c r="F1412" s="22"/>
      <c r="G1412" s="22"/>
      <c r="H1412" s="22"/>
      <c r="I1412" s="50"/>
      <c r="J1412" s="351"/>
      <c r="K1412" s="448"/>
      <c r="L1412" s="29"/>
      <c r="M1412" s="31"/>
      <c r="N1412" s="14"/>
      <c r="O1412" s="31"/>
      <c r="Q1412" s="36"/>
      <c r="R1412" s="36"/>
      <c r="S1412" s="36"/>
      <c r="T1412" s="36"/>
      <c r="V1412" s="31"/>
    </row>
    <row r="1413">
      <c r="A1413" s="14"/>
      <c r="B1413" s="460"/>
      <c r="C1413" s="302"/>
      <c r="D1413" s="50"/>
      <c r="E1413" s="348"/>
      <c r="F1413" s="22"/>
      <c r="G1413" s="22"/>
      <c r="H1413" s="22"/>
      <c r="I1413" s="50"/>
      <c r="J1413" s="351"/>
      <c r="K1413" s="448"/>
      <c r="L1413" s="29"/>
      <c r="M1413" s="31"/>
      <c r="N1413" s="14"/>
      <c r="O1413" s="31"/>
      <c r="Q1413" s="36"/>
      <c r="R1413" s="36"/>
      <c r="S1413" s="36"/>
      <c r="T1413" s="36"/>
      <c r="V1413" s="31"/>
    </row>
    <row r="1414">
      <c r="A1414" s="14"/>
      <c r="B1414" s="460"/>
      <c r="C1414" s="302"/>
      <c r="D1414" s="50"/>
      <c r="E1414" s="348"/>
      <c r="F1414" s="22"/>
      <c r="G1414" s="22"/>
      <c r="H1414" s="22"/>
      <c r="I1414" s="50"/>
      <c r="J1414" s="351"/>
      <c r="K1414" s="448"/>
      <c r="L1414" s="29"/>
      <c r="M1414" s="31"/>
      <c r="N1414" s="14"/>
      <c r="O1414" s="31"/>
      <c r="Q1414" s="36"/>
      <c r="R1414" s="36"/>
      <c r="S1414" s="36"/>
      <c r="T1414" s="36"/>
      <c r="V1414" s="31"/>
    </row>
    <row r="1415">
      <c r="A1415" s="14"/>
      <c r="B1415" s="460"/>
      <c r="C1415" s="302"/>
      <c r="D1415" s="50"/>
      <c r="E1415" s="348"/>
      <c r="F1415" s="22"/>
      <c r="G1415" s="22"/>
      <c r="H1415" s="22"/>
      <c r="I1415" s="50"/>
      <c r="J1415" s="351"/>
      <c r="K1415" s="448"/>
      <c r="L1415" s="29"/>
      <c r="M1415" s="31"/>
      <c r="N1415" s="14"/>
      <c r="O1415" s="31"/>
      <c r="Q1415" s="36"/>
      <c r="R1415" s="36"/>
      <c r="S1415" s="36"/>
      <c r="T1415" s="36"/>
      <c r="V1415" s="31"/>
    </row>
    <row r="1416">
      <c r="A1416" s="14"/>
      <c r="B1416" s="460"/>
      <c r="C1416" s="302"/>
      <c r="D1416" s="50"/>
      <c r="E1416" s="348"/>
      <c r="F1416" s="22"/>
      <c r="G1416" s="22"/>
      <c r="H1416" s="22"/>
      <c r="I1416" s="50"/>
      <c r="J1416" s="351"/>
      <c r="K1416" s="448"/>
      <c r="L1416" s="29"/>
      <c r="M1416" s="31"/>
      <c r="N1416" s="14"/>
      <c r="O1416" s="31"/>
      <c r="Q1416" s="36"/>
      <c r="R1416" s="36"/>
      <c r="S1416" s="36"/>
      <c r="T1416" s="36"/>
      <c r="V1416" s="31"/>
    </row>
    <row r="1417">
      <c r="A1417" s="14"/>
      <c r="B1417" s="460"/>
      <c r="C1417" s="302"/>
      <c r="D1417" s="50"/>
      <c r="E1417" s="348"/>
      <c r="F1417" s="22"/>
      <c r="G1417" s="22"/>
      <c r="H1417" s="22"/>
      <c r="I1417" s="50"/>
      <c r="J1417" s="351"/>
      <c r="K1417" s="448"/>
      <c r="L1417" s="29"/>
      <c r="M1417" s="31"/>
      <c r="N1417" s="14"/>
      <c r="O1417" s="31"/>
      <c r="Q1417" s="36"/>
      <c r="R1417" s="36"/>
      <c r="S1417" s="36"/>
      <c r="T1417" s="36"/>
      <c r="V1417" s="31"/>
    </row>
    <row r="1418">
      <c r="A1418" s="14"/>
      <c r="B1418" s="460"/>
      <c r="C1418" s="302"/>
      <c r="D1418" s="50"/>
      <c r="E1418" s="348"/>
      <c r="F1418" s="22"/>
      <c r="G1418" s="22"/>
      <c r="H1418" s="22"/>
      <c r="I1418" s="50"/>
      <c r="J1418" s="351"/>
      <c r="K1418" s="448"/>
      <c r="L1418" s="29"/>
      <c r="M1418" s="31"/>
      <c r="N1418" s="14"/>
      <c r="O1418" s="31"/>
      <c r="Q1418" s="36"/>
      <c r="R1418" s="36"/>
      <c r="S1418" s="36"/>
      <c r="T1418" s="36"/>
      <c r="V1418" s="31"/>
    </row>
    <row r="1419">
      <c r="A1419" s="14"/>
      <c r="B1419" s="460"/>
      <c r="C1419" s="302"/>
      <c r="D1419" s="50"/>
      <c r="E1419" s="348"/>
      <c r="F1419" s="22"/>
      <c r="G1419" s="22"/>
      <c r="H1419" s="22"/>
      <c r="I1419" s="50"/>
      <c r="J1419" s="351"/>
      <c r="K1419" s="448"/>
      <c r="L1419" s="29"/>
      <c r="M1419" s="31"/>
      <c r="N1419" s="14"/>
      <c r="O1419" s="31"/>
      <c r="Q1419" s="36"/>
      <c r="R1419" s="36"/>
      <c r="S1419" s="36"/>
      <c r="T1419" s="36"/>
      <c r="V1419" s="31"/>
    </row>
    <row r="1420">
      <c r="A1420" s="14"/>
      <c r="B1420" s="460"/>
      <c r="C1420" s="302"/>
      <c r="D1420" s="50"/>
      <c r="E1420" s="348"/>
      <c r="F1420" s="22"/>
      <c r="G1420" s="22"/>
      <c r="H1420" s="22"/>
      <c r="I1420" s="50"/>
      <c r="J1420" s="351"/>
      <c r="K1420" s="448"/>
      <c r="L1420" s="29"/>
      <c r="M1420" s="31"/>
      <c r="N1420" s="14"/>
      <c r="O1420" s="31"/>
      <c r="Q1420" s="36"/>
      <c r="R1420" s="36"/>
      <c r="S1420" s="36"/>
      <c r="T1420" s="36"/>
      <c r="V1420" s="31"/>
    </row>
    <row r="1421">
      <c r="A1421" s="14"/>
      <c r="B1421" s="460"/>
      <c r="C1421" s="302"/>
      <c r="D1421" s="50"/>
      <c r="E1421" s="348"/>
      <c r="F1421" s="22"/>
      <c r="G1421" s="22"/>
      <c r="H1421" s="22"/>
      <c r="I1421" s="50"/>
      <c r="J1421" s="351"/>
      <c r="K1421" s="448"/>
      <c r="L1421" s="29"/>
      <c r="M1421" s="31"/>
      <c r="N1421" s="14"/>
      <c r="O1421" s="31"/>
      <c r="Q1421" s="36"/>
      <c r="R1421" s="36"/>
      <c r="S1421" s="36"/>
      <c r="T1421" s="36"/>
      <c r="V1421" s="31"/>
    </row>
    <row r="1422">
      <c r="A1422" s="14"/>
      <c r="B1422" s="460"/>
      <c r="C1422" s="302"/>
      <c r="D1422" s="50"/>
      <c r="E1422" s="348"/>
      <c r="F1422" s="22"/>
      <c r="G1422" s="22"/>
      <c r="H1422" s="22"/>
      <c r="I1422" s="50"/>
      <c r="J1422" s="351"/>
      <c r="K1422" s="448"/>
      <c r="L1422" s="29"/>
      <c r="M1422" s="31"/>
      <c r="N1422" s="14"/>
      <c r="O1422" s="31"/>
      <c r="Q1422" s="36"/>
      <c r="R1422" s="36"/>
      <c r="S1422" s="36"/>
      <c r="T1422" s="36"/>
      <c r="V1422" s="31"/>
    </row>
    <row r="1423">
      <c r="A1423" s="14"/>
      <c r="B1423" s="460"/>
      <c r="C1423" s="302"/>
      <c r="D1423" s="50"/>
      <c r="E1423" s="348"/>
      <c r="F1423" s="22"/>
      <c r="G1423" s="22"/>
      <c r="H1423" s="22"/>
      <c r="I1423" s="50"/>
      <c r="J1423" s="351"/>
      <c r="K1423" s="448"/>
      <c r="L1423" s="29"/>
      <c r="M1423" s="31"/>
      <c r="N1423" s="14"/>
      <c r="O1423" s="31"/>
      <c r="Q1423" s="36"/>
      <c r="R1423" s="36"/>
      <c r="S1423" s="36"/>
      <c r="T1423" s="36"/>
      <c r="V1423" s="31"/>
    </row>
    <row r="1424">
      <c r="A1424" s="14"/>
      <c r="B1424" s="460"/>
      <c r="C1424" s="302"/>
      <c r="D1424" s="50"/>
      <c r="E1424" s="348"/>
      <c r="F1424" s="22"/>
      <c r="G1424" s="22"/>
      <c r="H1424" s="22"/>
      <c r="I1424" s="50"/>
      <c r="J1424" s="351"/>
      <c r="K1424" s="448"/>
      <c r="L1424" s="29"/>
      <c r="M1424" s="31"/>
      <c r="N1424" s="14"/>
      <c r="O1424" s="31"/>
      <c r="Q1424" s="36"/>
      <c r="R1424" s="36"/>
      <c r="S1424" s="36"/>
      <c r="T1424" s="36"/>
      <c r="V1424" s="31"/>
    </row>
    <row r="1425">
      <c r="A1425" s="14"/>
      <c r="B1425" s="460"/>
      <c r="C1425" s="302"/>
      <c r="D1425" s="50"/>
      <c r="E1425" s="348"/>
      <c r="F1425" s="22"/>
      <c r="G1425" s="22"/>
      <c r="H1425" s="22"/>
      <c r="I1425" s="50"/>
      <c r="J1425" s="351"/>
      <c r="K1425" s="448"/>
      <c r="L1425" s="29"/>
      <c r="M1425" s="31"/>
      <c r="N1425" s="14"/>
      <c r="O1425" s="31"/>
      <c r="Q1425" s="36"/>
      <c r="R1425" s="36"/>
      <c r="S1425" s="36"/>
      <c r="T1425" s="36"/>
      <c r="V1425" s="31"/>
    </row>
    <row r="1426">
      <c r="A1426" s="14"/>
      <c r="B1426" s="460"/>
      <c r="C1426" s="302"/>
      <c r="D1426" s="50"/>
      <c r="E1426" s="348"/>
      <c r="F1426" s="22"/>
      <c r="G1426" s="22"/>
      <c r="H1426" s="22"/>
      <c r="I1426" s="50"/>
      <c r="J1426" s="351"/>
      <c r="K1426" s="448"/>
      <c r="L1426" s="29"/>
      <c r="M1426" s="31"/>
      <c r="N1426" s="14"/>
      <c r="O1426" s="31"/>
      <c r="Q1426" s="36"/>
      <c r="R1426" s="36"/>
      <c r="S1426" s="36"/>
      <c r="T1426" s="36"/>
      <c r="V1426" s="31"/>
    </row>
    <row r="1427">
      <c r="A1427" s="14"/>
      <c r="B1427" s="460"/>
      <c r="C1427" s="302"/>
      <c r="D1427" s="50"/>
      <c r="E1427" s="348"/>
      <c r="F1427" s="22"/>
      <c r="G1427" s="22"/>
      <c r="H1427" s="22"/>
      <c r="I1427" s="50"/>
      <c r="J1427" s="351"/>
      <c r="K1427" s="448"/>
      <c r="L1427" s="29"/>
      <c r="M1427" s="31"/>
      <c r="N1427" s="14"/>
      <c r="O1427" s="31"/>
      <c r="Q1427" s="36"/>
      <c r="R1427" s="36"/>
      <c r="S1427" s="36"/>
      <c r="T1427" s="36"/>
      <c r="V1427" s="31"/>
    </row>
    <row r="1428">
      <c r="A1428" s="14"/>
      <c r="B1428" s="460"/>
      <c r="C1428" s="302"/>
      <c r="D1428" s="50"/>
      <c r="E1428" s="348"/>
      <c r="F1428" s="22"/>
      <c r="G1428" s="22"/>
      <c r="H1428" s="22"/>
      <c r="I1428" s="50"/>
      <c r="J1428" s="351"/>
      <c r="K1428" s="448"/>
      <c r="L1428" s="29"/>
      <c r="M1428" s="31"/>
      <c r="N1428" s="14"/>
      <c r="O1428" s="31"/>
      <c r="Q1428" s="36"/>
      <c r="R1428" s="36"/>
      <c r="S1428" s="36"/>
      <c r="T1428" s="36"/>
      <c r="V1428" s="31"/>
    </row>
    <row r="1429">
      <c r="A1429" s="14"/>
      <c r="B1429" s="460"/>
      <c r="C1429" s="302"/>
      <c r="D1429" s="50"/>
      <c r="E1429" s="348"/>
      <c r="F1429" s="22"/>
      <c r="G1429" s="22"/>
      <c r="H1429" s="22"/>
      <c r="I1429" s="50"/>
      <c r="J1429" s="351"/>
      <c r="K1429" s="448"/>
      <c r="L1429" s="29"/>
      <c r="M1429" s="31"/>
      <c r="N1429" s="14"/>
      <c r="O1429" s="31"/>
      <c r="Q1429" s="36"/>
      <c r="R1429" s="36"/>
      <c r="S1429" s="36"/>
      <c r="T1429" s="36"/>
      <c r="V1429" s="31"/>
    </row>
    <row r="1430">
      <c r="A1430" s="14"/>
      <c r="B1430" s="460"/>
      <c r="C1430" s="302"/>
      <c r="D1430" s="50"/>
      <c r="E1430" s="348"/>
      <c r="F1430" s="22"/>
      <c r="G1430" s="22"/>
      <c r="H1430" s="22"/>
      <c r="I1430" s="50"/>
      <c r="J1430" s="351"/>
      <c r="K1430" s="448"/>
      <c r="L1430" s="29"/>
      <c r="M1430" s="31"/>
      <c r="N1430" s="14"/>
      <c r="O1430" s="31"/>
      <c r="Q1430" s="36"/>
      <c r="R1430" s="36"/>
      <c r="S1430" s="36"/>
      <c r="T1430" s="36"/>
      <c r="V1430" s="31"/>
    </row>
    <row r="1431">
      <c r="A1431" s="14"/>
      <c r="B1431" s="460"/>
      <c r="C1431" s="302"/>
      <c r="D1431" s="50"/>
      <c r="E1431" s="348"/>
      <c r="F1431" s="22"/>
      <c r="G1431" s="22"/>
      <c r="H1431" s="22"/>
      <c r="I1431" s="50"/>
      <c r="J1431" s="351"/>
      <c r="K1431" s="448"/>
      <c r="L1431" s="29"/>
      <c r="M1431" s="31"/>
      <c r="N1431" s="14"/>
      <c r="O1431" s="31"/>
      <c r="Q1431" s="36"/>
      <c r="R1431" s="36"/>
      <c r="S1431" s="36"/>
      <c r="T1431" s="36"/>
      <c r="V1431" s="31"/>
    </row>
    <row r="1432">
      <c r="A1432" s="14"/>
      <c r="B1432" s="460"/>
      <c r="C1432" s="302"/>
      <c r="D1432" s="50"/>
      <c r="E1432" s="348"/>
      <c r="F1432" s="22"/>
      <c r="G1432" s="22"/>
      <c r="H1432" s="22"/>
      <c r="I1432" s="50"/>
      <c r="J1432" s="351"/>
      <c r="K1432" s="448"/>
      <c r="L1432" s="29"/>
      <c r="M1432" s="31"/>
      <c r="N1432" s="14"/>
      <c r="O1432" s="31"/>
      <c r="Q1432" s="36"/>
      <c r="R1432" s="36"/>
      <c r="S1432" s="36"/>
      <c r="T1432" s="36"/>
      <c r="V1432" s="31"/>
    </row>
    <row r="1433">
      <c r="A1433" s="14"/>
      <c r="B1433" s="460"/>
      <c r="C1433" s="302"/>
      <c r="D1433" s="50"/>
      <c r="E1433" s="348"/>
      <c r="F1433" s="22"/>
      <c r="G1433" s="22"/>
      <c r="H1433" s="22"/>
      <c r="I1433" s="50"/>
      <c r="J1433" s="351"/>
      <c r="K1433" s="448"/>
      <c r="L1433" s="29"/>
      <c r="M1433" s="31"/>
      <c r="N1433" s="14"/>
      <c r="O1433" s="31"/>
      <c r="Q1433" s="36"/>
      <c r="R1433" s="36"/>
      <c r="S1433" s="36"/>
      <c r="T1433" s="36"/>
      <c r="V1433" s="31"/>
    </row>
    <row r="1434">
      <c r="A1434" s="14"/>
      <c r="B1434" s="460"/>
      <c r="C1434" s="302"/>
      <c r="D1434" s="50"/>
      <c r="E1434" s="348"/>
      <c r="F1434" s="22"/>
      <c r="G1434" s="22"/>
      <c r="H1434" s="22"/>
      <c r="I1434" s="50"/>
      <c r="J1434" s="351"/>
      <c r="K1434" s="448"/>
      <c r="L1434" s="29"/>
      <c r="M1434" s="31"/>
      <c r="N1434" s="14"/>
      <c r="O1434" s="31"/>
      <c r="Q1434" s="36"/>
      <c r="R1434" s="36"/>
      <c r="S1434" s="36"/>
      <c r="T1434" s="36"/>
      <c r="V1434" s="31"/>
    </row>
    <row r="1435">
      <c r="A1435" s="14"/>
      <c r="B1435" s="460"/>
      <c r="C1435" s="302"/>
      <c r="D1435" s="50"/>
      <c r="E1435" s="348"/>
      <c r="F1435" s="22"/>
      <c r="G1435" s="22"/>
      <c r="H1435" s="22"/>
      <c r="I1435" s="50"/>
      <c r="J1435" s="351"/>
      <c r="K1435" s="448"/>
      <c r="L1435" s="29"/>
      <c r="M1435" s="31"/>
      <c r="N1435" s="14"/>
      <c r="O1435" s="31"/>
      <c r="Q1435" s="36"/>
      <c r="R1435" s="36"/>
      <c r="S1435" s="36"/>
      <c r="T1435" s="36"/>
      <c r="V1435" s="31"/>
    </row>
    <row r="1436">
      <c r="A1436" s="14"/>
      <c r="B1436" s="460"/>
      <c r="C1436" s="302"/>
      <c r="D1436" s="50"/>
      <c r="E1436" s="348"/>
      <c r="F1436" s="22"/>
      <c r="G1436" s="22"/>
      <c r="H1436" s="22"/>
      <c r="I1436" s="50"/>
      <c r="J1436" s="351"/>
      <c r="K1436" s="448"/>
      <c r="L1436" s="29"/>
      <c r="M1436" s="31"/>
      <c r="N1436" s="14"/>
      <c r="O1436" s="31"/>
      <c r="Q1436" s="36"/>
      <c r="R1436" s="36"/>
      <c r="S1436" s="36"/>
      <c r="T1436" s="36"/>
      <c r="V1436" s="31"/>
    </row>
    <row r="1437">
      <c r="A1437" s="14"/>
      <c r="B1437" s="460"/>
      <c r="C1437" s="302"/>
      <c r="D1437" s="50"/>
      <c r="E1437" s="348"/>
      <c r="F1437" s="22"/>
      <c r="G1437" s="22"/>
      <c r="H1437" s="22"/>
      <c r="I1437" s="50"/>
      <c r="J1437" s="351"/>
      <c r="K1437" s="448"/>
      <c r="L1437" s="29"/>
      <c r="M1437" s="31"/>
      <c r="N1437" s="14"/>
      <c r="O1437" s="31"/>
      <c r="Q1437" s="36"/>
      <c r="R1437" s="36"/>
      <c r="S1437" s="36"/>
      <c r="T1437" s="36"/>
      <c r="V1437" s="31"/>
    </row>
    <row r="1438">
      <c r="A1438" s="14"/>
      <c r="B1438" s="460"/>
      <c r="C1438" s="302"/>
      <c r="D1438" s="50"/>
      <c r="E1438" s="348"/>
      <c r="F1438" s="22"/>
      <c r="G1438" s="22"/>
      <c r="H1438" s="22"/>
      <c r="I1438" s="50"/>
      <c r="J1438" s="351"/>
      <c r="K1438" s="448"/>
      <c r="L1438" s="29"/>
      <c r="M1438" s="31"/>
      <c r="N1438" s="14"/>
      <c r="O1438" s="31"/>
      <c r="Q1438" s="36"/>
      <c r="R1438" s="36"/>
      <c r="S1438" s="36"/>
      <c r="T1438" s="36"/>
      <c r="V1438" s="31"/>
    </row>
    <row r="1439">
      <c r="A1439" s="14"/>
      <c r="B1439" s="460"/>
      <c r="C1439" s="302"/>
      <c r="D1439" s="50"/>
      <c r="E1439" s="348"/>
      <c r="F1439" s="22"/>
      <c r="G1439" s="22"/>
      <c r="H1439" s="22"/>
      <c r="I1439" s="50"/>
      <c r="J1439" s="351"/>
      <c r="K1439" s="448"/>
      <c r="L1439" s="29"/>
      <c r="M1439" s="31"/>
      <c r="N1439" s="14"/>
      <c r="O1439" s="31"/>
      <c r="Q1439" s="36"/>
      <c r="R1439" s="36"/>
      <c r="S1439" s="36"/>
      <c r="T1439" s="36"/>
      <c r="V1439" s="31"/>
    </row>
    <row r="1440">
      <c r="A1440" s="14"/>
      <c r="B1440" s="460"/>
      <c r="C1440" s="302"/>
      <c r="D1440" s="50"/>
      <c r="E1440" s="348"/>
      <c r="F1440" s="22"/>
      <c r="G1440" s="22"/>
      <c r="H1440" s="22"/>
      <c r="I1440" s="50"/>
      <c r="J1440" s="351"/>
      <c r="K1440" s="448"/>
      <c r="L1440" s="29"/>
      <c r="M1440" s="31"/>
      <c r="N1440" s="14"/>
      <c r="O1440" s="31"/>
      <c r="Q1440" s="36"/>
      <c r="R1440" s="36"/>
      <c r="S1440" s="36"/>
      <c r="T1440" s="36"/>
      <c r="V1440" s="31"/>
    </row>
    <row r="1441">
      <c r="A1441" s="14"/>
      <c r="B1441" s="460"/>
      <c r="C1441" s="302"/>
      <c r="D1441" s="50"/>
      <c r="E1441" s="348"/>
      <c r="F1441" s="22"/>
      <c r="G1441" s="22"/>
      <c r="H1441" s="22"/>
      <c r="I1441" s="50"/>
      <c r="J1441" s="351"/>
      <c r="K1441" s="448"/>
      <c r="L1441" s="29"/>
      <c r="M1441" s="31"/>
      <c r="N1441" s="14"/>
      <c r="O1441" s="31"/>
      <c r="Q1441" s="36"/>
      <c r="R1441" s="36"/>
      <c r="S1441" s="36"/>
      <c r="T1441" s="36"/>
      <c r="V1441" s="31"/>
    </row>
    <row r="1442">
      <c r="A1442" s="14"/>
      <c r="B1442" s="460"/>
      <c r="C1442" s="302"/>
      <c r="D1442" s="50"/>
      <c r="E1442" s="348"/>
      <c r="F1442" s="22"/>
      <c r="G1442" s="22"/>
      <c r="H1442" s="22"/>
      <c r="I1442" s="50"/>
      <c r="J1442" s="351"/>
      <c r="K1442" s="448"/>
      <c r="L1442" s="29"/>
      <c r="M1442" s="31"/>
      <c r="N1442" s="14"/>
      <c r="O1442" s="31"/>
      <c r="Q1442" s="36"/>
      <c r="R1442" s="36"/>
      <c r="S1442" s="36"/>
      <c r="T1442" s="36"/>
      <c r="V1442" s="31"/>
    </row>
    <row r="1443">
      <c r="A1443" s="14"/>
      <c r="B1443" s="460"/>
      <c r="C1443" s="302"/>
      <c r="D1443" s="50"/>
      <c r="E1443" s="348"/>
      <c r="F1443" s="22"/>
      <c r="G1443" s="22"/>
      <c r="H1443" s="22"/>
      <c r="I1443" s="50"/>
      <c r="J1443" s="351"/>
      <c r="K1443" s="448"/>
      <c r="L1443" s="29"/>
      <c r="M1443" s="31"/>
      <c r="N1443" s="14"/>
      <c r="O1443" s="31"/>
      <c r="Q1443" s="36"/>
      <c r="R1443" s="36"/>
      <c r="S1443" s="36"/>
      <c r="T1443" s="36"/>
      <c r="V1443" s="31"/>
    </row>
    <row r="1444">
      <c r="A1444" s="14"/>
      <c r="B1444" s="460"/>
      <c r="C1444" s="302"/>
      <c r="D1444" s="50"/>
      <c r="E1444" s="348"/>
      <c r="F1444" s="22"/>
      <c r="G1444" s="22"/>
      <c r="H1444" s="22"/>
      <c r="I1444" s="50"/>
      <c r="J1444" s="351"/>
      <c r="K1444" s="448"/>
      <c r="L1444" s="29"/>
      <c r="M1444" s="31"/>
      <c r="N1444" s="14"/>
      <c r="O1444" s="31"/>
      <c r="Q1444" s="36"/>
      <c r="R1444" s="36"/>
      <c r="S1444" s="36"/>
      <c r="T1444" s="36"/>
      <c r="V1444" s="31"/>
    </row>
    <row r="1445">
      <c r="A1445" s="14"/>
      <c r="B1445" s="460"/>
      <c r="C1445" s="302"/>
      <c r="D1445" s="50"/>
      <c r="E1445" s="348"/>
      <c r="F1445" s="22"/>
      <c r="G1445" s="22"/>
      <c r="H1445" s="22"/>
      <c r="I1445" s="50"/>
      <c r="J1445" s="351"/>
      <c r="K1445" s="448"/>
      <c r="L1445" s="29"/>
      <c r="M1445" s="31"/>
      <c r="N1445" s="14"/>
      <c r="O1445" s="31"/>
      <c r="Q1445" s="36"/>
      <c r="R1445" s="36"/>
      <c r="S1445" s="36"/>
      <c r="T1445" s="36"/>
      <c r="V1445" s="31"/>
    </row>
    <row r="1446">
      <c r="A1446" s="14"/>
      <c r="B1446" s="460"/>
      <c r="C1446" s="302"/>
      <c r="D1446" s="50"/>
      <c r="E1446" s="348"/>
      <c r="F1446" s="22"/>
      <c r="G1446" s="22"/>
      <c r="H1446" s="22"/>
      <c r="I1446" s="50"/>
      <c r="J1446" s="351"/>
      <c r="K1446" s="448"/>
      <c r="L1446" s="29"/>
      <c r="M1446" s="31"/>
      <c r="N1446" s="14"/>
      <c r="O1446" s="31"/>
      <c r="Q1446" s="36"/>
      <c r="R1446" s="36"/>
      <c r="S1446" s="36"/>
      <c r="T1446" s="36"/>
      <c r="V1446" s="31"/>
    </row>
    <row r="1447">
      <c r="A1447" s="14"/>
      <c r="B1447" s="460"/>
      <c r="C1447" s="302"/>
      <c r="D1447" s="50"/>
      <c r="E1447" s="348"/>
      <c r="F1447" s="22"/>
      <c r="G1447" s="22"/>
      <c r="H1447" s="22"/>
      <c r="I1447" s="50"/>
      <c r="J1447" s="351"/>
      <c r="K1447" s="448"/>
      <c r="L1447" s="29"/>
      <c r="M1447" s="31"/>
      <c r="N1447" s="14"/>
      <c r="O1447" s="31"/>
      <c r="Q1447" s="36"/>
      <c r="R1447" s="36"/>
      <c r="S1447" s="36"/>
      <c r="T1447" s="36"/>
      <c r="V1447" s="31"/>
    </row>
    <row r="1448">
      <c r="A1448" s="14"/>
      <c r="B1448" s="460"/>
      <c r="C1448" s="302"/>
      <c r="D1448" s="50"/>
      <c r="E1448" s="348"/>
      <c r="F1448" s="22"/>
      <c r="G1448" s="22"/>
      <c r="H1448" s="22"/>
      <c r="I1448" s="50"/>
      <c r="J1448" s="351"/>
      <c r="K1448" s="448"/>
      <c r="L1448" s="29"/>
      <c r="M1448" s="31"/>
      <c r="N1448" s="14"/>
      <c r="O1448" s="31"/>
      <c r="Q1448" s="36"/>
      <c r="R1448" s="36"/>
      <c r="S1448" s="36"/>
      <c r="T1448" s="36"/>
      <c r="V1448" s="31"/>
    </row>
    <row r="1449">
      <c r="A1449" s="14"/>
      <c r="B1449" s="460"/>
      <c r="C1449" s="302"/>
      <c r="D1449" s="50"/>
      <c r="E1449" s="348"/>
      <c r="F1449" s="22"/>
      <c r="G1449" s="22"/>
      <c r="H1449" s="22"/>
      <c r="I1449" s="50"/>
      <c r="J1449" s="351"/>
      <c r="K1449" s="448"/>
      <c r="L1449" s="29"/>
      <c r="M1449" s="31"/>
      <c r="N1449" s="14"/>
      <c r="O1449" s="31"/>
      <c r="Q1449" s="36"/>
      <c r="R1449" s="36"/>
      <c r="S1449" s="36"/>
      <c r="T1449" s="36"/>
      <c r="V1449" s="31"/>
    </row>
    <row r="1450">
      <c r="A1450" s="14"/>
      <c r="B1450" s="460"/>
      <c r="C1450" s="302"/>
      <c r="D1450" s="50"/>
      <c r="E1450" s="348"/>
      <c r="F1450" s="22"/>
      <c r="G1450" s="22"/>
      <c r="H1450" s="22"/>
      <c r="I1450" s="50"/>
      <c r="J1450" s="351"/>
      <c r="K1450" s="448"/>
      <c r="L1450" s="29"/>
      <c r="M1450" s="31"/>
      <c r="N1450" s="14"/>
      <c r="O1450" s="31"/>
      <c r="Q1450" s="36"/>
      <c r="R1450" s="36"/>
      <c r="S1450" s="36"/>
      <c r="T1450" s="36"/>
      <c r="V1450" s="31"/>
    </row>
    <row r="1451">
      <c r="A1451" s="14"/>
      <c r="B1451" s="460"/>
      <c r="C1451" s="302"/>
      <c r="D1451" s="50"/>
      <c r="E1451" s="348"/>
      <c r="F1451" s="22"/>
      <c r="G1451" s="22"/>
      <c r="H1451" s="22"/>
      <c r="I1451" s="50"/>
      <c r="J1451" s="351"/>
      <c r="K1451" s="448"/>
      <c r="L1451" s="29"/>
      <c r="M1451" s="31"/>
      <c r="N1451" s="14"/>
      <c r="O1451" s="31"/>
      <c r="Q1451" s="36"/>
      <c r="R1451" s="36"/>
      <c r="S1451" s="36"/>
      <c r="T1451" s="36"/>
      <c r="V1451" s="31"/>
    </row>
    <row r="1452">
      <c r="A1452" s="14"/>
      <c r="B1452" s="460"/>
      <c r="C1452" s="302"/>
      <c r="D1452" s="50"/>
      <c r="E1452" s="348"/>
      <c r="F1452" s="22"/>
      <c r="G1452" s="22"/>
      <c r="H1452" s="22"/>
      <c r="I1452" s="50"/>
      <c r="J1452" s="351"/>
      <c r="K1452" s="448"/>
      <c r="L1452" s="29"/>
      <c r="M1452" s="31"/>
      <c r="N1452" s="14"/>
      <c r="O1452" s="31"/>
      <c r="Q1452" s="36"/>
      <c r="R1452" s="36"/>
      <c r="S1452" s="36"/>
      <c r="T1452" s="36"/>
      <c r="V1452" s="31"/>
    </row>
    <row r="1453">
      <c r="A1453" s="14"/>
      <c r="B1453" s="460"/>
      <c r="C1453" s="302"/>
      <c r="D1453" s="50"/>
      <c r="E1453" s="348"/>
      <c r="F1453" s="22"/>
      <c r="G1453" s="22"/>
      <c r="H1453" s="22"/>
      <c r="I1453" s="50"/>
      <c r="J1453" s="351"/>
      <c r="K1453" s="448"/>
      <c r="L1453" s="29"/>
      <c r="M1453" s="31"/>
      <c r="N1453" s="14"/>
      <c r="O1453" s="31"/>
      <c r="Q1453" s="36"/>
      <c r="R1453" s="36"/>
      <c r="S1453" s="36"/>
      <c r="T1453" s="36"/>
      <c r="V1453" s="31"/>
    </row>
    <row r="1454">
      <c r="A1454" s="14"/>
      <c r="B1454" s="460"/>
      <c r="C1454" s="302"/>
      <c r="D1454" s="50"/>
      <c r="E1454" s="348"/>
      <c r="F1454" s="22"/>
      <c r="G1454" s="22"/>
      <c r="H1454" s="22"/>
      <c r="I1454" s="50"/>
      <c r="J1454" s="351"/>
      <c r="K1454" s="448"/>
      <c r="L1454" s="29"/>
      <c r="M1454" s="31"/>
      <c r="N1454" s="14"/>
      <c r="O1454" s="31"/>
      <c r="Q1454" s="36"/>
      <c r="R1454" s="36"/>
      <c r="S1454" s="36"/>
      <c r="T1454" s="36"/>
      <c r="V1454" s="31"/>
    </row>
    <row r="1455">
      <c r="A1455" s="14"/>
      <c r="B1455" s="460"/>
      <c r="C1455" s="302"/>
      <c r="D1455" s="50"/>
      <c r="E1455" s="348"/>
      <c r="F1455" s="22"/>
      <c r="G1455" s="22"/>
      <c r="H1455" s="22"/>
      <c r="I1455" s="50"/>
      <c r="J1455" s="351"/>
      <c r="K1455" s="448"/>
      <c r="L1455" s="29"/>
      <c r="M1455" s="31"/>
      <c r="N1455" s="14"/>
      <c r="O1455" s="31"/>
      <c r="Q1455" s="36"/>
      <c r="R1455" s="36"/>
      <c r="S1455" s="36"/>
      <c r="T1455" s="36"/>
      <c r="V1455" s="31"/>
    </row>
    <row r="1456">
      <c r="A1456" s="14"/>
      <c r="B1456" s="460"/>
      <c r="C1456" s="302"/>
      <c r="D1456" s="50"/>
      <c r="E1456" s="348"/>
      <c r="F1456" s="22"/>
      <c r="G1456" s="22"/>
      <c r="H1456" s="22"/>
      <c r="I1456" s="50"/>
      <c r="J1456" s="351"/>
      <c r="K1456" s="448"/>
      <c r="L1456" s="29"/>
      <c r="M1456" s="31"/>
      <c r="N1456" s="14"/>
      <c r="O1456" s="31"/>
      <c r="Q1456" s="36"/>
      <c r="R1456" s="36"/>
      <c r="S1456" s="36"/>
      <c r="T1456" s="36"/>
      <c r="V1456" s="31"/>
    </row>
    <row r="1457">
      <c r="A1457" s="14"/>
      <c r="B1457" s="460"/>
      <c r="C1457" s="302"/>
      <c r="D1457" s="50"/>
      <c r="E1457" s="348"/>
      <c r="F1457" s="22"/>
      <c r="G1457" s="22"/>
      <c r="H1457" s="22"/>
      <c r="I1457" s="50"/>
      <c r="J1457" s="351"/>
      <c r="K1457" s="448"/>
      <c r="L1457" s="29"/>
      <c r="M1457" s="31"/>
      <c r="N1457" s="14"/>
      <c r="O1457" s="31"/>
      <c r="Q1457" s="36"/>
      <c r="R1457" s="36"/>
      <c r="S1457" s="36"/>
      <c r="T1457" s="36"/>
      <c r="V1457" s="31"/>
    </row>
    <row r="1458">
      <c r="A1458" s="14"/>
      <c r="B1458" s="460"/>
      <c r="C1458" s="302"/>
      <c r="D1458" s="50"/>
      <c r="E1458" s="348"/>
      <c r="F1458" s="22"/>
      <c r="G1458" s="22"/>
      <c r="H1458" s="22"/>
      <c r="I1458" s="50"/>
      <c r="J1458" s="351"/>
      <c r="K1458" s="448"/>
      <c r="L1458" s="29"/>
      <c r="M1458" s="31"/>
      <c r="N1458" s="14"/>
      <c r="O1458" s="31"/>
      <c r="Q1458" s="36"/>
      <c r="R1458" s="36"/>
      <c r="S1458" s="36"/>
      <c r="T1458" s="36"/>
      <c r="V1458" s="31"/>
    </row>
    <row r="1459">
      <c r="A1459" s="14"/>
      <c r="B1459" s="460"/>
      <c r="C1459" s="302"/>
      <c r="D1459" s="50"/>
      <c r="E1459" s="348"/>
      <c r="F1459" s="22"/>
      <c r="G1459" s="22"/>
      <c r="H1459" s="22"/>
      <c r="I1459" s="50"/>
      <c r="J1459" s="351"/>
      <c r="K1459" s="448"/>
      <c r="L1459" s="29"/>
      <c r="M1459" s="31"/>
      <c r="N1459" s="14"/>
      <c r="O1459" s="31"/>
      <c r="Q1459" s="36"/>
      <c r="R1459" s="36"/>
      <c r="S1459" s="36"/>
      <c r="T1459" s="36"/>
      <c r="V1459" s="31"/>
    </row>
    <row r="1460">
      <c r="A1460" s="14"/>
      <c r="B1460" s="460"/>
      <c r="C1460" s="302"/>
      <c r="D1460" s="50"/>
      <c r="E1460" s="348"/>
      <c r="F1460" s="22"/>
      <c r="G1460" s="22"/>
      <c r="H1460" s="22"/>
      <c r="I1460" s="50"/>
      <c r="J1460" s="351"/>
      <c r="K1460" s="448"/>
      <c r="L1460" s="29"/>
      <c r="M1460" s="31"/>
      <c r="N1460" s="14"/>
      <c r="O1460" s="31"/>
      <c r="Q1460" s="36"/>
      <c r="R1460" s="36"/>
      <c r="S1460" s="36"/>
      <c r="T1460" s="36"/>
      <c r="V1460" s="31"/>
    </row>
    <row r="1461">
      <c r="A1461" s="14"/>
      <c r="B1461" s="460"/>
      <c r="C1461" s="302"/>
      <c r="D1461" s="50"/>
      <c r="E1461" s="348"/>
      <c r="F1461" s="22"/>
      <c r="G1461" s="22"/>
      <c r="H1461" s="22"/>
      <c r="I1461" s="50"/>
      <c r="J1461" s="351"/>
      <c r="K1461" s="448"/>
      <c r="L1461" s="29"/>
      <c r="M1461" s="31"/>
      <c r="N1461" s="14"/>
      <c r="O1461" s="31"/>
      <c r="Q1461" s="36"/>
      <c r="R1461" s="36"/>
      <c r="S1461" s="36"/>
      <c r="T1461" s="36"/>
      <c r="V1461" s="31"/>
    </row>
    <row r="1462">
      <c r="A1462" s="14"/>
      <c r="B1462" s="460"/>
      <c r="C1462" s="302"/>
      <c r="D1462" s="50"/>
      <c r="E1462" s="348"/>
      <c r="F1462" s="22"/>
      <c r="G1462" s="22"/>
      <c r="H1462" s="22"/>
      <c r="I1462" s="50"/>
      <c r="J1462" s="351"/>
      <c r="K1462" s="448"/>
      <c r="L1462" s="29"/>
      <c r="M1462" s="31"/>
      <c r="N1462" s="14"/>
      <c r="O1462" s="31"/>
      <c r="Q1462" s="36"/>
      <c r="R1462" s="36"/>
      <c r="S1462" s="36"/>
      <c r="T1462" s="36"/>
      <c r="V1462" s="31"/>
    </row>
    <row r="1463">
      <c r="A1463" s="14"/>
      <c r="B1463" s="460"/>
      <c r="C1463" s="302"/>
      <c r="D1463" s="50"/>
      <c r="E1463" s="348"/>
      <c r="F1463" s="22"/>
      <c r="G1463" s="22"/>
      <c r="H1463" s="22"/>
      <c r="I1463" s="50"/>
      <c r="J1463" s="351"/>
      <c r="K1463" s="448"/>
      <c r="L1463" s="29"/>
      <c r="M1463" s="31"/>
      <c r="N1463" s="14"/>
      <c r="O1463" s="31"/>
      <c r="Q1463" s="36"/>
      <c r="R1463" s="36"/>
      <c r="S1463" s="36"/>
      <c r="T1463" s="36"/>
      <c r="V1463" s="31"/>
    </row>
    <row r="1464">
      <c r="A1464" s="14"/>
      <c r="B1464" s="460"/>
      <c r="C1464" s="302"/>
      <c r="D1464" s="50"/>
      <c r="E1464" s="348"/>
      <c r="F1464" s="22"/>
      <c r="G1464" s="22"/>
      <c r="H1464" s="22"/>
      <c r="I1464" s="50"/>
      <c r="J1464" s="351"/>
      <c r="K1464" s="448"/>
      <c r="L1464" s="29"/>
      <c r="M1464" s="31"/>
      <c r="N1464" s="14"/>
      <c r="O1464" s="31"/>
      <c r="Q1464" s="36"/>
      <c r="R1464" s="36"/>
      <c r="S1464" s="36"/>
      <c r="T1464" s="36"/>
      <c r="V1464" s="31"/>
    </row>
    <row r="1465">
      <c r="A1465" s="14"/>
      <c r="B1465" s="460"/>
      <c r="C1465" s="302"/>
      <c r="D1465" s="50"/>
      <c r="E1465" s="348"/>
      <c r="F1465" s="22"/>
      <c r="G1465" s="22"/>
      <c r="H1465" s="22"/>
      <c r="I1465" s="50"/>
      <c r="J1465" s="351"/>
      <c r="K1465" s="448"/>
      <c r="L1465" s="29"/>
      <c r="M1465" s="31"/>
      <c r="N1465" s="14"/>
      <c r="O1465" s="31"/>
      <c r="Q1465" s="36"/>
      <c r="R1465" s="36"/>
      <c r="S1465" s="36"/>
      <c r="T1465" s="36"/>
      <c r="V1465" s="31"/>
    </row>
    <row r="1466">
      <c r="A1466" s="14"/>
      <c r="B1466" s="460"/>
      <c r="C1466" s="302"/>
      <c r="D1466" s="50"/>
      <c r="E1466" s="348"/>
      <c r="F1466" s="22"/>
      <c r="G1466" s="22"/>
      <c r="H1466" s="22"/>
      <c r="I1466" s="50"/>
      <c r="J1466" s="351"/>
      <c r="K1466" s="448"/>
      <c r="L1466" s="29"/>
      <c r="M1466" s="31"/>
      <c r="N1466" s="14"/>
      <c r="O1466" s="31"/>
      <c r="Q1466" s="36"/>
      <c r="R1466" s="36"/>
      <c r="S1466" s="36"/>
      <c r="T1466" s="36"/>
      <c r="V1466" s="31"/>
    </row>
    <row r="1467">
      <c r="A1467" s="14"/>
      <c r="B1467" s="460"/>
      <c r="C1467" s="302"/>
      <c r="D1467" s="50"/>
      <c r="E1467" s="348"/>
      <c r="F1467" s="22"/>
      <c r="G1467" s="22"/>
      <c r="H1467" s="22"/>
      <c r="I1467" s="50"/>
      <c r="J1467" s="351"/>
      <c r="K1467" s="448"/>
      <c r="L1467" s="29"/>
      <c r="M1467" s="31"/>
      <c r="N1467" s="14"/>
      <c r="O1467" s="31"/>
      <c r="Q1467" s="36"/>
      <c r="R1467" s="36"/>
      <c r="S1467" s="36"/>
      <c r="T1467" s="36"/>
      <c r="V1467" s="31"/>
    </row>
    <row r="1468">
      <c r="A1468" s="14"/>
      <c r="B1468" s="460"/>
      <c r="C1468" s="302"/>
      <c r="D1468" s="50"/>
      <c r="E1468" s="348"/>
      <c r="F1468" s="22"/>
      <c r="G1468" s="22"/>
      <c r="H1468" s="22"/>
      <c r="I1468" s="50"/>
      <c r="J1468" s="351"/>
      <c r="K1468" s="448"/>
      <c r="L1468" s="29"/>
      <c r="M1468" s="31"/>
      <c r="N1468" s="14"/>
      <c r="O1468" s="31"/>
      <c r="Q1468" s="36"/>
      <c r="R1468" s="36"/>
      <c r="S1468" s="36"/>
      <c r="T1468" s="36"/>
      <c r="V1468" s="31"/>
    </row>
    <row r="1469">
      <c r="A1469" s="14"/>
      <c r="B1469" s="460"/>
      <c r="C1469" s="302"/>
      <c r="D1469" s="50"/>
      <c r="E1469" s="348"/>
      <c r="F1469" s="22"/>
      <c r="G1469" s="22"/>
      <c r="H1469" s="22"/>
      <c r="I1469" s="50"/>
      <c r="J1469" s="351"/>
      <c r="K1469" s="448"/>
      <c r="L1469" s="29"/>
      <c r="M1469" s="31"/>
      <c r="N1469" s="14"/>
      <c r="O1469" s="31"/>
      <c r="Q1469" s="36"/>
      <c r="R1469" s="36"/>
      <c r="S1469" s="36"/>
      <c r="T1469" s="36"/>
      <c r="V1469" s="31"/>
    </row>
    <row r="1470">
      <c r="A1470" s="14"/>
      <c r="B1470" s="460"/>
      <c r="C1470" s="302"/>
      <c r="D1470" s="50"/>
      <c r="E1470" s="348"/>
      <c r="F1470" s="22"/>
      <c r="G1470" s="22"/>
      <c r="H1470" s="22"/>
      <c r="I1470" s="50"/>
      <c r="J1470" s="351"/>
      <c r="K1470" s="448"/>
      <c r="L1470" s="29"/>
      <c r="M1470" s="31"/>
      <c r="N1470" s="14"/>
      <c r="O1470" s="31"/>
      <c r="Q1470" s="36"/>
      <c r="R1470" s="36"/>
      <c r="S1470" s="36"/>
      <c r="T1470" s="36"/>
      <c r="V1470" s="31"/>
    </row>
    <row r="1471">
      <c r="A1471" s="14"/>
      <c r="B1471" s="460"/>
      <c r="C1471" s="302"/>
      <c r="D1471" s="50"/>
      <c r="E1471" s="348"/>
      <c r="F1471" s="22"/>
      <c r="G1471" s="22"/>
      <c r="H1471" s="22"/>
      <c r="I1471" s="50"/>
      <c r="J1471" s="351"/>
      <c r="K1471" s="448"/>
      <c r="L1471" s="29"/>
      <c r="M1471" s="31"/>
      <c r="N1471" s="14"/>
      <c r="O1471" s="31"/>
      <c r="Q1471" s="36"/>
      <c r="R1471" s="36"/>
      <c r="S1471" s="36"/>
      <c r="T1471" s="36"/>
      <c r="V1471" s="31"/>
    </row>
    <row r="1472">
      <c r="A1472" s="14"/>
      <c r="B1472" s="460"/>
      <c r="C1472" s="302"/>
      <c r="D1472" s="50"/>
      <c r="E1472" s="348"/>
      <c r="F1472" s="22"/>
      <c r="G1472" s="22"/>
      <c r="H1472" s="22"/>
      <c r="I1472" s="50"/>
      <c r="J1472" s="351"/>
      <c r="K1472" s="448"/>
      <c r="L1472" s="29"/>
      <c r="M1472" s="31"/>
      <c r="N1472" s="14"/>
      <c r="O1472" s="31"/>
      <c r="Q1472" s="36"/>
      <c r="R1472" s="36"/>
      <c r="S1472" s="36"/>
      <c r="T1472" s="36"/>
      <c r="V1472" s="31"/>
    </row>
    <row r="1473">
      <c r="A1473" s="14"/>
      <c r="B1473" s="460"/>
      <c r="C1473" s="302"/>
      <c r="D1473" s="50"/>
      <c r="E1473" s="348"/>
      <c r="F1473" s="22"/>
      <c r="G1473" s="22"/>
      <c r="H1473" s="22"/>
      <c r="I1473" s="50"/>
      <c r="J1473" s="351"/>
      <c r="K1473" s="448"/>
      <c r="L1473" s="29"/>
      <c r="M1473" s="31"/>
      <c r="N1473" s="14"/>
      <c r="O1473" s="31"/>
      <c r="Q1473" s="36"/>
      <c r="R1473" s="36"/>
      <c r="S1473" s="36"/>
      <c r="T1473" s="36"/>
      <c r="V1473" s="31"/>
    </row>
    <row r="1474">
      <c r="A1474" s="14"/>
      <c r="B1474" s="460"/>
      <c r="C1474" s="302"/>
      <c r="D1474" s="50"/>
      <c r="E1474" s="348"/>
      <c r="F1474" s="22"/>
      <c r="G1474" s="22"/>
      <c r="H1474" s="22"/>
      <c r="I1474" s="50"/>
      <c r="J1474" s="351"/>
      <c r="K1474" s="448"/>
      <c r="L1474" s="29"/>
      <c r="M1474" s="31"/>
      <c r="N1474" s="14"/>
      <c r="O1474" s="31"/>
      <c r="Q1474" s="36"/>
      <c r="R1474" s="36"/>
      <c r="S1474" s="36"/>
      <c r="T1474" s="36"/>
      <c r="V1474" s="31"/>
    </row>
    <row r="1475">
      <c r="A1475" s="14"/>
      <c r="B1475" s="460"/>
      <c r="C1475" s="302"/>
      <c r="D1475" s="50"/>
      <c r="E1475" s="348"/>
      <c r="F1475" s="22"/>
      <c r="G1475" s="22"/>
      <c r="H1475" s="22"/>
      <c r="I1475" s="50"/>
      <c r="J1475" s="351"/>
      <c r="K1475" s="448"/>
      <c r="L1475" s="29"/>
      <c r="M1475" s="31"/>
      <c r="N1475" s="14"/>
      <c r="O1475" s="31"/>
      <c r="Q1475" s="36"/>
      <c r="R1475" s="36"/>
      <c r="S1475" s="36"/>
      <c r="T1475" s="36"/>
      <c r="V1475" s="31"/>
    </row>
    <row r="1476">
      <c r="A1476" s="14"/>
      <c r="B1476" s="460"/>
      <c r="C1476" s="302"/>
      <c r="D1476" s="50"/>
      <c r="E1476" s="348"/>
      <c r="F1476" s="22"/>
      <c r="G1476" s="22"/>
      <c r="H1476" s="22"/>
      <c r="I1476" s="50"/>
      <c r="J1476" s="351"/>
      <c r="K1476" s="448"/>
      <c r="L1476" s="29"/>
      <c r="M1476" s="31"/>
      <c r="N1476" s="14"/>
      <c r="O1476" s="31"/>
      <c r="Q1476" s="36"/>
      <c r="R1476" s="36"/>
      <c r="S1476" s="36"/>
      <c r="T1476" s="36"/>
      <c r="V1476" s="31"/>
    </row>
    <row r="1477">
      <c r="A1477" s="14"/>
      <c r="B1477" s="460"/>
      <c r="C1477" s="302"/>
      <c r="D1477" s="50"/>
      <c r="E1477" s="348"/>
      <c r="F1477" s="22"/>
      <c r="G1477" s="22"/>
      <c r="H1477" s="22"/>
      <c r="I1477" s="50"/>
      <c r="J1477" s="351"/>
      <c r="K1477" s="448"/>
      <c r="L1477" s="29"/>
      <c r="M1477" s="31"/>
      <c r="N1477" s="14"/>
      <c r="O1477" s="31"/>
      <c r="Q1477" s="36"/>
      <c r="R1477" s="36"/>
      <c r="S1477" s="36"/>
      <c r="T1477" s="36"/>
      <c r="V1477" s="31"/>
    </row>
    <row r="1478">
      <c r="A1478" s="14"/>
      <c r="B1478" s="460"/>
      <c r="C1478" s="302"/>
      <c r="D1478" s="50"/>
      <c r="E1478" s="348"/>
      <c r="F1478" s="22"/>
      <c r="G1478" s="22"/>
      <c r="H1478" s="22"/>
      <c r="I1478" s="50"/>
      <c r="J1478" s="351"/>
      <c r="K1478" s="448"/>
      <c r="L1478" s="29"/>
      <c r="M1478" s="31"/>
      <c r="N1478" s="14"/>
      <c r="O1478" s="31"/>
      <c r="Q1478" s="36"/>
      <c r="R1478" s="36"/>
      <c r="S1478" s="36"/>
      <c r="T1478" s="36"/>
      <c r="V1478" s="31"/>
    </row>
    <row r="1479">
      <c r="A1479" s="14"/>
      <c r="B1479" s="460"/>
      <c r="C1479" s="302"/>
      <c r="D1479" s="50"/>
      <c r="E1479" s="348"/>
      <c r="F1479" s="22"/>
      <c r="G1479" s="22"/>
      <c r="H1479" s="22"/>
      <c r="I1479" s="50"/>
      <c r="J1479" s="351"/>
      <c r="K1479" s="448"/>
      <c r="L1479" s="29"/>
      <c r="M1479" s="31"/>
      <c r="N1479" s="14"/>
      <c r="O1479" s="31"/>
      <c r="Q1479" s="36"/>
      <c r="R1479" s="36"/>
      <c r="S1479" s="36"/>
      <c r="T1479" s="36"/>
      <c r="V1479" s="31"/>
    </row>
    <row r="1480">
      <c r="A1480" s="14"/>
      <c r="B1480" s="460"/>
      <c r="C1480" s="302"/>
      <c r="D1480" s="50"/>
      <c r="E1480" s="348"/>
      <c r="F1480" s="22"/>
      <c r="G1480" s="22"/>
      <c r="H1480" s="22"/>
      <c r="I1480" s="50"/>
      <c r="J1480" s="351"/>
      <c r="K1480" s="448"/>
      <c r="L1480" s="29"/>
      <c r="M1480" s="31"/>
      <c r="N1480" s="14"/>
      <c r="O1480" s="31"/>
      <c r="Q1480" s="36"/>
      <c r="R1480" s="36"/>
      <c r="S1480" s="36"/>
      <c r="T1480" s="36"/>
      <c r="V1480" s="31"/>
    </row>
    <row r="1481">
      <c r="A1481" s="14"/>
      <c r="B1481" s="460"/>
      <c r="C1481" s="302"/>
      <c r="D1481" s="50"/>
      <c r="E1481" s="348"/>
      <c r="F1481" s="22"/>
      <c r="G1481" s="22"/>
      <c r="H1481" s="22"/>
      <c r="I1481" s="50"/>
      <c r="J1481" s="351"/>
      <c r="K1481" s="448"/>
      <c r="L1481" s="29"/>
      <c r="M1481" s="31"/>
      <c r="N1481" s="14"/>
      <c r="O1481" s="31"/>
      <c r="Q1481" s="36"/>
      <c r="R1481" s="36"/>
      <c r="S1481" s="36"/>
      <c r="T1481" s="36"/>
      <c r="V1481" s="31"/>
    </row>
    <row r="1482">
      <c r="A1482" s="14"/>
      <c r="B1482" s="460"/>
      <c r="C1482" s="302"/>
      <c r="D1482" s="50"/>
      <c r="E1482" s="348"/>
      <c r="F1482" s="22"/>
      <c r="G1482" s="22"/>
      <c r="H1482" s="22"/>
      <c r="I1482" s="50"/>
      <c r="J1482" s="351"/>
      <c r="K1482" s="448"/>
      <c r="L1482" s="29"/>
      <c r="M1482" s="31"/>
      <c r="N1482" s="14"/>
      <c r="O1482" s="31"/>
      <c r="Q1482" s="36"/>
      <c r="R1482" s="36"/>
      <c r="S1482" s="36"/>
      <c r="T1482" s="36"/>
      <c r="V1482" s="31"/>
    </row>
    <row r="1483">
      <c r="A1483" s="14"/>
      <c r="B1483" s="460"/>
      <c r="C1483" s="302"/>
      <c r="D1483" s="50"/>
      <c r="E1483" s="348"/>
      <c r="F1483" s="22"/>
      <c r="G1483" s="22"/>
      <c r="H1483" s="22"/>
      <c r="I1483" s="50"/>
      <c r="J1483" s="351"/>
      <c r="K1483" s="448"/>
      <c r="L1483" s="29"/>
      <c r="M1483" s="31"/>
      <c r="N1483" s="14"/>
      <c r="O1483" s="31"/>
      <c r="Q1483" s="36"/>
      <c r="R1483" s="36"/>
      <c r="S1483" s="36"/>
      <c r="T1483" s="36"/>
      <c r="V1483" s="31"/>
    </row>
    <row r="1484">
      <c r="A1484" s="14"/>
      <c r="B1484" s="460"/>
      <c r="C1484" s="302"/>
      <c r="D1484" s="50"/>
      <c r="E1484" s="348"/>
      <c r="F1484" s="22"/>
      <c r="G1484" s="22"/>
      <c r="H1484" s="22"/>
      <c r="I1484" s="50"/>
      <c r="J1484" s="351"/>
      <c r="K1484" s="448"/>
      <c r="L1484" s="29"/>
      <c r="M1484" s="31"/>
      <c r="N1484" s="14"/>
      <c r="O1484" s="31"/>
      <c r="Q1484" s="36"/>
      <c r="R1484" s="36"/>
      <c r="S1484" s="36"/>
      <c r="T1484" s="36"/>
      <c r="V1484" s="31"/>
    </row>
    <row r="1485">
      <c r="A1485" s="14"/>
      <c r="B1485" s="460"/>
      <c r="C1485" s="302"/>
      <c r="D1485" s="50"/>
      <c r="E1485" s="348"/>
      <c r="F1485" s="22"/>
      <c r="G1485" s="22"/>
      <c r="H1485" s="22"/>
      <c r="I1485" s="50"/>
      <c r="J1485" s="351"/>
      <c r="K1485" s="448"/>
      <c r="L1485" s="29"/>
      <c r="M1485" s="31"/>
      <c r="N1485" s="14"/>
      <c r="O1485" s="31"/>
      <c r="Q1485" s="36"/>
      <c r="R1485" s="36"/>
      <c r="S1485" s="36"/>
      <c r="T1485" s="36"/>
      <c r="V1485" s="31"/>
    </row>
    <row r="1486">
      <c r="A1486" s="14"/>
      <c r="B1486" s="460"/>
      <c r="C1486" s="302"/>
      <c r="D1486" s="50"/>
      <c r="E1486" s="348"/>
      <c r="F1486" s="22"/>
      <c r="G1486" s="22"/>
      <c r="H1486" s="22"/>
      <c r="I1486" s="50"/>
      <c r="J1486" s="351"/>
      <c r="K1486" s="448"/>
      <c r="L1486" s="29"/>
      <c r="M1486" s="31"/>
      <c r="N1486" s="14"/>
      <c r="O1486" s="31"/>
      <c r="Q1486" s="36"/>
      <c r="R1486" s="36"/>
      <c r="S1486" s="36"/>
      <c r="T1486" s="36"/>
      <c r="V1486" s="31"/>
    </row>
    <row r="1487">
      <c r="A1487" s="14"/>
      <c r="B1487" s="460"/>
      <c r="C1487" s="302"/>
      <c r="D1487" s="50"/>
      <c r="E1487" s="348"/>
      <c r="F1487" s="22"/>
      <c r="G1487" s="22"/>
      <c r="H1487" s="22"/>
      <c r="I1487" s="50"/>
      <c r="J1487" s="351"/>
      <c r="K1487" s="448"/>
      <c r="L1487" s="29"/>
      <c r="M1487" s="31"/>
      <c r="N1487" s="14"/>
      <c r="O1487" s="31"/>
      <c r="Q1487" s="36"/>
      <c r="R1487" s="36"/>
      <c r="S1487" s="36"/>
      <c r="T1487" s="36"/>
      <c r="V1487" s="31"/>
    </row>
    <row r="1488">
      <c r="A1488" s="14"/>
      <c r="B1488" s="460"/>
      <c r="C1488" s="302"/>
      <c r="D1488" s="50"/>
      <c r="E1488" s="348"/>
      <c r="F1488" s="22"/>
      <c r="G1488" s="22"/>
      <c r="H1488" s="22"/>
      <c r="I1488" s="50"/>
      <c r="J1488" s="351"/>
      <c r="K1488" s="448"/>
      <c r="L1488" s="29"/>
      <c r="M1488" s="31"/>
      <c r="N1488" s="14"/>
      <c r="O1488" s="31"/>
      <c r="Q1488" s="36"/>
      <c r="R1488" s="36"/>
      <c r="S1488" s="36"/>
      <c r="T1488" s="36"/>
      <c r="V1488" s="31"/>
    </row>
    <row r="1489">
      <c r="A1489" s="14"/>
      <c r="B1489" s="460"/>
      <c r="C1489" s="302"/>
      <c r="D1489" s="50"/>
      <c r="E1489" s="348"/>
      <c r="F1489" s="22"/>
      <c r="G1489" s="22"/>
      <c r="H1489" s="22"/>
      <c r="I1489" s="50"/>
      <c r="J1489" s="351"/>
      <c r="K1489" s="448"/>
      <c r="L1489" s="29"/>
      <c r="M1489" s="31"/>
      <c r="N1489" s="14"/>
      <c r="O1489" s="31"/>
      <c r="Q1489" s="36"/>
      <c r="R1489" s="36"/>
      <c r="S1489" s="36"/>
      <c r="T1489" s="36"/>
      <c r="V1489" s="31"/>
    </row>
    <row r="1490">
      <c r="A1490" s="14"/>
      <c r="B1490" s="460"/>
      <c r="C1490" s="302"/>
      <c r="D1490" s="50"/>
      <c r="E1490" s="348"/>
      <c r="F1490" s="22"/>
      <c r="G1490" s="22"/>
      <c r="H1490" s="22"/>
      <c r="I1490" s="50"/>
      <c r="J1490" s="351"/>
      <c r="K1490" s="448"/>
      <c r="L1490" s="29"/>
      <c r="M1490" s="31"/>
      <c r="N1490" s="14"/>
      <c r="O1490" s="31"/>
      <c r="Q1490" s="36"/>
      <c r="R1490" s="36"/>
      <c r="S1490" s="36"/>
      <c r="T1490" s="36"/>
      <c r="V1490" s="31"/>
    </row>
    <row r="1491">
      <c r="A1491" s="14"/>
      <c r="B1491" s="460"/>
      <c r="C1491" s="302"/>
      <c r="D1491" s="50"/>
      <c r="E1491" s="348"/>
      <c r="F1491" s="22"/>
      <c r="G1491" s="22"/>
      <c r="H1491" s="22"/>
      <c r="I1491" s="50"/>
      <c r="J1491" s="351"/>
      <c r="K1491" s="448"/>
      <c r="L1491" s="29"/>
      <c r="M1491" s="31"/>
      <c r="N1491" s="14"/>
      <c r="O1491" s="31"/>
      <c r="Q1491" s="36"/>
      <c r="R1491" s="36"/>
      <c r="S1491" s="36"/>
      <c r="T1491" s="36"/>
      <c r="V1491" s="31"/>
    </row>
    <row r="1492">
      <c r="A1492" s="14"/>
      <c r="B1492" s="460"/>
      <c r="C1492" s="302"/>
      <c r="D1492" s="50"/>
      <c r="E1492" s="348"/>
      <c r="F1492" s="22"/>
      <c r="G1492" s="22"/>
      <c r="H1492" s="22"/>
      <c r="I1492" s="50"/>
      <c r="J1492" s="351"/>
      <c r="K1492" s="448"/>
      <c r="L1492" s="29"/>
      <c r="M1492" s="31"/>
      <c r="N1492" s="14"/>
      <c r="O1492" s="31"/>
      <c r="Q1492" s="36"/>
      <c r="R1492" s="36"/>
      <c r="S1492" s="36"/>
      <c r="T1492" s="36"/>
      <c r="V1492" s="31"/>
    </row>
    <row r="1493">
      <c r="A1493" s="14"/>
      <c r="B1493" s="460"/>
      <c r="C1493" s="302"/>
      <c r="D1493" s="50"/>
      <c r="E1493" s="348"/>
      <c r="F1493" s="22"/>
      <c r="G1493" s="22"/>
      <c r="H1493" s="22"/>
      <c r="I1493" s="50"/>
      <c r="J1493" s="351"/>
      <c r="K1493" s="448"/>
      <c r="L1493" s="29"/>
      <c r="M1493" s="31"/>
      <c r="N1493" s="14"/>
      <c r="O1493" s="31"/>
      <c r="Q1493" s="36"/>
      <c r="R1493" s="36"/>
      <c r="S1493" s="36"/>
      <c r="T1493" s="36"/>
      <c r="V1493" s="31"/>
    </row>
    <row r="1494">
      <c r="A1494" s="14"/>
      <c r="B1494" s="460"/>
      <c r="C1494" s="302"/>
      <c r="D1494" s="50"/>
      <c r="E1494" s="348"/>
      <c r="F1494" s="22"/>
      <c r="G1494" s="22"/>
      <c r="H1494" s="22"/>
      <c r="I1494" s="50"/>
      <c r="J1494" s="351"/>
      <c r="K1494" s="448"/>
      <c r="L1494" s="29"/>
      <c r="M1494" s="31"/>
      <c r="N1494" s="14"/>
      <c r="O1494" s="31"/>
      <c r="Q1494" s="36"/>
      <c r="R1494" s="36"/>
      <c r="S1494" s="36"/>
      <c r="T1494" s="36"/>
      <c r="V1494" s="31"/>
    </row>
    <row r="1495">
      <c r="A1495" s="14"/>
      <c r="B1495" s="460"/>
      <c r="C1495" s="302"/>
      <c r="D1495" s="50"/>
      <c r="E1495" s="348"/>
      <c r="F1495" s="22"/>
      <c r="G1495" s="22"/>
      <c r="H1495" s="22"/>
      <c r="I1495" s="50"/>
      <c r="J1495" s="351"/>
      <c r="K1495" s="448"/>
      <c r="L1495" s="29"/>
      <c r="M1495" s="31"/>
      <c r="N1495" s="14"/>
      <c r="O1495" s="31"/>
      <c r="Q1495" s="36"/>
      <c r="R1495" s="36"/>
      <c r="S1495" s="36"/>
      <c r="T1495" s="36"/>
      <c r="V1495" s="31"/>
    </row>
    <row r="1496">
      <c r="A1496" s="14"/>
      <c r="B1496" s="460"/>
      <c r="C1496" s="302"/>
      <c r="D1496" s="50"/>
      <c r="E1496" s="348"/>
      <c r="F1496" s="22"/>
      <c r="G1496" s="22"/>
      <c r="H1496" s="22"/>
      <c r="I1496" s="50"/>
      <c r="J1496" s="351"/>
      <c r="K1496" s="448"/>
      <c r="L1496" s="29"/>
      <c r="M1496" s="31"/>
      <c r="N1496" s="14"/>
      <c r="O1496" s="31"/>
      <c r="Q1496" s="36"/>
      <c r="R1496" s="36"/>
      <c r="S1496" s="36"/>
      <c r="T1496" s="36"/>
      <c r="V1496" s="31"/>
    </row>
    <row r="1497">
      <c r="A1497" s="14"/>
      <c r="B1497" s="460"/>
      <c r="C1497" s="302"/>
      <c r="D1497" s="50"/>
      <c r="E1497" s="348"/>
      <c r="F1497" s="22"/>
      <c r="G1497" s="22"/>
      <c r="H1497" s="22"/>
      <c r="I1497" s="50"/>
      <c r="J1497" s="351"/>
      <c r="K1497" s="448"/>
      <c r="L1497" s="29"/>
      <c r="M1497" s="31"/>
      <c r="N1497" s="14"/>
      <c r="O1497" s="31"/>
      <c r="Q1497" s="36"/>
      <c r="R1497" s="36"/>
      <c r="S1497" s="36"/>
      <c r="T1497" s="36"/>
      <c r="V1497" s="31"/>
    </row>
    <row r="1498">
      <c r="A1498" s="14"/>
      <c r="B1498" s="460"/>
      <c r="C1498" s="302"/>
      <c r="D1498" s="50"/>
      <c r="E1498" s="348"/>
      <c r="F1498" s="22"/>
      <c r="G1498" s="22"/>
      <c r="H1498" s="22"/>
      <c r="I1498" s="50"/>
      <c r="J1498" s="351"/>
      <c r="K1498" s="448"/>
      <c r="L1498" s="29"/>
      <c r="M1498" s="31"/>
      <c r="N1498" s="14"/>
      <c r="O1498" s="31"/>
      <c r="Q1498" s="36"/>
      <c r="R1498" s="36"/>
      <c r="S1498" s="36"/>
      <c r="T1498" s="36"/>
      <c r="V1498" s="31"/>
    </row>
    <row r="1499">
      <c r="A1499" s="14"/>
      <c r="B1499" s="460"/>
      <c r="C1499" s="302"/>
      <c r="D1499" s="50"/>
      <c r="E1499" s="348"/>
      <c r="F1499" s="22"/>
      <c r="G1499" s="22"/>
      <c r="H1499" s="22"/>
      <c r="I1499" s="50"/>
      <c r="J1499" s="351"/>
      <c r="K1499" s="448"/>
      <c r="L1499" s="29"/>
      <c r="M1499" s="31"/>
      <c r="N1499" s="14"/>
      <c r="O1499" s="31"/>
      <c r="Q1499" s="36"/>
      <c r="R1499" s="36"/>
      <c r="S1499" s="36"/>
      <c r="T1499" s="36"/>
      <c r="V1499" s="31"/>
    </row>
    <row r="1500">
      <c r="A1500" s="14"/>
      <c r="B1500" s="460"/>
      <c r="C1500" s="302"/>
      <c r="D1500" s="50"/>
      <c r="E1500" s="348"/>
      <c r="F1500" s="22"/>
      <c r="G1500" s="22"/>
      <c r="H1500" s="22"/>
      <c r="I1500" s="50"/>
      <c r="J1500" s="351"/>
      <c r="K1500" s="448"/>
      <c r="L1500" s="29"/>
      <c r="M1500" s="31"/>
      <c r="N1500" s="14"/>
      <c r="O1500" s="31"/>
      <c r="Q1500" s="36"/>
      <c r="R1500" s="36"/>
      <c r="S1500" s="36"/>
      <c r="T1500" s="36"/>
      <c r="V1500" s="31"/>
    </row>
    <row r="1501">
      <c r="A1501" s="14"/>
      <c r="B1501" s="460"/>
      <c r="C1501" s="302"/>
      <c r="D1501" s="50"/>
      <c r="E1501" s="348"/>
      <c r="F1501" s="22"/>
      <c r="G1501" s="22"/>
      <c r="H1501" s="22"/>
      <c r="I1501" s="50"/>
      <c r="J1501" s="351"/>
      <c r="K1501" s="448"/>
      <c r="L1501" s="29"/>
      <c r="M1501" s="31"/>
      <c r="N1501" s="14"/>
      <c r="O1501" s="31"/>
      <c r="Q1501" s="36"/>
      <c r="R1501" s="36"/>
      <c r="S1501" s="36"/>
      <c r="T1501" s="36"/>
      <c r="V1501" s="31"/>
    </row>
    <row r="1502">
      <c r="A1502" s="14"/>
      <c r="B1502" s="460"/>
      <c r="C1502" s="302"/>
      <c r="D1502" s="50"/>
      <c r="E1502" s="348"/>
      <c r="F1502" s="22"/>
      <c r="G1502" s="22"/>
      <c r="H1502" s="22"/>
      <c r="I1502" s="50"/>
      <c r="J1502" s="351"/>
      <c r="K1502" s="448"/>
      <c r="L1502" s="29"/>
      <c r="M1502" s="31"/>
      <c r="N1502" s="14"/>
      <c r="O1502" s="31"/>
      <c r="Q1502" s="36"/>
      <c r="R1502" s="36"/>
      <c r="S1502" s="36"/>
      <c r="T1502" s="36"/>
      <c r="V1502" s="31"/>
    </row>
    <row r="1503">
      <c r="A1503" s="14"/>
      <c r="B1503" s="460"/>
      <c r="C1503" s="302"/>
      <c r="D1503" s="50"/>
      <c r="E1503" s="348"/>
      <c r="F1503" s="22"/>
      <c r="G1503" s="22"/>
      <c r="H1503" s="22"/>
      <c r="I1503" s="50"/>
      <c r="J1503" s="351"/>
      <c r="K1503" s="448"/>
      <c r="L1503" s="29"/>
      <c r="M1503" s="31"/>
      <c r="N1503" s="14"/>
      <c r="O1503" s="31"/>
      <c r="Q1503" s="36"/>
      <c r="R1503" s="36"/>
      <c r="S1503" s="36"/>
      <c r="T1503" s="36"/>
      <c r="V1503" s="31"/>
    </row>
    <row r="1504">
      <c r="A1504" s="14"/>
      <c r="B1504" s="460"/>
      <c r="C1504" s="302"/>
      <c r="D1504" s="50"/>
      <c r="E1504" s="348"/>
      <c r="F1504" s="22"/>
      <c r="G1504" s="22"/>
      <c r="H1504" s="22"/>
      <c r="I1504" s="50"/>
      <c r="J1504" s="351"/>
      <c r="K1504" s="448"/>
      <c r="L1504" s="29"/>
      <c r="M1504" s="31"/>
      <c r="N1504" s="14"/>
      <c r="O1504" s="31"/>
      <c r="Q1504" s="36"/>
      <c r="R1504" s="36"/>
      <c r="S1504" s="36"/>
      <c r="T1504" s="36"/>
      <c r="V1504" s="31"/>
    </row>
    <row r="1505">
      <c r="A1505" s="14"/>
      <c r="B1505" s="460"/>
      <c r="C1505" s="302"/>
      <c r="D1505" s="50"/>
      <c r="E1505" s="348"/>
      <c r="F1505" s="22"/>
      <c r="G1505" s="22"/>
      <c r="H1505" s="22"/>
      <c r="I1505" s="50"/>
      <c r="J1505" s="351"/>
      <c r="K1505" s="448"/>
      <c r="L1505" s="29"/>
      <c r="M1505" s="31"/>
      <c r="N1505" s="14"/>
      <c r="O1505" s="31"/>
      <c r="Q1505" s="36"/>
      <c r="R1505" s="36"/>
      <c r="S1505" s="36"/>
      <c r="T1505" s="36"/>
      <c r="V1505" s="31"/>
    </row>
    <row r="1506">
      <c r="A1506" s="14"/>
      <c r="B1506" s="460"/>
      <c r="C1506" s="302"/>
      <c r="D1506" s="50"/>
      <c r="E1506" s="348"/>
      <c r="F1506" s="22"/>
      <c r="G1506" s="22"/>
      <c r="H1506" s="22"/>
      <c r="I1506" s="50"/>
      <c r="J1506" s="351"/>
      <c r="K1506" s="448"/>
      <c r="L1506" s="29"/>
      <c r="M1506" s="31"/>
      <c r="N1506" s="14"/>
      <c r="O1506" s="31"/>
      <c r="Q1506" s="36"/>
      <c r="R1506" s="36"/>
      <c r="S1506" s="36"/>
      <c r="T1506" s="36"/>
      <c r="V1506" s="31"/>
    </row>
    <row r="1507">
      <c r="A1507" s="14"/>
      <c r="B1507" s="460"/>
      <c r="C1507" s="302"/>
      <c r="D1507" s="50"/>
      <c r="E1507" s="348"/>
      <c r="F1507" s="22"/>
      <c r="G1507" s="22"/>
      <c r="H1507" s="22"/>
      <c r="I1507" s="50"/>
      <c r="J1507" s="351"/>
      <c r="K1507" s="448"/>
      <c r="L1507" s="29"/>
      <c r="M1507" s="31"/>
      <c r="N1507" s="14"/>
      <c r="O1507" s="31"/>
      <c r="Q1507" s="36"/>
      <c r="R1507" s="36"/>
      <c r="S1507" s="36"/>
      <c r="T1507" s="36"/>
      <c r="V1507" s="31"/>
    </row>
    <row r="1508">
      <c r="A1508" s="14"/>
      <c r="B1508" s="460"/>
      <c r="C1508" s="302"/>
      <c r="D1508" s="50"/>
      <c r="E1508" s="348"/>
      <c r="F1508" s="22"/>
      <c r="G1508" s="22"/>
      <c r="H1508" s="22"/>
      <c r="I1508" s="50"/>
      <c r="J1508" s="351"/>
      <c r="K1508" s="448"/>
      <c r="L1508" s="29"/>
      <c r="M1508" s="31"/>
      <c r="N1508" s="14"/>
      <c r="O1508" s="31"/>
      <c r="Q1508" s="36"/>
      <c r="R1508" s="36"/>
      <c r="S1508" s="36"/>
      <c r="T1508" s="36"/>
      <c r="V1508" s="31"/>
    </row>
    <row r="1509">
      <c r="A1509" s="14"/>
      <c r="B1509" s="460"/>
      <c r="C1509" s="302"/>
      <c r="D1509" s="50"/>
      <c r="E1509" s="348"/>
      <c r="F1509" s="22"/>
      <c r="G1509" s="22"/>
      <c r="H1509" s="22"/>
      <c r="I1509" s="50"/>
      <c r="J1509" s="351"/>
      <c r="K1509" s="448"/>
      <c r="L1509" s="29"/>
      <c r="M1509" s="31"/>
      <c r="N1509" s="14"/>
      <c r="O1509" s="31"/>
      <c r="Q1509" s="36"/>
      <c r="R1509" s="36"/>
      <c r="S1509" s="36"/>
      <c r="T1509" s="36"/>
      <c r="V1509" s="31"/>
    </row>
    <row r="1510">
      <c r="A1510" s="14"/>
      <c r="B1510" s="460"/>
      <c r="C1510" s="302"/>
      <c r="D1510" s="50"/>
      <c r="E1510" s="348"/>
      <c r="F1510" s="22"/>
      <c r="G1510" s="22"/>
      <c r="H1510" s="22"/>
      <c r="I1510" s="50"/>
      <c r="J1510" s="351"/>
      <c r="K1510" s="448"/>
      <c r="L1510" s="29"/>
      <c r="M1510" s="31"/>
      <c r="N1510" s="14"/>
      <c r="O1510" s="31"/>
      <c r="Q1510" s="36"/>
      <c r="R1510" s="36"/>
      <c r="S1510" s="36"/>
      <c r="T1510" s="36"/>
      <c r="V1510" s="31"/>
    </row>
    <row r="1511">
      <c r="A1511" s="14"/>
      <c r="B1511" s="460"/>
      <c r="C1511" s="302"/>
      <c r="D1511" s="50"/>
      <c r="E1511" s="348"/>
      <c r="F1511" s="22"/>
      <c r="G1511" s="22"/>
      <c r="H1511" s="22"/>
      <c r="I1511" s="50"/>
      <c r="J1511" s="351"/>
      <c r="K1511" s="448"/>
      <c r="L1511" s="29"/>
      <c r="M1511" s="31"/>
      <c r="N1511" s="14"/>
      <c r="O1511" s="31"/>
      <c r="Q1511" s="36"/>
      <c r="R1511" s="36"/>
      <c r="S1511" s="36"/>
      <c r="T1511" s="36"/>
      <c r="V1511" s="31"/>
    </row>
    <row r="1512">
      <c r="A1512" s="14"/>
      <c r="B1512" s="460"/>
      <c r="C1512" s="302"/>
      <c r="D1512" s="50"/>
      <c r="E1512" s="348"/>
      <c r="F1512" s="22"/>
      <c r="G1512" s="22"/>
      <c r="H1512" s="22"/>
      <c r="I1512" s="50"/>
      <c r="J1512" s="351"/>
      <c r="K1512" s="448"/>
      <c r="L1512" s="29"/>
      <c r="M1512" s="31"/>
      <c r="N1512" s="14"/>
      <c r="O1512" s="31"/>
      <c r="Q1512" s="36"/>
      <c r="R1512" s="36"/>
      <c r="S1512" s="36"/>
      <c r="T1512" s="36"/>
      <c r="V1512" s="31"/>
    </row>
    <row r="1513">
      <c r="A1513" s="14"/>
      <c r="B1513" s="460"/>
      <c r="C1513" s="302"/>
      <c r="D1513" s="50"/>
      <c r="E1513" s="348"/>
      <c r="F1513" s="22"/>
      <c r="G1513" s="22"/>
      <c r="H1513" s="22"/>
      <c r="I1513" s="50"/>
      <c r="J1513" s="351"/>
      <c r="K1513" s="448"/>
      <c r="L1513" s="29"/>
      <c r="M1513" s="31"/>
      <c r="N1513" s="14"/>
      <c r="O1513" s="31"/>
      <c r="Q1513" s="36"/>
      <c r="R1513" s="36"/>
      <c r="S1513" s="36"/>
      <c r="T1513" s="36"/>
      <c r="V1513" s="31"/>
    </row>
    <row r="1514">
      <c r="A1514" s="14"/>
      <c r="B1514" s="460"/>
      <c r="C1514" s="302"/>
      <c r="D1514" s="50"/>
      <c r="E1514" s="348"/>
      <c r="F1514" s="22"/>
      <c r="G1514" s="22"/>
      <c r="H1514" s="22"/>
      <c r="I1514" s="50"/>
      <c r="J1514" s="351"/>
      <c r="K1514" s="448"/>
      <c r="L1514" s="29"/>
      <c r="M1514" s="31"/>
      <c r="N1514" s="14"/>
      <c r="O1514" s="31"/>
      <c r="Q1514" s="36"/>
      <c r="R1514" s="36"/>
      <c r="S1514" s="36"/>
      <c r="T1514" s="36"/>
      <c r="V1514" s="31"/>
    </row>
    <row r="1515">
      <c r="A1515" s="14"/>
      <c r="B1515" s="460"/>
      <c r="C1515" s="302"/>
      <c r="D1515" s="50"/>
      <c r="E1515" s="348"/>
      <c r="F1515" s="22"/>
      <c r="G1515" s="22"/>
      <c r="H1515" s="22"/>
      <c r="I1515" s="50"/>
      <c r="J1515" s="351"/>
      <c r="K1515" s="448"/>
      <c r="L1515" s="29"/>
      <c r="M1515" s="31"/>
      <c r="N1515" s="14"/>
      <c r="O1515" s="31"/>
      <c r="Q1515" s="36"/>
      <c r="R1515" s="36"/>
      <c r="S1515" s="36"/>
      <c r="T1515" s="36"/>
      <c r="V1515" s="31"/>
    </row>
    <row r="1516">
      <c r="A1516" s="14"/>
      <c r="B1516" s="460"/>
      <c r="C1516" s="302"/>
      <c r="D1516" s="50"/>
      <c r="E1516" s="348"/>
      <c r="F1516" s="22"/>
      <c r="G1516" s="22"/>
      <c r="H1516" s="22"/>
      <c r="I1516" s="50"/>
      <c r="J1516" s="351"/>
      <c r="K1516" s="448"/>
      <c r="L1516" s="29"/>
      <c r="M1516" s="31"/>
      <c r="N1516" s="14"/>
      <c r="O1516" s="31"/>
      <c r="Q1516" s="36"/>
      <c r="R1516" s="36"/>
      <c r="S1516" s="36"/>
      <c r="T1516" s="36"/>
      <c r="V1516" s="31"/>
    </row>
    <row r="1517">
      <c r="A1517" s="14"/>
      <c r="B1517" s="460"/>
      <c r="C1517" s="302"/>
      <c r="D1517" s="50"/>
      <c r="E1517" s="348"/>
      <c r="F1517" s="22"/>
      <c r="G1517" s="22"/>
      <c r="H1517" s="22"/>
      <c r="I1517" s="50"/>
      <c r="J1517" s="351"/>
      <c r="K1517" s="448"/>
      <c r="L1517" s="29"/>
      <c r="M1517" s="31"/>
      <c r="N1517" s="14"/>
      <c r="O1517" s="31"/>
      <c r="Q1517" s="36"/>
      <c r="R1517" s="36"/>
      <c r="S1517" s="36"/>
      <c r="T1517" s="36"/>
      <c r="V1517" s="31"/>
    </row>
    <row r="1518">
      <c r="A1518" s="14"/>
      <c r="B1518" s="460"/>
      <c r="C1518" s="302"/>
      <c r="D1518" s="50"/>
      <c r="E1518" s="348"/>
      <c r="F1518" s="22"/>
      <c r="G1518" s="22"/>
      <c r="H1518" s="22"/>
      <c r="I1518" s="50"/>
      <c r="J1518" s="351"/>
      <c r="K1518" s="448"/>
      <c r="L1518" s="29"/>
      <c r="M1518" s="31"/>
      <c r="N1518" s="14"/>
      <c r="O1518" s="31"/>
      <c r="Q1518" s="36"/>
      <c r="R1518" s="36"/>
      <c r="S1518" s="36"/>
      <c r="T1518" s="36"/>
      <c r="V1518" s="31"/>
    </row>
    <row r="1519">
      <c r="A1519" s="14"/>
      <c r="B1519" s="460"/>
      <c r="C1519" s="302"/>
      <c r="D1519" s="50"/>
      <c r="E1519" s="348"/>
      <c r="F1519" s="22"/>
      <c r="G1519" s="22"/>
      <c r="H1519" s="22"/>
      <c r="I1519" s="50"/>
      <c r="J1519" s="351"/>
      <c r="K1519" s="448"/>
      <c r="L1519" s="29"/>
      <c r="M1519" s="31"/>
      <c r="N1519" s="14"/>
      <c r="O1519" s="31"/>
      <c r="Q1519" s="36"/>
      <c r="R1519" s="36"/>
      <c r="S1519" s="36"/>
      <c r="T1519" s="36"/>
      <c r="V1519" s="31"/>
    </row>
    <row r="1520">
      <c r="A1520" s="14"/>
      <c r="B1520" s="460"/>
      <c r="C1520" s="302"/>
      <c r="D1520" s="50"/>
      <c r="E1520" s="348"/>
      <c r="F1520" s="22"/>
      <c r="G1520" s="22"/>
      <c r="H1520" s="22"/>
      <c r="I1520" s="50"/>
      <c r="J1520" s="351"/>
      <c r="K1520" s="448"/>
      <c r="L1520" s="29"/>
      <c r="M1520" s="31"/>
      <c r="N1520" s="14"/>
      <c r="O1520" s="31"/>
      <c r="Q1520" s="36"/>
      <c r="R1520" s="36"/>
      <c r="S1520" s="36"/>
      <c r="T1520" s="36"/>
      <c r="V1520" s="31"/>
    </row>
    <row r="1521">
      <c r="A1521" s="14"/>
      <c r="B1521" s="460"/>
      <c r="C1521" s="302"/>
      <c r="D1521" s="50"/>
      <c r="E1521" s="348"/>
      <c r="F1521" s="22"/>
      <c r="G1521" s="22"/>
      <c r="H1521" s="22"/>
      <c r="I1521" s="50"/>
      <c r="J1521" s="351"/>
      <c r="K1521" s="448"/>
      <c r="L1521" s="29"/>
      <c r="M1521" s="31"/>
      <c r="N1521" s="14"/>
      <c r="O1521" s="31"/>
      <c r="Q1521" s="36"/>
      <c r="R1521" s="36"/>
      <c r="S1521" s="36"/>
      <c r="T1521" s="36"/>
      <c r="V1521" s="31"/>
    </row>
    <row r="1522">
      <c r="A1522" s="14"/>
      <c r="B1522" s="460"/>
      <c r="C1522" s="302"/>
      <c r="D1522" s="50"/>
      <c r="E1522" s="348"/>
      <c r="F1522" s="22"/>
      <c r="G1522" s="22"/>
      <c r="H1522" s="22"/>
      <c r="I1522" s="50"/>
      <c r="J1522" s="351"/>
      <c r="K1522" s="448"/>
      <c r="L1522" s="29"/>
      <c r="M1522" s="31"/>
      <c r="N1522" s="14"/>
      <c r="O1522" s="31"/>
      <c r="Q1522" s="36"/>
      <c r="R1522" s="36"/>
      <c r="S1522" s="36"/>
      <c r="T1522" s="36"/>
      <c r="V1522" s="31"/>
    </row>
    <row r="1523">
      <c r="A1523" s="14"/>
      <c r="B1523" s="460"/>
      <c r="C1523" s="302"/>
      <c r="D1523" s="50"/>
      <c r="E1523" s="348"/>
      <c r="F1523" s="22"/>
      <c r="G1523" s="22"/>
      <c r="H1523" s="22"/>
      <c r="I1523" s="50"/>
      <c r="J1523" s="351"/>
      <c r="K1523" s="448"/>
      <c r="L1523" s="29"/>
      <c r="M1523" s="31"/>
      <c r="N1523" s="14"/>
      <c r="O1523" s="31"/>
      <c r="Q1523" s="36"/>
      <c r="R1523" s="36"/>
      <c r="S1523" s="36"/>
      <c r="T1523" s="36"/>
      <c r="V1523" s="31"/>
    </row>
    <row r="1524">
      <c r="A1524" s="14"/>
      <c r="B1524" s="460"/>
      <c r="C1524" s="302"/>
      <c r="D1524" s="50"/>
      <c r="E1524" s="348"/>
      <c r="F1524" s="22"/>
      <c r="G1524" s="22"/>
      <c r="H1524" s="22"/>
      <c r="I1524" s="50"/>
      <c r="J1524" s="351"/>
      <c r="K1524" s="448"/>
      <c r="L1524" s="29"/>
      <c r="M1524" s="31"/>
      <c r="N1524" s="14"/>
      <c r="O1524" s="31"/>
      <c r="Q1524" s="36"/>
      <c r="R1524" s="36"/>
      <c r="S1524" s="36"/>
      <c r="T1524" s="36"/>
      <c r="V1524" s="31"/>
    </row>
    <row r="1525">
      <c r="A1525" s="14"/>
      <c r="B1525" s="460"/>
      <c r="C1525" s="302"/>
      <c r="D1525" s="50"/>
      <c r="E1525" s="348"/>
      <c r="F1525" s="22"/>
      <c r="G1525" s="22"/>
      <c r="H1525" s="22"/>
      <c r="I1525" s="50"/>
      <c r="J1525" s="351"/>
      <c r="K1525" s="448"/>
      <c r="L1525" s="29"/>
      <c r="M1525" s="31"/>
      <c r="N1525" s="14"/>
      <c r="O1525" s="31"/>
      <c r="Q1525" s="36"/>
      <c r="R1525" s="36"/>
      <c r="S1525" s="36"/>
      <c r="T1525" s="36"/>
      <c r="V1525" s="31"/>
    </row>
    <row r="1526">
      <c r="A1526" s="14"/>
      <c r="B1526" s="460"/>
      <c r="C1526" s="302"/>
      <c r="D1526" s="50"/>
      <c r="E1526" s="348"/>
      <c r="F1526" s="22"/>
      <c r="G1526" s="22"/>
      <c r="H1526" s="22"/>
      <c r="I1526" s="50"/>
      <c r="J1526" s="351"/>
      <c r="K1526" s="448"/>
      <c r="L1526" s="29"/>
      <c r="M1526" s="31"/>
      <c r="N1526" s="14"/>
      <c r="O1526" s="31"/>
      <c r="Q1526" s="36"/>
      <c r="R1526" s="36"/>
      <c r="S1526" s="36"/>
      <c r="T1526" s="36"/>
      <c r="V1526" s="31"/>
    </row>
    <row r="1527">
      <c r="A1527" s="14"/>
      <c r="B1527" s="460"/>
      <c r="C1527" s="302"/>
      <c r="D1527" s="50"/>
      <c r="E1527" s="348"/>
      <c r="F1527" s="22"/>
      <c r="G1527" s="22"/>
      <c r="H1527" s="22"/>
      <c r="I1527" s="50"/>
      <c r="J1527" s="351"/>
      <c r="K1527" s="448"/>
      <c r="L1527" s="29"/>
      <c r="M1527" s="31"/>
      <c r="N1527" s="14"/>
      <c r="O1527" s="31"/>
      <c r="Q1527" s="36"/>
      <c r="R1527" s="36"/>
      <c r="S1527" s="36"/>
      <c r="T1527" s="36"/>
      <c r="V1527" s="31"/>
    </row>
    <row r="1528">
      <c r="A1528" s="14"/>
      <c r="B1528" s="460"/>
      <c r="C1528" s="302"/>
      <c r="D1528" s="50"/>
      <c r="E1528" s="348"/>
      <c r="F1528" s="22"/>
      <c r="G1528" s="22"/>
      <c r="H1528" s="22"/>
      <c r="I1528" s="50"/>
      <c r="J1528" s="351"/>
      <c r="K1528" s="448"/>
      <c r="L1528" s="29"/>
      <c r="M1528" s="31"/>
      <c r="N1528" s="14"/>
      <c r="O1528" s="31"/>
      <c r="Q1528" s="36"/>
      <c r="R1528" s="36"/>
      <c r="S1528" s="36"/>
      <c r="T1528" s="36"/>
      <c r="V1528" s="31"/>
    </row>
    <row r="1529">
      <c r="A1529" s="14"/>
      <c r="B1529" s="460"/>
      <c r="C1529" s="302"/>
      <c r="D1529" s="50"/>
      <c r="E1529" s="348"/>
      <c r="F1529" s="22"/>
      <c r="G1529" s="22"/>
      <c r="H1529" s="22"/>
      <c r="I1529" s="50"/>
      <c r="J1529" s="351"/>
      <c r="K1529" s="448"/>
      <c r="L1529" s="29"/>
      <c r="M1529" s="31"/>
      <c r="N1529" s="14"/>
      <c r="O1529" s="31"/>
      <c r="Q1529" s="36"/>
      <c r="R1529" s="36"/>
      <c r="S1529" s="36"/>
      <c r="T1529" s="36"/>
      <c r="V1529" s="31"/>
    </row>
    <row r="1530">
      <c r="A1530" s="14"/>
      <c r="B1530" s="460"/>
      <c r="C1530" s="302"/>
      <c r="D1530" s="50"/>
      <c r="E1530" s="348"/>
      <c r="F1530" s="22"/>
      <c r="G1530" s="22"/>
      <c r="H1530" s="22"/>
      <c r="I1530" s="50"/>
      <c r="J1530" s="351"/>
      <c r="K1530" s="448"/>
      <c r="L1530" s="29"/>
      <c r="M1530" s="31"/>
      <c r="N1530" s="14"/>
      <c r="O1530" s="31"/>
      <c r="Q1530" s="36"/>
      <c r="R1530" s="36"/>
      <c r="S1530" s="36"/>
      <c r="T1530" s="36"/>
      <c r="V1530" s="31"/>
    </row>
    <row r="1531">
      <c r="A1531" s="14"/>
      <c r="B1531" s="460"/>
      <c r="C1531" s="302"/>
      <c r="D1531" s="50"/>
      <c r="E1531" s="348"/>
      <c r="F1531" s="22"/>
      <c r="G1531" s="22"/>
      <c r="H1531" s="22"/>
      <c r="I1531" s="50"/>
      <c r="J1531" s="351"/>
      <c r="K1531" s="448"/>
      <c r="L1531" s="29"/>
      <c r="M1531" s="31"/>
      <c r="N1531" s="14"/>
      <c r="O1531" s="31"/>
      <c r="Q1531" s="36"/>
      <c r="R1531" s="36"/>
      <c r="S1531" s="36"/>
      <c r="T1531" s="36"/>
      <c r="V1531" s="31"/>
    </row>
    <row r="1532">
      <c r="A1532" s="14"/>
      <c r="B1532" s="460"/>
      <c r="C1532" s="302"/>
      <c r="D1532" s="50"/>
      <c r="E1532" s="348"/>
      <c r="F1532" s="22"/>
      <c r="G1532" s="22"/>
      <c r="H1532" s="22"/>
      <c r="I1532" s="50"/>
      <c r="J1532" s="351"/>
      <c r="K1532" s="448"/>
      <c r="L1532" s="29"/>
      <c r="M1532" s="31"/>
      <c r="N1532" s="14"/>
      <c r="O1532" s="31"/>
      <c r="Q1532" s="36"/>
      <c r="R1532" s="36"/>
      <c r="S1532" s="36"/>
      <c r="T1532" s="36"/>
      <c r="V1532" s="31"/>
    </row>
    <row r="1533">
      <c r="A1533" s="14"/>
      <c r="B1533" s="460"/>
      <c r="C1533" s="302"/>
      <c r="D1533" s="50"/>
      <c r="E1533" s="348"/>
      <c r="F1533" s="22"/>
      <c r="G1533" s="22"/>
      <c r="H1533" s="22"/>
      <c r="I1533" s="50"/>
      <c r="J1533" s="351"/>
      <c r="K1533" s="448"/>
      <c r="L1533" s="29"/>
      <c r="M1533" s="31"/>
      <c r="N1533" s="14"/>
      <c r="O1533" s="31"/>
      <c r="Q1533" s="36"/>
      <c r="R1533" s="36"/>
      <c r="S1533" s="36"/>
      <c r="T1533" s="36"/>
      <c r="V1533" s="31"/>
    </row>
    <row r="1534">
      <c r="A1534" s="14"/>
      <c r="B1534" s="460"/>
      <c r="C1534" s="302"/>
      <c r="D1534" s="50"/>
      <c r="E1534" s="348"/>
      <c r="F1534" s="22"/>
      <c r="G1534" s="22"/>
      <c r="H1534" s="22"/>
      <c r="I1534" s="50"/>
      <c r="J1534" s="351"/>
      <c r="K1534" s="448"/>
      <c r="L1534" s="29"/>
      <c r="M1534" s="31"/>
      <c r="N1534" s="14"/>
      <c r="O1534" s="31"/>
      <c r="Q1534" s="36"/>
      <c r="R1534" s="36"/>
      <c r="S1534" s="36"/>
      <c r="T1534" s="36"/>
      <c r="V1534" s="31"/>
    </row>
    <row r="1535">
      <c r="A1535" s="14"/>
      <c r="B1535" s="460"/>
      <c r="C1535" s="302"/>
      <c r="D1535" s="50"/>
      <c r="E1535" s="348"/>
      <c r="F1535" s="22"/>
      <c r="G1535" s="22"/>
      <c r="H1535" s="22"/>
      <c r="I1535" s="50"/>
      <c r="J1535" s="351"/>
      <c r="K1535" s="448"/>
      <c r="L1535" s="29"/>
      <c r="M1535" s="31"/>
      <c r="N1535" s="14"/>
      <c r="O1535" s="31"/>
      <c r="Q1535" s="36"/>
      <c r="R1535" s="36"/>
      <c r="S1535" s="36"/>
      <c r="T1535" s="36"/>
      <c r="V1535" s="31"/>
    </row>
    <row r="1536">
      <c r="A1536" s="14"/>
      <c r="B1536" s="460"/>
      <c r="C1536" s="302"/>
      <c r="D1536" s="50"/>
      <c r="E1536" s="348"/>
      <c r="F1536" s="22"/>
      <c r="G1536" s="22"/>
      <c r="H1536" s="22"/>
      <c r="I1536" s="50"/>
      <c r="J1536" s="351"/>
      <c r="K1536" s="448"/>
      <c r="L1536" s="29"/>
      <c r="M1536" s="31"/>
      <c r="N1536" s="14"/>
      <c r="O1536" s="31"/>
      <c r="Q1536" s="36"/>
      <c r="R1536" s="36"/>
      <c r="S1536" s="36"/>
      <c r="T1536" s="36"/>
      <c r="V1536" s="31"/>
    </row>
    <row r="1537">
      <c r="A1537" s="14"/>
      <c r="B1537" s="460"/>
      <c r="C1537" s="302"/>
      <c r="D1537" s="50"/>
      <c r="E1537" s="348"/>
      <c r="F1537" s="22"/>
      <c r="G1537" s="22"/>
      <c r="H1537" s="22"/>
      <c r="I1537" s="50"/>
      <c r="J1537" s="351"/>
      <c r="K1537" s="448"/>
      <c r="L1537" s="29"/>
      <c r="M1537" s="31"/>
      <c r="N1537" s="14"/>
      <c r="O1537" s="31"/>
      <c r="Q1537" s="36"/>
      <c r="R1537" s="36"/>
      <c r="S1537" s="36"/>
      <c r="T1537" s="36"/>
      <c r="V1537" s="31"/>
    </row>
    <row r="1538">
      <c r="A1538" s="14"/>
      <c r="B1538" s="460"/>
      <c r="C1538" s="302"/>
      <c r="D1538" s="50"/>
      <c r="E1538" s="348"/>
      <c r="F1538" s="22"/>
      <c r="G1538" s="22"/>
      <c r="H1538" s="22"/>
      <c r="I1538" s="50"/>
      <c r="J1538" s="351"/>
      <c r="K1538" s="448"/>
      <c r="L1538" s="29"/>
      <c r="M1538" s="31"/>
      <c r="N1538" s="14"/>
      <c r="O1538" s="31"/>
      <c r="Q1538" s="36"/>
      <c r="R1538" s="36"/>
      <c r="S1538" s="36"/>
      <c r="T1538" s="36"/>
      <c r="V1538" s="31"/>
    </row>
    <row r="1539">
      <c r="A1539" s="14"/>
      <c r="B1539" s="460"/>
      <c r="C1539" s="302"/>
      <c r="D1539" s="50"/>
      <c r="E1539" s="348"/>
      <c r="F1539" s="22"/>
      <c r="G1539" s="22"/>
      <c r="H1539" s="22"/>
      <c r="I1539" s="50"/>
      <c r="J1539" s="351"/>
      <c r="K1539" s="448"/>
      <c r="L1539" s="29"/>
      <c r="M1539" s="31"/>
      <c r="N1539" s="14"/>
      <c r="O1539" s="31"/>
      <c r="Q1539" s="36"/>
      <c r="R1539" s="36"/>
      <c r="S1539" s="36"/>
      <c r="T1539" s="36"/>
      <c r="V1539" s="31"/>
    </row>
    <row r="1540">
      <c r="A1540" s="14"/>
      <c r="B1540" s="460"/>
      <c r="C1540" s="302"/>
      <c r="D1540" s="50"/>
      <c r="E1540" s="348"/>
      <c r="F1540" s="22"/>
      <c r="G1540" s="22"/>
      <c r="H1540" s="22"/>
      <c r="I1540" s="50"/>
      <c r="J1540" s="351"/>
      <c r="K1540" s="448"/>
      <c r="L1540" s="29"/>
      <c r="M1540" s="31"/>
      <c r="N1540" s="14"/>
      <c r="O1540" s="31"/>
      <c r="Q1540" s="36"/>
      <c r="R1540" s="36"/>
      <c r="S1540" s="36"/>
      <c r="T1540" s="36"/>
      <c r="V1540" s="31"/>
    </row>
    <row r="1541">
      <c r="A1541" s="14"/>
      <c r="B1541" s="460"/>
      <c r="C1541" s="302"/>
      <c r="D1541" s="50"/>
      <c r="E1541" s="348"/>
      <c r="F1541" s="22"/>
      <c r="G1541" s="22"/>
      <c r="H1541" s="22"/>
      <c r="I1541" s="50"/>
      <c r="J1541" s="351"/>
      <c r="K1541" s="448"/>
      <c r="L1541" s="29"/>
      <c r="M1541" s="31"/>
      <c r="N1541" s="14"/>
      <c r="O1541" s="31"/>
      <c r="Q1541" s="36"/>
      <c r="R1541" s="36"/>
      <c r="S1541" s="36"/>
      <c r="T1541" s="36"/>
      <c r="V1541" s="31"/>
    </row>
    <row r="1542">
      <c r="A1542" s="14"/>
      <c r="B1542" s="460"/>
      <c r="C1542" s="302"/>
      <c r="D1542" s="50"/>
      <c r="E1542" s="348"/>
      <c r="F1542" s="22"/>
      <c r="G1542" s="22"/>
      <c r="H1542" s="22"/>
      <c r="I1542" s="50"/>
      <c r="J1542" s="351"/>
      <c r="K1542" s="448"/>
      <c r="L1542" s="29"/>
      <c r="M1542" s="31"/>
      <c r="N1542" s="14"/>
      <c r="O1542" s="31"/>
      <c r="Q1542" s="36"/>
      <c r="R1542" s="36"/>
      <c r="S1542" s="36"/>
      <c r="T1542" s="36"/>
      <c r="V1542" s="31"/>
    </row>
    <row r="1543">
      <c r="A1543" s="14"/>
      <c r="B1543" s="460"/>
      <c r="C1543" s="302"/>
      <c r="D1543" s="50"/>
      <c r="E1543" s="348"/>
      <c r="F1543" s="22"/>
      <c r="G1543" s="22"/>
      <c r="H1543" s="22"/>
      <c r="I1543" s="50"/>
      <c r="J1543" s="351"/>
      <c r="K1543" s="448"/>
      <c r="L1543" s="29"/>
      <c r="M1543" s="31"/>
      <c r="N1543" s="14"/>
      <c r="O1543" s="31"/>
      <c r="Q1543" s="36"/>
      <c r="R1543" s="36"/>
      <c r="S1543" s="36"/>
      <c r="T1543" s="36"/>
      <c r="V1543" s="31"/>
    </row>
    <row r="1544">
      <c r="A1544" s="14"/>
      <c r="B1544" s="460"/>
      <c r="C1544" s="302"/>
      <c r="D1544" s="50"/>
      <c r="E1544" s="348"/>
      <c r="F1544" s="22"/>
      <c r="G1544" s="22"/>
      <c r="H1544" s="22"/>
      <c r="I1544" s="50"/>
      <c r="J1544" s="351"/>
      <c r="K1544" s="448"/>
      <c r="L1544" s="29"/>
      <c r="M1544" s="31"/>
      <c r="N1544" s="14"/>
      <c r="O1544" s="31"/>
      <c r="Q1544" s="36"/>
      <c r="R1544" s="36"/>
      <c r="S1544" s="36"/>
      <c r="T1544" s="36"/>
      <c r="V1544" s="31"/>
    </row>
    <row r="1545">
      <c r="A1545" s="14"/>
      <c r="B1545" s="460"/>
      <c r="C1545" s="302"/>
      <c r="D1545" s="50"/>
      <c r="E1545" s="348"/>
      <c r="F1545" s="22"/>
      <c r="G1545" s="22"/>
      <c r="H1545" s="22"/>
      <c r="I1545" s="50"/>
      <c r="J1545" s="351"/>
      <c r="K1545" s="448"/>
      <c r="L1545" s="29"/>
      <c r="M1545" s="31"/>
      <c r="N1545" s="14"/>
      <c r="O1545" s="31"/>
      <c r="Q1545" s="36"/>
      <c r="R1545" s="36"/>
      <c r="S1545" s="36"/>
      <c r="T1545" s="36"/>
      <c r="V1545" s="31"/>
    </row>
    <row r="1546">
      <c r="A1546" s="14"/>
      <c r="B1546" s="460"/>
      <c r="C1546" s="302"/>
      <c r="D1546" s="50"/>
      <c r="E1546" s="348"/>
      <c r="F1546" s="22"/>
      <c r="G1546" s="22"/>
      <c r="H1546" s="22"/>
      <c r="I1546" s="50"/>
      <c r="J1546" s="351"/>
      <c r="K1546" s="448"/>
      <c r="L1546" s="29"/>
      <c r="M1546" s="31"/>
      <c r="N1546" s="14"/>
      <c r="O1546" s="31"/>
      <c r="Q1546" s="36"/>
      <c r="R1546" s="36"/>
      <c r="S1546" s="36"/>
      <c r="T1546" s="36"/>
      <c r="V1546" s="31"/>
    </row>
    <row r="1547">
      <c r="A1547" s="14"/>
      <c r="B1547" s="460"/>
      <c r="C1547" s="302"/>
      <c r="D1547" s="50"/>
      <c r="E1547" s="348"/>
      <c r="F1547" s="22"/>
      <c r="G1547" s="22"/>
      <c r="H1547" s="22"/>
      <c r="I1547" s="50"/>
      <c r="J1547" s="351"/>
      <c r="K1547" s="448"/>
      <c r="L1547" s="29"/>
      <c r="M1547" s="31"/>
      <c r="N1547" s="14"/>
      <c r="O1547" s="31"/>
      <c r="Q1547" s="36"/>
      <c r="R1547" s="36"/>
      <c r="S1547" s="36"/>
      <c r="T1547" s="36"/>
      <c r="V1547" s="31"/>
    </row>
    <row r="1548">
      <c r="A1548" s="14"/>
      <c r="B1548" s="460"/>
      <c r="C1548" s="302"/>
      <c r="D1548" s="50"/>
      <c r="E1548" s="348"/>
      <c r="F1548" s="22"/>
      <c r="G1548" s="22"/>
      <c r="H1548" s="22"/>
      <c r="I1548" s="50"/>
      <c r="J1548" s="351"/>
      <c r="K1548" s="448"/>
      <c r="L1548" s="29"/>
      <c r="M1548" s="31"/>
      <c r="N1548" s="14"/>
      <c r="O1548" s="31"/>
      <c r="Q1548" s="36"/>
      <c r="R1548" s="36"/>
      <c r="S1548" s="36"/>
      <c r="T1548" s="36"/>
      <c r="V1548" s="31"/>
    </row>
    <row r="1549">
      <c r="A1549" s="14"/>
      <c r="B1549" s="460"/>
      <c r="C1549" s="302"/>
      <c r="D1549" s="50"/>
      <c r="E1549" s="348"/>
      <c r="F1549" s="22"/>
      <c r="G1549" s="22"/>
      <c r="H1549" s="22"/>
      <c r="I1549" s="50"/>
      <c r="J1549" s="351"/>
      <c r="K1549" s="448"/>
      <c r="L1549" s="29"/>
      <c r="M1549" s="31"/>
      <c r="N1549" s="14"/>
      <c r="O1549" s="31"/>
      <c r="Q1549" s="36"/>
      <c r="R1549" s="36"/>
      <c r="S1549" s="36"/>
      <c r="T1549" s="36"/>
      <c r="V1549" s="31"/>
    </row>
    <row r="1550">
      <c r="A1550" s="14"/>
      <c r="B1550" s="460"/>
      <c r="C1550" s="302"/>
      <c r="D1550" s="50"/>
      <c r="E1550" s="348"/>
      <c r="F1550" s="22"/>
      <c r="G1550" s="22"/>
      <c r="H1550" s="22"/>
      <c r="I1550" s="50"/>
      <c r="J1550" s="351"/>
      <c r="K1550" s="448"/>
      <c r="L1550" s="29"/>
      <c r="M1550" s="31"/>
      <c r="N1550" s="14"/>
      <c r="O1550" s="31"/>
      <c r="Q1550" s="36"/>
      <c r="R1550" s="36"/>
      <c r="S1550" s="36"/>
      <c r="T1550" s="36"/>
      <c r="V1550" s="31"/>
    </row>
    <row r="1551">
      <c r="A1551" s="14"/>
      <c r="B1551" s="460"/>
      <c r="C1551" s="302"/>
      <c r="D1551" s="50"/>
      <c r="E1551" s="348"/>
      <c r="F1551" s="22"/>
      <c r="G1551" s="22"/>
      <c r="H1551" s="22"/>
      <c r="I1551" s="50"/>
      <c r="J1551" s="351"/>
      <c r="K1551" s="448"/>
      <c r="L1551" s="29"/>
      <c r="M1551" s="31"/>
      <c r="N1551" s="14"/>
      <c r="O1551" s="31"/>
      <c r="Q1551" s="36"/>
      <c r="R1551" s="36"/>
      <c r="S1551" s="36"/>
      <c r="T1551" s="36"/>
      <c r="V1551" s="31"/>
    </row>
    <row r="1552">
      <c r="A1552" s="14"/>
      <c r="B1552" s="460"/>
      <c r="C1552" s="302"/>
      <c r="D1552" s="50"/>
      <c r="E1552" s="348"/>
      <c r="F1552" s="22"/>
      <c r="G1552" s="22"/>
      <c r="H1552" s="22"/>
      <c r="I1552" s="50"/>
      <c r="J1552" s="351"/>
      <c r="K1552" s="448"/>
      <c r="L1552" s="29"/>
      <c r="M1552" s="31"/>
      <c r="N1552" s="14"/>
      <c r="O1552" s="31"/>
      <c r="Q1552" s="36"/>
      <c r="R1552" s="36"/>
      <c r="S1552" s="36"/>
      <c r="T1552" s="36"/>
      <c r="V1552" s="31"/>
    </row>
    <row r="1553">
      <c r="A1553" s="14"/>
      <c r="B1553" s="460"/>
      <c r="C1553" s="302"/>
      <c r="D1553" s="50"/>
      <c r="E1553" s="348"/>
      <c r="F1553" s="22"/>
      <c r="G1553" s="22"/>
      <c r="H1553" s="22"/>
      <c r="I1553" s="50"/>
      <c r="J1553" s="351"/>
      <c r="K1553" s="448"/>
      <c r="L1553" s="29"/>
      <c r="M1553" s="31"/>
      <c r="N1553" s="14"/>
      <c r="O1553" s="31"/>
      <c r="Q1553" s="36"/>
      <c r="R1553" s="36"/>
      <c r="S1553" s="36"/>
      <c r="T1553" s="36"/>
      <c r="V1553" s="31"/>
    </row>
    <row r="1554">
      <c r="A1554" s="14"/>
      <c r="B1554" s="460"/>
      <c r="C1554" s="302"/>
      <c r="D1554" s="50"/>
      <c r="E1554" s="348"/>
      <c r="F1554" s="22"/>
      <c r="G1554" s="22"/>
      <c r="H1554" s="22"/>
      <c r="I1554" s="50"/>
      <c r="J1554" s="351"/>
      <c r="K1554" s="448"/>
      <c r="L1554" s="29"/>
      <c r="M1554" s="31"/>
      <c r="N1554" s="14"/>
      <c r="O1554" s="31"/>
      <c r="Q1554" s="36"/>
      <c r="R1554" s="36"/>
      <c r="S1554" s="36"/>
      <c r="T1554" s="36"/>
      <c r="V1554" s="31"/>
    </row>
    <row r="1555">
      <c r="A1555" s="14"/>
      <c r="B1555" s="460"/>
      <c r="C1555" s="302"/>
      <c r="D1555" s="50"/>
      <c r="E1555" s="348"/>
      <c r="F1555" s="22"/>
      <c r="G1555" s="22"/>
      <c r="H1555" s="22"/>
      <c r="I1555" s="50"/>
      <c r="J1555" s="351"/>
      <c r="K1555" s="448"/>
      <c r="L1555" s="29"/>
      <c r="M1555" s="31"/>
      <c r="N1555" s="14"/>
      <c r="O1555" s="31"/>
      <c r="Q1555" s="36"/>
      <c r="R1555" s="36"/>
      <c r="S1555" s="36"/>
      <c r="T1555" s="36"/>
      <c r="V1555" s="31"/>
    </row>
    <row r="1556">
      <c r="A1556" s="14"/>
      <c r="B1556" s="460"/>
      <c r="C1556" s="302"/>
      <c r="D1556" s="50"/>
      <c r="E1556" s="348"/>
      <c r="F1556" s="22"/>
      <c r="G1556" s="22"/>
      <c r="H1556" s="22"/>
      <c r="I1556" s="50"/>
      <c r="J1556" s="351"/>
      <c r="K1556" s="448"/>
      <c r="L1556" s="29"/>
      <c r="M1556" s="31"/>
      <c r="N1556" s="14"/>
      <c r="O1556" s="31"/>
      <c r="Q1556" s="36"/>
      <c r="R1556" s="36"/>
      <c r="S1556" s="36"/>
      <c r="T1556" s="36"/>
      <c r="V1556" s="31"/>
    </row>
    <row r="1557">
      <c r="A1557" s="14"/>
      <c r="B1557" s="460"/>
      <c r="C1557" s="302"/>
      <c r="D1557" s="50"/>
      <c r="E1557" s="348"/>
      <c r="F1557" s="22"/>
      <c r="G1557" s="22"/>
      <c r="H1557" s="22"/>
      <c r="I1557" s="50"/>
      <c r="J1557" s="351"/>
      <c r="K1557" s="448"/>
      <c r="L1557" s="29"/>
      <c r="M1557" s="31"/>
      <c r="N1557" s="14"/>
      <c r="O1557" s="31"/>
      <c r="Q1557" s="36"/>
      <c r="R1557" s="36"/>
      <c r="S1557" s="36"/>
      <c r="T1557" s="36"/>
      <c r="V1557" s="31"/>
    </row>
    <row r="1558">
      <c r="A1558" s="14"/>
      <c r="B1558" s="460"/>
      <c r="C1558" s="302"/>
      <c r="D1558" s="50"/>
      <c r="E1558" s="348"/>
      <c r="F1558" s="22"/>
      <c r="G1558" s="22"/>
      <c r="H1558" s="22"/>
      <c r="I1558" s="50"/>
      <c r="J1558" s="351"/>
      <c r="K1558" s="448"/>
      <c r="L1558" s="29"/>
      <c r="M1558" s="31"/>
      <c r="N1558" s="14"/>
      <c r="O1558" s="31"/>
      <c r="Q1558" s="36"/>
      <c r="R1558" s="36"/>
      <c r="S1558" s="36"/>
      <c r="T1558" s="36"/>
      <c r="V1558" s="31"/>
    </row>
    <row r="1559">
      <c r="A1559" s="14"/>
      <c r="B1559" s="460"/>
      <c r="C1559" s="302"/>
      <c r="D1559" s="50"/>
      <c r="E1559" s="348"/>
      <c r="F1559" s="22"/>
      <c r="G1559" s="22"/>
      <c r="H1559" s="22"/>
      <c r="I1559" s="50"/>
      <c r="J1559" s="351"/>
      <c r="K1559" s="448"/>
      <c r="L1559" s="29"/>
      <c r="M1559" s="31"/>
      <c r="N1559" s="14"/>
      <c r="O1559" s="31"/>
      <c r="Q1559" s="36"/>
      <c r="R1559" s="36"/>
      <c r="S1559" s="36"/>
      <c r="T1559" s="36"/>
      <c r="V1559" s="31"/>
    </row>
    <row r="1560">
      <c r="A1560" s="14"/>
      <c r="B1560" s="460"/>
      <c r="C1560" s="302"/>
      <c r="D1560" s="50"/>
      <c r="E1560" s="348"/>
      <c r="F1560" s="22"/>
      <c r="G1560" s="22"/>
      <c r="H1560" s="22"/>
      <c r="I1560" s="50"/>
      <c r="J1560" s="351"/>
      <c r="K1560" s="448"/>
      <c r="L1560" s="29"/>
      <c r="M1560" s="31"/>
      <c r="N1560" s="14"/>
      <c r="O1560" s="31"/>
      <c r="Q1560" s="36"/>
      <c r="R1560" s="36"/>
      <c r="S1560" s="36"/>
      <c r="T1560" s="36"/>
      <c r="V1560" s="31"/>
    </row>
    <row r="1561">
      <c r="A1561" s="14"/>
      <c r="B1561" s="460"/>
      <c r="C1561" s="302"/>
      <c r="D1561" s="50"/>
      <c r="E1561" s="348"/>
      <c r="F1561" s="22"/>
      <c r="G1561" s="22"/>
      <c r="H1561" s="22"/>
      <c r="I1561" s="50"/>
      <c r="J1561" s="351"/>
      <c r="K1561" s="448"/>
      <c r="L1561" s="29"/>
      <c r="M1561" s="31"/>
      <c r="N1561" s="14"/>
      <c r="O1561" s="31"/>
      <c r="Q1561" s="36"/>
      <c r="R1561" s="36"/>
      <c r="S1561" s="36"/>
      <c r="T1561" s="36"/>
      <c r="V1561" s="31"/>
    </row>
    <row r="1562">
      <c r="A1562" s="14"/>
      <c r="B1562" s="460"/>
      <c r="C1562" s="302"/>
      <c r="D1562" s="50"/>
      <c r="E1562" s="348"/>
      <c r="F1562" s="22"/>
      <c r="G1562" s="22"/>
      <c r="H1562" s="22"/>
      <c r="I1562" s="50"/>
      <c r="J1562" s="351"/>
      <c r="K1562" s="448"/>
      <c r="L1562" s="29"/>
      <c r="M1562" s="31"/>
      <c r="N1562" s="14"/>
      <c r="O1562" s="31"/>
      <c r="Q1562" s="36"/>
      <c r="R1562" s="36"/>
      <c r="S1562" s="36"/>
      <c r="T1562" s="36"/>
      <c r="V1562" s="31"/>
    </row>
    <row r="1563">
      <c r="A1563" s="14"/>
      <c r="B1563" s="460"/>
      <c r="C1563" s="302"/>
      <c r="D1563" s="50"/>
      <c r="E1563" s="348"/>
      <c r="F1563" s="22"/>
      <c r="G1563" s="22"/>
      <c r="H1563" s="22"/>
      <c r="I1563" s="50"/>
      <c r="J1563" s="351"/>
      <c r="K1563" s="448"/>
      <c r="L1563" s="29"/>
      <c r="M1563" s="31"/>
      <c r="N1563" s="14"/>
      <c r="O1563" s="31"/>
      <c r="Q1563" s="36"/>
      <c r="R1563" s="36"/>
      <c r="S1563" s="36"/>
      <c r="T1563" s="36"/>
      <c r="V1563" s="31"/>
    </row>
    <row r="1564">
      <c r="A1564" s="14"/>
      <c r="B1564" s="460"/>
      <c r="C1564" s="302"/>
      <c r="D1564" s="50"/>
      <c r="E1564" s="348"/>
      <c r="F1564" s="22"/>
      <c r="G1564" s="22"/>
      <c r="H1564" s="22"/>
      <c r="I1564" s="50"/>
      <c r="J1564" s="351"/>
      <c r="K1564" s="448"/>
      <c r="L1564" s="29"/>
      <c r="M1564" s="31"/>
      <c r="N1564" s="14"/>
      <c r="O1564" s="31"/>
      <c r="Q1564" s="36"/>
      <c r="R1564" s="36"/>
      <c r="S1564" s="36"/>
      <c r="T1564" s="36"/>
      <c r="V1564" s="31"/>
    </row>
    <row r="1565">
      <c r="A1565" s="14"/>
      <c r="B1565" s="460"/>
      <c r="C1565" s="302"/>
      <c r="D1565" s="50"/>
      <c r="E1565" s="348"/>
      <c r="F1565" s="22"/>
      <c r="G1565" s="22"/>
      <c r="H1565" s="22"/>
      <c r="I1565" s="50"/>
      <c r="J1565" s="351"/>
      <c r="K1565" s="448"/>
      <c r="L1565" s="29"/>
      <c r="M1565" s="31"/>
      <c r="N1565" s="14"/>
      <c r="O1565" s="31"/>
      <c r="Q1565" s="36"/>
      <c r="R1565" s="36"/>
      <c r="S1565" s="36"/>
      <c r="T1565" s="36"/>
      <c r="V1565" s="31"/>
    </row>
    <row r="1566">
      <c r="A1566" s="14"/>
      <c r="B1566" s="460"/>
      <c r="C1566" s="302"/>
      <c r="D1566" s="50"/>
      <c r="E1566" s="348"/>
      <c r="F1566" s="22"/>
      <c r="G1566" s="22"/>
      <c r="H1566" s="22"/>
      <c r="I1566" s="50"/>
      <c r="J1566" s="351"/>
      <c r="K1566" s="448"/>
      <c r="L1566" s="29"/>
      <c r="M1566" s="31"/>
      <c r="N1566" s="14"/>
      <c r="O1566" s="31"/>
      <c r="Q1566" s="36"/>
      <c r="R1566" s="36"/>
      <c r="S1566" s="36"/>
      <c r="T1566" s="36"/>
      <c r="V1566" s="31"/>
    </row>
    <row r="1567">
      <c r="A1567" s="14"/>
      <c r="B1567" s="460"/>
      <c r="C1567" s="302"/>
      <c r="D1567" s="50"/>
      <c r="E1567" s="348"/>
      <c r="F1567" s="22"/>
      <c r="G1567" s="22"/>
      <c r="H1567" s="22"/>
      <c r="I1567" s="50"/>
      <c r="J1567" s="351"/>
      <c r="K1567" s="448"/>
      <c r="L1567" s="29"/>
      <c r="M1567" s="31"/>
      <c r="N1567" s="14"/>
      <c r="O1567" s="31"/>
      <c r="Q1567" s="36"/>
      <c r="R1567" s="36"/>
      <c r="S1567" s="36"/>
      <c r="T1567" s="36"/>
      <c r="V1567" s="31"/>
    </row>
    <row r="1568">
      <c r="A1568" s="14"/>
      <c r="B1568" s="460"/>
      <c r="C1568" s="302"/>
      <c r="D1568" s="50"/>
      <c r="E1568" s="348"/>
      <c r="F1568" s="22"/>
      <c r="G1568" s="22"/>
      <c r="H1568" s="22"/>
      <c r="I1568" s="50"/>
      <c r="J1568" s="351"/>
      <c r="K1568" s="448"/>
      <c r="L1568" s="29"/>
      <c r="M1568" s="31"/>
      <c r="N1568" s="14"/>
      <c r="O1568" s="31"/>
      <c r="Q1568" s="36"/>
      <c r="R1568" s="36"/>
      <c r="S1568" s="36"/>
      <c r="T1568" s="36"/>
      <c r="V1568" s="31"/>
    </row>
    <row r="1569">
      <c r="A1569" s="14"/>
      <c r="B1569" s="460"/>
      <c r="C1569" s="302"/>
      <c r="D1569" s="50"/>
      <c r="E1569" s="348"/>
      <c r="F1569" s="22"/>
      <c r="G1569" s="22"/>
      <c r="H1569" s="22"/>
      <c r="I1569" s="50"/>
      <c r="J1569" s="351"/>
      <c r="K1569" s="448"/>
      <c r="L1569" s="29"/>
      <c r="M1569" s="31"/>
      <c r="N1569" s="14"/>
      <c r="O1569" s="31"/>
      <c r="Q1569" s="36"/>
      <c r="R1569" s="36"/>
      <c r="S1569" s="36"/>
      <c r="T1569" s="36"/>
      <c r="V1569" s="31"/>
    </row>
    <row r="1570">
      <c r="A1570" s="14"/>
      <c r="B1570" s="460"/>
      <c r="C1570" s="302"/>
      <c r="D1570" s="50"/>
      <c r="E1570" s="348"/>
      <c r="F1570" s="22"/>
      <c r="G1570" s="22"/>
      <c r="H1570" s="22"/>
      <c r="I1570" s="50"/>
      <c r="J1570" s="351"/>
      <c r="K1570" s="448"/>
      <c r="L1570" s="29"/>
      <c r="M1570" s="31"/>
      <c r="N1570" s="14"/>
      <c r="O1570" s="31"/>
      <c r="Q1570" s="36"/>
      <c r="R1570" s="36"/>
      <c r="S1570" s="36"/>
      <c r="T1570" s="36"/>
      <c r="V1570" s="31"/>
    </row>
    <row r="1571">
      <c r="A1571" s="14"/>
      <c r="B1571" s="460"/>
      <c r="C1571" s="302"/>
      <c r="D1571" s="50"/>
      <c r="E1571" s="348"/>
      <c r="F1571" s="22"/>
      <c r="G1571" s="22"/>
      <c r="H1571" s="22"/>
      <c r="I1571" s="50"/>
      <c r="J1571" s="351"/>
      <c r="K1571" s="448"/>
      <c r="L1571" s="29"/>
      <c r="M1571" s="31"/>
      <c r="N1571" s="14"/>
      <c r="O1571" s="31"/>
      <c r="Q1571" s="36"/>
      <c r="R1571" s="36"/>
      <c r="S1571" s="36"/>
      <c r="T1571" s="36"/>
      <c r="V1571" s="31"/>
    </row>
    <row r="1572">
      <c r="A1572" s="14"/>
      <c r="B1572" s="460"/>
      <c r="C1572" s="302"/>
      <c r="D1572" s="50"/>
      <c r="E1572" s="348"/>
      <c r="F1572" s="22"/>
      <c r="G1572" s="22"/>
      <c r="H1572" s="22"/>
      <c r="I1572" s="50"/>
      <c r="J1572" s="351"/>
      <c r="K1572" s="448"/>
      <c r="L1572" s="29"/>
      <c r="M1572" s="31"/>
      <c r="N1572" s="14"/>
      <c r="O1572" s="31"/>
      <c r="Q1572" s="36"/>
      <c r="R1572" s="36"/>
      <c r="S1572" s="36"/>
      <c r="T1572" s="36"/>
      <c r="V1572" s="31"/>
    </row>
    <row r="1573">
      <c r="A1573" s="14"/>
      <c r="B1573" s="460"/>
      <c r="C1573" s="302"/>
      <c r="D1573" s="50"/>
      <c r="E1573" s="348"/>
      <c r="F1573" s="22"/>
      <c r="G1573" s="22"/>
      <c r="H1573" s="22"/>
      <c r="I1573" s="50"/>
      <c r="J1573" s="351"/>
      <c r="K1573" s="448"/>
      <c r="L1573" s="29"/>
      <c r="M1573" s="31"/>
      <c r="N1573" s="14"/>
      <c r="O1573" s="31"/>
      <c r="Q1573" s="36"/>
      <c r="R1573" s="36"/>
      <c r="S1573" s="36"/>
      <c r="T1573" s="36"/>
      <c r="V1573" s="31"/>
    </row>
    <row r="1574">
      <c r="A1574" s="14"/>
      <c r="B1574" s="460"/>
      <c r="C1574" s="302"/>
      <c r="D1574" s="50"/>
      <c r="E1574" s="348"/>
      <c r="F1574" s="22"/>
      <c r="G1574" s="22"/>
      <c r="H1574" s="22"/>
      <c r="I1574" s="50"/>
      <c r="J1574" s="351"/>
      <c r="K1574" s="448"/>
      <c r="L1574" s="29"/>
      <c r="M1574" s="31"/>
      <c r="N1574" s="14"/>
      <c r="O1574" s="31"/>
      <c r="Q1574" s="36"/>
      <c r="R1574" s="36"/>
      <c r="S1574" s="36"/>
      <c r="T1574" s="36"/>
      <c r="V1574" s="31"/>
    </row>
    <row r="1575">
      <c r="A1575" s="14"/>
      <c r="B1575" s="460"/>
      <c r="C1575" s="302"/>
      <c r="D1575" s="50"/>
      <c r="E1575" s="348"/>
      <c r="F1575" s="22"/>
      <c r="G1575" s="22"/>
      <c r="H1575" s="22"/>
      <c r="I1575" s="50"/>
      <c r="J1575" s="351"/>
      <c r="K1575" s="448"/>
      <c r="L1575" s="29"/>
      <c r="M1575" s="31"/>
      <c r="N1575" s="14"/>
      <c r="O1575" s="31"/>
      <c r="Q1575" s="36"/>
      <c r="R1575" s="36"/>
      <c r="S1575" s="36"/>
      <c r="T1575" s="36"/>
      <c r="V1575" s="31"/>
    </row>
    <row r="1576">
      <c r="A1576" s="14"/>
      <c r="B1576" s="460"/>
      <c r="C1576" s="302"/>
      <c r="D1576" s="50"/>
      <c r="E1576" s="348"/>
      <c r="F1576" s="22"/>
      <c r="G1576" s="22"/>
      <c r="H1576" s="22"/>
      <c r="I1576" s="50"/>
      <c r="J1576" s="351"/>
      <c r="K1576" s="448"/>
      <c r="L1576" s="29"/>
      <c r="M1576" s="31"/>
      <c r="N1576" s="14"/>
      <c r="O1576" s="31"/>
      <c r="Q1576" s="36"/>
      <c r="R1576" s="36"/>
      <c r="S1576" s="36"/>
      <c r="T1576" s="36"/>
      <c r="V1576" s="31"/>
    </row>
    <row r="1577">
      <c r="A1577" s="14"/>
      <c r="B1577" s="460"/>
      <c r="C1577" s="302"/>
      <c r="D1577" s="50"/>
      <c r="E1577" s="348"/>
      <c r="F1577" s="22"/>
      <c r="G1577" s="22"/>
      <c r="H1577" s="22"/>
      <c r="I1577" s="50"/>
      <c r="J1577" s="351"/>
      <c r="K1577" s="448"/>
      <c r="L1577" s="29"/>
      <c r="M1577" s="31"/>
      <c r="N1577" s="14"/>
      <c r="O1577" s="31"/>
      <c r="Q1577" s="36"/>
      <c r="R1577" s="36"/>
      <c r="S1577" s="36"/>
      <c r="T1577" s="36"/>
      <c r="V1577" s="31"/>
    </row>
    <row r="1578">
      <c r="A1578" s="14"/>
      <c r="B1578" s="460"/>
      <c r="C1578" s="302"/>
      <c r="D1578" s="50"/>
      <c r="E1578" s="348"/>
      <c r="F1578" s="22"/>
      <c r="G1578" s="22"/>
      <c r="H1578" s="22"/>
      <c r="I1578" s="50"/>
      <c r="J1578" s="351"/>
      <c r="K1578" s="448"/>
      <c r="L1578" s="29"/>
      <c r="M1578" s="31"/>
      <c r="N1578" s="14"/>
      <c r="O1578" s="31"/>
      <c r="Q1578" s="36"/>
      <c r="R1578" s="36"/>
      <c r="S1578" s="36"/>
      <c r="T1578" s="36"/>
      <c r="V1578" s="31"/>
    </row>
    <row r="1579">
      <c r="A1579" s="14"/>
      <c r="B1579" s="460"/>
      <c r="C1579" s="302"/>
      <c r="D1579" s="50"/>
      <c r="E1579" s="348"/>
      <c r="F1579" s="22"/>
      <c r="G1579" s="22"/>
      <c r="H1579" s="22"/>
      <c r="I1579" s="50"/>
      <c r="J1579" s="351"/>
      <c r="K1579" s="448"/>
      <c r="L1579" s="29"/>
      <c r="M1579" s="31"/>
      <c r="N1579" s="14"/>
      <c r="O1579" s="31"/>
      <c r="Q1579" s="36"/>
      <c r="R1579" s="36"/>
      <c r="S1579" s="36"/>
      <c r="T1579" s="36"/>
      <c r="V1579" s="31"/>
    </row>
    <row r="1580">
      <c r="A1580" s="14"/>
      <c r="B1580" s="460"/>
      <c r="C1580" s="302"/>
      <c r="D1580" s="50"/>
      <c r="E1580" s="348"/>
      <c r="F1580" s="22"/>
      <c r="G1580" s="22"/>
      <c r="H1580" s="22"/>
      <c r="I1580" s="50"/>
      <c r="J1580" s="351"/>
      <c r="K1580" s="448"/>
      <c r="L1580" s="29"/>
      <c r="M1580" s="31"/>
      <c r="N1580" s="14"/>
      <c r="O1580" s="31"/>
      <c r="Q1580" s="36"/>
      <c r="R1580" s="36"/>
      <c r="S1580" s="36"/>
      <c r="T1580" s="36"/>
      <c r="V1580" s="31"/>
    </row>
    <row r="1581">
      <c r="A1581" s="14"/>
      <c r="B1581" s="460"/>
      <c r="C1581" s="302"/>
      <c r="D1581" s="50"/>
      <c r="E1581" s="348"/>
      <c r="F1581" s="22"/>
      <c r="G1581" s="22"/>
      <c r="H1581" s="22"/>
      <c r="I1581" s="50"/>
      <c r="J1581" s="351"/>
      <c r="K1581" s="448"/>
      <c r="L1581" s="29"/>
      <c r="M1581" s="31"/>
      <c r="N1581" s="14"/>
      <c r="O1581" s="31"/>
      <c r="Q1581" s="36"/>
      <c r="R1581" s="36"/>
      <c r="S1581" s="36"/>
      <c r="T1581" s="36"/>
      <c r="V1581" s="31"/>
    </row>
    <row r="1582">
      <c r="A1582" s="14"/>
      <c r="B1582" s="460"/>
      <c r="C1582" s="302"/>
      <c r="D1582" s="50"/>
      <c r="E1582" s="348"/>
      <c r="F1582" s="22"/>
      <c r="G1582" s="22"/>
      <c r="H1582" s="22"/>
      <c r="I1582" s="50"/>
      <c r="J1582" s="351"/>
      <c r="K1582" s="448"/>
      <c r="L1582" s="29"/>
      <c r="M1582" s="31"/>
      <c r="N1582" s="14"/>
      <c r="O1582" s="31"/>
      <c r="Q1582" s="36"/>
      <c r="R1582" s="36"/>
      <c r="S1582" s="36"/>
      <c r="T1582" s="36"/>
      <c r="V1582" s="31"/>
    </row>
    <row r="1583">
      <c r="A1583" s="14"/>
      <c r="B1583" s="460"/>
      <c r="C1583" s="302"/>
      <c r="D1583" s="50"/>
      <c r="E1583" s="348"/>
      <c r="F1583" s="22"/>
      <c r="G1583" s="22"/>
      <c r="H1583" s="22"/>
      <c r="I1583" s="50"/>
      <c r="J1583" s="351"/>
      <c r="K1583" s="448"/>
      <c r="L1583" s="29"/>
      <c r="M1583" s="31"/>
      <c r="N1583" s="14"/>
      <c r="O1583" s="31"/>
      <c r="Q1583" s="36"/>
      <c r="R1583" s="36"/>
      <c r="S1583" s="36"/>
      <c r="T1583" s="36"/>
      <c r="V1583" s="31"/>
    </row>
    <row r="1584">
      <c r="A1584" s="14"/>
      <c r="B1584" s="460"/>
      <c r="C1584" s="302"/>
      <c r="D1584" s="50"/>
      <c r="E1584" s="348"/>
      <c r="F1584" s="22"/>
      <c r="G1584" s="22"/>
      <c r="H1584" s="22"/>
      <c r="I1584" s="50"/>
      <c r="J1584" s="351"/>
      <c r="K1584" s="448"/>
      <c r="L1584" s="29"/>
      <c r="M1584" s="31"/>
      <c r="N1584" s="14"/>
      <c r="O1584" s="31"/>
      <c r="Q1584" s="36"/>
      <c r="R1584" s="36"/>
      <c r="S1584" s="36"/>
      <c r="T1584" s="36"/>
      <c r="V1584" s="31"/>
    </row>
    <row r="1585">
      <c r="A1585" s="14"/>
      <c r="B1585" s="460"/>
      <c r="C1585" s="302"/>
      <c r="D1585" s="50"/>
      <c r="E1585" s="348"/>
      <c r="F1585" s="22"/>
      <c r="G1585" s="22"/>
      <c r="H1585" s="22"/>
      <c r="I1585" s="50"/>
      <c r="J1585" s="351"/>
      <c r="K1585" s="448"/>
      <c r="L1585" s="29"/>
      <c r="M1585" s="31"/>
      <c r="N1585" s="14"/>
      <c r="O1585" s="31"/>
      <c r="Q1585" s="36"/>
      <c r="R1585" s="36"/>
      <c r="S1585" s="36"/>
      <c r="T1585" s="36"/>
      <c r="V1585" s="31"/>
    </row>
    <row r="1586">
      <c r="A1586" s="14"/>
      <c r="B1586" s="460"/>
      <c r="C1586" s="302"/>
      <c r="D1586" s="50"/>
      <c r="E1586" s="348"/>
      <c r="F1586" s="22"/>
      <c r="G1586" s="22"/>
      <c r="H1586" s="22"/>
      <c r="I1586" s="50"/>
      <c r="J1586" s="351"/>
      <c r="K1586" s="448"/>
      <c r="L1586" s="29"/>
      <c r="M1586" s="31"/>
      <c r="N1586" s="14"/>
      <c r="O1586" s="31"/>
      <c r="Q1586" s="36"/>
      <c r="R1586" s="36"/>
      <c r="S1586" s="36"/>
      <c r="T1586" s="36"/>
      <c r="V1586" s="31"/>
    </row>
    <row r="1587">
      <c r="A1587" s="14"/>
      <c r="B1587" s="460"/>
      <c r="C1587" s="302"/>
      <c r="D1587" s="50"/>
      <c r="E1587" s="348"/>
      <c r="F1587" s="22"/>
      <c r="G1587" s="22"/>
      <c r="H1587" s="22"/>
      <c r="I1587" s="50"/>
      <c r="J1587" s="351"/>
      <c r="K1587" s="448"/>
      <c r="L1587" s="29"/>
      <c r="M1587" s="31"/>
      <c r="N1587" s="14"/>
      <c r="O1587" s="31"/>
      <c r="Q1587" s="36"/>
      <c r="R1587" s="36"/>
      <c r="S1587" s="36"/>
      <c r="T1587" s="36"/>
      <c r="V1587" s="31"/>
    </row>
    <row r="1588">
      <c r="A1588" s="14"/>
      <c r="B1588" s="460"/>
      <c r="C1588" s="302"/>
      <c r="D1588" s="50"/>
      <c r="E1588" s="348"/>
      <c r="F1588" s="22"/>
      <c r="G1588" s="22"/>
      <c r="H1588" s="22"/>
      <c r="I1588" s="50"/>
      <c r="J1588" s="351"/>
      <c r="K1588" s="448"/>
      <c r="L1588" s="29"/>
      <c r="M1588" s="31"/>
      <c r="N1588" s="14"/>
      <c r="O1588" s="31"/>
      <c r="Q1588" s="36"/>
      <c r="R1588" s="36"/>
      <c r="S1588" s="36"/>
      <c r="T1588" s="36"/>
      <c r="V1588" s="31"/>
    </row>
    <row r="1589">
      <c r="A1589" s="14"/>
      <c r="B1589" s="460"/>
      <c r="C1589" s="302"/>
      <c r="D1589" s="50"/>
      <c r="E1589" s="348"/>
      <c r="F1589" s="22"/>
      <c r="G1589" s="22"/>
      <c r="H1589" s="22"/>
      <c r="I1589" s="50"/>
      <c r="J1589" s="351"/>
      <c r="K1589" s="448"/>
      <c r="L1589" s="29"/>
      <c r="M1589" s="31"/>
      <c r="N1589" s="14"/>
      <c r="O1589" s="31"/>
      <c r="Q1589" s="36"/>
      <c r="R1589" s="36"/>
      <c r="S1589" s="36"/>
      <c r="T1589" s="36"/>
      <c r="V1589" s="31"/>
    </row>
    <row r="1590">
      <c r="A1590" s="14"/>
      <c r="B1590" s="460"/>
      <c r="C1590" s="302"/>
      <c r="D1590" s="50"/>
      <c r="E1590" s="348"/>
      <c r="F1590" s="22"/>
      <c r="G1590" s="22"/>
      <c r="H1590" s="22"/>
      <c r="I1590" s="50"/>
      <c r="J1590" s="351"/>
      <c r="K1590" s="448"/>
      <c r="L1590" s="29"/>
      <c r="M1590" s="31"/>
      <c r="N1590" s="14"/>
      <c r="O1590" s="31"/>
      <c r="Q1590" s="36"/>
      <c r="R1590" s="36"/>
      <c r="S1590" s="36"/>
      <c r="T1590" s="36"/>
      <c r="V1590" s="31"/>
    </row>
    <row r="1591">
      <c r="A1591" s="14"/>
      <c r="B1591" s="460"/>
      <c r="C1591" s="302"/>
      <c r="D1591" s="50"/>
      <c r="E1591" s="348"/>
      <c r="F1591" s="22"/>
      <c r="G1591" s="22"/>
      <c r="H1591" s="22"/>
      <c r="I1591" s="50"/>
      <c r="J1591" s="351"/>
      <c r="K1591" s="448"/>
      <c r="L1591" s="29"/>
      <c r="M1591" s="31"/>
      <c r="N1591" s="14"/>
      <c r="O1591" s="31"/>
      <c r="Q1591" s="36"/>
      <c r="R1591" s="36"/>
      <c r="S1591" s="36"/>
      <c r="T1591" s="36"/>
      <c r="V1591" s="31"/>
    </row>
    <row r="1592">
      <c r="A1592" s="14"/>
      <c r="B1592" s="460"/>
      <c r="C1592" s="302"/>
      <c r="D1592" s="50"/>
      <c r="E1592" s="348"/>
      <c r="F1592" s="22"/>
      <c r="G1592" s="22"/>
      <c r="H1592" s="22"/>
      <c r="I1592" s="50"/>
      <c r="J1592" s="351"/>
      <c r="K1592" s="448"/>
      <c r="L1592" s="29"/>
      <c r="M1592" s="31"/>
      <c r="N1592" s="14"/>
      <c r="O1592" s="31"/>
      <c r="Q1592" s="36"/>
      <c r="R1592" s="36"/>
      <c r="S1592" s="36"/>
      <c r="T1592" s="36"/>
      <c r="V1592" s="31"/>
    </row>
    <row r="1593">
      <c r="A1593" s="14"/>
      <c r="B1593" s="460"/>
      <c r="C1593" s="302"/>
      <c r="D1593" s="50"/>
      <c r="E1593" s="348"/>
      <c r="F1593" s="22"/>
      <c r="G1593" s="22"/>
      <c r="H1593" s="22"/>
      <c r="I1593" s="50"/>
      <c r="J1593" s="351"/>
      <c r="K1593" s="448"/>
      <c r="L1593" s="29"/>
      <c r="M1593" s="31"/>
      <c r="N1593" s="14"/>
      <c r="O1593" s="31"/>
      <c r="Q1593" s="36"/>
      <c r="R1593" s="36"/>
      <c r="S1593" s="36"/>
      <c r="T1593" s="36"/>
      <c r="V1593" s="31"/>
    </row>
    <row r="1594">
      <c r="A1594" s="14"/>
      <c r="B1594" s="460"/>
      <c r="C1594" s="302"/>
      <c r="D1594" s="50"/>
      <c r="E1594" s="348"/>
      <c r="F1594" s="22"/>
      <c r="G1594" s="22"/>
      <c r="H1594" s="22"/>
      <c r="I1594" s="50"/>
      <c r="J1594" s="351"/>
      <c r="K1594" s="448"/>
      <c r="L1594" s="29"/>
      <c r="M1594" s="31"/>
      <c r="N1594" s="14"/>
      <c r="O1594" s="31"/>
      <c r="Q1594" s="36"/>
      <c r="R1594" s="36"/>
      <c r="S1594" s="36"/>
      <c r="T1594" s="36"/>
      <c r="V1594" s="31"/>
    </row>
    <row r="1595">
      <c r="A1595" s="14"/>
      <c r="B1595" s="460"/>
      <c r="C1595" s="302"/>
      <c r="D1595" s="50"/>
      <c r="E1595" s="348"/>
      <c r="F1595" s="22"/>
      <c r="G1595" s="22"/>
      <c r="H1595" s="22"/>
      <c r="I1595" s="50"/>
      <c r="J1595" s="351"/>
      <c r="K1595" s="448"/>
      <c r="L1595" s="29"/>
      <c r="M1595" s="31"/>
      <c r="N1595" s="14"/>
      <c r="O1595" s="31"/>
      <c r="Q1595" s="36"/>
      <c r="R1595" s="36"/>
      <c r="S1595" s="36"/>
      <c r="T1595" s="36"/>
      <c r="V1595" s="31"/>
    </row>
    <row r="1596">
      <c r="A1596" s="14"/>
      <c r="B1596" s="460"/>
      <c r="C1596" s="302"/>
      <c r="D1596" s="50"/>
      <c r="E1596" s="348"/>
      <c r="F1596" s="22"/>
      <c r="G1596" s="22"/>
      <c r="H1596" s="22"/>
      <c r="I1596" s="50"/>
      <c r="J1596" s="351"/>
      <c r="K1596" s="448"/>
      <c r="L1596" s="29"/>
      <c r="M1596" s="31"/>
      <c r="N1596" s="14"/>
      <c r="O1596" s="31"/>
      <c r="Q1596" s="36"/>
      <c r="R1596" s="36"/>
      <c r="S1596" s="36"/>
      <c r="T1596" s="36"/>
      <c r="V1596" s="31"/>
    </row>
    <row r="1597">
      <c r="A1597" s="14"/>
      <c r="B1597" s="460"/>
      <c r="C1597" s="302"/>
      <c r="D1597" s="50"/>
      <c r="E1597" s="348"/>
      <c r="F1597" s="22"/>
      <c r="G1597" s="22"/>
      <c r="H1597" s="22"/>
      <c r="I1597" s="50"/>
      <c r="J1597" s="351"/>
      <c r="K1597" s="448"/>
      <c r="L1597" s="29"/>
      <c r="M1597" s="31"/>
      <c r="N1597" s="14"/>
      <c r="O1597" s="31"/>
      <c r="Q1597" s="36"/>
      <c r="R1597" s="36"/>
      <c r="S1597" s="36"/>
      <c r="T1597" s="36"/>
      <c r="V1597" s="31"/>
    </row>
    <row r="1598">
      <c r="A1598" s="14"/>
      <c r="B1598" s="460"/>
      <c r="C1598" s="302"/>
      <c r="D1598" s="50"/>
      <c r="E1598" s="348"/>
      <c r="F1598" s="22"/>
      <c r="G1598" s="22"/>
      <c r="H1598" s="22"/>
      <c r="I1598" s="50"/>
      <c r="J1598" s="351"/>
      <c r="K1598" s="448"/>
      <c r="L1598" s="29"/>
      <c r="M1598" s="31"/>
      <c r="N1598" s="14"/>
      <c r="O1598" s="31"/>
      <c r="Q1598" s="36"/>
      <c r="R1598" s="36"/>
      <c r="S1598" s="36"/>
      <c r="T1598" s="36"/>
      <c r="V1598" s="31"/>
    </row>
    <row r="1599">
      <c r="A1599" s="14"/>
      <c r="B1599" s="460"/>
      <c r="C1599" s="302"/>
      <c r="D1599" s="50"/>
      <c r="E1599" s="348"/>
      <c r="F1599" s="22"/>
      <c r="G1599" s="22"/>
      <c r="H1599" s="22"/>
      <c r="I1599" s="50"/>
      <c r="J1599" s="351"/>
      <c r="K1599" s="448"/>
      <c r="L1599" s="29"/>
      <c r="M1599" s="31"/>
      <c r="N1599" s="14"/>
      <c r="O1599" s="31"/>
      <c r="Q1599" s="36"/>
      <c r="R1599" s="36"/>
      <c r="S1599" s="36"/>
      <c r="T1599" s="36"/>
      <c r="V1599" s="31"/>
    </row>
    <row r="1600">
      <c r="A1600" s="14"/>
      <c r="B1600" s="460"/>
      <c r="C1600" s="302"/>
      <c r="D1600" s="50"/>
      <c r="E1600" s="348"/>
      <c r="F1600" s="22"/>
      <c r="G1600" s="22"/>
      <c r="H1600" s="22"/>
      <c r="I1600" s="50"/>
      <c r="J1600" s="351"/>
      <c r="K1600" s="448"/>
      <c r="L1600" s="29"/>
      <c r="M1600" s="31"/>
      <c r="N1600" s="14"/>
      <c r="O1600" s="31"/>
      <c r="Q1600" s="36"/>
      <c r="R1600" s="36"/>
      <c r="S1600" s="36"/>
      <c r="T1600" s="36"/>
      <c r="V1600" s="31"/>
    </row>
    <row r="1601">
      <c r="A1601" s="14"/>
      <c r="B1601" s="460"/>
      <c r="C1601" s="302"/>
      <c r="D1601" s="50"/>
      <c r="E1601" s="348"/>
      <c r="F1601" s="22"/>
      <c r="G1601" s="22"/>
      <c r="H1601" s="22"/>
      <c r="I1601" s="50"/>
      <c r="J1601" s="351"/>
      <c r="K1601" s="448"/>
      <c r="L1601" s="29"/>
      <c r="M1601" s="31"/>
      <c r="N1601" s="14"/>
      <c r="O1601" s="31"/>
      <c r="Q1601" s="36"/>
      <c r="R1601" s="36"/>
      <c r="S1601" s="36"/>
      <c r="T1601" s="36"/>
      <c r="V1601" s="31"/>
    </row>
    <row r="1602">
      <c r="A1602" s="14"/>
      <c r="B1602" s="460"/>
      <c r="C1602" s="302"/>
      <c r="D1602" s="50"/>
      <c r="E1602" s="348"/>
      <c r="F1602" s="22"/>
      <c r="G1602" s="22"/>
      <c r="H1602" s="22"/>
      <c r="I1602" s="50"/>
      <c r="J1602" s="351"/>
      <c r="K1602" s="448"/>
      <c r="L1602" s="29"/>
      <c r="M1602" s="31"/>
      <c r="N1602" s="14"/>
      <c r="O1602" s="31"/>
      <c r="Q1602" s="36"/>
      <c r="R1602" s="36"/>
      <c r="S1602" s="36"/>
      <c r="T1602" s="36"/>
      <c r="V1602" s="31"/>
    </row>
    <row r="1603">
      <c r="A1603" s="14"/>
      <c r="B1603" s="460"/>
      <c r="C1603" s="302"/>
      <c r="D1603" s="50"/>
      <c r="E1603" s="348"/>
      <c r="F1603" s="22"/>
      <c r="G1603" s="22"/>
      <c r="H1603" s="22"/>
      <c r="I1603" s="50"/>
      <c r="J1603" s="351"/>
      <c r="K1603" s="448"/>
      <c r="L1603" s="29"/>
      <c r="M1603" s="31"/>
      <c r="N1603" s="14"/>
      <c r="O1603" s="31"/>
      <c r="Q1603" s="36"/>
      <c r="R1603" s="36"/>
      <c r="S1603" s="36"/>
      <c r="T1603" s="36"/>
      <c r="V1603" s="31"/>
    </row>
    <row r="1604">
      <c r="A1604" s="14"/>
      <c r="B1604" s="460"/>
      <c r="C1604" s="302"/>
      <c r="D1604" s="50"/>
      <c r="E1604" s="348"/>
      <c r="F1604" s="22"/>
      <c r="G1604" s="22"/>
      <c r="H1604" s="22"/>
      <c r="I1604" s="50"/>
      <c r="J1604" s="351"/>
      <c r="K1604" s="448"/>
      <c r="L1604" s="29"/>
      <c r="M1604" s="31"/>
      <c r="N1604" s="14"/>
      <c r="O1604" s="31"/>
      <c r="Q1604" s="36"/>
      <c r="R1604" s="36"/>
      <c r="S1604" s="36"/>
      <c r="T1604" s="36"/>
      <c r="V1604" s="31"/>
    </row>
    <row r="1605">
      <c r="A1605" s="14"/>
      <c r="B1605" s="460"/>
      <c r="C1605" s="302"/>
      <c r="D1605" s="50"/>
      <c r="E1605" s="348"/>
      <c r="F1605" s="22"/>
      <c r="G1605" s="22"/>
      <c r="H1605" s="22"/>
      <c r="I1605" s="50"/>
      <c r="J1605" s="351"/>
      <c r="K1605" s="448"/>
      <c r="L1605" s="29"/>
      <c r="M1605" s="31"/>
      <c r="N1605" s="14"/>
      <c r="O1605" s="31"/>
      <c r="Q1605" s="36"/>
      <c r="R1605" s="36"/>
      <c r="S1605" s="36"/>
      <c r="T1605" s="36"/>
      <c r="V1605" s="31"/>
    </row>
    <row r="1606">
      <c r="A1606" s="14"/>
      <c r="B1606" s="460"/>
      <c r="C1606" s="302"/>
      <c r="D1606" s="50"/>
      <c r="E1606" s="348"/>
      <c r="F1606" s="22"/>
      <c r="G1606" s="22"/>
      <c r="H1606" s="22"/>
      <c r="I1606" s="50"/>
      <c r="J1606" s="351"/>
      <c r="K1606" s="448"/>
      <c r="L1606" s="29"/>
      <c r="M1606" s="31"/>
      <c r="N1606" s="14"/>
      <c r="O1606" s="31"/>
      <c r="Q1606" s="36"/>
      <c r="R1606" s="36"/>
      <c r="S1606" s="36"/>
      <c r="T1606" s="36"/>
      <c r="V1606" s="31"/>
    </row>
    <row r="1607">
      <c r="A1607" s="14"/>
      <c r="B1607" s="460"/>
      <c r="C1607" s="302"/>
      <c r="D1607" s="50"/>
      <c r="E1607" s="348"/>
      <c r="F1607" s="22"/>
      <c r="G1607" s="22"/>
      <c r="H1607" s="22"/>
      <c r="I1607" s="50"/>
      <c r="J1607" s="351"/>
      <c r="K1607" s="448"/>
      <c r="L1607" s="29"/>
      <c r="M1607" s="31"/>
      <c r="N1607" s="14"/>
      <c r="O1607" s="31"/>
      <c r="Q1607" s="36"/>
      <c r="R1607" s="36"/>
      <c r="S1607" s="36"/>
      <c r="T1607" s="36"/>
      <c r="V1607" s="31"/>
    </row>
    <row r="1608">
      <c r="A1608" s="14"/>
      <c r="B1608" s="460"/>
      <c r="C1608" s="302"/>
      <c r="D1608" s="50"/>
      <c r="E1608" s="348"/>
      <c r="F1608" s="22"/>
      <c r="G1608" s="22"/>
      <c r="H1608" s="22"/>
      <c r="I1608" s="50"/>
      <c r="J1608" s="351"/>
      <c r="K1608" s="448"/>
      <c r="L1608" s="29"/>
      <c r="M1608" s="31"/>
      <c r="N1608" s="14"/>
      <c r="O1608" s="31"/>
      <c r="Q1608" s="36"/>
      <c r="R1608" s="36"/>
      <c r="S1608" s="36"/>
      <c r="T1608" s="36"/>
      <c r="V1608" s="31"/>
    </row>
    <row r="1609">
      <c r="A1609" s="14"/>
      <c r="B1609" s="460"/>
      <c r="C1609" s="302"/>
      <c r="D1609" s="50"/>
      <c r="E1609" s="348"/>
      <c r="F1609" s="22"/>
      <c r="G1609" s="22"/>
      <c r="H1609" s="22"/>
      <c r="I1609" s="50"/>
      <c r="J1609" s="351"/>
      <c r="K1609" s="448"/>
      <c r="L1609" s="29"/>
      <c r="M1609" s="31"/>
      <c r="N1609" s="14"/>
      <c r="O1609" s="31"/>
      <c r="Q1609" s="36"/>
      <c r="R1609" s="36"/>
      <c r="S1609" s="36"/>
      <c r="T1609" s="36"/>
      <c r="V1609" s="31"/>
    </row>
    <row r="1610">
      <c r="A1610" s="14"/>
      <c r="B1610" s="460"/>
      <c r="C1610" s="302"/>
      <c r="D1610" s="50"/>
      <c r="E1610" s="348"/>
      <c r="F1610" s="22"/>
      <c r="G1610" s="22"/>
      <c r="H1610" s="22"/>
      <c r="I1610" s="50"/>
      <c r="J1610" s="351"/>
      <c r="K1610" s="448"/>
      <c r="L1610" s="29"/>
      <c r="M1610" s="31"/>
      <c r="N1610" s="14"/>
      <c r="O1610" s="31"/>
      <c r="Q1610" s="36"/>
      <c r="R1610" s="36"/>
      <c r="S1610" s="36"/>
      <c r="T1610" s="36"/>
      <c r="V1610" s="31"/>
    </row>
    <row r="1611">
      <c r="A1611" s="14"/>
      <c r="B1611" s="460"/>
      <c r="C1611" s="302"/>
      <c r="D1611" s="50"/>
      <c r="E1611" s="348"/>
      <c r="F1611" s="22"/>
      <c r="G1611" s="22"/>
      <c r="H1611" s="22"/>
      <c r="I1611" s="50"/>
      <c r="J1611" s="351"/>
      <c r="K1611" s="448"/>
      <c r="L1611" s="29"/>
      <c r="M1611" s="31"/>
      <c r="N1611" s="14"/>
      <c r="O1611" s="31"/>
      <c r="Q1611" s="36"/>
      <c r="R1611" s="36"/>
      <c r="S1611" s="36"/>
      <c r="T1611" s="36"/>
      <c r="V1611" s="31"/>
    </row>
    <row r="1612">
      <c r="A1612" s="14"/>
      <c r="B1612" s="460"/>
      <c r="C1612" s="302"/>
      <c r="D1612" s="50"/>
      <c r="E1612" s="348"/>
      <c r="F1612" s="22"/>
      <c r="G1612" s="22"/>
      <c r="H1612" s="22"/>
      <c r="I1612" s="50"/>
      <c r="J1612" s="351"/>
      <c r="K1612" s="448"/>
      <c r="L1612" s="29"/>
      <c r="M1612" s="31"/>
      <c r="N1612" s="14"/>
      <c r="O1612" s="31"/>
      <c r="Q1612" s="36"/>
      <c r="R1612" s="36"/>
      <c r="S1612" s="36"/>
      <c r="T1612" s="36"/>
      <c r="V1612" s="31"/>
    </row>
    <row r="1613">
      <c r="A1613" s="14"/>
      <c r="B1613" s="460"/>
      <c r="C1613" s="302"/>
      <c r="D1613" s="50"/>
      <c r="E1613" s="348"/>
      <c r="F1613" s="22"/>
      <c r="G1613" s="22"/>
      <c r="H1613" s="22"/>
      <c r="I1613" s="50"/>
      <c r="J1613" s="351"/>
      <c r="K1613" s="448"/>
      <c r="L1613" s="29"/>
      <c r="M1613" s="31"/>
      <c r="N1613" s="14"/>
      <c r="O1613" s="31"/>
      <c r="Q1613" s="36"/>
      <c r="R1613" s="36"/>
      <c r="S1613" s="36"/>
      <c r="T1613" s="36"/>
      <c r="V1613" s="31"/>
    </row>
    <row r="1614">
      <c r="A1614" s="14"/>
      <c r="B1614" s="460"/>
      <c r="C1614" s="302"/>
      <c r="D1614" s="50"/>
      <c r="E1614" s="348"/>
      <c r="F1614" s="22"/>
      <c r="G1614" s="22"/>
      <c r="H1614" s="22"/>
      <c r="I1614" s="50"/>
      <c r="J1614" s="351"/>
      <c r="K1614" s="448"/>
      <c r="L1614" s="29"/>
      <c r="M1614" s="31"/>
      <c r="N1614" s="14"/>
      <c r="O1614" s="31"/>
      <c r="Q1614" s="36"/>
      <c r="R1614" s="36"/>
      <c r="S1614" s="36"/>
      <c r="T1614" s="36"/>
      <c r="V1614" s="31"/>
    </row>
    <row r="1615">
      <c r="A1615" s="14"/>
      <c r="B1615" s="460"/>
      <c r="C1615" s="302"/>
      <c r="D1615" s="50"/>
      <c r="E1615" s="348"/>
      <c r="F1615" s="22"/>
      <c r="G1615" s="22"/>
      <c r="H1615" s="22"/>
      <c r="I1615" s="50"/>
      <c r="J1615" s="351"/>
      <c r="K1615" s="448"/>
      <c r="L1615" s="29"/>
      <c r="M1615" s="31"/>
      <c r="N1615" s="14"/>
      <c r="O1615" s="31"/>
      <c r="Q1615" s="36"/>
      <c r="R1615" s="36"/>
      <c r="S1615" s="36"/>
      <c r="T1615" s="36"/>
      <c r="V1615" s="31"/>
    </row>
    <row r="1616">
      <c r="A1616" s="14"/>
      <c r="B1616" s="460"/>
      <c r="C1616" s="302"/>
      <c r="D1616" s="50"/>
      <c r="E1616" s="348"/>
      <c r="F1616" s="22"/>
      <c r="G1616" s="22"/>
      <c r="H1616" s="22"/>
      <c r="I1616" s="50"/>
      <c r="J1616" s="351"/>
      <c r="K1616" s="448"/>
      <c r="L1616" s="29"/>
      <c r="M1616" s="31"/>
      <c r="N1616" s="14"/>
      <c r="O1616" s="31"/>
      <c r="Q1616" s="36"/>
      <c r="R1616" s="36"/>
      <c r="S1616" s="36"/>
      <c r="T1616" s="36"/>
      <c r="V1616" s="31"/>
    </row>
    <row r="1617">
      <c r="A1617" s="14"/>
      <c r="B1617" s="460"/>
      <c r="C1617" s="302"/>
      <c r="D1617" s="50"/>
      <c r="E1617" s="348"/>
      <c r="F1617" s="22"/>
      <c r="G1617" s="22"/>
      <c r="H1617" s="22"/>
      <c r="I1617" s="50"/>
      <c r="J1617" s="351"/>
      <c r="K1617" s="448"/>
      <c r="L1617" s="29"/>
      <c r="M1617" s="31"/>
      <c r="N1617" s="14"/>
      <c r="O1617" s="31"/>
      <c r="Q1617" s="36"/>
      <c r="R1617" s="36"/>
      <c r="S1617" s="36"/>
      <c r="T1617" s="36"/>
      <c r="V1617" s="31"/>
    </row>
    <row r="1618">
      <c r="A1618" s="14"/>
      <c r="B1618" s="460"/>
      <c r="C1618" s="302"/>
      <c r="D1618" s="50"/>
      <c r="E1618" s="348"/>
      <c r="F1618" s="22"/>
      <c r="G1618" s="22"/>
      <c r="H1618" s="22"/>
      <c r="I1618" s="50"/>
      <c r="J1618" s="351"/>
      <c r="K1618" s="448"/>
      <c r="L1618" s="29"/>
      <c r="M1618" s="31"/>
      <c r="N1618" s="14"/>
      <c r="O1618" s="31"/>
      <c r="Q1618" s="36"/>
      <c r="R1618" s="36"/>
      <c r="S1618" s="36"/>
      <c r="T1618" s="36"/>
      <c r="V1618" s="31"/>
    </row>
    <row r="1619">
      <c r="A1619" s="14"/>
      <c r="B1619" s="460"/>
      <c r="C1619" s="302"/>
      <c r="D1619" s="50"/>
      <c r="E1619" s="348"/>
      <c r="F1619" s="22"/>
      <c r="G1619" s="22"/>
      <c r="H1619" s="22"/>
      <c r="I1619" s="50"/>
      <c r="J1619" s="351"/>
      <c r="K1619" s="448"/>
      <c r="L1619" s="29"/>
      <c r="M1619" s="31"/>
      <c r="N1619" s="14"/>
      <c r="O1619" s="31"/>
      <c r="Q1619" s="36"/>
      <c r="R1619" s="36"/>
      <c r="S1619" s="36"/>
      <c r="T1619" s="36"/>
      <c r="V1619" s="31"/>
    </row>
    <row r="1620">
      <c r="A1620" s="14"/>
      <c r="B1620" s="460"/>
      <c r="C1620" s="302"/>
      <c r="D1620" s="50"/>
      <c r="E1620" s="348"/>
      <c r="F1620" s="22"/>
      <c r="G1620" s="22"/>
      <c r="H1620" s="22"/>
      <c r="I1620" s="50"/>
      <c r="J1620" s="351"/>
      <c r="K1620" s="448"/>
      <c r="L1620" s="29"/>
      <c r="M1620" s="31"/>
      <c r="N1620" s="14"/>
      <c r="O1620" s="31"/>
      <c r="Q1620" s="36"/>
      <c r="R1620" s="36"/>
      <c r="S1620" s="36"/>
      <c r="T1620" s="36"/>
      <c r="V1620" s="31"/>
    </row>
    <row r="1621">
      <c r="A1621" s="14"/>
      <c r="B1621" s="460"/>
      <c r="C1621" s="302"/>
      <c r="D1621" s="50"/>
      <c r="E1621" s="348"/>
      <c r="F1621" s="22"/>
      <c r="G1621" s="22"/>
      <c r="H1621" s="22"/>
      <c r="I1621" s="50"/>
      <c r="J1621" s="351"/>
      <c r="K1621" s="448"/>
      <c r="L1621" s="29"/>
      <c r="M1621" s="31"/>
      <c r="N1621" s="14"/>
      <c r="O1621" s="31"/>
      <c r="Q1621" s="36"/>
      <c r="R1621" s="36"/>
      <c r="S1621" s="36"/>
      <c r="T1621" s="36"/>
      <c r="V1621" s="31"/>
    </row>
    <row r="1622">
      <c r="A1622" s="14"/>
      <c r="B1622" s="460"/>
      <c r="C1622" s="302"/>
      <c r="D1622" s="50"/>
      <c r="E1622" s="348"/>
      <c r="F1622" s="22"/>
      <c r="G1622" s="22"/>
      <c r="H1622" s="22"/>
      <c r="I1622" s="50"/>
      <c r="J1622" s="351"/>
      <c r="K1622" s="448"/>
      <c r="L1622" s="29"/>
      <c r="M1622" s="31"/>
      <c r="N1622" s="14"/>
      <c r="O1622" s="31"/>
      <c r="Q1622" s="36"/>
      <c r="R1622" s="36"/>
      <c r="S1622" s="36"/>
      <c r="T1622" s="36"/>
      <c r="V1622" s="31"/>
    </row>
    <row r="1623">
      <c r="A1623" s="14"/>
      <c r="B1623" s="460"/>
      <c r="C1623" s="302"/>
      <c r="D1623" s="50"/>
      <c r="E1623" s="348"/>
      <c r="F1623" s="22"/>
      <c r="G1623" s="22"/>
      <c r="H1623" s="22"/>
      <c r="I1623" s="50"/>
      <c r="J1623" s="351"/>
      <c r="K1623" s="448"/>
      <c r="L1623" s="29"/>
      <c r="M1623" s="31"/>
      <c r="N1623" s="14"/>
      <c r="O1623" s="31"/>
      <c r="Q1623" s="36"/>
      <c r="R1623" s="36"/>
      <c r="S1623" s="36"/>
      <c r="T1623" s="36"/>
      <c r="V1623" s="31"/>
    </row>
    <row r="1624">
      <c r="A1624" s="14"/>
      <c r="B1624" s="460"/>
      <c r="C1624" s="302"/>
      <c r="D1624" s="50"/>
      <c r="E1624" s="348"/>
      <c r="F1624" s="22"/>
      <c r="G1624" s="22"/>
      <c r="H1624" s="22"/>
      <c r="I1624" s="50"/>
      <c r="J1624" s="351"/>
      <c r="K1624" s="448"/>
      <c r="L1624" s="29"/>
      <c r="M1624" s="31"/>
      <c r="N1624" s="14"/>
      <c r="O1624" s="31"/>
      <c r="Q1624" s="36"/>
      <c r="R1624" s="36"/>
      <c r="S1624" s="36"/>
      <c r="T1624" s="36"/>
      <c r="V1624" s="31"/>
    </row>
    <row r="1625">
      <c r="A1625" s="14"/>
      <c r="B1625" s="460"/>
      <c r="C1625" s="302"/>
      <c r="D1625" s="50"/>
      <c r="E1625" s="348"/>
      <c r="F1625" s="22"/>
      <c r="G1625" s="22"/>
      <c r="H1625" s="22"/>
      <c r="I1625" s="50"/>
      <c r="J1625" s="351"/>
      <c r="K1625" s="448"/>
      <c r="L1625" s="29"/>
      <c r="M1625" s="31"/>
      <c r="N1625" s="14"/>
      <c r="O1625" s="31"/>
      <c r="Q1625" s="36"/>
      <c r="R1625" s="36"/>
      <c r="S1625" s="36"/>
      <c r="T1625" s="36"/>
      <c r="V1625" s="31"/>
    </row>
    <row r="1626">
      <c r="A1626" s="14"/>
      <c r="B1626" s="460"/>
      <c r="C1626" s="302"/>
      <c r="D1626" s="50"/>
      <c r="E1626" s="348"/>
      <c r="F1626" s="22"/>
      <c r="G1626" s="22"/>
      <c r="H1626" s="22"/>
      <c r="I1626" s="50"/>
      <c r="J1626" s="351"/>
      <c r="K1626" s="448"/>
      <c r="L1626" s="29"/>
      <c r="M1626" s="31"/>
      <c r="N1626" s="14"/>
      <c r="O1626" s="31"/>
      <c r="Q1626" s="36"/>
      <c r="R1626" s="36"/>
      <c r="S1626" s="36"/>
      <c r="T1626" s="36"/>
      <c r="V1626" s="31"/>
    </row>
    <row r="1627">
      <c r="A1627" s="14"/>
      <c r="B1627" s="460"/>
      <c r="C1627" s="302"/>
      <c r="D1627" s="50"/>
      <c r="E1627" s="348"/>
      <c r="F1627" s="22"/>
      <c r="G1627" s="22"/>
      <c r="H1627" s="22"/>
      <c r="I1627" s="50"/>
      <c r="J1627" s="351"/>
      <c r="K1627" s="448"/>
      <c r="L1627" s="29"/>
      <c r="M1627" s="31"/>
      <c r="N1627" s="14"/>
      <c r="O1627" s="31"/>
      <c r="Q1627" s="36"/>
      <c r="R1627" s="36"/>
      <c r="S1627" s="36"/>
      <c r="T1627" s="36"/>
      <c r="V1627" s="31"/>
    </row>
    <row r="1628">
      <c r="A1628" s="14"/>
      <c r="B1628" s="460"/>
      <c r="C1628" s="302"/>
      <c r="D1628" s="50"/>
      <c r="E1628" s="348"/>
      <c r="F1628" s="22"/>
      <c r="G1628" s="22"/>
      <c r="H1628" s="22"/>
      <c r="I1628" s="50"/>
      <c r="J1628" s="351"/>
      <c r="K1628" s="448"/>
      <c r="L1628" s="29"/>
      <c r="M1628" s="31"/>
      <c r="N1628" s="14"/>
      <c r="O1628" s="31"/>
      <c r="Q1628" s="36"/>
      <c r="R1628" s="36"/>
      <c r="S1628" s="36"/>
      <c r="T1628" s="36"/>
      <c r="V1628" s="31"/>
    </row>
    <row r="1629">
      <c r="A1629" s="14"/>
      <c r="B1629" s="460"/>
      <c r="C1629" s="302"/>
      <c r="D1629" s="50"/>
      <c r="E1629" s="348"/>
      <c r="F1629" s="22"/>
      <c r="G1629" s="22"/>
      <c r="H1629" s="22"/>
      <c r="I1629" s="50"/>
      <c r="J1629" s="351"/>
      <c r="K1629" s="448"/>
      <c r="L1629" s="29"/>
      <c r="M1629" s="31"/>
      <c r="N1629" s="14"/>
      <c r="O1629" s="31"/>
      <c r="Q1629" s="36"/>
      <c r="R1629" s="36"/>
      <c r="S1629" s="36"/>
      <c r="T1629" s="36"/>
      <c r="V1629" s="31"/>
    </row>
    <row r="1630">
      <c r="A1630" s="14"/>
      <c r="B1630" s="460"/>
      <c r="C1630" s="302"/>
      <c r="D1630" s="50"/>
      <c r="E1630" s="348"/>
      <c r="F1630" s="22"/>
      <c r="G1630" s="22"/>
      <c r="H1630" s="22"/>
      <c r="I1630" s="50"/>
      <c r="J1630" s="351"/>
      <c r="K1630" s="448"/>
      <c r="L1630" s="29"/>
      <c r="M1630" s="31"/>
      <c r="N1630" s="14"/>
      <c r="O1630" s="31"/>
      <c r="Q1630" s="36"/>
      <c r="R1630" s="36"/>
      <c r="S1630" s="36"/>
      <c r="T1630" s="36"/>
      <c r="V1630" s="31"/>
    </row>
    <row r="1631">
      <c r="A1631" s="14"/>
      <c r="B1631" s="460"/>
      <c r="C1631" s="302"/>
      <c r="D1631" s="50"/>
      <c r="E1631" s="348"/>
      <c r="F1631" s="22"/>
      <c r="G1631" s="22"/>
      <c r="H1631" s="22"/>
      <c r="I1631" s="50"/>
      <c r="J1631" s="351"/>
      <c r="K1631" s="448"/>
      <c r="L1631" s="29"/>
      <c r="M1631" s="31"/>
      <c r="N1631" s="14"/>
      <c r="O1631" s="31"/>
      <c r="Q1631" s="36"/>
      <c r="R1631" s="36"/>
      <c r="S1631" s="36"/>
      <c r="T1631" s="36"/>
      <c r="V1631" s="31"/>
    </row>
    <row r="1632">
      <c r="A1632" s="14"/>
      <c r="B1632" s="460"/>
      <c r="C1632" s="302"/>
      <c r="D1632" s="50"/>
      <c r="E1632" s="348"/>
      <c r="F1632" s="22"/>
      <c r="G1632" s="22"/>
      <c r="H1632" s="22"/>
      <c r="I1632" s="50"/>
      <c r="J1632" s="351"/>
      <c r="K1632" s="448"/>
      <c r="L1632" s="29"/>
      <c r="M1632" s="31"/>
      <c r="N1632" s="14"/>
      <c r="O1632" s="31"/>
      <c r="Q1632" s="36"/>
      <c r="R1632" s="36"/>
      <c r="S1632" s="36"/>
      <c r="T1632" s="36"/>
      <c r="V1632" s="31"/>
    </row>
    <row r="1633">
      <c r="A1633" s="14"/>
      <c r="B1633" s="460"/>
      <c r="C1633" s="302"/>
      <c r="D1633" s="50"/>
      <c r="E1633" s="348"/>
      <c r="F1633" s="22"/>
      <c r="G1633" s="22"/>
      <c r="H1633" s="22"/>
      <c r="I1633" s="50"/>
      <c r="J1633" s="351"/>
      <c r="K1633" s="448"/>
      <c r="L1633" s="29"/>
      <c r="M1633" s="31"/>
      <c r="N1633" s="14"/>
      <c r="O1633" s="31"/>
      <c r="Q1633" s="36"/>
      <c r="R1633" s="36"/>
      <c r="S1633" s="36"/>
      <c r="T1633" s="36"/>
      <c r="V1633" s="31"/>
    </row>
    <row r="1634">
      <c r="A1634" s="14"/>
      <c r="B1634" s="460"/>
      <c r="C1634" s="302"/>
      <c r="D1634" s="50"/>
      <c r="E1634" s="348"/>
      <c r="F1634" s="22"/>
      <c r="G1634" s="22"/>
      <c r="H1634" s="22"/>
      <c r="I1634" s="50"/>
      <c r="J1634" s="351"/>
      <c r="K1634" s="448"/>
      <c r="L1634" s="29"/>
      <c r="M1634" s="31"/>
      <c r="N1634" s="14"/>
      <c r="O1634" s="31"/>
      <c r="Q1634" s="36"/>
      <c r="R1634" s="36"/>
      <c r="S1634" s="36"/>
      <c r="T1634" s="36"/>
      <c r="V1634" s="31"/>
    </row>
    <row r="1635">
      <c r="A1635" s="14"/>
      <c r="B1635" s="460"/>
      <c r="C1635" s="302"/>
      <c r="D1635" s="50"/>
      <c r="E1635" s="348"/>
      <c r="F1635" s="22"/>
      <c r="G1635" s="22"/>
      <c r="H1635" s="22"/>
      <c r="I1635" s="50"/>
      <c r="J1635" s="351"/>
      <c r="K1635" s="448"/>
      <c r="L1635" s="29"/>
      <c r="M1635" s="31"/>
      <c r="N1635" s="14"/>
      <c r="O1635" s="31"/>
      <c r="Q1635" s="36"/>
      <c r="R1635" s="36"/>
      <c r="S1635" s="36"/>
      <c r="T1635" s="36"/>
      <c r="V1635" s="31"/>
    </row>
    <row r="1636">
      <c r="A1636" s="14"/>
      <c r="B1636" s="460"/>
      <c r="C1636" s="302"/>
      <c r="D1636" s="50"/>
      <c r="E1636" s="348"/>
      <c r="F1636" s="22"/>
      <c r="G1636" s="22"/>
      <c r="H1636" s="22"/>
      <c r="I1636" s="50"/>
      <c r="J1636" s="351"/>
      <c r="K1636" s="448"/>
      <c r="L1636" s="29"/>
      <c r="M1636" s="31"/>
      <c r="N1636" s="14"/>
      <c r="O1636" s="31"/>
      <c r="Q1636" s="36"/>
      <c r="R1636" s="36"/>
      <c r="S1636" s="36"/>
      <c r="T1636" s="36"/>
      <c r="V1636" s="31"/>
    </row>
    <row r="1637">
      <c r="A1637" s="14"/>
      <c r="B1637" s="460"/>
      <c r="C1637" s="302"/>
      <c r="D1637" s="50"/>
      <c r="E1637" s="348"/>
      <c r="F1637" s="22"/>
      <c r="G1637" s="22"/>
      <c r="H1637" s="22"/>
      <c r="I1637" s="50"/>
      <c r="J1637" s="351"/>
      <c r="K1637" s="448"/>
      <c r="L1637" s="29"/>
      <c r="M1637" s="31"/>
      <c r="N1637" s="14"/>
      <c r="O1637" s="31"/>
      <c r="Q1637" s="36"/>
      <c r="R1637" s="36"/>
      <c r="S1637" s="36"/>
      <c r="T1637" s="36"/>
      <c r="V1637" s="31"/>
    </row>
    <row r="1638">
      <c r="A1638" s="14"/>
      <c r="B1638" s="460"/>
      <c r="C1638" s="302"/>
      <c r="D1638" s="50"/>
      <c r="E1638" s="348"/>
      <c r="F1638" s="22"/>
      <c r="G1638" s="22"/>
      <c r="H1638" s="22"/>
      <c r="I1638" s="50"/>
      <c r="J1638" s="351"/>
      <c r="K1638" s="448"/>
      <c r="L1638" s="29"/>
      <c r="M1638" s="31"/>
      <c r="N1638" s="14"/>
      <c r="O1638" s="31"/>
      <c r="Q1638" s="36"/>
      <c r="R1638" s="36"/>
      <c r="S1638" s="36"/>
      <c r="T1638" s="36"/>
      <c r="V1638" s="31"/>
    </row>
    <row r="1639">
      <c r="A1639" s="14"/>
      <c r="B1639" s="460"/>
      <c r="C1639" s="302"/>
      <c r="D1639" s="50"/>
      <c r="E1639" s="348"/>
      <c r="F1639" s="22"/>
      <c r="G1639" s="22"/>
      <c r="H1639" s="22"/>
      <c r="I1639" s="50"/>
      <c r="J1639" s="351"/>
      <c r="K1639" s="448"/>
      <c r="L1639" s="29"/>
      <c r="M1639" s="31"/>
      <c r="N1639" s="14"/>
      <c r="O1639" s="31"/>
      <c r="Q1639" s="36"/>
      <c r="R1639" s="36"/>
      <c r="S1639" s="36"/>
      <c r="T1639" s="36"/>
      <c r="V1639" s="31"/>
    </row>
    <row r="1640">
      <c r="A1640" s="14"/>
      <c r="B1640" s="460"/>
      <c r="C1640" s="302"/>
      <c r="D1640" s="50"/>
      <c r="E1640" s="348"/>
      <c r="F1640" s="22"/>
      <c r="G1640" s="22"/>
      <c r="H1640" s="22"/>
      <c r="I1640" s="50"/>
      <c r="J1640" s="351"/>
      <c r="K1640" s="448"/>
      <c r="L1640" s="29"/>
      <c r="M1640" s="31"/>
      <c r="N1640" s="14"/>
      <c r="O1640" s="31"/>
      <c r="Q1640" s="36"/>
      <c r="R1640" s="36"/>
      <c r="S1640" s="36"/>
      <c r="T1640" s="36"/>
      <c r="V1640" s="31"/>
    </row>
    <row r="1641">
      <c r="A1641" s="14"/>
      <c r="B1641" s="460"/>
      <c r="C1641" s="302"/>
      <c r="D1641" s="50"/>
      <c r="E1641" s="348"/>
      <c r="F1641" s="22"/>
      <c r="G1641" s="22"/>
      <c r="H1641" s="22"/>
      <c r="I1641" s="50"/>
      <c r="J1641" s="351"/>
      <c r="K1641" s="448"/>
      <c r="L1641" s="29"/>
      <c r="M1641" s="31"/>
      <c r="N1641" s="14"/>
      <c r="O1641" s="31"/>
      <c r="Q1641" s="36"/>
      <c r="R1641" s="36"/>
      <c r="S1641" s="36"/>
      <c r="T1641" s="36"/>
      <c r="V1641" s="31"/>
    </row>
    <row r="1642">
      <c r="A1642" s="14"/>
      <c r="B1642" s="460"/>
      <c r="C1642" s="302"/>
      <c r="D1642" s="50"/>
      <c r="E1642" s="348"/>
      <c r="F1642" s="22"/>
      <c r="G1642" s="22"/>
      <c r="H1642" s="22"/>
      <c r="I1642" s="50"/>
      <c r="J1642" s="351"/>
      <c r="K1642" s="448"/>
      <c r="L1642" s="29"/>
      <c r="M1642" s="31"/>
      <c r="N1642" s="14"/>
      <c r="O1642" s="31"/>
      <c r="Q1642" s="36"/>
      <c r="R1642" s="36"/>
      <c r="S1642" s="36"/>
      <c r="T1642" s="36"/>
      <c r="V1642" s="31"/>
    </row>
    <row r="1643">
      <c r="A1643" s="14"/>
      <c r="B1643" s="460"/>
      <c r="C1643" s="302"/>
      <c r="D1643" s="50"/>
      <c r="E1643" s="348"/>
      <c r="F1643" s="22"/>
      <c r="G1643" s="22"/>
      <c r="H1643" s="22"/>
      <c r="I1643" s="50"/>
      <c r="J1643" s="351"/>
      <c r="K1643" s="448"/>
      <c r="L1643" s="29"/>
      <c r="M1643" s="31"/>
      <c r="N1643" s="14"/>
      <c r="O1643" s="31"/>
      <c r="Q1643" s="36"/>
      <c r="R1643" s="36"/>
      <c r="S1643" s="36"/>
      <c r="T1643" s="36"/>
      <c r="V1643" s="31"/>
    </row>
    <row r="1644">
      <c r="A1644" s="14"/>
      <c r="B1644" s="460"/>
      <c r="C1644" s="302"/>
      <c r="D1644" s="50"/>
      <c r="E1644" s="348"/>
      <c r="F1644" s="22"/>
      <c r="G1644" s="22"/>
      <c r="H1644" s="22"/>
      <c r="I1644" s="50"/>
      <c r="J1644" s="351"/>
      <c r="K1644" s="448"/>
      <c r="L1644" s="29"/>
      <c r="M1644" s="31"/>
      <c r="N1644" s="14"/>
      <c r="O1644" s="31"/>
      <c r="Q1644" s="36"/>
      <c r="R1644" s="36"/>
      <c r="S1644" s="36"/>
      <c r="T1644" s="36"/>
      <c r="V1644" s="31"/>
    </row>
    <row r="1645">
      <c r="A1645" s="14"/>
      <c r="B1645" s="460"/>
      <c r="C1645" s="302"/>
      <c r="D1645" s="50"/>
      <c r="E1645" s="348"/>
      <c r="F1645" s="22"/>
      <c r="G1645" s="22"/>
      <c r="H1645" s="22"/>
      <c r="I1645" s="50"/>
      <c r="J1645" s="351"/>
      <c r="K1645" s="448"/>
      <c r="L1645" s="29"/>
      <c r="M1645" s="31"/>
      <c r="N1645" s="14"/>
      <c r="O1645" s="31"/>
      <c r="Q1645" s="36"/>
      <c r="R1645" s="36"/>
      <c r="S1645" s="36"/>
      <c r="T1645" s="36"/>
      <c r="V1645" s="31"/>
    </row>
    <row r="1646">
      <c r="A1646" s="14"/>
      <c r="B1646" s="460"/>
      <c r="C1646" s="302"/>
      <c r="D1646" s="50"/>
      <c r="E1646" s="348"/>
      <c r="F1646" s="22"/>
      <c r="G1646" s="22"/>
      <c r="H1646" s="22"/>
      <c r="I1646" s="50"/>
      <c r="J1646" s="351"/>
      <c r="K1646" s="448"/>
      <c r="L1646" s="29"/>
      <c r="M1646" s="31"/>
      <c r="N1646" s="14"/>
      <c r="O1646" s="31"/>
      <c r="Q1646" s="36"/>
      <c r="R1646" s="36"/>
      <c r="S1646" s="36"/>
      <c r="T1646" s="36"/>
      <c r="V1646" s="31"/>
    </row>
    <row r="1647">
      <c r="A1647" s="14"/>
      <c r="B1647" s="460"/>
      <c r="C1647" s="302"/>
      <c r="D1647" s="50"/>
      <c r="E1647" s="348"/>
      <c r="F1647" s="22"/>
      <c r="G1647" s="22"/>
      <c r="H1647" s="22"/>
      <c r="I1647" s="50"/>
      <c r="J1647" s="351"/>
      <c r="K1647" s="448"/>
      <c r="L1647" s="29"/>
      <c r="M1647" s="31"/>
      <c r="N1647" s="14"/>
      <c r="O1647" s="31"/>
      <c r="Q1647" s="36"/>
      <c r="R1647" s="36"/>
      <c r="S1647" s="36"/>
      <c r="T1647" s="36"/>
      <c r="V1647" s="31"/>
    </row>
    <row r="1648">
      <c r="A1648" s="14"/>
      <c r="B1648" s="460"/>
      <c r="C1648" s="302"/>
      <c r="D1648" s="50"/>
      <c r="E1648" s="348"/>
      <c r="F1648" s="22"/>
      <c r="G1648" s="22"/>
      <c r="H1648" s="22"/>
      <c r="I1648" s="50"/>
      <c r="J1648" s="351"/>
      <c r="K1648" s="448"/>
      <c r="L1648" s="29"/>
      <c r="M1648" s="31"/>
      <c r="N1648" s="14"/>
      <c r="O1648" s="31"/>
      <c r="Q1648" s="36"/>
      <c r="R1648" s="36"/>
      <c r="S1648" s="36"/>
      <c r="T1648" s="36"/>
      <c r="V1648" s="31"/>
    </row>
    <row r="1649">
      <c r="A1649" s="14"/>
      <c r="B1649" s="460"/>
      <c r="C1649" s="302"/>
      <c r="D1649" s="50"/>
      <c r="E1649" s="348"/>
      <c r="F1649" s="22"/>
      <c r="G1649" s="22"/>
      <c r="H1649" s="22"/>
      <c r="I1649" s="50"/>
      <c r="J1649" s="351"/>
      <c r="K1649" s="448"/>
      <c r="L1649" s="29"/>
      <c r="M1649" s="31"/>
      <c r="N1649" s="14"/>
      <c r="O1649" s="31"/>
      <c r="Q1649" s="36"/>
      <c r="R1649" s="36"/>
      <c r="S1649" s="36"/>
      <c r="T1649" s="36"/>
      <c r="V1649" s="31"/>
    </row>
    <row r="1650">
      <c r="A1650" s="14"/>
      <c r="B1650" s="460"/>
      <c r="C1650" s="302"/>
      <c r="D1650" s="50"/>
      <c r="E1650" s="348"/>
      <c r="F1650" s="22"/>
      <c r="G1650" s="22"/>
      <c r="H1650" s="22"/>
      <c r="I1650" s="50"/>
      <c r="J1650" s="351"/>
      <c r="K1650" s="448"/>
      <c r="L1650" s="29"/>
      <c r="M1650" s="31"/>
      <c r="N1650" s="14"/>
      <c r="O1650" s="31"/>
      <c r="Q1650" s="36"/>
      <c r="R1650" s="36"/>
      <c r="S1650" s="36"/>
      <c r="T1650" s="36"/>
      <c r="V1650" s="31"/>
    </row>
    <row r="1651">
      <c r="A1651" s="14"/>
      <c r="B1651" s="460"/>
      <c r="C1651" s="302"/>
      <c r="D1651" s="50"/>
      <c r="E1651" s="348"/>
      <c r="F1651" s="22"/>
      <c r="G1651" s="22"/>
      <c r="H1651" s="22"/>
      <c r="I1651" s="50"/>
      <c r="J1651" s="351"/>
      <c r="K1651" s="448"/>
      <c r="L1651" s="29"/>
      <c r="M1651" s="31"/>
      <c r="N1651" s="14"/>
      <c r="O1651" s="31"/>
      <c r="Q1651" s="36"/>
      <c r="R1651" s="36"/>
      <c r="S1651" s="36"/>
      <c r="T1651" s="36"/>
      <c r="V1651" s="31"/>
    </row>
    <row r="1652">
      <c r="A1652" s="14"/>
      <c r="B1652" s="460"/>
      <c r="C1652" s="302"/>
      <c r="D1652" s="50"/>
      <c r="E1652" s="348"/>
      <c r="F1652" s="22"/>
      <c r="G1652" s="22"/>
      <c r="H1652" s="22"/>
      <c r="I1652" s="50"/>
      <c r="J1652" s="351"/>
      <c r="K1652" s="448"/>
      <c r="L1652" s="29"/>
      <c r="M1652" s="31"/>
      <c r="N1652" s="14"/>
      <c r="O1652" s="31"/>
      <c r="Q1652" s="36"/>
      <c r="R1652" s="36"/>
      <c r="S1652" s="36"/>
      <c r="T1652" s="36"/>
      <c r="V1652" s="31"/>
    </row>
    <row r="1653">
      <c r="A1653" s="14"/>
      <c r="B1653" s="460"/>
      <c r="C1653" s="302"/>
      <c r="D1653" s="50"/>
      <c r="E1653" s="348"/>
      <c r="F1653" s="22"/>
      <c r="G1653" s="22"/>
      <c r="H1653" s="22"/>
      <c r="I1653" s="50"/>
      <c r="J1653" s="351"/>
      <c r="K1653" s="448"/>
      <c r="L1653" s="29"/>
      <c r="M1653" s="31"/>
      <c r="N1653" s="14"/>
      <c r="O1653" s="31"/>
      <c r="Q1653" s="36"/>
      <c r="R1653" s="36"/>
      <c r="S1653" s="36"/>
      <c r="T1653" s="36"/>
      <c r="V1653" s="31"/>
    </row>
    <row r="1654">
      <c r="A1654" s="14"/>
      <c r="B1654" s="460"/>
      <c r="C1654" s="302"/>
      <c r="D1654" s="50"/>
      <c r="E1654" s="348"/>
      <c r="F1654" s="22"/>
      <c r="G1654" s="22"/>
      <c r="H1654" s="22"/>
      <c r="I1654" s="50"/>
      <c r="J1654" s="351"/>
      <c r="K1654" s="448"/>
      <c r="L1654" s="29"/>
      <c r="M1654" s="31"/>
      <c r="N1654" s="14"/>
      <c r="O1654" s="31"/>
      <c r="Q1654" s="36"/>
      <c r="R1654" s="36"/>
      <c r="S1654" s="36"/>
      <c r="T1654" s="36"/>
      <c r="V1654" s="31"/>
    </row>
    <row r="1655">
      <c r="A1655" s="14"/>
      <c r="B1655" s="460"/>
      <c r="C1655" s="302"/>
      <c r="D1655" s="50"/>
      <c r="E1655" s="348"/>
      <c r="F1655" s="22"/>
      <c r="G1655" s="22"/>
      <c r="H1655" s="22"/>
      <c r="I1655" s="50"/>
      <c r="J1655" s="351"/>
      <c r="K1655" s="448"/>
      <c r="L1655" s="29"/>
      <c r="M1655" s="31"/>
      <c r="N1655" s="14"/>
      <c r="O1655" s="31"/>
      <c r="Q1655" s="36"/>
      <c r="R1655" s="36"/>
      <c r="S1655" s="36"/>
      <c r="T1655" s="36"/>
      <c r="V1655" s="31"/>
    </row>
    <row r="1656">
      <c r="A1656" s="14"/>
      <c r="B1656" s="460"/>
      <c r="C1656" s="302"/>
      <c r="D1656" s="50"/>
      <c r="E1656" s="348"/>
      <c r="F1656" s="22"/>
      <c r="G1656" s="22"/>
      <c r="H1656" s="22"/>
      <c r="I1656" s="50"/>
      <c r="J1656" s="351"/>
      <c r="K1656" s="448"/>
      <c r="L1656" s="29"/>
      <c r="M1656" s="31"/>
      <c r="N1656" s="14"/>
      <c r="O1656" s="31"/>
      <c r="Q1656" s="36"/>
      <c r="R1656" s="36"/>
      <c r="S1656" s="36"/>
      <c r="T1656" s="36"/>
      <c r="V1656" s="31"/>
    </row>
    <row r="1657">
      <c r="A1657" s="14"/>
      <c r="B1657" s="460"/>
      <c r="C1657" s="302"/>
      <c r="D1657" s="50"/>
      <c r="E1657" s="348"/>
      <c r="F1657" s="22"/>
      <c r="G1657" s="22"/>
      <c r="H1657" s="22"/>
      <c r="I1657" s="50"/>
      <c r="J1657" s="351"/>
      <c r="K1657" s="448"/>
      <c r="L1657" s="29"/>
      <c r="M1657" s="31"/>
      <c r="N1657" s="14"/>
      <c r="O1657" s="31"/>
      <c r="Q1657" s="36"/>
      <c r="R1657" s="36"/>
      <c r="S1657" s="36"/>
      <c r="T1657" s="36"/>
      <c r="V1657" s="31"/>
    </row>
    <row r="1658">
      <c r="A1658" s="14"/>
      <c r="B1658" s="460"/>
      <c r="C1658" s="302"/>
      <c r="D1658" s="50"/>
      <c r="E1658" s="348"/>
      <c r="F1658" s="22"/>
      <c r="G1658" s="22"/>
      <c r="H1658" s="22"/>
      <c r="I1658" s="50"/>
      <c r="J1658" s="351"/>
      <c r="K1658" s="448"/>
      <c r="L1658" s="29"/>
      <c r="M1658" s="31"/>
      <c r="N1658" s="14"/>
      <c r="O1658" s="31"/>
      <c r="Q1658" s="36"/>
      <c r="R1658" s="36"/>
      <c r="S1658" s="36"/>
      <c r="T1658" s="36"/>
      <c r="V1658" s="31"/>
    </row>
    <row r="1659">
      <c r="A1659" s="14"/>
      <c r="B1659" s="460"/>
      <c r="C1659" s="302"/>
      <c r="D1659" s="50"/>
      <c r="E1659" s="348"/>
      <c r="F1659" s="22"/>
      <c r="G1659" s="22"/>
      <c r="H1659" s="22"/>
      <c r="I1659" s="50"/>
      <c r="J1659" s="351"/>
      <c r="K1659" s="448"/>
      <c r="L1659" s="29"/>
      <c r="M1659" s="31"/>
      <c r="N1659" s="14"/>
      <c r="O1659" s="31"/>
      <c r="Q1659" s="36"/>
      <c r="R1659" s="36"/>
      <c r="S1659" s="36"/>
      <c r="T1659" s="36"/>
      <c r="V1659" s="31"/>
    </row>
    <row r="1660">
      <c r="A1660" s="14"/>
      <c r="B1660" s="460"/>
      <c r="C1660" s="302"/>
      <c r="D1660" s="50"/>
      <c r="E1660" s="348"/>
      <c r="F1660" s="22"/>
      <c r="G1660" s="22"/>
      <c r="H1660" s="22"/>
      <c r="I1660" s="50"/>
      <c r="J1660" s="351"/>
      <c r="K1660" s="448"/>
      <c r="L1660" s="29"/>
      <c r="M1660" s="31"/>
      <c r="N1660" s="14"/>
      <c r="O1660" s="31"/>
      <c r="Q1660" s="36"/>
      <c r="R1660" s="36"/>
      <c r="S1660" s="36"/>
      <c r="T1660" s="36"/>
      <c r="V1660" s="31"/>
    </row>
    <row r="1661">
      <c r="A1661" s="14"/>
      <c r="B1661" s="460"/>
      <c r="C1661" s="302"/>
      <c r="D1661" s="50"/>
      <c r="E1661" s="348"/>
      <c r="F1661" s="22"/>
      <c r="G1661" s="22"/>
      <c r="H1661" s="22"/>
      <c r="I1661" s="50"/>
      <c r="J1661" s="351"/>
      <c r="K1661" s="448"/>
      <c r="L1661" s="29"/>
      <c r="M1661" s="31"/>
      <c r="N1661" s="14"/>
      <c r="O1661" s="31"/>
      <c r="Q1661" s="36"/>
      <c r="R1661" s="36"/>
      <c r="S1661" s="36"/>
      <c r="T1661" s="36"/>
      <c r="V1661" s="31"/>
    </row>
    <row r="1662">
      <c r="A1662" s="14"/>
      <c r="B1662" s="460"/>
      <c r="C1662" s="302"/>
      <c r="D1662" s="50"/>
      <c r="E1662" s="348"/>
      <c r="F1662" s="22"/>
      <c r="G1662" s="22"/>
      <c r="H1662" s="22"/>
      <c r="I1662" s="50"/>
      <c r="J1662" s="351"/>
      <c r="K1662" s="448"/>
      <c r="L1662" s="29"/>
      <c r="M1662" s="31"/>
      <c r="N1662" s="14"/>
      <c r="O1662" s="31"/>
      <c r="Q1662" s="36"/>
      <c r="R1662" s="36"/>
      <c r="S1662" s="36"/>
      <c r="T1662" s="36"/>
      <c r="V1662" s="31"/>
    </row>
    <row r="1663">
      <c r="A1663" s="14"/>
      <c r="B1663" s="460"/>
      <c r="C1663" s="302"/>
      <c r="D1663" s="50"/>
      <c r="E1663" s="348"/>
      <c r="F1663" s="22"/>
      <c r="G1663" s="22"/>
      <c r="H1663" s="22"/>
      <c r="I1663" s="50"/>
      <c r="J1663" s="351"/>
      <c r="K1663" s="448"/>
      <c r="L1663" s="29"/>
      <c r="M1663" s="31"/>
      <c r="N1663" s="14"/>
      <c r="O1663" s="31"/>
      <c r="Q1663" s="36"/>
      <c r="R1663" s="36"/>
      <c r="S1663" s="36"/>
      <c r="T1663" s="36"/>
      <c r="V1663" s="31"/>
    </row>
    <row r="1664">
      <c r="A1664" s="14"/>
      <c r="B1664" s="460"/>
      <c r="C1664" s="302"/>
      <c r="D1664" s="50"/>
      <c r="E1664" s="348"/>
      <c r="F1664" s="22"/>
      <c r="G1664" s="22"/>
      <c r="H1664" s="22"/>
      <c r="I1664" s="50"/>
      <c r="J1664" s="351"/>
      <c r="K1664" s="448"/>
      <c r="L1664" s="29"/>
      <c r="M1664" s="31"/>
      <c r="N1664" s="14"/>
      <c r="O1664" s="31"/>
      <c r="Q1664" s="36"/>
      <c r="R1664" s="36"/>
      <c r="S1664" s="36"/>
      <c r="T1664" s="36"/>
      <c r="V1664" s="31"/>
    </row>
    <row r="1665">
      <c r="A1665" s="14"/>
      <c r="B1665" s="460"/>
      <c r="C1665" s="302"/>
      <c r="D1665" s="50"/>
      <c r="E1665" s="348"/>
      <c r="F1665" s="22"/>
      <c r="G1665" s="22"/>
      <c r="H1665" s="22"/>
      <c r="I1665" s="50"/>
      <c r="J1665" s="351"/>
      <c r="K1665" s="448"/>
      <c r="L1665" s="29"/>
      <c r="M1665" s="31"/>
      <c r="N1665" s="14"/>
      <c r="O1665" s="31"/>
      <c r="Q1665" s="36"/>
      <c r="R1665" s="36"/>
      <c r="S1665" s="36"/>
      <c r="T1665" s="36"/>
      <c r="V1665" s="31"/>
    </row>
    <row r="1666">
      <c r="A1666" s="14"/>
      <c r="B1666" s="460"/>
      <c r="C1666" s="302"/>
      <c r="D1666" s="50"/>
      <c r="E1666" s="348"/>
      <c r="F1666" s="22"/>
      <c r="G1666" s="22"/>
      <c r="H1666" s="22"/>
      <c r="I1666" s="50"/>
      <c r="J1666" s="351"/>
      <c r="K1666" s="448"/>
      <c r="L1666" s="29"/>
      <c r="M1666" s="31"/>
      <c r="N1666" s="14"/>
      <c r="O1666" s="31"/>
      <c r="Q1666" s="36"/>
      <c r="R1666" s="36"/>
      <c r="S1666" s="36"/>
      <c r="T1666" s="36"/>
      <c r="V1666" s="31"/>
    </row>
    <row r="1667">
      <c r="A1667" s="14"/>
      <c r="B1667" s="460"/>
      <c r="C1667" s="302"/>
      <c r="D1667" s="50"/>
      <c r="E1667" s="348"/>
      <c r="F1667" s="22"/>
      <c r="G1667" s="22"/>
      <c r="H1667" s="22"/>
      <c r="I1667" s="50"/>
      <c r="J1667" s="351"/>
      <c r="K1667" s="448"/>
      <c r="L1667" s="29"/>
      <c r="M1667" s="31"/>
      <c r="N1667" s="14"/>
      <c r="O1667" s="31"/>
      <c r="Q1667" s="36"/>
      <c r="R1667" s="36"/>
      <c r="S1667" s="36"/>
      <c r="T1667" s="36"/>
      <c r="V1667" s="31"/>
    </row>
    <row r="1668">
      <c r="A1668" s="14"/>
      <c r="B1668" s="460"/>
      <c r="C1668" s="302"/>
      <c r="D1668" s="50"/>
      <c r="E1668" s="348"/>
      <c r="F1668" s="22"/>
      <c r="G1668" s="22"/>
      <c r="H1668" s="22"/>
      <c r="I1668" s="50"/>
      <c r="J1668" s="351"/>
      <c r="K1668" s="448"/>
      <c r="L1668" s="29"/>
      <c r="M1668" s="31"/>
      <c r="N1668" s="14"/>
      <c r="O1668" s="31"/>
      <c r="Q1668" s="36"/>
      <c r="R1668" s="36"/>
      <c r="S1668" s="36"/>
      <c r="T1668" s="36"/>
      <c r="V1668" s="31"/>
    </row>
    <row r="1669">
      <c r="A1669" s="14"/>
      <c r="B1669" s="460"/>
      <c r="C1669" s="302"/>
      <c r="D1669" s="50"/>
      <c r="E1669" s="348"/>
      <c r="F1669" s="22"/>
      <c r="G1669" s="22"/>
      <c r="H1669" s="22"/>
      <c r="I1669" s="50"/>
      <c r="J1669" s="351"/>
      <c r="K1669" s="448"/>
      <c r="L1669" s="29"/>
      <c r="M1669" s="31"/>
      <c r="N1669" s="14"/>
      <c r="O1669" s="31"/>
      <c r="Q1669" s="36"/>
      <c r="R1669" s="36"/>
      <c r="S1669" s="36"/>
      <c r="T1669" s="36"/>
      <c r="V1669" s="31"/>
    </row>
    <row r="1670">
      <c r="A1670" s="14"/>
      <c r="B1670" s="460"/>
      <c r="C1670" s="302"/>
      <c r="D1670" s="50"/>
      <c r="E1670" s="348"/>
      <c r="F1670" s="22"/>
      <c r="G1670" s="22"/>
      <c r="H1670" s="22"/>
      <c r="I1670" s="50"/>
      <c r="J1670" s="351"/>
      <c r="K1670" s="448"/>
      <c r="L1670" s="29"/>
      <c r="M1670" s="31"/>
      <c r="N1670" s="14"/>
      <c r="O1670" s="31"/>
      <c r="Q1670" s="36"/>
      <c r="R1670" s="36"/>
      <c r="S1670" s="36"/>
      <c r="T1670" s="36"/>
      <c r="V1670" s="31"/>
    </row>
    <row r="1671">
      <c r="A1671" s="14"/>
      <c r="B1671" s="460"/>
      <c r="C1671" s="302"/>
      <c r="D1671" s="50"/>
      <c r="E1671" s="348"/>
      <c r="F1671" s="22"/>
      <c r="G1671" s="22"/>
      <c r="H1671" s="22"/>
      <c r="I1671" s="50"/>
      <c r="J1671" s="351"/>
      <c r="K1671" s="448"/>
      <c r="L1671" s="29"/>
      <c r="M1671" s="31"/>
      <c r="N1671" s="14"/>
      <c r="O1671" s="31"/>
      <c r="Q1671" s="36"/>
      <c r="R1671" s="36"/>
      <c r="S1671" s="36"/>
      <c r="T1671" s="36"/>
      <c r="V1671" s="31"/>
    </row>
    <row r="1672">
      <c r="A1672" s="14"/>
      <c r="B1672" s="460"/>
      <c r="C1672" s="302"/>
      <c r="D1672" s="50"/>
      <c r="E1672" s="348"/>
      <c r="F1672" s="22"/>
      <c r="G1672" s="22"/>
      <c r="H1672" s="22"/>
      <c r="I1672" s="50"/>
      <c r="J1672" s="351"/>
      <c r="K1672" s="448"/>
      <c r="L1672" s="29"/>
      <c r="M1672" s="31"/>
      <c r="N1672" s="14"/>
      <c r="O1672" s="31"/>
      <c r="Q1672" s="36"/>
      <c r="R1672" s="36"/>
      <c r="S1672" s="36"/>
      <c r="T1672" s="36"/>
      <c r="V1672" s="31"/>
    </row>
    <row r="1673">
      <c r="A1673" s="14"/>
      <c r="B1673" s="460"/>
      <c r="C1673" s="302"/>
      <c r="D1673" s="50"/>
      <c r="E1673" s="348"/>
      <c r="F1673" s="22"/>
      <c r="G1673" s="22"/>
      <c r="H1673" s="22"/>
      <c r="I1673" s="50"/>
      <c r="J1673" s="351"/>
      <c r="K1673" s="448"/>
      <c r="L1673" s="29"/>
      <c r="M1673" s="31"/>
      <c r="N1673" s="14"/>
      <c r="O1673" s="31"/>
      <c r="Q1673" s="36"/>
      <c r="R1673" s="36"/>
      <c r="S1673" s="36"/>
      <c r="T1673" s="36"/>
      <c r="V1673" s="31"/>
    </row>
    <row r="1674">
      <c r="A1674" s="14"/>
      <c r="B1674" s="460"/>
      <c r="C1674" s="302"/>
      <c r="D1674" s="50"/>
      <c r="E1674" s="348"/>
      <c r="F1674" s="22"/>
      <c r="G1674" s="22"/>
      <c r="H1674" s="22"/>
      <c r="I1674" s="50"/>
      <c r="J1674" s="351"/>
      <c r="K1674" s="448"/>
      <c r="L1674" s="29"/>
      <c r="M1674" s="31"/>
      <c r="N1674" s="14"/>
      <c r="O1674" s="31"/>
      <c r="Q1674" s="36"/>
      <c r="R1674" s="36"/>
      <c r="S1674" s="36"/>
      <c r="T1674" s="36"/>
      <c r="V1674" s="31"/>
    </row>
    <row r="1675">
      <c r="A1675" s="14"/>
      <c r="B1675" s="460"/>
      <c r="C1675" s="302"/>
      <c r="D1675" s="50"/>
      <c r="E1675" s="348"/>
      <c r="F1675" s="22"/>
      <c r="G1675" s="22"/>
      <c r="H1675" s="22"/>
      <c r="I1675" s="50"/>
      <c r="J1675" s="351"/>
      <c r="K1675" s="448"/>
      <c r="L1675" s="29"/>
      <c r="M1675" s="31"/>
      <c r="N1675" s="14"/>
      <c r="O1675" s="31"/>
      <c r="Q1675" s="36"/>
      <c r="R1675" s="36"/>
      <c r="S1675" s="36"/>
      <c r="T1675" s="36"/>
      <c r="V1675" s="31"/>
    </row>
    <row r="1676">
      <c r="A1676" s="14"/>
      <c r="B1676" s="460"/>
      <c r="C1676" s="302"/>
      <c r="D1676" s="50"/>
      <c r="E1676" s="348"/>
      <c r="F1676" s="22"/>
      <c r="G1676" s="22"/>
      <c r="H1676" s="22"/>
      <c r="I1676" s="50"/>
      <c r="J1676" s="351"/>
      <c r="K1676" s="448"/>
      <c r="L1676" s="29"/>
      <c r="M1676" s="31"/>
      <c r="N1676" s="14"/>
      <c r="O1676" s="31"/>
      <c r="Q1676" s="36"/>
      <c r="R1676" s="36"/>
      <c r="S1676" s="36"/>
      <c r="T1676" s="36"/>
      <c r="V1676" s="31"/>
    </row>
    <row r="1677">
      <c r="A1677" s="14"/>
      <c r="B1677" s="460"/>
      <c r="C1677" s="302"/>
      <c r="D1677" s="50"/>
      <c r="E1677" s="348"/>
      <c r="F1677" s="22"/>
      <c r="G1677" s="22"/>
      <c r="H1677" s="22"/>
      <c r="I1677" s="50"/>
      <c r="J1677" s="351"/>
      <c r="K1677" s="448"/>
      <c r="L1677" s="29"/>
      <c r="M1677" s="31"/>
      <c r="N1677" s="14"/>
      <c r="O1677" s="31"/>
      <c r="Q1677" s="36"/>
      <c r="R1677" s="36"/>
      <c r="S1677" s="36"/>
      <c r="T1677" s="36"/>
      <c r="V1677" s="31"/>
    </row>
    <row r="1678">
      <c r="A1678" s="14"/>
      <c r="B1678" s="460"/>
      <c r="C1678" s="302"/>
      <c r="D1678" s="50"/>
      <c r="E1678" s="348"/>
      <c r="F1678" s="22"/>
      <c r="G1678" s="22"/>
      <c r="H1678" s="22"/>
      <c r="I1678" s="50"/>
      <c r="J1678" s="351"/>
      <c r="K1678" s="448"/>
      <c r="L1678" s="29"/>
      <c r="M1678" s="31"/>
      <c r="N1678" s="14"/>
      <c r="O1678" s="31"/>
      <c r="Q1678" s="36"/>
      <c r="R1678" s="36"/>
      <c r="S1678" s="36"/>
      <c r="T1678" s="36"/>
      <c r="V1678" s="31"/>
    </row>
    <row r="1679">
      <c r="A1679" s="14"/>
      <c r="B1679" s="460"/>
      <c r="C1679" s="302"/>
      <c r="D1679" s="50"/>
      <c r="E1679" s="348"/>
      <c r="F1679" s="22"/>
      <c r="G1679" s="22"/>
      <c r="H1679" s="22"/>
      <c r="I1679" s="50"/>
      <c r="J1679" s="351"/>
      <c r="K1679" s="448"/>
      <c r="L1679" s="29"/>
      <c r="M1679" s="31"/>
      <c r="N1679" s="14"/>
      <c r="O1679" s="31"/>
      <c r="Q1679" s="36"/>
      <c r="R1679" s="36"/>
      <c r="S1679" s="36"/>
      <c r="T1679" s="36"/>
      <c r="V1679" s="31"/>
    </row>
    <row r="1680">
      <c r="A1680" s="14"/>
      <c r="B1680" s="460"/>
      <c r="C1680" s="302"/>
      <c r="D1680" s="50"/>
      <c r="E1680" s="348"/>
      <c r="F1680" s="22"/>
      <c r="G1680" s="22"/>
      <c r="H1680" s="22"/>
      <c r="I1680" s="50"/>
      <c r="J1680" s="351"/>
      <c r="K1680" s="448"/>
      <c r="L1680" s="29"/>
      <c r="M1680" s="31"/>
      <c r="N1680" s="14"/>
      <c r="O1680" s="31"/>
      <c r="Q1680" s="36"/>
      <c r="R1680" s="36"/>
      <c r="S1680" s="36"/>
      <c r="T1680" s="36"/>
      <c r="V1680" s="31"/>
    </row>
    <row r="1681">
      <c r="A1681" s="14"/>
      <c r="B1681" s="460"/>
      <c r="C1681" s="302"/>
      <c r="D1681" s="50"/>
      <c r="E1681" s="348"/>
      <c r="F1681" s="22"/>
      <c r="G1681" s="22"/>
      <c r="H1681" s="22"/>
      <c r="I1681" s="50"/>
      <c r="J1681" s="351"/>
      <c r="K1681" s="448"/>
      <c r="L1681" s="29"/>
      <c r="M1681" s="31"/>
      <c r="N1681" s="14"/>
      <c r="O1681" s="31"/>
      <c r="Q1681" s="36"/>
      <c r="R1681" s="36"/>
      <c r="S1681" s="36"/>
      <c r="T1681" s="36"/>
      <c r="V1681" s="31"/>
    </row>
    <row r="1682">
      <c r="A1682" s="14"/>
      <c r="B1682" s="460"/>
      <c r="C1682" s="302"/>
      <c r="D1682" s="50"/>
      <c r="E1682" s="348"/>
      <c r="F1682" s="22"/>
      <c r="G1682" s="22"/>
      <c r="H1682" s="22"/>
      <c r="I1682" s="50"/>
      <c r="J1682" s="351"/>
      <c r="K1682" s="448"/>
      <c r="L1682" s="29"/>
      <c r="M1682" s="31"/>
      <c r="N1682" s="14"/>
      <c r="O1682" s="31"/>
      <c r="Q1682" s="36"/>
      <c r="R1682" s="36"/>
      <c r="S1682" s="36"/>
      <c r="T1682" s="36"/>
      <c r="V1682" s="31"/>
    </row>
    <row r="1683">
      <c r="A1683" s="14"/>
      <c r="B1683" s="460"/>
      <c r="C1683" s="302"/>
      <c r="D1683" s="50"/>
      <c r="E1683" s="348"/>
      <c r="F1683" s="22"/>
      <c r="G1683" s="22"/>
      <c r="H1683" s="22"/>
      <c r="I1683" s="50"/>
      <c r="J1683" s="351"/>
      <c r="K1683" s="448"/>
      <c r="L1683" s="29"/>
      <c r="M1683" s="31"/>
      <c r="N1683" s="14"/>
      <c r="O1683" s="31"/>
      <c r="Q1683" s="36"/>
      <c r="R1683" s="36"/>
      <c r="S1683" s="36"/>
      <c r="T1683" s="36"/>
      <c r="V1683" s="31"/>
    </row>
    <row r="1684">
      <c r="A1684" s="14"/>
      <c r="B1684" s="460"/>
      <c r="C1684" s="302"/>
      <c r="D1684" s="50"/>
      <c r="E1684" s="348"/>
      <c r="F1684" s="22"/>
      <c r="G1684" s="22"/>
      <c r="H1684" s="22"/>
      <c r="I1684" s="50"/>
      <c r="J1684" s="351"/>
      <c r="K1684" s="448"/>
      <c r="L1684" s="29"/>
      <c r="M1684" s="31"/>
      <c r="N1684" s="14"/>
      <c r="O1684" s="31"/>
      <c r="Q1684" s="36"/>
      <c r="R1684" s="36"/>
      <c r="S1684" s="36"/>
      <c r="T1684" s="36"/>
      <c r="V1684" s="31"/>
    </row>
    <row r="1685">
      <c r="A1685" s="14"/>
      <c r="B1685" s="460"/>
      <c r="C1685" s="302"/>
      <c r="D1685" s="50"/>
      <c r="E1685" s="348"/>
      <c r="F1685" s="22"/>
      <c r="G1685" s="22"/>
      <c r="H1685" s="22"/>
      <c r="I1685" s="50"/>
      <c r="J1685" s="351"/>
      <c r="K1685" s="448"/>
      <c r="L1685" s="29"/>
      <c r="M1685" s="31"/>
      <c r="N1685" s="14"/>
      <c r="O1685" s="31"/>
      <c r="Q1685" s="36"/>
      <c r="R1685" s="36"/>
      <c r="S1685" s="36"/>
      <c r="T1685" s="36"/>
      <c r="V1685" s="31"/>
    </row>
    <row r="1686">
      <c r="A1686" s="14"/>
      <c r="B1686" s="460"/>
      <c r="C1686" s="302"/>
      <c r="D1686" s="50"/>
      <c r="E1686" s="348"/>
      <c r="F1686" s="22"/>
      <c r="G1686" s="22"/>
      <c r="H1686" s="22"/>
      <c r="I1686" s="50"/>
      <c r="J1686" s="351"/>
      <c r="K1686" s="448"/>
      <c r="L1686" s="29"/>
      <c r="M1686" s="31"/>
      <c r="N1686" s="14"/>
      <c r="O1686" s="31"/>
      <c r="Q1686" s="36"/>
      <c r="R1686" s="36"/>
      <c r="S1686" s="36"/>
      <c r="T1686" s="36"/>
      <c r="V1686" s="31"/>
    </row>
    <row r="1687">
      <c r="A1687" s="14"/>
      <c r="B1687" s="460"/>
      <c r="C1687" s="302"/>
      <c r="D1687" s="50"/>
      <c r="E1687" s="348"/>
      <c r="F1687" s="22"/>
      <c r="G1687" s="22"/>
      <c r="H1687" s="22"/>
      <c r="I1687" s="50"/>
      <c r="J1687" s="351"/>
      <c r="K1687" s="448"/>
      <c r="L1687" s="29"/>
      <c r="M1687" s="31"/>
      <c r="N1687" s="14"/>
      <c r="O1687" s="31"/>
      <c r="Q1687" s="36"/>
      <c r="R1687" s="36"/>
      <c r="S1687" s="36"/>
      <c r="T1687" s="36"/>
      <c r="V1687" s="31"/>
    </row>
    <row r="1688">
      <c r="A1688" s="14"/>
      <c r="B1688" s="460"/>
      <c r="C1688" s="302"/>
      <c r="D1688" s="50"/>
      <c r="E1688" s="348"/>
      <c r="F1688" s="22"/>
      <c r="G1688" s="22"/>
      <c r="H1688" s="22"/>
      <c r="I1688" s="50"/>
      <c r="J1688" s="351"/>
      <c r="K1688" s="448"/>
      <c r="L1688" s="29"/>
      <c r="M1688" s="31"/>
      <c r="N1688" s="14"/>
      <c r="O1688" s="31"/>
      <c r="Q1688" s="36"/>
      <c r="R1688" s="36"/>
      <c r="S1688" s="36"/>
      <c r="T1688" s="36"/>
      <c r="V1688" s="31"/>
    </row>
    <row r="1689">
      <c r="A1689" s="14"/>
      <c r="B1689" s="460"/>
      <c r="C1689" s="302"/>
      <c r="D1689" s="50"/>
      <c r="E1689" s="348"/>
      <c r="F1689" s="22"/>
      <c r="G1689" s="22"/>
      <c r="H1689" s="22"/>
      <c r="I1689" s="50"/>
      <c r="J1689" s="351"/>
      <c r="K1689" s="448"/>
      <c r="L1689" s="29"/>
      <c r="M1689" s="31"/>
      <c r="N1689" s="14"/>
      <c r="O1689" s="31"/>
      <c r="Q1689" s="36"/>
      <c r="R1689" s="36"/>
      <c r="S1689" s="36"/>
      <c r="T1689" s="36"/>
      <c r="V1689" s="31"/>
    </row>
    <row r="1690">
      <c r="A1690" s="14"/>
      <c r="B1690" s="460"/>
      <c r="C1690" s="302"/>
      <c r="D1690" s="50"/>
      <c r="E1690" s="348"/>
      <c r="F1690" s="22"/>
      <c r="G1690" s="22"/>
      <c r="H1690" s="22"/>
      <c r="I1690" s="50"/>
      <c r="J1690" s="351"/>
      <c r="K1690" s="448"/>
      <c r="L1690" s="29"/>
      <c r="M1690" s="31"/>
      <c r="N1690" s="14"/>
      <c r="O1690" s="31"/>
      <c r="Q1690" s="36"/>
      <c r="R1690" s="36"/>
      <c r="S1690" s="36"/>
      <c r="T1690" s="36"/>
      <c r="V1690" s="31"/>
    </row>
    <row r="1691">
      <c r="A1691" s="14"/>
      <c r="B1691" s="460"/>
      <c r="C1691" s="302"/>
      <c r="D1691" s="50"/>
      <c r="E1691" s="348"/>
      <c r="F1691" s="22"/>
      <c r="G1691" s="22"/>
      <c r="H1691" s="22"/>
      <c r="I1691" s="50"/>
      <c r="J1691" s="351"/>
      <c r="K1691" s="448"/>
      <c r="L1691" s="29"/>
      <c r="M1691" s="31"/>
      <c r="N1691" s="14"/>
      <c r="O1691" s="31"/>
      <c r="Q1691" s="36"/>
      <c r="R1691" s="36"/>
      <c r="S1691" s="36"/>
      <c r="T1691" s="36"/>
      <c r="V1691" s="31"/>
    </row>
    <row r="1692">
      <c r="A1692" s="14"/>
      <c r="B1692" s="460"/>
      <c r="C1692" s="302"/>
      <c r="D1692" s="50"/>
      <c r="E1692" s="348"/>
      <c r="F1692" s="22"/>
      <c r="G1692" s="22"/>
      <c r="H1692" s="22"/>
      <c r="I1692" s="50"/>
      <c r="J1692" s="351"/>
      <c r="K1692" s="448"/>
      <c r="L1692" s="29"/>
      <c r="M1692" s="31"/>
      <c r="N1692" s="14"/>
      <c r="O1692" s="31"/>
      <c r="Q1692" s="36"/>
      <c r="R1692" s="36"/>
      <c r="S1692" s="36"/>
      <c r="T1692" s="36"/>
      <c r="V1692" s="31"/>
    </row>
    <row r="1693">
      <c r="A1693" s="14"/>
      <c r="B1693" s="460"/>
      <c r="C1693" s="302"/>
      <c r="D1693" s="50"/>
      <c r="E1693" s="348"/>
      <c r="F1693" s="22"/>
      <c r="G1693" s="22"/>
      <c r="H1693" s="22"/>
      <c r="I1693" s="50"/>
      <c r="J1693" s="351"/>
      <c r="K1693" s="448"/>
      <c r="L1693" s="29"/>
      <c r="M1693" s="31"/>
      <c r="N1693" s="14"/>
      <c r="O1693" s="31"/>
      <c r="Q1693" s="36"/>
      <c r="R1693" s="36"/>
      <c r="S1693" s="36"/>
      <c r="T1693" s="36"/>
      <c r="V1693" s="31"/>
    </row>
    <row r="1694">
      <c r="A1694" s="14"/>
      <c r="B1694" s="460"/>
      <c r="C1694" s="302"/>
      <c r="D1694" s="50"/>
      <c r="E1694" s="348"/>
      <c r="F1694" s="22"/>
      <c r="G1694" s="22"/>
      <c r="H1694" s="22"/>
      <c r="I1694" s="50"/>
      <c r="J1694" s="351"/>
      <c r="K1694" s="448"/>
      <c r="L1694" s="29"/>
      <c r="M1694" s="31"/>
      <c r="N1694" s="14"/>
      <c r="O1694" s="31"/>
      <c r="Q1694" s="36"/>
      <c r="R1694" s="36"/>
      <c r="S1694" s="36"/>
      <c r="T1694" s="36"/>
      <c r="V1694" s="31"/>
    </row>
    <row r="1695">
      <c r="A1695" s="14"/>
      <c r="B1695" s="460"/>
      <c r="C1695" s="302"/>
      <c r="D1695" s="50"/>
      <c r="E1695" s="348"/>
      <c r="F1695" s="22"/>
      <c r="G1695" s="22"/>
      <c r="H1695" s="22"/>
      <c r="I1695" s="50"/>
      <c r="J1695" s="351"/>
      <c r="K1695" s="448"/>
      <c r="L1695" s="29"/>
      <c r="M1695" s="31"/>
      <c r="N1695" s="14"/>
      <c r="O1695" s="31"/>
      <c r="Q1695" s="36"/>
      <c r="R1695" s="36"/>
      <c r="S1695" s="36"/>
      <c r="T1695" s="36"/>
      <c r="V1695" s="31"/>
    </row>
    <row r="1696">
      <c r="A1696" s="14"/>
      <c r="B1696" s="460"/>
      <c r="C1696" s="302"/>
      <c r="D1696" s="50"/>
      <c r="E1696" s="348"/>
      <c r="F1696" s="22"/>
      <c r="G1696" s="22"/>
      <c r="H1696" s="22"/>
      <c r="I1696" s="50"/>
      <c r="J1696" s="351"/>
      <c r="K1696" s="448"/>
      <c r="L1696" s="29"/>
      <c r="M1696" s="31"/>
      <c r="N1696" s="14"/>
      <c r="O1696" s="31"/>
      <c r="Q1696" s="36"/>
      <c r="R1696" s="36"/>
      <c r="S1696" s="36"/>
      <c r="T1696" s="36"/>
      <c r="V1696" s="31"/>
    </row>
    <row r="1697">
      <c r="A1697" s="14"/>
      <c r="B1697" s="460"/>
      <c r="C1697" s="302"/>
      <c r="D1697" s="50"/>
      <c r="E1697" s="348"/>
      <c r="F1697" s="22"/>
      <c r="G1697" s="22"/>
      <c r="H1697" s="22"/>
      <c r="I1697" s="50"/>
      <c r="J1697" s="351"/>
      <c r="K1697" s="448"/>
      <c r="L1697" s="29"/>
      <c r="M1697" s="31"/>
      <c r="N1697" s="14"/>
      <c r="O1697" s="31"/>
      <c r="Q1697" s="36"/>
      <c r="R1697" s="36"/>
      <c r="S1697" s="36"/>
      <c r="T1697" s="36"/>
      <c r="V1697" s="31"/>
    </row>
    <row r="1698">
      <c r="A1698" s="14"/>
      <c r="B1698" s="460"/>
      <c r="C1698" s="302"/>
      <c r="D1698" s="50"/>
      <c r="E1698" s="348"/>
      <c r="F1698" s="22"/>
      <c r="G1698" s="22"/>
      <c r="H1698" s="22"/>
      <c r="I1698" s="50"/>
      <c r="J1698" s="351"/>
      <c r="K1698" s="448"/>
      <c r="L1698" s="29"/>
      <c r="M1698" s="31"/>
      <c r="N1698" s="14"/>
      <c r="O1698" s="31"/>
      <c r="Q1698" s="36"/>
      <c r="R1698" s="36"/>
      <c r="S1698" s="36"/>
      <c r="T1698" s="36"/>
      <c r="V1698" s="31"/>
    </row>
    <row r="1699">
      <c r="A1699" s="14"/>
      <c r="B1699" s="460"/>
      <c r="C1699" s="302"/>
      <c r="D1699" s="50"/>
      <c r="E1699" s="348"/>
      <c r="F1699" s="22"/>
      <c r="G1699" s="22"/>
      <c r="H1699" s="22"/>
      <c r="I1699" s="50"/>
      <c r="J1699" s="351"/>
      <c r="K1699" s="448"/>
      <c r="L1699" s="29"/>
      <c r="M1699" s="31"/>
      <c r="N1699" s="14"/>
      <c r="O1699" s="31"/>
      <c r="Q1699" s="36"/>
      <c r="R1699" s="36"/>
      <c r="S1699" s="36"/>
      <c r="T1699" s="36"/>
      <c r="V1699" s="31"/>
    </row>
    <row r="1700">
      <c r="A1700" s="14"/>
      <c r="B1700" s="460"/>
      <c r="C1700" s="302"/>
      <c r="D1700" s="50"/>
      <c r="E1700" s="348"/>
      <c r="F1700" s="22"/>
      <c r="G1700" s="22"/>
      <c r="H1700" s="22"/>
      <c r="I1700" s="50"/>
      <c r="J1700" s="351"/>
      <c r="K1700" s="448"/>
      <c r="L1700" s="29"/>
      <c r="M1700" s="31"/>
      <c r="N1700" s="14"/>
      <c r="O1700" s="31"/>
      <c r="Q1700" s="36"/>
      <c r="R1700" s="36"/>
      <c r="S1700" s="36"/>
      <c r="T1700" s="36"/>
      <c r="V1700" s="31"/>
    </row>
    <row r="1701">
      <c r="A1701" s="14"/>
      <c r="B1701" s="460"/>
      <c r="C1701" s="302"/>
      <c r="D1701" s="50"/>
      <c r="E1701" s="348"/>
      <c r="F1701" s="22"/>
      <c r="G1701" s="22"/>
      <c r="H1701" s="22"/>
      <c r="I1701" s="50"/>
      <c r="J1701" s="351"/>
      <c r="K1701" s="448"/>
      <c r="L1701" s="29"/>
      <c r="M1701" s="31"/>
      <c r="N1701" s="14"/>
      <c r="O1701" s="31"/>
      <c r="Q1701" s="36"/>
      <c r="R1701" s="36"/>
      <c r="S1701" s="36"/>
      <c r="T1701" s="36"/>
      <c r="V1701" s="31"/>
    </row>
    <row r="1702">
      <c r="A1702" s="14"/>
      <c r="B1702" s="460"/>
      <c r="C1702" s="302"/>
      <c r="D1702" s="50"/>
      <c r="E1702" s="348"/>
      <c r="F1702" s="22"/>
      <c r="G1702" s="22"/>
      <c r="H1702" s="22"/>
      <c r="I1702" s="50"/>
      <c r="J1702" s="351"/>
      <c r="K1702" s="448"/>
      <c r="L1702" s="29"/>
      <c r="M1702" s="31"/>
      <c r="N1702" s="14"/>
      <c r="O1702" s="31"/>
      <c r="Q1702" s="36"/>
      <c r="R1702" s="36"/>
      <c r="S1702" s="36"/>
      <c r="T1702" s="36"/>
      <c r="V1702" s="31"/>
    </row>
    <row r="1703">
      <c r="A1703" s="14"/>
      <c r="B1703" s="460"/>
      <c r="C1703" s="302"/>
      <c r="D1703" s="50"/>
      <c r="E1703" s="348"/>
      <c r="F1703" s="22"/>
      <c r="G1703" s="22"/>
      <c r="H1703" s="22"/>
      <c r="I1703" s="50"/>
      <c r="J1703" s="351"/>
      <c r="K1703" s="448"/>
      <c r="L1703" s="29"/>
      <c r="M1703" s="31"/>
      <c r="N1703" s="14"/>
      <c r="O1703" s="31"/>
      <c r="Q1703" s="36"/>
      <c r="R1703" s="36"/>
      <c r="S1703" s="36"/>
      <c r="T1703" s="36"/>
      <c r="V1703" s="31"/>
    </row>
    <row r="1704">
      <c r="A1704" s="14"/>
      <c r="B1704" s="460"/>
      <c r="C1704" s="302"/>
      <c r="D1704" s="50"/>
      <c r="E1704" s="348"/>
      <c r="F1704" s="22"/>
      <c r="G1704" s="22"/>
      <c r="H1704" s="22"/>
      <c r="I1704" s="50"/>
      <c r="J1704" s="351"/>
      <c r="K1704" s="448"/>
      <c r="L1704" s="29"/>
      <c r="M1704" s="31"/>
      <c r="N1704" s="14"/>
      <c r="O1704" s="31"/>
      <c r="Q1704" s="36"/>
      <c r="R1704" s="36"/>
      <c r="S1704" s="36"/>
      <c r="T1704" s="36"/>
      <c r="V1704" s="31"/>
    </row>
    <row r="1705">
      <c r="A1705" s="14"/>
      <c r="B1705" s="460"/>
      <c r="C1705" s="302"/>
      <c r="D1705" s="50"/>
      <c r="E1705" s="348"/>
      <c r="F1705" s="22"/>
      <c r="G1705" s="22"/>
      <c r="H1705" s="22"/>
      <c r="I1705" s="50"/>
      <c r="J1705" s="351"/>
      <c r="K1705" s="448"/>
      <c r="L1705" s="29"/>
      <c r="M1705" s="31"/>
      <c r="N1705" s="14"/>
      <c r="O1705" s="31"/>
      <c r="Q1705" s="36"/>
      <c r="R1705" s="36"/>
      <c r="S1705" s="36"/>
      <c r="T1705" s="36"/>
      <c r="V1705" s="31"/>
    </row>
    <row r="1706">
      <c r="A1706" s="14"/>
      <c r="B1706" s="460"/>
      <c r="C1706" s="302"/>
      <c r="D1706" s="50"/>
      <c r="E1706" s="348"/>
      <c r="F1706" s="22"/>
      <c r="G1706" s="22"/>
      <c r="H1706" s="22"/>
      <c r="I1706" s="50"/>
      <c r="J1706" s="351"/>
      <c r="K1706" s="448"/>
      <c r="L1706" s="29"/>
      <c r="M1706" s="31"/>
      <c r="N1706" s="14"/>
      <c r="O1706" s="31"/>
      <c r="Q1706" s="36"/>
      <c r="R1706" s="36"/>
      <c r="S1706" s="36"/>
      <c r="T1706" s="36"/>
      <c r="V1706" s="31"/>
    </row>
    <row r="1707">
      <c r="A1707" s="14"/>
      <c r="B1707" s="460"/>
      <c r="C1707" s="302"/>
      <c r="D1707" s="50"/>
      <c r="E1707" s="348"/>
      <c r="F1707" s="22"/>
      <c r="G1707" s="22"/>
      <c r="H1707" s="22"/>
      <c r="I1707" s="50"/>
      <c r="J1707" s="351"/>
      <c r="K1707" s="448"/>
      <c r="L1707" s="29"/>
      <c r="M1707" s="31"/>
      <c r="N1707" s="14"/>
      <c r="O1707" s="31"/>
      <c r="Q1707" s="36"/>
      <c r="R1707" s="36"/>
      <c r="S1707" s="36"/>
      <c r="T1707" s="36"/>
      <c r="V1707" s="31"/>
    </row>
    <row r="1708">
      <c r="A1708" s="14"/>
      <c r="B1708" s="460"/>
      <c r="C1708" s="302"/>
      <c r="D1708" s="50"/>
      <c r="E1708" s="348"/>
      <c r="F1708" s="22"/>
      <c r="G1708" s="22"/>
      <c r="H1708" s="22"/>
      <c r="I1708" s="50"/>
      <c r="J1708" s="351"/>
      <c r="K1708" s="448"/>
      <c r="L1708" s="29"/>
      <c r="M1708" s="31"/>
      <c r="N1708" s="14"/>
      <c r="O1708" s="31"/>
      <c r="Q1708" s="36"/>
      <c r="R1708" s="36"/>
      <c r="S1708" s="36"/>
      <c r="T1708" s="36"/>
      <c r="V1708" s="31"/>
    </row>
    <row r="1709">
      <c r="A1709" s="14"/>
      <c r="B1709" s="460"/>
      <c r="C1709" s="302"/>
      <c r="D1709" s="50"/>
      <c r="E1709" s="348"/>
      <c r="F1709" s="22"/>
      <c r="G1709" s="22"/>
      <c r="H1709" s="22"/>
      <c r="I1709" s="50"/>
      <c r="J1709" s="351"/>
      <c r="K1709" s="448"/>
      <c r="L1709" s="29"/>
      <c r="M1709" s="31"/>
      <c r="N1709" s="14"/>
      <c r="O1709" s="31"/>
      <c r="Q1709" s="36"/>
      <c r="R1709" s="36"/>
      <c r="S1709" s="36"/>
      <c r="T1709" s="36"/>
      <c r="V1709" s="31"/>
    </row>
    <row r="1710">
      <c r="A1710" s="14"/>
      <c r="B1710" s="460"/>
      <c r="C1710" s="302"/>
      <c r="D1710" s="50"/>
      <c r="E1710" s="348"/>
      <c r="F1710" s="22"/>
      <c r="G1710" s="22"/>
      <c r="H1710" s="22"/>
      <c r="I1710" s="50"/>
      <c r="J1710" s="351"/>
      <c r="K1710" s="448"/>
      <c r="L1710" s="29"/>
      <c r="M1710" s="31"/>
      <c r="N1710" s="14"/>
      <c r="O1710" s="31"/>
      <c r="Q1710" s="36"/>
      <c r="R1710" s="36"/>
      <c r="S1710" s="36"/>
      <c r="T1710" s="36"/>
      <c r="V1710" s="31"/>
    </row>
    <row r="1711">
      <c r="A1711" s="14"/>
      <c r="B1711" s="460"/>
      <c r="C1711" s="302"/>
      <c r="D1711" s="50"/>
      <c r="E1711" s="348"/>
      <c r="F1711" s="22"/>
      <c r="G1711" s="22"/>
      <c r="H1711" s="22"/>
      <c r="I1711" s="50"/>
      <c r="J1711" s="351"/>
      <c r="K1711" s="448"/>
      <c r="L1711" s="29"/>
      <c r="M1711" s="31"/>
      <c r="N1711" s="14"/>
      <c r="O1711" s="31"/>
      <c r="Q1711" s="36"/>
      <c r="R1711" s="36"/>
      <c r="S1711" s="36"/>
      <c r="T1711" s="36"/>
      <c r="V1711" s="31"/>
    </row>
    <row r="1712">
      <c r="A1712" s="14"/>
      <c r="B1712" s="460"/>
      <c r="C1712" s="302"/>
      <c r="D1712" s="50"/>
      <c r="E1712" s="348"/>
      <c r="F1712" s="22"/>
      <c r="G1712" s="22"/>
      <c r="H1712" s="22"/>
      <c r="I1712" s="50"/>
      <c r="J1712" s="351"/>
      <c r="K1712" s="448"/>
      <c r="L1712" s="29"/>
      <c r="M1712" s="31"/>
      <c r="N1712" s="14"/>
      <c r="O1712" s="31"/>
      <c r="Q1712" s="36"/>
      <c r="R1712" s="36"/>
      <c r="S1712" s="36"/>
      <c r="T1712" s="36"/>
      <c r="V1712" s="31"/>
    </row>
    <row r="1713">
      <c r="A1713" s="14"/>
      <c r="B1713" s="460"/>
      <c r="C1713" s="302"/>
      <c r="D1713" s="50"/>
      <c r="E1713" s="348"/>
      <c r="F1713" s="22"/>
      <c r="G1713" s="22"/>
      <c r="H1713" s="22"/>
      <c r="I1713" s="50"/>
      <c r="J1713" s="351"/>
      <c r="K1713" s="448"/>
      <c r="L1713" s="29"/>
      <c r="M1713" s="31"/>
      <c r="N1713" s="14"/>
      <c r="O1713" s="31"/>
      <c r="Q1713" s="36"/>
      <c r="R1713" s="36"/>
      <c r="S1713" s="36"/>
      <c r="T1713" s="36"/>
      <c r="V1713" s="31"/>
    </row>
    <row r="1714">
      <c r="A1714" s="14"/>
      <c r="B1714" s="460"/>
      <c r="C1714" s="302"/>
      <c r="D1714" s="50"/>
      <c r="E1714" s="348"/>
      <c r="F1714" s="22"/>
      <c r="G1714" s="22"/>
      <c r="H1714" s="22"/>
      <c r="I1714" s="50"/>
      <c r="J1714" s="351"/>
      <c r="K1714" s="448"/>
      <c r="L1714" s="29"/>
      <c r="M1714" s="31"/>
      <c r="N1714" s="14"/>
      <c r="O1714" s="31"/>
      <c r="Q1714" s="36"/>
      <c r="R1714" s="36"/>
      <c r="S1714" s="36"/>
      <c r="T1714" s="36"/>
      <c r="V1714" s="31"/>
    </row>
    <row r="1715">
      <c r="A1715" s="14"/>
      <c r="B1715" s="460"/>
      <c r="C1715" s="302"/>
      <c r="D1715" s="50"/>
      <c r="E1715" s="348"/>
      <c r="F1715" s="22"/>
      <c r="G1715" s="22"/>
      <c r="H1715" s="22"/>
      <c r="I1715" s="50"/>
      <c r="J1715" s="351"/>
      <c r="K1715" s="448"/>
      <c r="L1715" s="29"/>
      <c r="M1715" s="31"/>
      <c r="N1715" s="14"/>
      <c r="O1715" s="31"/>
      <c r="Q1715" s="36"/>
      <c r="R1715" s="36"/>
      <c r="S1715" s="36"/>
      <c r="T1715" s="36"/>
      <c r="V1715" s="31"/>
    </row>
    <row r="1716">
      <c r="A1716" s="14"/>
      <c r="B1716" s="460"/>
      <c r="C1716" s="302"/>
      <c r="D1716" s="50"/>
      <c r="E1716" s="348"/>
      <c r="F1716" s="22"/>
      <c r="G1716" s="22"/>
      <c r="H1716" s="22"/>
      <c r="I1716" s="50"/>
      <c r="J1716" s="351"/>
      <c r="K1716" s="448"/>
      <c r="L1716" s="29"/>
      <c r="M1716" s="31"/>
      <c r="N1716" s="14"/>
      <c r="O1716" s="31"/>
      <c r="Q1716" s="36"/>
      <c r="R1716" s="36"/>
      <c r="S1716" s="36"/>
      <c r="T1716" s="36"/>
      <c r="V1716" s="31"/>
    </row>
    <row r="1717">
      <c r="A1717" s="14"/>
      <c r="B1717" s="460"/>
      <c r="C1717" s="302"/>
      <c r="D1717" s="50"/>
      <c r="E1717" s="348"/>
      <c r="F1717" s="22"/>
      <c r="G1717" s="22"/>
      <c r="H1717" s="22"/>
      <c r="I1717" s="50"/>
      <c r="J1717" s="351"/>
      <c r="K1717" s="448"/>
      <c r="L1717" s="29"/>
      <c r="M1717" s="31"/>
      <c r="N1717" s="14"/>
      <c r="O1717" s="31"/>
      <c r="Q1717" s="36"/>
      <c r="R1717" s="36"/>
      <c r="S1717" s="36"/>
      <c r="T1717" s="36"/>
      <c r="V1717" s="31"/>
    </row>
    <row r="1718">
      <c r="A1718" s="14"/>
      <c r="B1718" s="460"/>
      <c r="C1718" s="302"/>
      <c r="D1718" s="50"/>
      <c r="E1718" s="348"/>
      <c r="F1718" s="22"/>
      <c r="G1718" s="22"/>
      <c r="H1718" s="22"/>
      <c r="I1718" s="50"/>
      <c r="J1718" s="351"/>
      <c r="K1718" s="448"/>
      <c r="L1718" s="29"/>
      <c r="M1718" s="31"/>
      <c r="N1718" s="14"/>
      <c r="O1718" s="31"/>
      <c r="Q1718" s="36"/>
      <c r="R1718" s="36"/>
      <c r="S1718" s="36"/>
      <c r="T1718" s="36"/>
      <c r="V1718" s="31"/>
    </row>
    <row r="1719">
      <c r="A1719" s="14"/>
      <c r="B1719" s="460"/>
      <c r="C1719" s="302"/>
      <c r="D1719" s="50"/>
      <c r="E1719" s="348"/>
      <c r="F1719" s="22"/>
      <c r="G1719" s="22"/>
      <c r="H1719" s="22"/>
      <c r="I1719" s="50"/>
      <c r="J1719" s="351"/>
      <c r="K1719" s="448"/>
      <c r="L1719" s="29"/>
      <c r="M1719" s="31"/>
      <c r="N1719" s="14"/>
      <c r="O1719" s="31"/>
      <c r="Q1719" s="36"/>
      <c r="R1719" s="36"/>
      <c r="S1719" s="36"/>
      <c r="T1719" s="36"/>
      <c r="V1719" s="31"/>
    </row>
    <row r="1720">
      <c r="A1720" s="14"/>
      <c r="B1720" s="460"/>
      <c r="C1720" s="302"/>
      <c r="D1720" s="50"/>
      <c r="E1720" s="348"/>
      <c r="F1720" s="22"/>
      <c r="G1720" s="22"/>
      <c r="H1720" s="22"/>
      <c r="I1720" s="50"/>
      <c r="J1720" s="351"/>
      <c r="K1720" s="448"/>
      <c r="L1720" s="29"/>
      <c r="M1720" s="31"/>
      <c r="N1720" s="14"/>
      <c r="O1720" s="31"/>
      <c r="Q1720" s="36"/>
      <c r="R1720" s="36"/>
      <c r="S1720" s="36"/>
      <c r="T1720" s="36"/>
      <c r="V1720" s="31"/>
    </row>
    <row r="1721">
      <c r="A1721" s="14"/>
      <c r="B1721" s="460"/>
      <c r="C1721" s="302"/>
      <c r="D1721" s="50"/>
      <c r="E1721" s="348"/>
      <c r="F1721" s="22"/>
      <c r="G1721" s="22"/>
      <c r="H1721" s="22"/>
      <c r="I1721" s="50"/>
      <c r="J1721" s="351"/>
      <c r="K1721" s="448"/>
      <c r="L1721" s="29"/>
      <c r="M1721" s="31"/>
      <c r="N1721" s="14"/>
      <c r="O1721" s="31"/>
      <c r="Q1721" s="36"/>
      <c r="R1721" s="36"/>
      <c r="S1721" s="36"/>
      <c r="T1721" s="36"/>
      <c r="V1721" s="31"/>
    </row>
    <row r="1722">
      <c r="A1722" s="14"/>
      <c r="B1722" s="460"/>
      <c r="C1722" s="302"/>
      <c r="D1722" s="50"/>
      <c r="E1722" s="348"/>
      <c r="F1722" s="22"/>
      <c r="G1722" s="22"/>
      <c r="H1722" s="22"/>
      <c r="I1722" s="50"/>
      <c r="J1722" s="351"/>
      <c r="K1722" s="448"/>
      <c r="L1722" s="29"/>
      <c r="M1722" s="31"/>
      <c r="N1722" s="14"/>
      <c r="O1722" s="31"/>
      <c r="Q1722" s="36"/>
      <c r="R1722" s="36"/>
      <c r="S1722" s="36"/>
      <c r="T1722" s="36"/>
      <c r="V1722" s="31"/>
    </row>
    <row r="1723">
      <c r="A1723" s="14"/>
      <c r="B1723" s="460"/>
      <c r="C1723" s="302"/>
      <c r="D1723" s="50"/>
      <c r="E1723" s="348"/>
      <c r="F1723" s="22"/>
      <c r="G1723" s="22"/>
      <c r="H1723" s="22"/>
      <c r="I1723" s="50"/>
      <c r="J1723" s="351"/>
      <c r="K1723" s="448"/>
      <c r="L1723" s="29"/>
      <c r="M1723" s="31"/>
      <c r="N1723" s="14"/>
      <c r="O1723" s="31"/>
      <c r="Q1723" s="36"/>
      <c r="R1723" s="36"/>
      <c r="S1723" s="36"/>
      <c r="T1723" s="36"/>
      <c r="V1723" s="31"/>
    </row>
    <row r="1724">
      <c r="A1724" s="14"/>
      <c r="B1724" s="460"/>
      <c r="C1724" s="302"/>
      <c r="D1724" s="50"/>
      <c r="E1724" s="348"/>
      <c r="F1724" s="22"/>
      <c r="G1724" s="22"/>
      <c r="H1724" s="22"/>
      <c r="I1724" s="50"/>
      <c r="J1724" s="351"/>
      <c r="K1724" s="448"/>
      <c r="L1724" s="29"/>
      <c r="M1724" s="31"/>
      <c r="N1724" s="14"/>
      <c r="O1724" s="31"/>
      <c r="Q1724" s="36"/>
      <c r="R1724" s="36"/>
      <c r="S1724" s="36"/>
      <c r="T1724" s="36"/>
      <c r="V1724" s="31"/>
    </row>
    <row r="1725">
      <c r="A1725" s="14"/>
      <c r="B1725" s="460"/>
      <c r="C1725" s="302"/>
      <c r="D1725" s="50"/>
      <c r="E1725" s="348"/>
      <c r="F1725" s="22"/>
      <c r="G1725" s="22"/>
      <c r="H1725" s="22"/>
      <c r="I1725" s="50"/>
      <c r="J1725" s="351"/>
      <c r="K1725" s="448"/>
      <c r="L1725" s="29"/>
      <c r="M1725" s="31"/>
      <c r="N1725" s="14"/>
      <c r="O1725" s="31"/>
      <c r="Q1725" s="36"/>
      <c r="R1725" s="36"/>
      <c r="S1725" s="36"/>
      <c r="T1725" s="36"/>
      <c r="V1725" s="31"/>
    </row>
    <row r="1726">
      <c r="A1726" s="14"/>
      <c r="B1726" s="460"/>
      <c r="C1726" s="302"/>
      <c r="D1726" s="50"/>
      <c r="E1726" s="348"/>
      <c r="F1726" s="22"/>
      <c r="G1726" s="22"/>
      <c r="H1726" s="22"/>
      <c r="I1726" s="50"/>
      <c r="J1726" s="351"/>
      <c r="K1726" s="448"/>
      <c r="L1726" s="29"/>
      <c r="M1726" s="31"/>
      <c r="N1726" s="14"/>
      <c r="O1726" s="31"/>
      <c r="Q1726" s="36"/>
      <c r="R1726" s="36"/>
      <c r="S1726" s="36"/>
      <c r="T1726" s="36"/>
      <c r="V1726" s="31"/>
    </row>
    <row r="1727">
      <c r="A1727" s="14"/>
      <c r="B1727" s="460"/>
      <c r="C1727" s="302"/>
      <c r="D1727" s="50"/>
      <c r="E1727" s="348"/>
      <c r="F1727" s="22"/>
      <c r="G1727" s="22"/>
      <c r="H1727" s="22"/>
      <c r="I1727" s="50"/>
      <c r="J1727" s="351"/>
      <c r="K1727" s="448"/>
      <c r="L1727" s="29"/>
      <c r="M1727" s="31"/>
      <c r="N1727" s="14"/>
      <c r="O1727" s="31"/>
      <c r="Q1727" s="36"/>
      <c r="R1727" s="36"/>
      <c r="S1727" s="36"/>
      <c r="T1727" s="36"/>
      <c r="V1727" s="31"/>
    </row>
    <row r="1728">
      <c r="A1728" s="14"/>
      <c r="B1728" s="460"/>
      <c r="C1728" s="302"/>
      <c r="D1728" s="50"/>
      <c r="E1728" s="348"/>
      <c r="F1728" s="22"/>
      <c r="G1728" s="22"/>
      <c r="H1728" s="22"/>
      <c r="I1728" s="50"/>
      <c r="J1728" s="351"/>
      <c r="K1728" s="448"/>
      <c r="L1728" s="29"/>
      <c r="M1728" s="31"/>
      <c r="N1728" s="14"/>
      <c r="O1728" s="31"/>
      <c r="Q1728" s="36"/>
      <c r="R1728" s="36"/>
      <c r="S1728" s="36"/>
      <c r="T1728" s="36"/>
      <c r="V1728" s="31"/>
    </row>
    <row r="1729">
      <c r="A1729" s="14"/>
      <c r="B1729" s="460"/>
      <c r="C1729" s="302"/>
      <c r="D1729" s="50"/>
      <c r="E1729" s="348"/>
      <c r="F1729" s="22"/>
      <c r="G1729" s="22"/>
      <c r="H1729" s="22"/>
      <c r="I1729" s="50"/>
      <c r="J1729" s="351"/>
      <c r="K1729" s="448"/>
      <c r="L1729" s="29"/>
      <c r="M1729" s="31"/>
      <c r="N1729" s="14"/>
      <c r="O1729" s="31"/>
      <c r="Q1729" s="36"/>
      <c r="R1729" s="36"/>
      <c r="S1729" s="36"/>
      <c r="T1729" s="36"/>
      <c r="V1729" s="31"/>
    </row>
    <row r="1730">
      <c r="A1730" s="14"/>
      <c r="B1730" s="460"/>
      <c r="C1730" s="302"/>
      <c r="D1730" s="50"/>
      <c r="E1730" s="348"/>
      <c r="F1730" s="22"/>
      <c r="G1730" s="22"/>
      <c r="H1730" s="22"/>
      <c r="I1730" s="50"/>
      <c r="J1730" s="351"/>
      <c r="K1730" s="448"/>
      <c r="L1730" s="29"/>
      <c r="M1730" s="31"/>
      <c r="N1730" s="14"/>
      <c r="O1730" s="31"/>
      <c r="Q1730" s="36"/>
      <c r="R1730" s="36"/>
      <c r="S1730" s="36"/>
      <c r="T1730" s="36"/>
      <c r="V1730" s="31"/>
    </row>
    <row r="1731">
      <c r="A1731" s="14"/>
      <c r="B1731" s="460"/>
      <c r="C1731" s="302"/>
      <c r="D1731" s="50"/>
      <c r="E1731" s="348"/>
      <c r="F1731" s="22"/>
      <c r="G1731" s="22"/>
      <c r="H1731" s="22"/>
      <c r="I1731" s="50"/>
      <c r="J1731" s="351"/>
      <c r="K1731" s="448"/>
      <c r="L1731" s="29"/>
      <c r="M1731" s="31"/>
      <c r="N1731" s="14"/>
      <c r="O1731" s="31"/>
      <c r="Q1731" s="36"/>
      <c r="R1731" s="36"/>
      <c r="S1731" s="36"/>
      <c r="T1731" s="36"/>
      <c r="V1731" s="31"/>
    </row>
    <row r="1732">
      <c r="A1732" s="14"/>
      <c r="B1732" s="460"/>
      <c r="C1732" s="302"/>
      <c r="D1732" s="50"/>
      <c r="E1732" s="348"/>
      <c r="F1732" s="22"/>
      <c r="G1732" s="22"/>
      <c r="H1732" s="22"/>
      <c r="I1732" s="50"/>
      <c r="J1732" s="351"/>
      <c r="K1732" s="448"/>
      <c r="L1732" s="29"/>
      <c r="M1732" s="31"/>
      <c r="N1732" s="14"/>
      <c r="O1732" s="31"/>
      <c r="Q1732" s="36"/>
      <c r="R1732" s="36"/>
      <c r="S1732" s="36"/>
      <c r="T1732" s="36"/>
      <c r="V1732" s="31"/>
    </row>
    <row r="1733">
      <c r="A1733" s="14"/>
      <c r="B1733" s="460"/>
      <c r="C1733" s="302"/>
      <c r="D1733" s="50"/>
      <c r="E1733" s="348"/>
      <c r="F1733" s="22"/>
      <c r="G1733" s="22"/>
      <c r="H1733" s="22"/>
      <c r="I1733" s="50"/>
      <c r="J1733" s="351"/>
      <c r="K1733" s="448"/>
      <c r="L1733" s="29"/>
      <c r="M1733" s="31"/>
      <c r="N1733" s="14"/>
      <c r="O1733" s="31"/>
      <c r="Q1733" s="36"/>
      <c r="R1733" s="36"/>
      <c r="S1733" s="36"/>
      <c r="T1733" s="36"/>
      <c r="V1733" s="31"/>
    </row>
    <row r="1734">
      <c r="A1734" s="14"/>
      <c r="B1734" s="460"/>
      <c r="C1734" s="302"/>
      <c r="D1734" s="50"/>
      <c r="E1734" s="348"/>
      <c r="F1734" s="22"/>
      <c r="G1734" s="22"/>
      <c r="H1734" s="22"/>
      <c r="I1734" s="50"/>
      <c r="J1734" s="351"/>
      <c r="K1734" s="448"/>
      <c r="L1734" s="29"/>
      <c r="M1734" s="31"/>
      <c r="N1734" s="14"/>
      <c r="O1734" s="31"/>
      <c r="Q1734" s="36"/>
      <c r="R1734" s="36"/>
      <c r="S1734" s="36"/>
      <c r="T1734" s="36"/>
      <c r="V1734" s="31"/>
    </row>
    <row r="1735">
      <c r="A1735" s="14"/>
      <c r="B1735" s="460"/>
      <c r="C1735" s="302"/>
      <c r="D1735" s="50"/>
      <c r="E1735" s="348"/>
      <c r="F1735" s="22"/>
      <c r="G1735" s="22"/>
      <c r="H1735" s="22"/>
      <c r="I1735" s="50"/>
      <c r="J1735" s="351"/>
      <c r="K1735" s="448"/>
      <c r="L1735" s="29"/>
      <c r="M1735" s="31"/>
      <c r="N1735" s="14"/>
      <c r="O1735" s="31"/>
      <c r="Q1735" s="36"/>
      <c r="R1735" s="36"/>
      <c r="S1735" s="36"/>
      <c r="T1735" s="36"/>
      <c r="V1735" s="31"/>
    </row>
    <row r="1736">
      <c r="A1736" s="14"/>
      <c r="B1736" s="460"/>
      <c r="C1736" s="302"/>
      <c r="D1736" s="50"/>
      <c r="E1736" s="348"/>
      <c r="F1736" s="22"/>
      <c r="G1736" s="22"/>
      <c r="H1736" s="22"/>
      <c r="I1736" s="50"/>
      <c r="J1736" s="351"/>
      <c r="K1736" s="448"/>
      <c r="L1736" s="29"/>
      <c r="M1736" s="31"/>
      <c r="N1736" s="14"/>
      <c r="O1736" s="31"/>
      <c r="Q1736" s="36"/>
      <c r="R1736" s="36"/>
      <c r="S1736" s="36"/>
      <c r="T1736" s="36"/>
      <c r="V1736" s="31"/>
    </row>
    <row r="1737">
      <c r="A1737" s="14"/>
      <c r="B1737" s="460"/>
      <c r="C1737" s="302"/>
      <c r="D1737" s="50"/>
      <c r="E1737" s="348"/>
      <c r="F1737" s="22"/>
      <c r="G1737" s="22"/>
      <c r="H1737" s="22"/>
      <c r="I1737" s="50"/>
      <c r="J1737" s="351"/>
      <c r="K1737" s="448"/>
      <c r="L1737" s="29"/>
      <c r="M1737" s="31"/>
      <c r="N1737" s="14"/>
      <c r="O1737" s="31"/>
      <c r="Q1737" s="36"/>
      <c r="R1737" s="36"/>
      <c r="S1737" s="36"/>
      <c r="T1737" s="36"/>
      <c r="V1737" s="31"/>
    </row>
    <row r="1738">
      <c r="A1738" s="14"/>
      <c r="B1738" s="460"/>
      <c r="C1738" s="302"/>
      <c r="D1738" s="50"/>
      <c r="E1738" s="348"/>
      <c r="F1738" s="22"/>
      <c r="G1738" s="22"/>
      <c r="H1738" s="22"/>
      <c r="I1738" s="50"/>
      <c r="J1738" s="351"/>
      <c r="K1738" s="448"/>
      <c r="L1738" s="29"/>
      <c r="M1738" s="31"/>
      <c r="N1738" s="14"/>
      <c r="O1738" s="31"/>
      <c r="Q1738" s="36"/>
      <c r="R1738" s="36"/>
      <c r="S1738" s="36"/>
      <c r="T1738" s="36"/>
      <c r="V1738" s="31"/>
    </row>
    <row r="1739">
      <c r="A1739" s="14"/>
      <c r="B1739" s="460"/>
      <c r="C1739" s="302"/>
      <c r="D1739" s="50"/>
      <c r="E1739" s="348"/>
      <c r="F1739" s="22"/>
      <c r="G1739" s="22"/>
      <c r="H1739" s="22"/>
      <c r="I1739" s="50"/>
      <c r="J1739" s="351"/>
      <c r="K1739" s="448"/>
      <c r="L1739" s="29"/>
      <c r="M1739" s="31"/>
      <c r="N1739" s="14"/>
      <c r="O1739" s="31"/>
      <c r="Q1739" s="36"/>
      <c r="R1739" s="36"/>
      <c r="S1739" s="36"/>
      <c r="T1739" s="36"/>
      <c r="V1739" s="31"/>
    </row>
    <row r="1740">
      <c r="A1740" s="14"/>
      <c r="B1740" s="460"/>
      <c r="C1740" s="302"/>
      <c r="D1740" s="50"/>
      <c r="E1740" s="348"/>
      <c r="F1740" s="22"/>
      <c r="G1740" s="22"/>
      <c r="H1740" s="22"/>
      <c r="I1740" s="50"/>
      <c r="J1740" s="351"/>
      <c r="K1740" s="448"/>
      <c r="L1740" s="29"/>
      <c r="M1740" s="31"/>
      <c r="N1740" s="14"/>
      <c r="O1740" s="31"/>
      <c r="Q1740" s="36"/>
      <c r="R1740" s="36"/>
      <c r="S1740" s="36"/>
      <c r="T1740" s="36"/>
      <c r="V1740" s="31"/>
    </row>
    <row r="1741">
      <c r="A1741" s="14"/>
      <c r="B1741" s="460"/>
      <c r="C1741" s="302"/>
      <c r="D1741" s="50"/>
      <c r="E1741" s="348"/>
      <c r="F1741" s="22"/>
      <c r="G1741" s="22"/>
      <c r="H1741" s="22"/>
      <c r="I1741" s="50"/>
      <c r="J1741" s="351"/>
      <c r="K1741" s="448"/>
      <c r="L1741" s="29"/>
      <c r="M1741" s="31"/>
      <c r="N1741" s="14"/>
      <c r="O1741" s="31"/>
      <c r="Q1741" s="36"/>
      <c r="R1741" s="36"/>
      <c r="S1741" s="36"/>
      <c r="T1741" s="36"/>
      <c r="V1741" s="31"/>
    </row>
    <row r="1742">
      <c r="A1742" s="14"/>
      <c r="B1742" s="460"/>
      <c r="C1742" s="302"/>
      <c r="D1742" s="50"/>
      <c r="E1742" s="348"/>
      <c r="F1742" s="22"/>
      <c r="G1742" s="22"/>
      <c r="H1742" s="22"/>
      <c r="I1742" s="50"/>
      <c r="J1742" s="351"/>
      <c r="K1742" s="448"/>
      <c r="L1742" s="29"/>
      <c r="M1742" s="31"/>
      <c r="N1742" s="14"/>
      <c r="O1742" s="31"/>
      <c r="Q1742" s="36"/>
      <c r="R1742" s="36"/>
      <c r="S1742" s="36"/>
      <c r="T1742" s="36"/>
      <c r="V1742" s="31"/>
    </row>
    <row r="1743">
      <c r="A1743" s="14"/>
      <c r="B1743" s="460"/>
      <c r="C1743" s="302"/>
      <c r="D1743" s="50"/>
      <c r="E1743" s="348"/>
      <c r="F1743" s="22"/>
      <c r="G1743" s="22"/>
      <c r="H1743" s="22"/>
      <c r="I1743" s="50"/>
      <c r="J1743" s="351"/>
      <c r="K1743" s="448"/>
      <c r="L1743" s="29"/>
      <c r="M1743" s="31"/>
      <c r="N1743" s="14"/>
      <c r="O1743" s="31"/>
      <c r="Q1743" s="36"/>
      <c r="R1743" s="36"/>
      <c r="S1743" s="36"/>
      <c r="T1743" s="36"/>
      <c r="V1743" s="31"/>
    </row>
    <row r="1744">
      <c r="A1744" s="14"/>
      <c r="B1744" s="460"/>
      <c r="C1744" s="302"/>
      <c r="D1744" s="50"/>
      <c r="E1744" s="348"/>
      <c r="F1744" s="22"/>
      <c r="G1744" s="22"/>
      <c r="H1744" s="22"/>
      <c r="I1744" s="50"/>
      <c r="J1744" s="351"/>
      <c r="K1744" s="448"/>
      <c r="L1744" s="29"/>
      <c r="M1744" s="31"/>
      <c r="N1744" s="14"/>
      <c r="O1744" s="31"/>
      <c r="Q1744" s="36"/>
      <c r="R1744" s="36"/>
      <c r="S1744" s="36"/>
      <c r="T1744" s="36"/>
      <c r="V1744" s="31"/>
    </row>
    <row r="1745">
      <c r="A1745" s="14"/>
      <c r="B1745" s="460"/>
      <c r="C1745" s="302"/>
      <c r="D1745" s="50"/>
      <c r="E1745" s="348"/>
      <c r="F1745" s="22"/>
      <c r="G1745" s="22"/>
      <c r="H1745" s="22"/>
      <c r="I1745" s="50"/>
      <c r="J1745" s="351"/>
      <c r="K1745" s="448"/>
      <c r="L1745" s="29"/>
      <c r="M1745" s="31"/>
      <c r="N1745" s="14"/>
      <c r="O1745" s="31"/>
      <c r="Q1745" s="36"/>
      <c r="R1745" s="36"/>
      <c r="S1745" s="36"/>
      <c r="T1745" s="36"/>
      <c r="V1745" s="31"/>
    </row>
    <row r="1746">
      <c r="A1746" s="14"/>
      <c r="B1746" s="460"/>
      <c r="C1746" s="302"/>
      <c r="D1746" s="50"/>
      <c r="E1746" s="348"/>
      <c r="F1746" s="22"/>
      <c r="G1746" s="22"/>
      <c r="H1746" s="22"/>
      <c r="I1746" s="50"/>
      <c r="J1746" s="351"/>
      <c r="K1746" s="448"/>
      <c r="L1746" s="29"/>
      <c r="M1746" s="31"/>
      <c r="N1746" s="14"/>
      <c r="O1746" s="31"/>
      <c r="Q1746" s="36"/>
      <c r="R1746" s="36"/>
      <c r="S1746" s="36"/>
      <c r="T1746" s="36"/>
      <c r="V1746" s="31"/>
    </row>
    <row r="1747">
      <c r="A1747" s="14"/>
      <c r="B1747" s="460"/>
      <c r="C1747" s="302"/>
      <c r="D1747" s="50"/>
      <c r="E1747" s="348"/>
      <c r="F1747" s="22"/>
      <c r="G1747" s="22"/>
      <c r="H1747" s="22"/>
      <c r="I1747" s="50"/>
      <c r="J1747" s="351"/>
      <c r="K1747" s="448"/>
      <c r="L1747" s="29"/>
      <c r="M1747" s="31"/>
      <c r="N1747" s="14"/>
      <c r="O1747" s="31"/>
      <c r="Q1747" s="36"/>
      <c r="R1747" s="36"/>
      <c r="S1747" s="36"/>
      <c r="T1747" s="36"/>
      <c r="V1747" s="31"/>
    </row>
    <row r="1748">
      <c r="A1748" s="14"/>
      <c r="B1748" s="460"/>
      <c r="C1748" s="302"/>
      <c r="D1748" s="50"/>
      <c r="E1748" s="348"/>
      <c r="F1748" s="22"/>
      <c r="G1748" s="22"/>
      <c r="H1748" s="22"/>
      <c r="I1748" s="50"/>
      <c r="J1748" s="351"/>
      <c r="K1748" s="448"/>
      <c r="L1748" s="29"/>
      <c r="M1748" s="31"/>
      <c r="N1748" s="14"/>
      <c r="O1748" s="31"/>
      <c r="Q1748" s="36"/>
      <c r="R1748" s="36"/>
      <c r="S1748" s="36"/>
      <c r="T1748" s="36"/>
      <c r="V1748" s="31"/>
    </row>
    <row r="1749">
      <c r="A1749" s="14"/>
      <c r="B1749" s="460"/>
      <c r="C1749" s="302"/>
      <c r="D1749" s="50"/>
      <c r="E1749" s="348"/>
      <c r="F1749" s="22"/>
      <c r="G1749" s="22"/>
      <c r="H1749" s="22"/>
      <c r="I1749" s="50"/>
      <c r="J1749" s="351"/>
      <c r="K1749" s="448"/>
      <c r="L1749" s="29"/>
      <c r="M1749" s="31"/>
      <c r="N1749" s="14"/>
      <c r="O1749" s="31"/>
      <c r="Q1749" s="36"/>
      <c r="R1749" s="36"/>
      <c r="S1749" s="36"/>
      <c r="T1749" s="36"/>
      <c r="V1749" s="31"/>
    </row>
    <row r="1750">
      <c r="A1750" s="14"/>
      <c r="B1750" s="460"/>
      <c r="C1750" s="302"/>
      <c r="D1750" s="50"/>
      <c r="E1750" s="348"/>
      <c r="F1750" s="22"/>
      <c r="G1750" s="22"/>
      <c r="H1750" s="22"/>
      <c r="I1750" s="50"/>
      <c r="J1750" s="351"/>
      <c r="K1750" s="448"/>
      <c r="L1750" s="29"/>
      <c r="M1750" s="31"/>
      <c r="N1750" s="14"/>
      <c r="O1750" s="31"/>
      <c r="Q1750" s="36"/>
      <c r="R1750" s="36"/>
      <c r="S1750" s="36"/>
      <c r="T1750" s="36"/>
      <c r="V1750" s="31"/>
    </row>
    <row r="1751">
      <c r="A1751" s="14"/>
      <c r="B1751" s="460"/>
      <c r="C1751" s="302"/>
      <c r="D1751" s="50"/>
      <c r="E1751" s="348"/>
      <c r="F1751" s="22"/>
      <c r="G1751" s="22"/>
      <c r="H1751" s="22"/>
      <c r="I1751" s="50"/>
      <c r="J1751" s="351"/>
      <c r="K1751" s="448"/>
      <c r="L1751" s="29"/>
      <c r="M1751" s="31"/>
      <c r="N1751" s="14"/>
      <c r="O1751" s="31"/>
      <c r="Q1751" s="36"/>
      <c r="R1751" s="36"/>
      <c r="S1751" s="36"/>
      <c r="T1751" s="36"/>
      <c r="V1751" s="31"/>
    </row>
    <row r="1752">
      <c r="A1752" s="14"/>
      <c r="B1752" s="460"/>
      <c r="C1752" s="302"/>
      <c r="D1752" s="50"/>
      <c r="E1752" s="348"/>
      <c r="F1752" s="22"/>
      <c r="G1752" s="22"/>
      <c r="H1752" s="22"/>
      <c r="I1752" s="50"/>
      <c r="J1752" s="351"/>
      <c r="K1752" s="448"/>
      <c r="L1752" s="29"/>
      <c r="M1752" s="31"/>
      <c r="N1752" s="14"/>
      <c r="O1752" s="31"/>
      <c r="Q1752" s="36"/>
      <c r="R1752" s="36"/>
      <c r="S1752" s="36"/>
      <c r="T1752" s="36"/>
      <c r="V1752" s="31"/>
    </row>
    <row r="1753">
      <c r="A1753" s="14"/>
      <c r="B1753" s="460"/>
      <c r="C1753" s="302"/>
      <c r="D1753" s="50"/>
      <c r="E1753" s="348"/>
      <c r="F1753" s="22"/>
      <c r="G1753" s="22"/>
      <c r="H1753" s="22"/>
      <c r="I1753" s="50"/>
      <c r="J1753" s="351"/>
      <c r="K1753" s="448"/>
      <c r="L1753" s="29"/>
      <c r="M1753" s="31"/>
      <c r="N1753" s="14"/>
      <c r="O1753" s="31"/>
      <c r="Q1753" s="36"/>
      <c r="R1753" s="36"/>
      <c r="S1753" s="36"/>
      <c r="T1753" s="36"/>
      <c r="V1753" s="31"/>
    </row>
    <row r="1754">
      <c r="A1754" s="14"/>
      <c r="B1754" s="460"/>
      <c r="C1754" s="302"/>
      <c r="D1754" s="50"/>
      <c r="E1754" s="348"/>
      <c r="F1754" s="22"/>
      <c r="G1754" s="22"/>
      <c r="H1754" s="22"/>
      <c r="I1754" s="50"/>
      <c r="J1754" s="351"/>
      <c r="K1754" s="448"/>
      <c r="L1754" s="29"/>
      <c r="M1754" s="31"/>
      <c r="N1754" s="14"/>
      <c r="O1754" s="31"/>
      <c r="Q1754" s="36"/>
      <c r="R1754" s="36"/>
      <c r="S1754" s="36"/>
      <c r="T1754" s="36"/>
      <c r="V1754" s="31"/>
    </row>
    <row r="1755">
      <c r="A1755" s="14"/>
      <c r="B1755" s="460"/>
      <c r="C1755" s="302"/>
      <c r="D1755" s="50"/>
      <c r="E1755" s="348"/>
      <c r="F1755" s="22"/>
      <c r="G1755" s="22"/>
      <c r="H1755" s="22"/>
      <c r="I1755" s="50"/>
      <c r="J1755" s="351"/>
      <c r="K1755" s="448"/>
      <c r="L1755" s="29"/>
      <c r="M1755" s="31"/>
      <c r="N1755" s="14"/>
      <c r="O1755" s="31"/>
      <c r="Q1755" s="36"/>
      <c r="R1755" s="36"/>
      <c r="S1755" s="36"/>
      <c r="T1755" s="36"/>
      <c r="V1755" s="31"/>
    </row>
    <row r="1756">
      <c r="A1756" s="14"/>
      <c r="B1756" s="460"/>
      <c r="C1756" s="302"/>
      <c r="D1756" s="50"/>
      <c r="E1756" s="348"/>
      <c r="F1756" s="22"/>
      <c r="G1756" s="22"/>
      <c r="H1756" s="22"/>
      <c r="I1756" s="50"/>
      <c r="J1756" s="351"/>
      <c r="K1756" s="448"/>
      <c r="L1756" s="29"/>
      <c r="M1756" s="31"/>
      <c r="N1756" s="14"/>
      <c r="O1756" s="31"/>
      <c r="Q1756" s="36"/>
      <c r="R1756" s="36"/>
      <c r="S1756" s="36"/>
      <c r="T1756" s="36"/>
      <c r="V1756" s="31"/>
    </row>
    <row r="1757">
      <c r="A1757" s="14"/>
      <c r="B1757" s="460"/>
      <c r="C1757" s="302"/>
      <c r="D1757" s="50"/>
      <c r="E1757" s="348"/>
      <c r="F1757" s="22"/>
      <c r="G1757" s="22"/>
      <c r="H1757" s="22"/>
      <c r="I1757" s="50"/>
      <c r="J1757" s="351"/>
      <c r="K1757" s="448"/>
      <c r="L1757" s="29"/>
      <c r="M1757" s="31"/>
      <c r="N1757" s="14"/>
      <c r="O1757" s="31"/>
      <c r="Q1757" s="36"/>
      <c r="R1757" s="36"/>
      <c r="S1757" s="36"/>
      <c r="T1757" s="36"/>
      <c r="V1757" s="31"/>
    </row>
    <row r="1758">
      <c r="A1758" s="14"/>
      <c r="B1758" s="460"/>
      <c r="C1758" s="302"/>
      <c r="D1758" s="50"/>
      <c r="E1758" s="348"/>
      <c r="F1758" s="22"/>
      <c r="G1758" s="22"/>
      <c r="H1758" s="22"/>
      <c r="I1758" s="50"/>
      <c r="J1758" s="351"/>
      <c r="K1758" s="448"/>
      <c r="L1758" s="29"/>
      <c r="M1758" s="31"/>
      <c r="N1758" s="14"/>
      <c r="O1758" s="31"/>
      <c r="Q1758" s="36"/>
      <c r="R1758" s="36"/>
      <c r="S1758" s="36"/>
      <c r="T1758" s="36"/>
      <c r="V1758" s="31"/>
    </row>
    <row r="1759">
      <c r="A1759" s="14"/>
      <c r="B1759" s="460"/>
      <c r="C1759" s="302"/>
      <c r="D1759" s="50"/>
      <c r="E1759" s="348"/>
      <c r="F1759" s="22"/>
      <c r="G1759" s="22"/>
      <c r="H1759" s="22"/>
      <c r="I1759" s="50"/>
      <c r="J1759" s="351"/>
      <c r="K1759" s="448"/>
      <c r="L1759" s="29"/>
      <c r="M1759" s="31"/>
      <c r="N1759" s="14"/>
      <c r="O1759" s="31"/>
      <c r="Q1759" s="36"/>
      <c r="R1759" s="36"/>
      <c r="S1759" s="36"/>
      <c r="T1759" s="36"/>
      <c r="V1759" s="31"/>
    </row>
    <row r="1760">
      <c r="A1760" s="14"/>
      <c r="B1760" s="460"/>
      <c r="C1760" s="302"/>
      <c r="D1760" s="50"/>
      <c r="E1760" s="348"/>
      <c r="F1760" s="22"/>
      <c r="G1760" s="22"/>
      <c r="H1760" s="22"/>
      <c r="I1760" s="50"/>
      <c r="J1760" s="351"/>
      <c r="K1760" s="448"/>
      <c r="L1760" s="29"/>
      <c r="M1760" s="31"/>
      <c r="N1760" s="14"/>
      <c r="O1760" s="31"/>
      <c r="Q1760" s="36"/>
      <c r="R1760" s="36"/>
      <c r="S1760" s="36"/>
      <c r="T1760" s="36"/>
      <c r="V1760" s="31"/>
    </row>
    <row r="1761">
      <c r="A1761" s="14"/>
      <c r="B1761" s="460"/>
      <c r="C1761" s="302"/>
      <c r="D1761" s="50"/>
      <c r="E1761" s="348"/>
      <c r="F1761" s="22"/>
      <c r="G1761" s="22"/>
      <c r="H1761" s="22"/>
      <c r="I1761" s="50"/>
      <c r="J1761" s="351"/>
      <c r="K1761" s="448"/>
      <c r="L1761" s="29"/>
      <c r="M1761" s="31"/>
      <c r="N1761" s="14"/>
      <c r="O1761" s="31"/>
      <c r="Q1761" s="36"/>
      <c r="R1761" s="36"/>
      <c r="S1761" s="36"/>
      <c r="T1761" s="36"/>
      <c r="V1761" s="31"/>
    </row>
    <row r="1762">
      <c r="A1762" s="14"/>
      <c r="B1762" s="460"/>
      <c r="C1762" s="302"/>
      <c r="D1762" s="50"/>
      <c r="E1762" s="348"/>
      <c r="F1762" s="22"/>
      <c r="G1762" s="22"/>
      <c r="H1762" s="22"/>
      <c r="I1762" s="50"/>
      <c r="J1762" s="351"/>
      <c r="K1762" s="448"/>
      <c r="L1762" s="29"/>
      <c r="M1762" s="31"/>
      <c r="N1762" s="14"/>
      <c r="O1762" s="31"/>
      <c r="Q1762" s="36"/>
      <c r="R1762" s="36"/>
      <c r="S1762" s="36"/>
      <c r="T1762" s="36"/>
      <c r="V1762" s="31"/>
    </row>
    <row r="1763">
      <c r="A1763" s="14"/>
      <c r="B1763" s="460"/>
      <c r="C1763" s="302"/>
      <c r="D1763" s="50"/>
      <c r="E1763" s="348"/>
      <c r="F1763" s="22"/>
      <c r="G1763" s="22"/>
      <c r="H1763" s="22"/>
      <c r="I1763" s="50"/>
      <c r="J1763" s="351"/>
      <c r="K1763" s="448"/>
      <c r="L1763" s="29"/>
      <c r="M1763" s="31"/>
      <c r="N1763" s="14"/>
      <c r="O1763" s="31"/>
      <c r="Q1763" s="36"/>
      <c r="R1763" s="36"/>
      <c r="S1763" s="36"/>
      <c r="T1763" s="36"/>
      <c r="V1763" s="31"/>
    </row>
    <row r="1764">
      <c r="A1764" s="14"/>
      <c r="B1764" s="460"/>
      <c r="C1764" s="302"/>
      <c r="D1764" s="50"/>
      <c r="E1764" s="348"/>
      <c r="F1764" s="22"/>
      <c r="G1764" s="22"/>
      <c r="H1764" s="22"/>
      <c r="I1764" s="50"/>
      <c r="J1764" s="351"/>
      <c r="K1764" s="448"/>
      <c r="L1764" s="29"/>
      <c r="M1764" s="31"/>
      <c r="N1764" s="14"/>
      <c r="O1764" s="31"/>
      <c r="Q1764" s="36"/>
      <c r="R1764" s="36"/>
      <c r="S1764" s="36"/>
      <c r="T1764" s="36"/>
      <c r="V1764" s="31"/>
    </row>
    <row r="1765">
      <c r="A1765" s="14"/>
      <c r="B1765" s="460"/>
      <c r="C1765" s="302"/>
      <c r="D1765" s="50"/>
      <c r="E1765" s="348"/>
      <c r="F1765" s="22"/>
      <c r="G1765" s="22"/>
      <c r="H1765" s="22"/>
      <c r="I1765" s="50"/>
      <c r="J1765" s="351"/>
      <c r="K1765" s="448"/>
      <c r="L1765" s="29"/>
      <c r="M1765" s="31"/>
      <c r="N1765" s="14"/>
      <c r="O1765" s="31"/>
      <c r="Q1765" s="36"/>
      <c r="R1765" s="36"/>
      <c r="S1765" s="36"/>
      <c r="T1765" s="36"/>
      <c r="V1765" s="31"/>
    </row>
    <row r="1766">
      <c r="A1766" s="14"/>
      <c r="B1766" s="460"/>
      <c r="C1766" s="302"/>
      <c r="D1766" s="50"/>
      <c r="E1766" s="348"/>
      <c r="F1766" s="22"/>
      <c r="G1766" s="22"/>
      <c r="H1766" s="22"/>
      <c r="I1766" s="50"/>
      <c r="J1766" s="351"/>
      <c r="K1766" s="448"/>
      <c r="L1766" s="29"/>
      <c r="M1766" s="31"/>
      <c r="N1766" s="14"/>
      <c r="O1766" s="31"/>
      <c r="Q1766" s="36"/>
      <c r="R1766" s="36"/>
      <c r="S1766" s="36"/>
      <c r="T1766" s="36"/>
      <c r="V1766" s="31"/>
    </row>
    <row r="1767">
      <c r="A1767" s="14"/>
      <c r="B1767" s="460"/>
      <c r="C1767" s="302"/>
      <c r="D1767" s="50"/>
      <c r="E1767" s="348"/>
      <c r="F1767" s="22"/>
      <c r="G1767" s="22"/>
      <c r="H1767" s="22"/>
      <c r="I1767" s="50"/>
      <c r="J1767" s="351"/>
      <c r="K1767" s="448"/>
      <c r="L1767" s="29"/>
      <c r="M1767" s="31"/>
      <c r="N1767" s="14"/>
      <c r="O1767" s="31"/>
      <c r="Q1767" s="36"/>
      <c r="R1767" s="36"/>
      <c r="S1767" s="36"/>
      <c r="T1767" s="36"/>
      <c r="V1767" s="31"/>
    </row>
    <row r="1768">
      <c r="A1768" s="14"/>
      <c r="B1768" s="460"/>
      <c r="C1768" s="302"/>
      <c r="D1768" s="50"/>
      <c r="E1768" s="348"/>
      <c r="F1768" s="22"/>
      <c r="G1768" s="22"/>
      <c r="H1768" s="22"/>
      <c r="I1768" s="50"/>
      <c r="J1768" s="351"/>
      <c r="K1768" s="448"/>
      <c r="L1768" s="29"/>
      <c r="M1768" s="31"/>
      <c r="N1768" s="14"/>
      <c r="O1768" s="31"/>
      <c r="Q1768" s="36"/>
      <c r="R1768" s="36"/>
      <c r="S1768" s="36"/>
      <c r="T1768" s="36"/>
      <c r="V1768" s="31"/>
    </row>
    <row r="1769">
      <c r="A1769" s="14"/>
      <c r="B1769" s="460"/>
      <c r="C1769" s="302"/>
      <c r="D1769" s="50"/>
      <c r="E1769" s="348"/>
      <c r="F1769" s="22"/>
      <c r="G1769" s="22"/>
      <c r="H1769" s="22"/>
      <c r="I1769" s="50"/>
      <c r="J1769" s="351"/>
      <c r="K1769" s="448"/>
      <c r="L1769" s="29"/>
      <c r="M1769" s="31"/>
      <c r="N1769" s="14"/>
      <c r="O1769" s="31"/>
      <c r="Q1769" s="36"/>
      <c r="R1769" s="36"/>
      <c r="S1769" s="36"/>
      <c r="T1769" s="36"/>
      <c r="V1769" s="31"/>
    </row>
    <row r="1770">
      <c r="A1770" s="14"/>
      <c r="B1770" s="460"/>
      <c r="C1770" s="302"/>
      <c r="D1770" s="50"/>
      <c r="E1770" s="348"/>
      <c r="F1770" s="22"/>
      <c r="G1770" s="22"/>
      <c r="H1770" s="22"/>
      <c r="I1770" s="50"/>
      <c r="J1770" s="351"/>
      <c r="K1770" s="448"/>
      <c r="L1770" s="29"/>
      <c r="M1770" s="31"/>
      <c r="N1770" s="14"/>
      <c r="O1770" s="31"/>
      <c r="Q1770" s="36"/>
      <c r="R1770" s="36"/>
      <c r="S1770" s="36"/>
      <c r="T1770" s="36"/>
      <c r="V1770" s="31"/>
    </row>
    <row r="1771">
      <c r="A1771" s="14"/>
      <c r="B1771" s="460"/>
      <c r="C1771" s="302"/>
      <c r="D1771" s="50"/>
      <c r="E1771" s="348"/>
      <c r="F1771" s="22"/>
      <c r="G1771" s="22"/>
      <c r="H1771" s="22"/>
      <c r="I1771" s="50"/>
      <c r="J1771" s="351"/>
      <c r="K1771" s="448"/>
      <c r="L1771" s="29"/>
      <c r="M1771" s="31"/>
      <c r="N1771" s="14"/>
      <c r="O1771" s="31"/>
      <c r="Q1771" s="36"/>
      <c r="R1771" s="36"/>
      <c r="S1771" s="36"/>
      <c r="T1771" s="36"/>
      <c r="V1771" s="31"/>
    </row>
    <row r="1772">
      <c r="A1772" s="14"/>
      <c r="B1772" s="460"/>
      <c r="C1772" s="302"/>
      <c r="D1772" s="50"/>
      <c r="E1772" s="348"/>
      <c r="F1772" s="22"/>
      <c r="G1772" s="22"/>
      <c r="H1772" s="22"/>
      <c r="I1772" s="50"/>
      <c r="J1772" s="351"/>
      <c r="K1772" s="448"/>
      <c r="L1772" s="29"/>
      <c r="M1772" s="31"/>
      <c r="N1772" s="14"/>
      <c r="O1772" s="31"/>
      <c r="Q1772" s="36"/>
      <c r="R1772" s="36"/>
      <c r="S1772" s="36"/>
      <c r="T1772" s="36"/>
      <c r="V1772" s="31"/>
    </row>
    <row r="1773">
      <c r="A1773" s="14"/>
      <c r="B1773" s="460"/>
      <c r="C1773" s="302"/>
      <c r="D1773" s="50"/>
      <c r="E1773" s="348"/>
      <c r="F1773" s="22"/>
      <c r="G1773" s="22"/>
      <c r="H1773" s="22"/>
      <c r="I1773" s="50"/>
      <c r="J1773" s="351"/>
      <c r="K1773" s="448"/>
      <c r="L1773" s="29"/>
      <c r="M1773" s="31"/>
      <c r="N1773" s="14"/>
      <c r="O1773" s="31"/>
      <c r="Q1773" s="36"/>
      <c r="R1773" s="36"/>
      <c r="S1773" s="36"/>
      <c r="T1773" s="36"/>
      <c r="V1773" s="31"/>
    </row>
    <row r="1774">
      <c r="A1774" s="14"/>
      <c r="B1774" s="460"/>
      <c r="C1774" s="302"/>
      <c r="D1774" s="50"/>
      <c r="E1774" s="348"/>
      <c r="F1774" s="22"/>
      <c r="G1774" s="22"/>
      <c r="H1774" s="22"/>
      <c r="I1774" s="50"/>
      <c r="J1774" s="351"/>
      <c r="K1774" s="448"/>
      <c r="L1774" s="29"/>
      <c r="M1774" s="31"/>
      <c r="N1774" s="14"/>
      <c r="O1774" s="31"/>
      <c r="Q1774" s="36"/>
      <c r="R1774" s="36"/>
      <c r="S1774" s="36"/>
      <c r="T1774" s="36"/>
      <c r="V1774" s="31"/>
    </row>
    <row r="1775">
      <c r="A1775" s="14"/>
      <c r="B1775" s="460"/>
      <c r="C1775" s="302"/>
      <c r="D1775" s="50"/>
      <c r="E1775" s="348"/>
      <c r="F1775" s="22"/>
      <c r="G1775" s="22"/>
      <c r="H1775" s="22"/>
      <c r="I1775" s="50"/>
      <c r="J1775" s="351"/>
      <c r="K1775" s="448"/>
      <c r="L1775" s="29"/>
      <c r="M1775" s="31"/>
      <c r="N1775" s="14"/>
      <c r="O1775" s="31"/>
      <c r="Q1775" s="36"/>
      <c r="R1775" s="36"/>
      <c r="S1775" s="36"/>
      <c r="T1775" s="36"/>
      <c r="V1775" s="31"/>
    </row>
    <row r="1776">
      <c r="A1776" s="14"/>
      <c r="B1776" s="460"/>
      <c r="C1776" s="302"/>
      <c r="D1776" s="50"/>
      <c r="E1776" s="348"/>
      <c r="F1776" s="22"/>
      <c r="G1776" s="22"/>
      <c r="H1776" s="22"/>
      <c r="I1776" s="50"/>
      <c r="J1776" s="351"/>
      <c r="K1776" s="448"/>
      <c r="L1776" s="29"/>
      <c r="M1776" s="31"/>
      <c r="N1776" s="14"/>
      <c r="O1776" s="31"/>
      <c r="Q1776" s="36"/>
      <c r="R1776" s="36"/>
      <c r="S1776" s="36"/>
      <c r="T1776" s="36"/>
      <c r="V1776" s="31"/>
    </row>
    <row r="1777">
      <c r="A1777" s="14"/>
      <c r="B1777" s="460"/>
      <c r="C1777" s="302"/>
      <c r="D1777" s="50"/>
      <c r="E1777" s="348"/>
      <c r="F1777" s="22"/>
      <c r="G1777" s="22"/>
      <c r="H1777" s="22"/>
      <c r="I1777" s="50"/>
      <c r="J1777" s="351"/>
      <c r="K1777" s="448"/>
      <c r="L1777" s="29"/>
      <c r="M1777" s="31"/>
      <c r="N1777" s="14"/>
      <c r="O1777" s="31"/>
      <c r="Q1777" s="36"/>
      <c r="R1777" s="36"/>
      <c r="S1777" s="36"/>
      <c r="T1777" s="36"/>
      <c r="V1777" s="31"/>
    </row>
    <row r="1778">
      <c r="A1778" s="14"/>
      <c r="B1778" s="460"/>
      <c r="C1778" s="302"/>
      <c r="D1778" s="50"/>
      <c r="E1778" s="348"/>
      <c r="F1778" s="22"/>
      <c r="G1778" s="22"/>
      <c r="H1778" s="22"/>
      <c r="I1778" s="50"/>
      <c r="J1778" s="351"/>
      <c r="K1778" s="448"/>
      <c r="L1778" s="29"/>
      <c r="M1778" s="31"/>
      <c r="N1778" s="14"/>
      <c r="O1778" s="31"/>
      <c r="Q1778" s="36"/>
      <c r="R1778" s="36"/>
      <c r="S1778" s="36"/>
      <c r="T1778" s="36"/>
      <c r="V1778" s="31"/>
    </row>
    <row r="1779">
      <c r="A1779" s="14"/>
      <c r="B1779" s="460"/>
      <c r="C1779" s="302"/>
      <c r="D1779" s="50"/>
      <c r="E1779" s="348"/>
      <c r="F1779" s="22"/>
      <c r="G1779" s="22"/>
      <c r="H1779" s="22"/>
      <c r="I1779" s="50"/>
      <c r="J1779" s="351"/>
      <c r="K1779" s="448"/>
      <c r="L1779" s="29"/>
      <c r="M1779" s="31"/>
      <c r="N1779" s="14"/>
      <c r="O1779" s="31"/>
      <c r="Q1779" s="36"/>
      <c r="R1779" s="36"/>
      <c r="S1779" s="36"/>
      <c r="T1779" s="36"/>
      <c r="V1779" s="31"/>
    </row>
    <row r="1780">
      <c r="A1780" s="14"/>
      <c r="B1780" s="460"/>
      <c r="C1780" s="302"/>
      <c r="D1780" s="50"/>
      <c r="E1780" s="348"/>
      <c r="F1780" s="22"/>
      <c r="G1780" s="22"/>
      <c r="H1780" s="22"/>
      <c r="I1780" s="50"/>
      <c r="J1780" s="351"/>
      <c r="K1780" s="448"/>
      <c r="L1780" s="29"/>
      <c r="M1780" s="31"/>
      <c r="N1780" s="14"/>
      <c r="O1780" s="31"/>
      <c r="Q1780" s="36"/>
      <c r="R1780" s="36"/>
      <c r="S1780" s="36"/>
      <c r="T1780" s="36"/>
      <c r="V1780" s="31"/>
    </row>
    <row r="1781">
      <c r="A1781" s="14"/>
      <c r="B1781" s="460"/>
      <c r="C1781" s="302"/>
      <c r="D1781" s="50"/>
      <c r="E1781" s="348"/>
      <c r="F1781" s="22"/>
      <c r="G1781" s="22"/>
      <c r="H1781" s="22"/>
      <c r="I1781" s="50"/>
      <c r="J1781" s="351"/>
      <c r="K1781" s="448"/>
      <c r="L1781" s="29"/>
      <c r="M1781" s="31"/>
      <c r="N1781" s="14"/>
      <c r="O1781" s="31"/>
      <c r="Q1781" s="36"/>
      <c r="R1781" s="36"/>
      <c r="S1781" s="36"/>
      <c r="T1781" s="36"/>
      <c r="V1781" s="31"/>
    </row>
    <row r="1782">
      <c r="A1782" s="14"/>
      <c r="B1782" s="460"/>
      <c r="C1782" s="302"/>
      <c r="D1782" s="50"/>
      <c r="E1782" s="348"/>
      <c r="F1782" s="22"/>
      <c r="G1782" s="22"/>
      <c r="H1782" s="22"/>
      <c r="I1782" s="50"/>
      <c r="J1782" s="351"/>
      <c r="K1782" s="448"/>
      <c r="L1782" s="29"/>
      <c r="M1782" s="31"/>
      <c r="N1782" s="14"/>
      <c r="O1782" s="31"/>
      <c r="Q1782" s="36"/>
      <c r="R1782" s="36"/>
      <c r="S1782" s="36"/>
      <c r="T1782" s="36"/>
      <c r="V1782" s="31"/>
    </row>
    <row r="1783">
      <c r="A1783" s="14"/>
      <c r="B1783" s="460"/>
      <c r="C1783" s="302"/>
      <c r="D1783" s="50"/>
      <c r="E1783" s="348"/>
      <c r="F1783" s="22"/>
      <c r="G1783" s="22"/>
      <c r="H1783" s="22"/>
      <c r="I1783" s="50"/>
      <c r="J1783" s="351"/>
      <c r="K1783" s="448"/>
      <c r="L1783" s="29"/>
      <c r="M1783" s="31"/>
      <c r="N1783" s="14"/>
      <c r="O1783" s="31"/>
      <c r="Q1783" s="36"/>
      <c r="R1783" s="36"/>
      <c r="S1783" s="36"/>
      <c r="T1783" s="36"/>
      <c r="V1783" s="31"/>
    </row>
    <row r="1784">
      <c r="A1784" s="14"/>
      <c r="B1784" s="460"/>
      <c r="C1784" s="302"/>
      <c r="D1784" s="50"/>
      <c r="E1784" s="348"/>
      <c r="F1784" s="22"/>
      <c r="G1784" s="22"/>
      <c r="H1784" s="22"/>
      <c r="I1784" s="50"/>
      <c r="J1784" s="351"/>
      <c r="K1784" s="448"/>
      <c r="L1784" s="29"/>
      <c r="M1784" s="31"/>
      <c r="N1784" s="14"/>
      <c r="O1784" s="31"/>
      <c r="Q1784" s="36"/>
      <c r="R1784" s="36"/>
      <c r="S1784" s="36"/>
      <c r="T1784" s="36"/>
      <c r="V1784" s="31"/>
    </row>
    <row r="1785">
      <c r="A1785" s="14"/>
      <c r="B1785" s="460"/>
      <c r="C1785" s="302"/>
      <c r="D1785" s="50"/>
      <c r="E1785" s="348"/>
      <c r="F1785" s="22"/>
      <c r="G1785" s="22"/>
      <c r="H1785" s="22"/>
      <c r="I1785" s="50"/>
      <c r="J1785" s="351"/>
      <c r="K1785" s="448"/>
      <c r="L1785" s="29"/>
      <c r="M1785" s="31"/>
      <c r="N1785" s="14"/>
      <c r="O1785" s="31"/>
      <c r="Q1785" s="36"/>
      <c r="R1785" s="36"/>
      <c r="S1785" s="36"/>
      <c r="T1785" s="36"/>
      <c r="V1785" s="31"/>
    </row>
    <row r="1786">
      <c r="A1786" s="14"/>
      <c r="B1786" s="460"/>
      <c r="C1786" s="302"/>
      <c r="D1786" s="50"/>
      <c r="E1786" s="348"/>
      <c r="F1786" s="22"/>
      <c r="G1786" s="22"/>
      <c r="H1786" s="22"/>
      <c r="I1786" s="50"/>
      <c r="J1786" s="351"/>
      <c r="K1786" s="448"/>
      <c r="L1786" s="29"/>
      <c r="M1786" s="31"/>
      <c r="N1786" s="14"/>
      <c r="O1786" s="31"/>
      <c r="Q1786" s="36"/>
      <c r="R1786" s="36"/>
      <c r="S1786" s="36"/>
      <c r="T1786" s="36"/>
      <c r="V1786" s="31"/>
    </row>
    <row r="1787">
      <c r="A1787" s="14"/>
      <c r="B1787" s="460"/>
      <c r="C1787" s="302"/>
      <c r="D1787" s="50"/>
      <c r="E1787" s="348"/>
      <c r="F1787" s="22"/>
      <c r="G1787" s="22"/>
      <c r="H1787" s="22"/>
      <c r="I1787" s="50"/>
      <c r="J1787" s="351"/>
      <c r="K1787" s="448"/>
      <c r="L1787" s="29"/>
      <c r="M1787" s="31"/>
      <c r="N1787" s="14"/>
      <c r="O1787" s="31"/>
      <c r="Q1787" s="36"/>
      <c r="R1787" s="36"/>
      <c r="S1787" s="36"/>
      <c r="T1787" s="36"/>
      <c r="V1787" s="31"/>
    </row>
    <row r="1788">
      <c r="A1788" s="14"/>
      <c r="B1788" s="460"/>
      <c r="C1788" s="302"/>
      <c r="D1788" s="50"/>
      <c r="E1788" s="348"/>
      <c r="F1788" s="22"/>
      <c r="G1788" s="22"/>
      <c r="H1788" s="22"/>
      <c r="I1788" s="50"/>
      <c r="J1788" s="351"/>
      <c r="K1788" s="448"/>
      <c r="L1788" s="29"/>
      <c r="M1788" s="31"/>
      <c r="N1788" s="14"/>
      <c r="O1788" s="31"/>
      <c r="Q1788" s="36"/>
      <c r="R1788" s="36"/>
      <c r="S1788" s="36"/>
      <c r="T1788" s="36"/>
      <c r="V1788" s="31"/>
    </row>
    <row r="1789">
      <c r="A1789" s="14"/>
      <c r="B1789" s="460"/>
      <c r="C1789" s="302"/>
      <c r="D1789" s="50"/>
      <c r="E1789" s="348"/>
      <c r="F1789" s="22"/>
      <c r="G1789" s="22"/>
      <c r="H1789" s="22"/>
      <c r="I1789" s="50"/>
      <c r="J1789" s="351"/>
      <c r="K1789" s="448"/>
      <c r="L1789" s="29"/>
      <c r="M1789" s="31"/>
      <c r="N1789" s="14"/>
      <c r="O1789" s="31"/>
      <c r="Q1789" s="36"/>
      <c r="R1789" s="36"/>
      <c r="S1789" s="36"/>
      <c r="T1789" s="36"/>
      <c r="V1789" s="31"/>
    </row>
    <row r="1790">
      <c r="A1790" s="14"/>
      <c r="B1790" s="460"/>
      <c r="C1790" s="302"/>
      <c r="D1790" s="50"/>
      <c r="E1790" s="348"/>
      <c r="F1790" s="22"/>
      <c r="G1790" s="22"/>
      <c r="H1790" s="22"/>
      <c r="I1790" s="50"/>
      <c r="J1790" s="351"/>
      <c r="K1790" s="448"/>
      <c r="L1790" s="29"/>
      <c r="M1790" s="31"/>
      <c r="N1790" s="14"/>
      <c r="O1790" s="31"/>
      <c r="Q1790" s="36"/>
      <c r="R1790" s="36"/>
      <c r="S1790" s="36"/>
      <c r="T1790" s="36"/>
      <c r="V1790" s="31"/>
    </row>
    <row r="1791">
      <c r="A1791" s="14"/>
      <c r="B1791" s="460"/>
      <c r="C1791" s="302"/>
      <c r="D1791" s="50"/>
      <c r="E1791" s="348"/>
      <c r="F1791" s="22"/>
      <c r="G1791" s="22"/>
      <c r="H1791" s="22"/>
      <c r="I1791" s="50"/>
      <c r="J1791" s="351"/>
      <c r="K1791" s="448"/>
      <c r="L1791" s="29"/>
      <c r="M1791" s="31"/>
      <c r="N1791" s="14"/>
      <c r="O1791" s="31"/>
      <c r="Q1791" s="36"/>
      <c r="R1791" s="36"/>
      <c r="S1791" s="36"/>
      <c r="T1791" s="36"/>
      <c r="V1791" s="31"/>
    </row>
    <row r="1792">
      <c r="A1792" s="14"/>
      <c r="B1792" s="460"/>
      <c r="C1792" s="302"/>
      <c r="D1792" s="50"/>
      <c r="E1792" s="348"/>
      <c r="F1792" s="22"/>
      <c r="G1792" s="22"/>
      <c r="H1792" s="22"/>
      <c r="I1792" s="50"/>
      <c r="J1792" s="351"/>
      <c r="K1792" s="448"/>
      <c r="L1792" s="29"/>
      <c r="M1792" s="31"/>
      <c r="N1792" s="14"/>
      <c r="O1792" s="31"/>
      <c r="Q1792" s="36"/>
      <c r="R1792" s="36"/>
      <c r="S1792" s="36"/>
      <c r="T1792" s="36"/>
      <c r="V1792" s="31"/>
    </row>
    <row r="1793">
      <c r="A1793" s="14"/>
      <c r="B1793" s="460"/>
      <c r="C1793" s="302"/>
      <c r="D1793" s="50"/>
      <c r="E1793" s="348"/>
      <c r="F1793" s="22"/>
      <c r="G1793" s="22"/>
      <c r="H1793" s="22"/>
      <c r="I1793" s="50"/>
      <c r="J1793" s="351"/>
      <c r="K1793" s="448"/>
      <c r="L1793" s="29"/>
      <c r="M1793" s="31"/>
      <c r="N1793" s="14"/>
      <c r="O1793" s="31"/>
      <c r="Q1793" s="36"/>
      <c r="R1793" s="36"/>
      <c r="S1793" s="36"/>
      <c r="T1793" s="36"/>
      <c r="V1793" s="31"/>
    </row>
    <row r="1794">
      <c r="A1794" s="14"/>
      <c r="B1794" s="460"/>
      <c r="C1794" s="302"/>
      <c r="D1794" s="50"/>
      <c r="E1794" s="348"/>
      <c r="F1794" s="22"/>
      <c r="G1794" s="22"/>
      <c r="H1794" s="22"/>
      <c r="I1794" s="50"/>
      <c r="J1794" s="351"/>
      <c r="K1794" s="448"/>
      <c r="L1794" s="29"/>
      <c r="M1794" s="31"/>
      <c r="N1794" s="14"/>
      <c r="O1794" s="31"/>
      <c r="Q1794" s="36"/>
      <c r="R1794" s="36"/>
      <c r="S1794" s="36"/>
      <c r="T1794" s="36"/>
      <c r="V1794" s="31"/>
    </row>
    <row r="1795">
      <c r="A1795" s="14"/>
      <c r="B1795" s="460"/>
      <c r="C1795" s="302"/>
      <c r="D1795" s="50"/>
      <c r="E1795" s="348"/>
      <c r="F1795" s="22"/>
      <c r="G1795" s="22"/>
      <c r="H1795" s="22"/>
      <c r="I1795" s="50"/>
      <c r="J1795" s="351"/>
      <c r="K1795" s="448"/>
      <c r="L1795" s="29"/>
      <c r="M1795" s="31"/>
      <c r="N1795" s="14"/>
      <c r="O1795" s="31"/>
      <c r="Q1795" s="36"/>
      <c r="R1795" s="36"/>
      <c r="S1795" s="36"/>
      <c r="T1795" s="36"/>
      <c r="V1795" s="31"/>
    </row>
    <row r="1796">
      <c r="A1796" s="14"/>
      <c r="B1796" s="460"/>
      <c r="C1796" s="302"/>
      <c r="D1796" s="50"/>
      <c r="E1796" s="348"/>
      <c r="F1796" s="22"/>
      <c r="G1796" s="22"/>
      <c r="H1796" s="22"/>
      <c r="I1796" s="50"/>
      <c r="J1796" s="351"/>
      <c r="K1796" s="448"/>
      <c r="L1796" s="29"/>
      <c r="M1796" s="31"/>
      <c r="N1796" s="14"/>
      <c r="O1796" s="31"/>
      <c r="Q1796" s="36"/>
      <c r="R1796" s="36"/>
      <c r="S1796" s="36"/>
      <c r="T1796" s="36"/>
      <c r="V1796" s="31"/>
    </row>
    <row r="1797">
      <c r="A1797" s="14"/>
      <c r="B1797" s="460"/>
      <c r="C1797" s="302"/>
      <c r="D1797" s="50"/>
      <c r="E1797" s="348"/>
      <c r="F1797" s="22"/>
      <c r="G1797" s="22"/>
      <c r="H1797" s="22"/>
      <c r="I1797" s="50"/>
      <c r="J1797" s="351"/>
      <c r="K1797" s="448"/>
      <c r="L1797" s="29"/>
      <c r="M1797" s="31"/>
      <c r="N1797" s="14"/>
      <c r="O1797" s="31"/>
      <c r="Q1797" s="36"/>
      <c r="R1797" s="36"/>
      <c r="S1797" s="36"/>
      <c r="T1797" s="36"/>
      <c r="V1797" s="31"/>
    </row>
    <row r="1798">
      <c r="A1798" s="14"/>
      <c r="B1798" s="460"/>
      <c r="C1798" s="302"/>
      <c r="D1798" s="50"/>
      <c r="E1798" s="348"/>
      <c r="F1798" s="22"/>
      <c r="G1798" s="22"/>
      <c r="H1798" s="22"/>
      <c r="I1798" s="50"/>
      <c r="J1798" s="351"/>
      <c r="K1798" s="448"/>
      <c r="L1798" s="29"/>
      <c r="M1798" s="31"/>
      <c r="N1798" s="14"/>
      <c r="O1798" s="31"/>
      <c r="Q1798" s="36"/>
      <c r="R1798" s="36"/>
      <c r="S1798" s="36"/>
      <c r="T1798" s="36"/>
      <c r="V1798" s="31"/>
    </row>
    <row r="1799">
      <c r="A1799" s="14"/>
      <c r="B1799" s="460"/>
      <c r="C1799" s="302"/>
      <c r="D1799" s="50"/>
      <c r="E1799" s="348"/>
      <c r="F1799" s="22"/>
      <c r="G1799" s="22"/>
      <c r="H1799" s="22"/>
      <c r="I1799" s="50"/>
      <c r="J1799" s="351"/>
      <c r="K1799" s="448"/>
      <c r="L1799" s="29"/>
      <c r="M1799" s="31"/>
      <c r="N1799" s="14"/>
      <c r="O1799" s="31"/>
      <c r="Q1799" s="36"/>
      <c r="R1799" s="36"/>
      <c r="S1799" s="36"/>
      <c r="T1799" s="36"/>
      <c r="V1799" s="31"/>
    </row>
    <row r="1800">
      <c r="A1800" s="14"/>
      <c r="B1800" s="460"/>
      <c r="C1800" s="302"/>
      <c r="D1800" s="50"/>
      <c r="E1800" s="348"/>
      <c r="F1800" s="22"/>
      <c r="G1800" s="22"/>
      <c r="H1800" s="22"/>
      <c r="I1800" s="50"/>
      <c r="J1800" s="351"/>
      <c r="K1800" s="448"/>
      <c r="L1800" s="29"/>
      <c r="M1800" s="31"/>
      <c r="N1800" s="14"/>
      <c r="O1800" s="31"/>
      <c r="Q1800" s="36"/>
      <c r="R1800" s="36"/>
      <c r="S1800" s="36"/>
      <c r="T1800" s="36"/>
      <c r="V1800" s="31"/>
    </row>
    <row r="1801">
      <c r="A1801" s="14"/>
      <c r="B1801" s="460"/>
      <c r="C1801" s="302"/>
      <c r="D1801" s="50"/>
      <c r="E1801" s="348"/>
      <c r="F1801" s="22"/>
      <c r="G1801" s="22"/>
      <c r="H1801" s="22"/>
      <c r="I1801" s="50"/>
      <c r="J1801" s="351"/>
      <c r="K1801" s="448"/>
      <c r="L1801" s="29"/>
      <c r="M1801" s="31"/>
      <c r="N1801" s="14"/>
      <c r="O1801" s="31"/>
      <c r="Q1801" s="36"/>
      <c r="R1801" s="36"/>
      <c r="S1801" s="36"/>
      <c r="T1801" s="36"/>
      <c r="V1801" s="31"/>
    </row>
    <row r="1802">
      <c r="A1802" s="14"/>
      <c r="B1802" s="460"/>
      <c r="C1802" s="302"/>
      <c r="D1802" s="50"/>
      <c r="E1802" s="348"/>
      <c r="F1802" s="22"/>
      <c r="G1802" s="22"/>
      <c r="H1802" s="22"/>
      <c r="I1802" s="50"/>
      <c r="J1802" s="351"/>
      <c r="K1802" s="448"/>
      <c r="L1802" s="29"/>
      <c r="M1802" s="31"/>
      <c r="N1802" s="14"/>
      <c r="O1802" s="31"/>
      <c r="Q1802" s="36"/>
      <c r="R1802" s="36"/>
      <c r="S1802" s="36"/>
      <c r="T1802" s="36"/>
      <c r="V1802" s="31"/>
    </row>
    <row r="1803">
      <c r="A1803" s="14"/>
      <c r="B1803" s="460"/>
      <c r="C1803" s="302"/>
      <c r="D1803" s="50"/>
      <c r="E1803" s="348"/>
      <c r="F1803" s="22"/>
      <c r="G1803" s="22"/>
      <c r="H1803" s="22"/>
      <c r="I1803" s="50"/>
      <c r="J1803" s="351"/>
      <c r="K1803" s="448"/>
      <c r="L1803" s="29"/>
      <c r="M1803" s="31"/>
      <c r="N1803" s="14"/>
      <c r="O1803" s="31"/>
      <c r="Q1803" s="36"/>
      <c r="R1803" s="36"/>
      <c r="S1803" s="36"/>
      <c r="T1803" s="36"/>
      <c r="V1803" s="31"/>
    </row>
    <row r="1804">
      <c r="A1804" s="14"/>
      <c r="B1804" s="460"/>
      <c r="C1804" s="302"/>
      <c r="D1804" s="50"/>
      <c r="E1804" s="348"/>
      <c r="F1804" s="22"/>
      <c r="G1804" s="22"/>
      <c r="H1804" s="22"/>
      <c r="I1804" s="50"/>
      <c r="J1804" s="351"/>
      <c r="K1804" s="448"/>
      <c r="L1804" s="29"/>
      <c r="M1804" s="31"/>
      <c r="N1804" s="14"/>
      <c r="O1804" s="31"/>
      <c r="Q1804" s="36"/>
      <c r="R1804" s="36"/>
      <c r="S1804" s="36"/>
      <c r="T1804" s="36"/>
      <c r="V1804" s="31"/>
    </row>
    <row r="1805">
      <c r="A1805" s="14"/>
      <c r="B1805" s="460"/>
      <c r="C1805" s="302"/>
      <c r="D1805" s="50"/>
      <c r="E1805" s="348"/>
      <c r="F1805" s="22"/>
      <c r="G1805" s="22"/>
      <c r="H1805" s="22"/>
      <c r="I1805" s="50"/>
      <c r="J1805" s="351"/>
      <c r="K1805" s="448"/>
      <c r="L1805" s="29"/>
      <c r="M1805" s="31"/>
      <c r="N1805" s="14"/>
      <c r="O1805" s="31"/>
      <c r="Q1805" s="36"/>
      <c r="R1805" s="36"/>
      <c r="S1805" s="36"/>
      <c r="T1805" s="36"/>
      <c r="V1805" s="31"/>
    </row>
    <row r="1806">
      <c r="A1806" s="14"/>
      <c r="B1806" s="460"/>
      <c r="C1806" s="302"/>
      <c r="D1806" s="50"/>
      <c r="E1806" s="348"/>
      <c r="F1806" s="22"/>
      <c r="G1806" s="22"/>
      <c r="H1806" s="22"/>
      <c r="I1806" s="50"/>
      <c r="J1806" s="351"/>
      <c r="K1806" s="448"/>
      <c r="L1806" s="29"/>
      <c r="M1806" s="31"/>
      <c r="N1806" s="14"/>
      <c r="O1806" s="31"/>
      <c r="Q1806" s="36"/>
      <c r="R1806" s="36"/>
      <c r="S1806" s="36"/>
      <c r="T1806" s="36"/>
      <c r="V1806" s="31"/>
    </row>
    <row r="1807">
      <c r="A1807" s="14"/>
      <c r="B1807" s="460"/>
      <c r="C1807" s="302"/>
      <c r="D1807" s="50"/>
      <c r="E1807" s="348"/>
      <c r="F1807" s="22"/>
      <c r="G1807" s="22"/>
      <c r="H1807" s="22"/>
      <c r="I1807" s="50"/>
      <c r="J1807" s="351"/>
      <c r="K1807" s="448"/>
      <c r="L1807" s="29"/>
      <c r="M1807" s="31"/>
      <c r="N1807" s="14"/>
      <c r="O1807" s="31"/>
      <c r="Q1807" s="36"/>
      <c r="R1807" s="36"/>
      <c r="S1807" s="36"/>
      <c r="T1807" s="36"/>
      <c r="V1807" s="31"/>
    </row>
    <row r="1808">
      <c r="A1808" s="14"/>
      <c r="B1808" s="460"/>
      <c r="C1808" s="302"/>
      <c r="D1808" s="50"/>
      <c r="E1808" s="348"/>
      <c r="F1808" s="22"/>
      <c r="G1808" s="22"/>
      <c r="H1808" s="22"/>
      <c r="I1808" s="50"/>
      <c r="J1808" s="351"/>
      <c r="K1808" s="448"/>
      <c r="L1808" s="29"/>
      <c r="M1808" s="31"/>
      <c r="N1808" s="14"/>
      <c r="O1808" s="31"/>
      <c r="Q1808" s="36"/>
      <c r="R1808" s="36"/>
      <c r="S1808" s="36"/>
      <c r="T1808" s="36"/>
      <c r="V1808" s="31"/>
    </row>
    <row r="1809">
      <c r="A1809" s="14"/>
      <c r="B1809" s="460"/>
      <c r="C1809" s="302"/>
      <c r="D1809" s="50"/>
      <c r="E1809" s="348"/>
      <c r="F1809" s="22"/>
      <c r="G1809" s="22"/>
      <c r="H1809" s="22"/>
      <c r="I1809" s="50"/>
      <c r="J1809" s="351"/>
      <c r="K1809" s="448"/>
      <c r="L1809" s="29"/>
      <c r="M1809" s="31"/>
      <c r="N1809" s="14"/>
      <c r="O1809" s="31"/>
      <c r="Q1809" s="36"/>
      <c r="R1809" s="36"/>
      <c r="S1809" s="36"/>
      <c r="T1809" s="36"/>
      <c r="V1809" s="31"/>
    </row>
    <row r="1810">
      <c r="A1810" s="14"/>
      <c r="B1810" s="460"/>
      <c r="C1810" s="302"/>
      <c r="D1810" s="50"/>
      <c r="E1810" s="348"/>
      <c r="F1810" s="22"/>
      <c r="G1810" s="22"/>
      <c r="H1810" s="22"/>
      <c r="I1810" s="50"/>
      <c r="J1810" s="351"/>
      <c r="K1810" s="448"/>
      <c r="L1810" s="29"/>
      <c r="M1810" s="31"/>
      <c r="N1810" s="14"/>
      <c r="O1810" s="31"/>
      <c r="Q1810" s="36"/>
      <c r="R1810" s="36"/>
      <c r="S1810" s="36"/>
      <c r="T1810" s="36"/>
      <c r="V1810" s="31"/>
    </row>
    <row r="1811">
      <c r="A1811" s="14"/>
      <c r="B1811" s="460"/>
      <c r="C1811" s="302"/>
      <c r="D1811" s="50"/>
      <c r="E1811" s="348"/>
      <c r="F1811" s="22"/>
      <c r="G1811" s="22"/>
      <c r="H1811" s="22"/>
      <c r="I1811" s="50"/>
      <c r="J1811" s="351"/>
      <c r="K1811" s="448"/>
      <c r="L1811" s="29"/>
      <c r="M1811" s="31"/>
      <c r="N1811" s="14"/>
      <c r="O1811" s="31"/>
      <c r="Q1811" s="36"/>
      <c r="R1811" s="36"/>
      <c r="S1811" s="36"/>
      <c r="T1811" s="36"/>
      <c r="V1811" s="31"/>
    </row>
    <row r="1812">
      <c r="A1812" s="14"/>
      <c r="B1812" s="460"/>
      <c r="C1812" s="302"/>
      <c r="D1812" s="50"/>
      <c r="E1812" s="348"/>
      <c r="F1812" s="22"/>
      <c r="G1812" s="22"/>
      <c r="H1812" s="22"/>
      <c r="I1812" s="50"/>
      <c r="J1812" s="351"/>
      <c r="K1812" s="448"/>
      <c r="L1812" s="29"/>
      <c r="M1812" s="31"/>
      <c r="N1812" s="14"/>
      <c r="O1812" s="31"/>
      <c r="Q1812" s="36"/>
      <c r="R1812" s="36"/>
      <c r="S1812" s="36"/>
      <c r="T1812" s="36"/>
      <c r="V1812" s="31"/>
    </row>
    <row r="1813">
      <c r="A1813" s="14"/>
      <c r="B1813" s="460"/>
      <c r="C1813" s="302"/>
      <c r="D1813" s="50"/>
      <c r="E1813" s="348"/>
      <c r="F1813" s="22"/>
      <c r="G1813" s="22"/>
      <c r="H1813" s="22"/>
      <c r="I1813" s="50"/>
      <c r="J1813" s="351"/>
      <c r="K1813" s="448"/>
      <c r="L1813" s="29"/>
      <c r="M1813" s="31"/>
      <c r="N1813" s="14"/>
      <c r="O1813" s="31"/>
      <c r="Q1813" s="36"/>
      <c r="R1813" s="36"/>
      <c r="S1813" s="36"/>
      <c r="T1813" s="36"/>
      <c r="V1813" s="31"/>
    </row>
    <row r="1814">
      <c r="A1814" s="14"/>
      <c r="B1814" s="460"/>
      <c r="C1814" s="302"/>
      <c r="D1814" s="50"/>
      <c r="E1814" s="348"/>
      <c r="F1814" s="22"/>
      <c r="G1814" s="22"/>
      <c r="H1814" s="22"/>
      <c r="I1814" s="50"/>
      <c r="J1814" s="351"/>
      <c r="K1814" s="448"/>
      <c r="L1814" s="29"/>
      <c r="M1814" s="31"/>
      <c r="N1814" s="14"/>
      <c r="O1814" s="31"/>
      <c r="Q1814" s="36"/>
      <c r="R1814" s="36"/>
      <c r="S1814" s="36"/>
      <c r="T1814" s="36"/>
      <c r="V1814" s="31"/>
    </row>
    <row r="1815">
      <c r="A1815" s="14"/>
      <c r="B1815" s="460"/>
      <c r="C1815" s="302"/>
      <c r="D1815" s="50"/>
      <c r="E1815" s="348"/>
      <c r="F1815" s="22"/>
      <c r="G1815" s="22"/>
      <c r="H1815" s="22"/>
      <c r="I1815" s="50"/>
      <c r="J1815" s="351"/>
      <c r="K1815" s="448"/>
      <c r="L1815" s="29"/>
      <c r="M1815" s="31"/>
      <c r="N1815" s="14"/>
      <c r="O1815" s="31"/>
      <c r="Q1815" s="36"/>
      <c r="R1815" s="36"/>
      <c r="S1815" s="36"/>
      <c r="T1815" s="36"/>
      <c r="V1815" s="31"/>
    </row>
    <row r="1816">
      <c r="A1816" s="14"/>
      <c r="B1816" s="460"/>
      <c r="C1816" s="302"/>
      <c r="D1816" s="50"/>
      <c r="E1816" s="348"/>
      <c r="F1816" s="22"/>
      <c r="G1816" s="22"/>
      <c r="H1816" s="22"/>
      <c r="I1816" s="50"/>
      <c r="J1816" s="351"/>
      <c r="K1816" s="448"/>
      <c r="L1816" s="29"/>
      <c r="M1816" s="31"/>
      <c r="N1816" s="14"/>
      <c r="O1816" s="31"/>
      <c r="Q1816" s="36"/>
      <c r="R1816" s="36"/>
      <c r="S1816" s="36"/>
      <c r="T1816" s="36"/>
      <c r="V1816" s="31"/>
    </row>
    <row r="1817">
      <c r="A1817" s="14"/>
      <c r="B1817" s="460"/>
      <c r="C1817" s="302"/>
      <c r="D1817" s="50"/>
      <c r="E1817" s="348"/>
      <c r="F1817" s="22"/>
      <c r="G1817" s="22"/>
      <c r="H1817" s="22"/>
      <c r="I1817" s="50"/>
      <c r="J1817" s="351"/>
      <c r="K1817" s="448"/>
      <c r="L1817" s="29"/>
      <c r="M1817" s="31"/>
      <c r="N1817" s="14"/>
      <c r="O1817" s="31"/>
      <c r="Q1817" s="36"/>
      <c r="R1817" s="36"/>
      <c r="S1817" s="36"/>
      <c r="T1817" s="36"/>
      <c r="V1817" s="31"/>
    </row>
    <row r="1818">
      <c r="A1818" s="14"/>
      <c r="B1818" s="460"/>
      <c r="C1818" s="302"/>
      <c r="D1818" s="50"/>
      <c r="E1818" s="348"/>
      <c r="F1818" s="22"/>
      <c r="G1818" s="22"/>
      <c r="H1818" s="22"/>
      <c r="I1818" s="50"/>
      <c r="J1818" s="351"/>
      <c r="K1818" s="448"/>
      <c r="L1818" s="29"/>
      <c r="M1818" s="31"/>
      <c r="N1818" s="14"/>
      <c r="O1818" s="31"/>
      <c r="Q1818" s="36"/>
      <c r="R1818" s="36"/>
      <c r="S1818" s="36"/>
      <c r="T1818" s="36"/>
      <c r="V1818" s="31"/>
    </row>
    <row r="1819">
      <c r="A1819" s="14"/>
      <c r="B1819" s="460"/>
      <c r="C1819" s="302"/>
      <c r="D1819" s="50"/>
      <c r="E1819" s="348"/>
      <c r="F1819" s="22"/>
      <c r="G1819" s="22"/>
      <c r="H1819" s="22"/>
      <c r="I1819" s="50"/>
      <c r="J1819" s="351"/>
      <c r="K1819" s="448"/>
      <c r="L1819" s="29"/>
      <c r="M1819" s="31"/>
      <c r="N1819" s="14"/>
      <c r="O1819" s="31"/>
      <c r="Q1819" s="36"/>
      <c r="R1819" s="36"/>
      <c r="S1819" s="36"/>
      <c r="T1819" s="36"/>
      <c r="V1819" s="31"/>
    </row>
    <row r="1820">
      <c r="A1820" s="14"/>
      <c r="B1820" s="460"/>
      <c r="C1820" s="302"/>
      <c r="D1820" s="50"/>
      <c r="E1820" s="348"/>
      <c r="F1820" s="22"/>
      <c r="G1820" s="22"/>
      <c r="H1820" s="22"/>
      <c r="I1820" s="50"/>
      <c r="J1820" s="351"/>
      <c r="K1820" s="448"/>
      <c r="L1820" s="29"/>
      <c r="M1820" s="31"/>
      <c r="N1820" s="14"/>
      <c r="O1820" s="31"/>
      <c r="Q1820" s="36"/>
      <c r="R1820" s="36"/>
      <c r="S1820" s="36"/>
      <c r="T1820" s="36"/>
      <c r="V1820" s="31"/>
    </row>
    <row r="1821">
      <c r="A1821" s="14"/>
      <c r="B1821" s="460"/>
      <c r="C1821" s="302"/>
      <c r="D1821" s="50"/>
      <c r="E1821" s="348"/>
      <c r="F1821" s="22"/>
      <c r="G1821" s="22"/>
      <c r="H1821" s="22"/>
      <c r="I1821" s="50"/>
      <c r="J1821" s="351"/>
      <c r="K1821" s="448"/>
      <c r="L1821" s="29"/>
      <c r="M1821" s="31"/>
      <c r="N1821" s="14"/>
      <c r="O1821" s="31"/>
      <c r="Q1821" s="36"/>
      <c r="R1821" s="36"/>
      <c r="S1821" s="36"/>
      <c r="T1821" s="36"/>
      <c r="V1821" s="31"/>
    </row>
    <row r="1822">
      <c r="A1822" s="14"/>
      <c r="B1822" s="460"/>
      <c r="C1822" s="302"/>
      <c r="D1822" s="50"/>
      <c r="E1822" s="348"/>
      <c r="F1822" s="22"/>
      <c r="G1822" s="22"/>
      <c r="H1822" s="22"/>
      <c r="I1822" s="50"/>
      <c r="J1822" s="351"/>
      <c r="K1822" s="448"/>
      <c r="L1822" s="29"/>
      <c r="M1822" s="31"/>
      <c r="N1822" s="14"/>
      <c r="O1822" s="31"/>
      <c r="Q1822" s="36"/>
      <c r="R1822" s="36"/>
      <c r="S1822" s="36"/>
      <c r="T1822" s="36"/>
      <c r="V1822" s="31"/>
    </row>
    <row r="1823">
      <c r="A1823" s="14"/>
      <c r="B1823" s="460"/>
      <c r="C1823" s="302"/>
      <c r="D1823" s="50"/>
      <c r="E1823" s="348"/>
      <c r="F1823" s="22"/>
      <c r="G1823" s="22"/>
      <c r="H1823" s="22"/>
      <c r="I1823" s="50"/>
      <c r="J1823" s="351"/>
      <c r="K1823" s="448"/>
      <c r="L1823" s="29"/>
      <c r="M1823" s="31"/>
      <c r="N1823" s="14"/>
      <c r="O1823" s="31"/>
      <c r="Q1823" s="36"/>
      <c r="R1823" s="36"/>
      <c r="S1823" s="36"/>
      <c r="T1823" s="36"/>
      <c r="V1823" s="31"/>
    </row>
    <row r="1824">
      <c r="A1824" s="14"/>
      <c r="B1824" s="460"/>
      <c r="C1824" s="302"/>
      <c r="D1824" s="50"/>
      <c r="E1824" s="348"/>
      <c r="F1824" s="22"/>
      <c r="G1824" s="22"/>
      <c r="H1824" s="22"/>
      <c r="I1824" s="50"/>
      <c r="J1824" s="351"/>
      <c r="K1824" s="448"/>
      <c r="L1824" s="29"/>
      <c r="M1824" s="31"/>
      <c r="N1824" s="14"/>
      <c r="O1824" s="31"/>
      <c r="Q1824" s="36"/>
      <c r="R1824" s="36"/>
      <c r="S1824" s="36"/>
      <c r="T1824" s="36"/>
      <c r="V1824" s="31"/>
    </row>
    <row r="1825">
      <c r="A1825" s="14"/>
      <c r="B1825" s="460"/>
      <c r="C1825" s="302"/>
      <c r="D1825" s="50"/>
      <c r="E1825" s="348"/>
      <c r="F1825" s="22"/>
      <c r="G1825" s="22"/>
      <c r="H1825" s="22"/>
      <c r="I1825" s="50"/>
      <c r="J1825" s="351"/>
      <c r="K1825" s="448"/>
      <c r="L1825" s="29"/>
      <c r="M1825" s="31"/>
      <c r="N1825" s="14"/>
      <c r="O1825" s="31"/>
      <c r="Q1825" s="36"/>
      <c r="R1825" s="36"/>
      <c r="S1825" s="36"/>
      <c r="T1825" s="36"/>
      <c r="V1825" s="31"/>
    </row>
    <row r="1826">
      <c r="A1826" s="14"/>
      <c r="B1826" s="460"/>
      <c r="C1826" s="302"/>
      <c r="D1826" s="50"/>
      <c r="E1826" s="348"/>
      <c r="F1826" s="22"/>
      <c r="G1826" s="22"/>
      <c r="H1826" s="22"/>
      <c r="I1826" s="50"/>
      <c r="J1826" s="351"/>
      <c r="K1826" s="448"/>
      <c r="L1826" s="29"/>
      <c r="M1826" s="31"/>
      <c r="N1826" s="14"/>
      <c r="O1826" s="31"/>
      <c r="Q1826" s="36"/>
      <c r="R1826" s="36"/>
      <c r="S1826" s="36"/>
      <c r="T1826" s="36"/>
      <c r="V1826" s="31"/>
    </row>
    <row r="1827">
      <c r="A1827" s="14"/>
      <c r="B1827" s="460"/>
      <c r="C1827" s="302"/>
      <c r="D1827" s="50"/>
      <c r="E1827" s="348"/>
      <c r="F1827" s="22"/>
      <c r="G1827" s="22"/>
      <c r="H1827" s="22"/>
      <c r="I1827" s="50"/>
      <c r="J1827" s="351"/>
      <c r="K1827" s="448"/>
      <c r="L1827" s="29"/>
      <c r="M1827" s="31"/>
      <c r="N1827" s="14"/>
      <c r="O1827" s="31"/>
      <c r="Q1827" s="36"/>
      <c r="R1827" s="36"/>
      <c r="S1827" s="36"/>
      <c r="T1827" s="36"/>
      <c r="V1827" s="31"/>
    </row>
    <row r="1828">
      <c r="A1828" s="14"/>
      <c r="B1828" s="460"/>
      <c r="C1828" s="302"/>
      <c r="D1828" s="50"/>
      <c r="E1828" s="348"/>
      <c r="F1828" s="22"/>
      <c r="G1828" s="22"/>
      <c r="H1828" s="22"/>
      <c r="I1828" s="50"/>
      <c r="J1828" s="351"/>
      <c r="K1828" s="448"/>
      <c r="L1828" s="29"/>
      <c r="M1828" s="31"/>
      <c r="N1828" s="14"/>
      <c r="O1828" s="31"/>
      <c r="Q1828" s="36"/>
      <c r="R1828" s="36"/>
      <c r="S1828" s="36"/>
      <c r="T1828" s="36"/>
      <c r="V1828" s="31"/>
    </row>
    <row r="1829">
      <c r="A1829" s="14"/>
      <c r="B1829" s="460"/>
      <c r="C1829" s="302"/>
      <c r="D1829" s="50"/>
      <c r="E1829" s="348"/>
      <c r="F1829" s="22"/>
      <c r="G1829" s="22"/>
      <c r="H1829" s="22"/>
      <c r="I1829" s="50"/>
      <c r="J1829" s="351"/>
      <c r="K1829" s="448"/>
      <c r="L1829" s="29"/>
      <c r="M1829" s="31"/>
      <c r="N1829" s="14"/>
      <c r="O1829" s="31"/>
      <c r="Q1829" s="36"/>
      <c r="R1829" s="36"/>
      <c r="S1829" s="36"/>
      <c r="T1829" s="36"/>
      <c r="V1829" s="31"/>
    </row>
    <row r="1830">
      <c r="A1830" s="14"/>
      <c r="B1830" s="460"/>
      <c r="C1830" s="302"/>
      <c r="D1830" s="50"/>
      <c r="E1830" s="348"/>
      <c r="F1830" s="22"/>
      <c r="G1830" s="22"/>
      <c r="H1830" s="22"/>
      <c r="I1830" s="50"/>
      <c r="J1830" s="351"/>
      <c r="K1830" s="448"/>
      <c r="L1830" s="29"/>
      <c r="M1830" s="31"/>
      <c r="N1830" s="14"/>
      <c r="O1830" s="31"/>
      <c r="Q1830" s="36"/>
      <c r="R1830" s="36"/>
      <c r="S1830" s="36"/>
      <c r="T1830" s="36"/>
      <c r="V1830" s="31"/>
    </row>
    <row r="1831">
      <c r="A1831" s="14"/>
      <c r="B1831" s="460"/>
      <c r="C1831" s="302"/>
      <c r="D1831" s="50"/>
      <c r="E1831" s="348"/>
      <c r="F1831" s="22"/>
      <c r="G1831" s="22"/>
      <c r="H1831" s="22"/>
      <c r="I1831" s="50"/>
      <c r="J1831" s="351"/>
      <c r="K1831" s="448"/>
      <c r="L1831" s="29"/>
      <c r="M1831" s="31"/>
      <c r="N1831" s="14"/>
      <c r="O1831" s="31"/>
      <c r="Q1831" s="36"/>
      <c r="R1831" s="36"/>
      <c r="S1831" s="36"/>
      <c r="T1831" s="36"/>
      <c r="V1831" s="31"/>
    </row>
    <row r="1832">
      <c r="A1832" s="14"/>
      <c r="B1832" s="460"/>
      <c r="C1832" s="302"/>
      <c r="D1832" s="50"/>
      <c r="E1832" s="348"/>
      <c r="F1832" s="22"/>
      <c r="G1832" s="22"/>
      <c r="H1832" s="22"/>
      <c r="I1832" s="50"/>
      <c r="J1832" s="351"/>
      <c r="K1832" s="448"/>
      <c r="L1832" s="29"/>
      <c r="M1832" s="31"/>
      <c r="N1832" s="14"/>
      <c r="O1832" s="31"/>
      <c r="Q1832" s="36"/>
      <c r="R1832" s="36"/>
      <c r="S1832" s="36"/>
      <c r="T1832" s="36"/>
      <c r="V1832" s="31"/>
    </row>
    <row r="1833">
      <c r="A1833" s="14"/>
      <c r="B1833" s="460"/>
      <c r="C1833" s="302"/>
      <c r="D1833" s="50"/>
      <c r="E1833" s="348"/>
      <c r="F1833" s="22"/>
      <c r="G1833" s="22"/>
      <c r="H1833" s="22"/>
      <c r="I1833" s="50"/>
      <c r="J1833" s="351"/>
      <c r="K1833" s="448"/>
      <c r="L1833" s="29"/>
      <c r="M1833" s="31"/>
      <c r="N1833" s="14"/>
      <c r="O1833" s="31"/>
      <c r="Q1833" s="36"/>
      <c r="R1833" s="36"/>
      <c r="S1833" s="36"/>
      <c r="T1833" s="36"/>
      <c r="V1833" s="31"/>
    </row>
    <row r="1834">
      <c r="A1834" s="14"/>
      <c r="B1834" s="460"/>
      <c r="C1834" s="302"/>
      <c r="D1834" s="50"/>
      <c r="E1834" s="348"/>
      <c r="F1834" s="22"/>
      <c r="G1834" s="22"/>
      <c r="H1834" s="22"/>
      <c r="I1834" s="50"/>
      <c r="J1834" s="351"/>
      <c r="K1834" s="448"/>
      <c r="L1834" s="29"/>
      <c r="M1834" s="31"/>
      <c r="N1834" s="14"/>
      <c r="O1834" s="31"/>
      <c r="Q1834" s="36"/>
      <c r="R1834" s="36"/>
      <c r="S1834" s="36"/>
      <c r="T1834" s="36"/>
      <c r="V1834" s="31"/>
    </row>
    <row r="1835">
      <c r="A1835" s="14"/>
      <c r="B1835" s="460"/>
      <c r="C1835" s="302"/>
      <c r="D1835" s="50"/>
      <c r="E1835" s="348"/>
      <c r="F1835" s="22"/>
      <c r="G1835" s="22"/>
      <c r="H1835" s="22"/>
      <c r="I1835" s="50"/>
      <c r="J1835" s="351"/>
      <c r="K1835" s="448"/>
      <c r="L1835" s="29"/>
      <c r="M1835" s="31"/>
      <c r="N1835" s="14"/>
      <c r="O1835" s="31"/>
      <c r="Q1835" s="36"/>
      <c r="R1835" s="36"/>
      <c r="S1835" s="36"/>
      <c r="T1835" s="36"/>
      <c r="V1835" s="31"/>
    </row>
    <row r="1836">
      <c r="A1836" s="14"/>
      <c r="B1836" s="460"/>
      <c r="C1836" s="302"/>
      <c r="D1836" s="50"/>
      <c r="E1836" s="348"/>
      <c r="F1836" s="22"/>
      <c r="G1836" s="22"/>
      <c r="H1836" s="22"/>
      <c r="I1836" s="50"/>
      <c r="J1836" s="351"/>
      <c r="K1836" s="448"/>
      <c r="L1836" s="29"/>
      <c r="M1836" s="31"/>
      <c r="N1836" s="14"/>
      <c r="O1836" s="31"/>
      <c r="Q1836" s="36"/>
      <c r="R1836" s="36"/>
      <c r="S1836" s="36"/>
      <c r="T1836" s="36"/>
      <c r="V1836" s="31"/>
    </row>
    <row r="1837">
      <c r="A1837" s="14"/>
      <c r="B1837" s="460"/>
      <c r="C1837" s="302"/>
      <c r="D1837" s="50"/>
      <c r="E1837" s="348"/>
      <c r="F1837" s="22"/>
      <c r="G1837" s="22"/>
      <c r="H1837" s="22"/>
      <c r="I1837" s="50"/>
      <c r="J1837" s="351"/>
      <c r="K1837" s="448"/>
      <c r="L1837" s="29"/>
      <c r="M1837" s="31"/>
      <c r="N1837" s="14"/>
      <c r="O1837" s="31"/>
      <c r="Q1837" s="36"/>
      <c r="R1837" s="36"/>
      <c r="S1837" s="36"/>
      <c r="T1837" s="36"/>
      <c r="V1837" s="31"/>
    </row>
    <row r="1838">
      <c r="A1838" s="14"/>
      <c r="B1838" s="460"/>
      <c r="C1838" s="302"/>
      <c r="D1838" s="50"/>
      <c r="E1838" s="348"/>
      <c r="F1838" s="22"/>
      <c r="G1838" s="22"/>
      <c r="H1838" s="22"/>
      <c r="I1838" s="50"/>
      <c r="J1838" s="351"/>
      <c r="K1838" s="448"/>
      <c r="L1838" s="29"/>
      <c r="M1838" s="31"/>
      <c r="N1838" s="14"/>
      <c r="O1838" s="31"/>
      <c r="Q1838" s="36"/>
      <c r="R1838" s="36"/>
      <c r="S1838" s="36"/>
      <c r="T1838" s="36"/>
      <c r="V1838" s="31"/>
    </row>
    <row r="1839">
      <c r="A1839" s="14"/>
      <c r="B1839" s="460"/>
      <c r="C1839" s="302"/>
      <c r="D1839" s="50"/>
      <c r="E1839" s="348"/>
      <c r="F1839" s="22"/>
      <c r="G1839" s="22"/>
      <c r="H1839" s="22"/>
      <c r="I1839" s="50"/>
      <c r="J1839" s="351"/>
      <c r="K1839" s="448"/>
      <c r="L1839" s="29"/>
      <c r="M1839" s="31"/>
      <c r="N1839" s="14"/>
      <c r="O1839" s="31"/>
      <c r="Q1839" s="36"/>
      <c r="R1839" s="36"/>
      <c r="S1839" s="36"/>
      <c r="T1839" s="36"/>
      <c r="V1839" s="31"/>
    </row>
    <row r="1840">
      <c r="A1840" s="14"/>
      <c r="B1840" s="460"/>
      <c r="C1840" s="302"/>
      <c r="D1840" s="50"/>
      <c r="E1840" s="348"/>
      <c r="F1840" s="22"/>
      <c r="G1840" s="22"/>
      <c r="H1840" s="22"/>
      <c r="I1840" s="50"/>
      <c r="J1840" s="351"/>
      <c r="K1840" s="448"/>
      <c r="L1840" s="29"/>
      <c r="M1840" s="31"/>
      <c r="N1840" s="14"/>
      <c r="O1840" s="31"/>
      <c r="Q1840" s="36"/>
      <c r="R1840" s="36"/>
      <c r="S1840" s="36"/>
      <c r="T1840" s="36"/>
      <c r="V1840" s="31"/>
    </row>
    <row r="1841">
      <c r="A1841" s="14"/>
      <c r="B1841" s="460"/>
      <c r="C1841" s="302"/>
      <c r="D1841" s="50"/>
      <c r="E1841" s="348"/>
      <c r="F1841" s="22"/>
      <c r="G1841" s="22"/>
      <c r="H1841" s="22"/>
      <c r="I1841" s="50"/>
      <c r="J1841" s="351"/>
      <c r="K1841" s="448"/>
      <c r="L1841" s="29"/>
      <c r="M1841" s="31"/>
      <c r="N1841" s="14"/>
      <c r="O1841" s="31"/>
      <c r="Q1841" s="36"/>
      <c r="R1841" s="36"/>
      <c r="S1841" s="36"/>
      <c r="T1841" s="36"/>
      <c r="V1841" s="31"/>
    </row>
    <row r="1842">
      <c r="A1842" s="14"/>
      <c r="B1842" s="460"/>
      <c r="C1842" s="302"/>
      <c r="D1842" s="50"/>
      <c r="E1842" s="348"/>
      <c r="F1842" s="22"/>
      <c r="G1842" s="22"/>
      <c r="H1842" s="22"/>
      <c r="I1842" s="50"/>
      <c r="J1842" s="351"/>
      <c r="K1842" s="448"/>
      <c r="L1842" s="29"/>
      <c r="M1842" s="31"/>
      <c r="N1842" s="14"/>
      <c r="O1842" s="31"/>
      <c r="Q1842" s="36"/>
      <c r="R1842" s="36"/>
      <c r="S1842" s="36"/>
      <c r="T1842" s="36"/>
      <c r="V1842" s="31"/>
    </row>
    <row r="1843">
      <c r="A1843" s="14"/>
      <c r="B1843" s="460"/>
      <c r="C1843" s="302"/>
      <c r="D1843" s="50"/>
      <c r="E1843" s="348"/>
      <c r="F1843" s="22"/>
      <c r="G1843" s="22"/>
      <c r="H1843" s="22"/>
      <c r="I1843" s="50"/>
      <c r="J1843" s="351"/>
      <c r="K1843" s="448"/>
      <c r="L1843" s="29"/>
      <c r="M1843" s="31"/>
      <c r="N1843" s="14"/>
      <c r="O1843" s="31"/>
      <c r="Q1843" s="36"/>
      <c r="R1843" s="36"/>
      <c r="S1843" s="36"/>
      <c r="T1843" s="36"/>
      <c r="V1843" s="31"/>
    </row>
    <row r="1844">
      <c r="A1844" s="14"/>
      <c r="B1844" s="460"/>
      <c r="C1844" s="302"/>
      <c r="D1844" s="50"/>
      <c r="E1844" s="348"/>
      <c r="F1844" s="22"/>
      <c r="G1844" s="22"/>
      <c r="H1844" s="22"/>
      <c r="I1844" s="50"/>
      <c r="J1844" s="351"/>
      <c r="K1844" s="448"/>
      <c r="L1844" s="29"/>
      <c r="M1844" s="31"/>
      <c r="N1844" s="14"/>
      <c r="O1844" s="31"/>
      <c r="Q1844" s="36"/>
      <c r="R1844" s="36"/>
      <c r="S1844" s="36"/>
      <c r="T1844" s="36"/>
      <c r="V1844" s="31"/>
    </row>
    <row r="1845">
      <c r="A1845" s="14"/>
      <c r="B1845" s="460"/>
      <c r="C1845" s="302"/>
      <c r="D1845" s="50"/>
      <c r="E1845" s="348"/>
      <c r="F1845" s="22"/>
      <c r="G1845" s="22"/>
      <c r="H1845" s="22"/>
      <c r="I1845" s="50"/>
      <c r="J1845" s="351"/>
      <c r="K1845" s="448"/>
      <c r="L1845" s="29"/>
      <c r="M1845" s="31"/>
      <c r="N1845" s="14"/>
      <c r="O1845" s="31"/>
      <c r="Q1845" s="36"/>
      <c r="R1845" s="36"/>
      <c r="S1845" s="36"/>
      <c r="T1845" s="36"/>
      <c r="V1845" s="31"/>
    </row>
    <row r="1846">
      <c r="A1846" s="14"/>
      <c r="B1846" s="460"/>
      <c r="C1846" s="302"/>
      <c r="D1846" s="50"/>
      <c r="E1846" s="348"/>
      <c r="F1846" s="22"/>
      <c r="G1846" s="22"/>
      <c r="H1846" s="22"/>
      <c r="I1846" s="50"/>
      <c r="J1846" s="351"/>
      <c r="K1846" s="448"/>
      <c r="L1846" s="29"/>
      <c r="M1846" s="31"/>
      <c r="N1846" s="14"/>
      <c r="O1846" s="31"/>
      <c r="Q1846" s="36"/>
      <c r="R1846" s="36"/>
      <c r="S1846" s="36"/>
      <c r="T1846" s="36"/>
      <c r="V1846" s="31"/>
    </row>
    <row r="1847">
      <c r="A1847" s="14"/>
      <c r="B1847" s="460"/>
      <c r="C1847" s="302"/>
      <c r="D1847" s="50"/>
      <c r="E1847" s="348"/>
      <c r="F1847" s="22"/>
      <c r="G1847" s="22"/>
      <c r="H1847" s="22"/>
      <c r="I1847" s="50"/>
      <c r="J1847" s="351"/>
      <c r="K1847" s="448"/>
      <c r="L1847" s="29"/>
      <c r="M1847" s="31"/>
      <c r="N1847" s="14"/>
      <c r="O1847" s="31"/>
      <c r="Q1847" s="36"/>
      <c r="R1847" s="36"/>
      <c r="S1847" s="36"/>
      <c r="T1847" s="36"/>
      <c r="V1847" s="31"/>
    </row>
    <row r="1848">
      <c r="A1848" s="14"/>
      <c r="B1848" s="460"/>
      <c r="C1848" s="302"/>
      <c r="D1848" s="50"/>
      <c r="E1848" s="348"/>
      <c r="F1848" s="22"/>
      <c r="G1848" s="22"/>
      <c r="H1848" s="22"/>
      <c r="I1848" s="50"/>
      <c r="J1848" s="351"/>
      <c r="K1848" s="448"/>
      <c r="L1848" s="29"/>
      <c r="M1848" s="31"/>
      <c r="N1848" s="14"/>
      <c r="O1848" s="31"/>
      <c r="Q1848" s="36"/>
      <c r="R1848" s="36"/>
      <c r="S1848" s="36"/>
      <c r="T1848" s="36"/>
      <c r="V1848" s="31"/>
    </row>
    <row r="1849">
      <c r="A1849" s="14"/>
      <c r="B1849" s="460"/>
      <c r="C1849" s="302"/>
      <c r="D1849" s="50"/>
      <c r="E1849" s="348"/>
      <c r="F1849" s="22"/>
      <c r="G1849" s="22"/>
      <c r="H1849" s="22"/>
      <c r="I1849" s="50"/>
      <c r="J1849" s="351"/>
      <c r="K1849" s="448"/>
      <c r="L1849" s="29"/>
      <c r="M1849" s="31"/>
      <c r="N1849" s="14"/>
      <c r="O1849" s="31"/>
      <c r="Q1849" s="36"/>
      <c r="R1849" s="36"/>
      <c r="S1849" s="36"/>
      <c r="T1849" s="36"/>
      <c r="V1849" s="31"/>
    </row>
    <row r="1850">
      <c r="A1850" s="14"/>
      <c r="B1850" s="460"/>
      <c r="C1850" s="302"/>
      <c r="D1850" s="50"/>
      <c r="E1850" s="348"/>
      <c r="F1850" s="22"/>
      <c r="G1850" s="22"/>
      <c r="H1850" s="22"/>
      <c r="I1850" s="50"/>
      <c r="J1850" s="351"/>
      <c r="K1850" s="448"/>
      <c r="L1850" s="29"/>
      <c r="M1850" s="31"/>
      <c r="N1850" s="14"/>
      <c r="O1850" s="31"/>
      <c r="Q1850" s="36"/>
      <c r="R1850" s="36"/>
      <c r="S1850" s="36"/>
      <c r="T1850" s="36"/>
      <c r="V1850" s="31"/>
    </row>
    <row r="1851">
      <c r="A1851" s="14"/>
      <c r="B1851" s="460"/>
      <c r="C1851" s="302"/>
      <c r="D1851" s="50"/>
      <c r="E1851" s="348"/>
      <c r="F1851" s="22"/>
      <c r="G1851" s="22"/>
      <c r="H1851" s="22"/>
      <c r="I1851" s="50"/>
      <c r="J1851" s="351"/>
      <c r="K1851" s="448"/>
      <c r="L1851" s="29"/>
      <c r="M1851" s="31"/>
      <c r="N1851" s="14"/>
      <c r="O1851" s="31"/>
      <c r="Q1851" s="36"/>
      <c r="R1851" s="36"/>
      <c r="S1851" s="36"/>
      <c r="T1851" s="36"/>
      <c r="V1851" s="31"/>
    </row>
    <row r="1852">
      <c r="A1852" s="14"/>
      <c r="B1852" s="460"/>
      <c r="C1852" s="302"/>
      <c r="D1852" s="50"/>
      <c r="E1852" s="348"/>
      <c r="F1852" s="22"/>
      <c r="G1852" s="22"/>
      <c r="H1852" s="22"/>
      <c r="I1852" s="50"/>
      <c r="J1852" s="351"/>
      <c r="K1852" s="448"/>
      <c r="L1852" s="29"/>
      <c r="M1852" s="31"/>
      <c r="N1852" s="14"/>
      <c r="O1852" s="31"/>
      <c r="Q1852" s="36"/>
      <c r="R1852" s="36"/>
      <c r="S1852" s="36"/>
      <c r="T1852" s="36"/>
      <c r="V1852" s="31"/>
    </row>
    <row r="1853">
      <c r="A1853" s="14"/>
      <c r="B1853" s="460"/>
      <c r="C1853" s="302"/>
      <c r="D1853" s="50"/>
      <c r="E1853" s="348"/>
      <c r="F1853" s="22"/>
      <c r="G1853" s="22"/>
      <c r="H1853" s="22"/>
      <c r="I1853" s="50"/>
      <c r="J1853" s="351"/>
      <c r="K1853" s="448"/>
      <c r="L1853" s="29"/>
      <c r="M1853" s="31"/>
      <c r="N1853" s="14"/>
      <c r="O1853" s="31"/>
      <c r="Q1853" s="36"/>
      <c r="R1853" s="36"/>
      <c r="S1853" s="36"/>
      <c r="T1853" s="36"/>
      <c r="V1853" s="31"/>
    </row>
    <row r="1854">
      <c r="A1854" s="14"/>
      <c r="B1854" s="460"/>
      <c r="C1854" s="302"/>
      <c r="D1854" s="50"/>
      <c r="E1854" s="348"/>
      <c r="F1854" s="22"/>
      <c r="G1854" s="22"/>
      <c r="H1854" s="22"/>
      <c r="I1854" s="50"/>
      <c r="J1854" s="351"/>
      <c r="K1854" s="448"/>
      <c r="L1854" s="29"/>
      <c r="M1854" s="31"/>
      <c r="N1854" s="14"/>
      <c r="O1854" s="31"/>
      <c r="Q1854" s="36"/>
      <c r="R1854" s="36"/>
      <c r="S1854" s="36"/>
      <c r="T1854" s="36"/>
      <c r="V1854" s="31"/>
    </row>
    <row r="1855">
      <c r="A1855" s="14"/>
      <c r="B1855" s="460"/>
      <c r="C1855" s="302"/>
      <c r="D1855" s="50"/>
      <c r="E1855" s="348"/>
      <c r="F1855" s="22"/>
      <c r="G1855" s="22"/>
      <c r="H1855" s="22"/>
      <c r="I1855" s="50"/>
      <c r="J1855" s="351"/>
      <c r="K1855" s="448"/>
      <c r="L1855" s="29"/>
      <c r="M1855" s="31"/>
      <c r="N1855" s="14"/>
      <c r="O1855" s="31"/>
      <c r="Q1855" s="36"/>
      <c r="R1855" s="36"/>
      <c r="S1855" s="36"/>
      <c r="T1855" s="36"/>
      <c r="V1855" s="31"/>
    </row>
    <row r="1856">
      <c r="A1856" s="14"/>
      <c r="B1856" s="460"/>
      <c r="C1856" s="302"/>
      <c r="D1856" s="50"/>
      <c r="E1856" s="348"/>
      <c r="F1856" s="22"/>
      <c r="G1856" s="22"/>
      <c r="H1856" s="22"/>
      <c r="I1856" s="50"/>
      <c r="J1856" s="351"/>
      <c r="K1856" s="448"/>
      <c r="L1856" s="29"/>
      <c r="M1856" s="31"/>
      <c r="N1856" s="14"/>
      <c r="O1856" s="31"/>
      <c r="Q1856" s="36"/>
      <c r="R1856" s="36"/>
      <c r="S1856" s="36"/>
      <c r="T1856" s="36"/>
      <c r="V1856" s="31"/>
    </row>
    <row r="1857">
      <c r="A1857" s="14"/>
      <c r="B1857" s="460"/>
      <c r="C1857" s="302"/>
      <c r="D1857" s="50"/>
      <c r="E1857" s="348"/>
      <c r="F1857" s="22"/>
      <c r="G1857" s="22"/>
      <c r="H1857" s="22"/>
      <c r="I1857" s="50"/>
      <c r="J1857" s="351"/>
      <c r="K1857" s="448"/>
      <c r="L1857" s="29"/>
      <c r="M1857" s="31"/>
      <c r="N1857" s="14"/>
      <c r="O1857" s="31"/>
      <c r="Q1857" s="36"/>
      <c r="R1857" s="36"/>
      <c r="S1857" s="36"/>
      <c r="T1857" s="36"/>
      <c r="V1857" s="31"/>
    </row>
    <row r="1858">
      <c r="A1858" s="14"/>
      <c r="B1858" s="460"/>
      <c r="C1858" s="302"/>
      <c r="D1858" s="50"/>
      <c r="E1858" s="348"/>
      <c r="F1858" s="22"/>
      <c r="G1858" s="22"/>
      <c r="H1858" s="22"/>
      <c r="I1858" s="50"/>
      <c r="J1858" s="351"/>
      <c r="K1858" s="448"/>
      <c r="L1858" s="29"/>
      <c r="M1858" s="31"/>
      <c r="N1858" s="14"/>
      <c r="O1858" s="31"/>
      <c r="Q1858" s="36"/>
      <c r="R1858" s="36"/>
      <c r="S1858" s="36"/>
      <c r="T1858" s="36"/>
      <c r="V1858" s="31"/>
    </row>
    <row r="1859">
      <c r="A1859" s="14"/>
      <c r="B1859" s="460"/>
      <c r="C1859" s="302"/>
      <c r="D1859" s="50"/>
      <c r="E1859" s="348"/>
      <c r="F1859" s="22"/>
      <c r="G1859" s="22"/>
      <c r="H1859" s="22"/>
      <c r="I1859" s="50"/>
      <c r="J1859" s="351"/>
      <c r="K1859" s="448"/>
      <c r="L1859" s="29"/>
      <c r="M1859" s="31"/>
      <c r="N1859" s="14"/>
      <c r="O1859" s="31"/>
      <c r="Q1859" s="36"/>
      <c r="R1859" s="36"/>
      <c r="S1859" s="36"/>
      <c r="T1859" s="36"/>
      <c r="V1859" s="31"/>
    </row>
    <row r="1860">
      <c r="A1860" s="14"/>
      <c r="B1860" s="460"/>
      <c r="C1860" s="302"/>
      <c r="D1860" s="50"/>
      <c r="E1860" s="348"/>
      <c r="F1860" s="22"/>
      <c r="G1860" s="22"/>
      <c r="H1860" s="22"/>
      <c r="I1860" s="50"/>
      <c r="J1860" s="351"/>
      <c r="K1860" s="448"/>
      <c r="L1860" s="29"/>
      <c r="M1860" s="31"/>
      <c r="N1860" s="14"/>
      <c r="O1860" s="31"/>
      <c r="Q1860" s="36"/>
      <c r="R1860" s="36"/>
      <c r="S1860" s="36"/>
      <c r="T1860" s="36"/>
      <c r="V1860" s="31"/>
    </row>
    <row r="1861">
      <c r="A1861" s="14"/>
      <c r="B1861" s="460"/>
      <c r="C1861" s="302"/>
      <c r="D1861" s="50"/>
      <c r="E1861" s="348"/>
      <c r="F1861" s="22"/>
      <c r="G1861" s="22"/>
      <c r="H1861" s="22"/>
      <c r="I1861" s="50"/>
      <c r="J1861" s="351"/>
      <c r="K1861" s="448"/>
      <c r="L1861" s="29"/>
      <c r="M1861" s="31"/>
      <c r="N1861" s="14"/>
      <c r="O1861" s="31"/>
      <c r="Q1861" s="36"/>
      <c r="R1861" s="36"/>
      <c r="S1861" s="36"/>
      <c r="T1861" s="36"/>
      <c r="V1861" s="31"/>
    </row>
    <row r="1862">
      <c r="A1862" s="14"/>
      <c r="B1862" s="460"/>
      <c r="C1862" s="302"/>
      <c r="D1862" s="50"/>
      <c r="E1862" s="348"/>
      <c r="F1862" s="22"/>
      <c r="G1862" s="22"/>
      <c r="H1862" s="22"/>
      <c r="I1862" s="50"/>
      <c r="J1862" s="351"/>
      <c r="K1862" s="448"/>
      <c r="L1862" s="29"/>
      <c r="M1862" s="31"/>
      <c r="N1862" s="14"/>
      <c r="O1862" s="31"/>
      <c r="Q1862" s="36"/>
      <c r="R1862" s="36"/>
      <c r="S1862" s="36"/>
      <c r="T1862" s="36"/>
      <c r="V1862" s="31"/>
    </row>
    <row r="1863">
      <c r="A1863" s="14"/>
      <c r="B1863" s="460"/>
      <c r="C1863" s="302"/>
      <c r="D1863" s="50"/>
      <c r="E1863" s="348"/>
      <c r="F1863" s="22"/>
      <c r="G1863" s="22"/>
      <c r="H1863" s="22"/>
      <c r="I1863" s="50"/>
      <c r="J1863" s="351"/>
      <c r="K1863" s="448"/>
      <c r="L1863" s="29"/>
      <c r="M1863" s="31"/>
      <c r="N1863" s="14"/>
      <c r="O1863" s="31"/>
      <c r="Q1863" s="36"/>
      <c r="R1863" s="36"/>
      <c r="S1863" s="36"/>
      <c r="T1863" s="36"/>
      <c r="V1863" s="31"/>
    </row>
    <row r="1864">
      <c r="A1864" s="14"/>
      <c r="B1864" s="460"/>
      <c r="C1864" s="302"/>
      <c r="D1864" s="50"/>
      <c r="E1864" s="348"/>
      <c r="F1864" s="22"/>
      <c r="G1864" s="22"/>
      <c r="H1864" s="22"/>
      <c r="I1864" s="50"/>
      <c r="J1864" s="351"/>
      <c r="K1864" s="448"/>
      <c r="L1864" s="29"/>
      <c r="M1864" s="31"/>
      <c r="N1864" s="14"/>
      <c r="O1864" s="31"/>
      <c r="Q1864" s="36"/>
      <c r="R1864" s="36"/>
      <c r="S1864" s="36"/>
      <c r="T1864" s="36"/>
      <c r="V1864" s="31"/>
    </row>
    <row r="1865">
      <c r="A1865" s="14"/>
      <c r="B1865" s="460"/>
      <c r="C1865" s="302"/>
      <c r="D1865" s="50"/>
      <c r="E1865" s="348"/>
      <c r="F1865" s="22"/>
      <c r="G1865" s="22"/>
      <c r="H1865" s="22"/>
      <c r="I1865" s="50"/>
      <c r="J1865" s="351"/>
      <c r="K1865" s="448"/>
      <c r="L1865" s="29"/>
      <c r="M1865" s="31"/>
      <c r="N1865" s="14"/>
      <c r="O1865" s="31"/>
      <c r="Q1865" s="36"/>
      <c r="R1865" s="36"/>
      <c r="S1865" s="36"/>
      <c r="T1865" s="36"/>
      <c r="V1865" s="31"/>
    </row>
    <row r="1866">
      <c r="A1866" s="14"/>
      <c r="B1866" s="460"/>
      <c r="C1866" s="302"/>
      <c r="D1866" s="50"/>
      <c r="E1866" s="348"/>
      <c r="F1866" s="22"/>
      <c r="G1866" s="22"/>
      <c r="H1866" s="22"/>
      <c r="I1866" s="50"/>
      <c r="J1866" s="351"/>
      <c r="K1866" s="448"/>
      <c r="L1866" s="29"/>
      <c r="M1866" s="31"/>
      <c r="N1866" s="14"/>
      <c r="O1866" s="31"/>
      <c r="Q1866" s="36"/>
      <c r="R1866" s="36"/>
      <c r="S1866" s="36"/>
      <c r="T1866" s="36"/>
      <c r="V1866" s="31"/>
    </row>
    <row r="1867">
      <c r="A1867" s="14"/>
      <c r="B1867" s="460"/>
      <c r="C1867" s="302"/>
      <c r="D1867" s="50"/>
      <c r="E1867" s="348"/>
      <c r="F1867" s="22"/>
      <c r="G1867" s="22"/>
      <c r="H1867" s="22"/>
      <c r="I1867" s="50"/>
      <c r="J1867" s="351"/>
      <c r="K1867" s="448"/>
      <c r="L1867" s="29"/>
      <c r="M1867" s="31"/>
      <c r="N1867" s="14"/>
      <c r="O1867" s="31"/>
      <c r="Q1867" s="36"/>
      <c r="R1867" s="36"/>
      <c r="S1867" s="36"/>
      <c r="T1867" s="36"/>
      <c r="V1867" s="31"/>
    </row>
    <row r="1868">
      <c r="A1868" s="14"/>
      <c r="B1868" s="460"/>
      <c r="C1868" s="302"/>
      <c r="D1868" s="50"/>
      <c r="E1868" s="348"/>
      <c r="F1868" s="22"/>
      <c r="G1868" s="22"/>
      <c r="H1868" s="22"/>
      <c r="I1868" s="50"/>
      <c r="J1868" s="351"/>
      <c r="K1868" s="448"/>
      <c r="L1868" s="29"/>
      <c r="M1868" s="31"/>
      <c r="N1868" s="14"/>
      <c r="O1868" s="31"/>
      <c r="Q1868" s="36"/>
      <c r="R1868" s="36"/>
      <c r="S1868" s="36"/>
      <c r="T1868" s="36"/>
      <c r="V1868" s="31"/>
    </row>
    <row r="1869">
      <c r="A1869" s="14"/>
      <c r="B1869" s="460"/>
      <c r="C1869" s="302"/>
      <c r="D1869" s="50"/>
      <c r="E1869" s="348"/>
      <c r="F1869" s="22"/>
      <c r="G1869" s="22"/>
      <c r="H1869" s="22"/>
      <c r="I1869" s="50"/>
      <c r="J1869" s="351"/>
      <c r="K1869" s="448"/>
      <c r="L1869" s="29"/>
      <c r="M1869" s="31"/>
      <c r="N1869" s="14"/>
      <c r="O1869" s="31"/>
      <c r="Q1869" s="36"/>
      <c r="R1869" s="36"/>
      <c r="S1869" s="36"/>
      <c r="T1869" s="36"/>
      <c r="V1869" s="31"/>
    </row>
    <row r="1870">
      <c r="A1870" s="14"/>
      <c r="B1870" s="460"/>
      <c r="C1870" s="302"/>
      <c r="D1870" s="50"/>
      <c r="E1870" s="348"/>
      <c r="F1870" s="22"/>
      <c r="G1870" s="22"/>
      <c r="H1870" s="22"/>
      <c r="I1870" s="50"/>
      <c r="J1870" s="351"/>
      <c r="K1870" s="448"/>
      <c r="L1870" s="29"/>
      <c r="M1870" s="31"/>
      <c r="N1870" s="14"/>
      <c r="O1870" s="31"/>
      <c r="Q1870" s="36"/>
      <c r="R1870" s="36"/>
      <c r="S1870" s="36"/>
      <c r="T1870" s="36"/>
      <c r="V1870" s="31"/>
    </row>
    <row r="1871">
      <c r="A1871" s="14"/>
      <c r="B1871" s="460"/>
      <c r="C1871" s="302"/>
      <c r="D1871" s="50"/>
      <c r="E1871" s="348"/>
      <c r="F1871" s="22"/>
      <c r="G1871" s="22"/>
      <c r="H1871" s="22"/>
      <c r="I1871" s="50"/>
      <c r="J1871" s="351"/>
      <c r="K1871" s="448"/>
      <c r="L1871" s="29"/>
      <c r="M1871" s="31"/>
      <c r="N1871" s="14"/>
      <c r="O1871" s="31"/>
      <c r="Q1871" s="36"/>
      <c r="R1871" s="36"/>
      <c r="S1871" s="36"/>
      <c r="T1871" s="36"/>
      <c r="V1871" s="31"/>
    </row>
    <row r="1872">
      <c r="A1872" s="14"/>
      <c r="B1872" s="460"/>
      <c r="C1872" s="302"/>
      <c r="D1872" s="50"/>
      <c r="E1872" s="348"/>
      <c r="F1872" s="22"/>
      <c r="G1872" s="22"/>
      <c r="H1872" s="22"/>
      <c r="I1872" s="50"/>
      <c r="J1872" s="351"/>
      <c r="K1872" s="448"/>
      <c r="L1872" s="29"/>
      <c r="M1872" s="31"/>
      <c r="N1872" s="14"/>
      <c r="O1872" s="31"/>
      <c r="Q1872" s="36"/>
      <c r="R1872" s="36"/>
      <c r="S1872" s="36"/>
      <c r="T1872" s="36"/>
      <c r="V1872" s="31"/>
    </row>
    <row r="1873">
      <c r="A1873" s="14"/>
      <c r="B1873" s="460"/>
      <c r="C1873" s="302"/>
      <c r="D1873" s="50"/>
      <c r="E1873" s="348"/>
      <c r="F1873" s="22"/>
      <c r="G1873" s="22"/>
      <c r="H1873" s="22"/>
      <c r="I1873" s="50"/>
      <c r="J1873" s="351"/>
      <c r="K1873" s="448"/>
      <c r="L1873" s="29"/>
      <c r="M1873" s="31"/>
      <c r="N1873" s="14"/>
      <c r="O1873" s="31"/>
      <c r="Q1873" s="36"/>
      <c r="R1873" s="36"/>
      <c r="S1873" s="36"/>
      <c r="T1873" s="36"/>
      <c r="V1873" s="31"/>
    </row>
    <row r="1874">
      <c r="A1874" s="14"/>
      <c r="B1874" s="460"/>
      <c r="C1874" s="302"/>
      <c r="D1874" s="50"/>
      <c r="E1874" s="348"/>
      <c r="F1874" s="22"/>
      <c r="G1874" s="22"/>
      <c r="H1874" s="22"/>
      <c r="I1874" s="50"/>
      <c r="J1874" s="351"/>
      <c r="K1874" s="448"/>
      <c r="L1874" s="29"/>
      <c r="M1874" s="31"/>
      <c r="N1874" s="14"/>
      <c r="O1874" s="31"/>
      <c r="Q1874" s="36"/>
      <c r="R1874" s="36"/>
      <c r="S1874" s="36"/>
      <c r="T1874" s="36"/>
      <c r="V1874" s="31"/>
    </row>
    <row r="1875">
      <c r="A1875" s="14"/>
      <c r="B1875" s="460"/>
      <c r="C1875" s="302"/>
      <c r="D1875" s="50"/>
      <c r="E1875" s="348"/>
      <c r="F1875" s="22"/>
      <c r="G1875" s="22"/>
      <c r="H1875" s="22"/>
      <c r="I1875" s="50"/>
      <c r="J1875" s="351"/>
      <c r="K1875" s="448"/>
      <c r="L1875" s="29"/>
      <c r="M1875" s="31"/>
      <c r="N1875" s="14"/>
      <c r="O1875" s="31"/>
      <c r="Q1875" s="36"/>
      <c r="R1875" s="36"/>
      <c r="S1875" s="36"/>
      <c r="T1875" s="36"/>
      <c r="V1875" s="31"/>
    </row>
    <row r="1876">
      <c r="A1876" s="14"/>
      <c r="B1876" s="460"/>
      <c r="C1876" s="302"/>
      <c r="D1876" s="50"/>
      <c r="E1876" s="348"/>
      <c r="F1876" s="22"/>
      <c r="G1876" s="22"/>
      <c r="H1876" s="22"/>
      <c r="I1876" s="50"/>
      <c r="J1876" s="351"/>
      <c r="K1876" s="448"/>
      <c r="L1876" s="29"/>
      <c r="M1876" s="31"/>
      <c r="N1876" s="14"/>
      <c r="O1876" s="31"/>
      <c r="Q1876" s="36"/>
      <c r="R1876" s="36"/>
      <c r="S1876" s="36"/>
      <c r="T1876" s="36"/>
      <c r="V1876" s="31"/>
    </row>
    <row r="1877">
      <c r="A1877" s="14"/>
      <c r="B1877" s="460"/>
      <c r="C1877" s="302"/>
      <c r="D1877" s="50"/>
      <c r="E1877" s="348"/>
      <c r="F1877" s="22"/>
      <c r="G1877" s="22"/>
      <c r="H1877" s="22"/>
      <c r="I1877" s="50"/>
      <c r="J1877" s="351"/>
      <c r="K1877" s="448"/>
      <c r="L1877" s="29"/>
      <c r="M1877" s="31"/>
      <c r="N1877" s="14"/>
      <c r="O1877" s="31"/>
      <c r="Q1877" s="36"/>
      <c r="R1877" s="36"/>
      <c r="S1877" s="36"/>
      <c r="T1877" s="36"/>
      <c r="V1877" s="31"/>
    </row>
    <row r="1878">
      <c r="A1878" s="14"/>
      <c r="B1878" s="460"/>
      <c r="C1878" s="302"/>
      <c r="D1878" s="50"/>
      <c r="E1878" s="348"/>
      <c r="F1878" s="22"/>
      <c r="G1878" s="22"/>
      <c r="H1878" s="22"/>
      <c r="I1878" s="50"/>
      <c r="J1878" s="351"/>
      <c r="K1878" s="448"/>
      <c r="L1878" s="29"/>
      <c r="M1878" s="31"/>
      <c r="N1878" s="14"/>
      <c r="O1878" s="31"/>
      <c r="Q1878" s="36"/>
      <c r="R1878" s="36"/>
      <c r="S1878" s="36"/>
      <c r="T1878" s="36"/>
      <c r="V1878" s="31"/>
    </row>
    <row r="1879">
      <c r="A1879" s="14"/>
      <c r="B1879" s="460"/>
      <c r="C1879" s="302"/>
      <c r="D1879" s="50"/>
      <c r="E1879" s="348"/>
      <c r="F1879" s="22"/>
      <c r="G1879" s="22"/>
      <c r="H1879" s="22"/>
      <c r="I1879" s="50"/>
      <c r="J1879" s="351"/>
      <c r="K1879" s="448"/>
      <c r="L1879" s="29"/>
      <c r="M1879" s="31"/>
      <c r="N1879" s="14"/>
      <c r="O1879" s="31"/>
      <c r="Q1879" s="36"/>
      <c r="R1879" s="36"/>
      <c r="S1879" s="36"/>
      <c r="T1879" s="36"/>
      <c r="V1879" s="31"/>
    </row>
    <row r="1880">
      <c r="A1880" s="14"/>
      <c r="B1880" s="460"/>
      <c r="C1880" s="302"/>
      <c r="D1880" s="50"/>
      <c r="E1880" s="348"/>
      <c r="F1880" s="22"/>
      <c r="G1880" s="22"/>
      <c r="H1880" s="22"/>
      <c r="I1880" s="50"/>
      <c r="J1880" s="351"/>
      <c r="K1880" s="448"/>
      <c r="L1880" s="29"/>
      <c r="M1880" s="31"/>
      <c r="N1880" s="14"/>
      <c r="O1880" s="31"/>
      <c r="Q1880" s="36"/>
      <c r="R1880" s="36"/>
      <c r="S1880" s="36"/>
      <c r="T1880" s="36"/>
      <c r="V1880" s="31"/>
    </row>
    <row r="1881">
      <c r="A1881" s="14"/>
      <c r="B1881" s="460"/>
      <c r="C1881" s="302"/>
      <c r="D1881" s="50"/>
      <c r="E1881" s="348"/>
      <c r="F1881" s="22"/>
      <c r="G1881" s="22"/>
      <c r="H1881" s="22"/>
      <c r="I1881" s="50"/>
      <c r="J1881" s="351"/>
      <c r="K1881" s="448"/>
      <c r="L1881" s="29"/>
      <c r="M1881" s="31"/>
      <c r="N1881" s="14"/>
      <c r="O1881" s="31"/>
      <c r="Q1881" s="36"/>
      <c r="R1881" s="36"/>
      <c r="S1881" s="36"/>
      <c r="T1881" s="36"/>
      <c r="V1881" s="31"/>
    </row>
    <row r="1882">
      <c r="A1882" s="14"/>
      <c r="B1882" s="460"/>
      <c r="C1882" s="302"/>
      <c r="D1882" s="50"/>
      <c r="E1882" s="348"/>
      <c r="F1882" s="22"/>
      <c r="G1882" s="22"/>
      <c r="H1882" s="22"/>
      <c r="I1882" s="50"/>
      <c r="J1882" s="351"/>
      <c r="K1882" s="448"/>
      <c r="L1882" s="29"/>
      <c r="M1882" s="31"/>
      <c r="N1882" s="14"/>
      <c r="O1882" s="31"/>
      <c r="Q1882" s="36"/>
      <c r="R1882" s="36"/>
      <c r="S1882" s="36"/>
      <c r="T1882" s="36"/>
      <c r="V1882" s="31"/>
    </row>
    <row r="1883">
      <c r="A1883" s="14"/>
      <c r="B1883" s="460"/>
      <c r="C1883" s="302"/>
      <c r="D1883" s="50"/>
      <c r="E1883" s="348"/>
      <c r="F1883" s="22"/>
      <c r="G1883" s="22"/>
      <c r="H1883" s="22"/>
      <c r="I1883" s="50"/>
      <c r="J1883" s="351"/>
      <c r="K1883" s="448"/>
      <c r="L1883" s="29"/>
      <c r="M1883" s="31"/>
      <c r="N1883" s="14"/>
      <c r="O1883" s="31"/>
      <c r="Q1883" s="36"/>
      <c r="R1883" s="36"/>
      <c r="S1883" s="36"/>
      <c r="T1883" s="36"/>
      <c r="V1883" s="31"/>
    </row>
    <row r="1884">
      <c r="A1884" s="14"/>
      <c r="B1884" s="460"/>
      <c r="C1884" s="302"/>
      <c r="D1884" s="50"/>
      <c r="E1884" s="348"/>
      <c r="F1884" s="22"/>
      <c r="G1884" s="22"/>
      <c r="H1884" s="22"/>
      <c r="I1884" s="50"/>
      <c r="J1884" s="351"/>
      <c r="K1884" s="448"/>
      <c r="L1884" s="29"/>
      <c r="M1884" s="31"/>
      <c r="N1884" s="14"/>
      <c r="O1884" s="31"/>
      <c r="Q1884" s="36"/>
      <c r="R1884" s="36"/>
      <c r="S1884" s="36"/>
      <c r="T1884" s="36"/>
      <c r="V1884" s="31"/>
    </row>
    <row r="1885">
      <c r="A1885" s="14"/>
      <c r="B1885" s="460"/>
      <c r="C1885" s="302"/>
      <c r="D1885" s="50"/>
      <c r="E1885" s="348"/>
      <c r="F1885" s="22"/>
      <c r="G1885" s="22"/>
      <c r="H1885" s="22"/>
      <c r="I1885" s="50"/>
      <c r="J1885" s="351"/>
      <c r="K1885" s="448"/>
      <c r="L1885" s="29"/>
      <c r="M1885" s="31"/>
      <c r="N1885" s="14"/>
      <c r="O1885" s="31"/>
      <c r="Q1885" s="36"/>
      <c r="R1885" s="36"/>
      <c r="S1885" s="36"/>
      <c r="T1885" s="36"/>
      <c r="V1885" s="31"/>
    </row>
    <row r="1886">
      <c r="A1886" s="14"/>
      <c r="B1886" s="460"/>
      <c r="C1886" s="302"/>
      <c r="D1886" s="50"/>
      <c r="E1886" s="348"/>
      <c r="F1886" s="22"/>
      <c r="G1886" s="22"/>
      <c r="H1886" s="22"/>
      <c r="I1886" s="50"/>
      <c r="J1886" s="351"/>
      <c r="K1886" s="448"/>
      <c r="L1886" s="29"/>
      <c r="M1886" s="31"/>
      <c r="N1886" s="14"/>
      <c r="O1886" s="31"/>
      <c r="Q1886" s="36"/>
      <c r="R1886" s="36"/>
      <c r="S1886" s="36"/>
      <c r="T1886" s="36"/>
      <c r="V1886" s="31"/>
    </row>
    <row r="1887">
      <c r="A1887" s="14"/>
      <c r="B1887" s="460"/>
      <c r="C1887" s="302"/>
      <c r="D1887" s="50"/>
      <c r="E1887" s="348"/>
      <c r="F1887" s="22"/>
      <c r="G1887" s="22"/>
      <c r="H1887" s="22"/>
      <c r="I1887" s="50"/>
      <c r="J1887" s="351"/>
      <c r="K1887" s="448"/>
      <c r="L1887" s="29"/>
      <c r="M1887" s="31"/>
      <c r="N1887" s="14"/>
      <c r="O1887" s="31"/>
      <c r="Q1887" s="36"/>
      <c r="R1887" s="36"/>
      <c r="S1887" s="36"/>
      <c r="T1887" s="36"/>
      <c r="V1887" s="31"/>
    </row>
    <row r="1888">
      <c r="A1888" s="14"/>
      <c r="B1888" s="460"/>
      <c r="C1888" s="302"/>
      <c r="D1888" s="50"/>
      <c r="E1888" s="348"/>
      <c r="F1888" s="22"/>
      <c r="G1888" s="22"/>
      <c r="H1888" s="22"/>
      <c r="I1888" s="50"/>
      <c r="J1888" s="351"/>
      <c r="K1888" s="448"/>
      <c r="L1888" s="29"/>
      <c r="M1888" s="31"/>
      <c r="N1888" s="14"/>
      <c r="O1888" s="31"/>
      <c r="Q1888" s="36"/>
      <c r="R1888" s="36"/>
      <c r="S1888" s="36"/>
      <c r="T1888" s="36"/>
      <c r="V1888" s="31"/>
    </row>
    <row r="1889">
      <c r="A1889" s="14"/>
      <c r="B1889" s="460"/>
      <c r="C1889" s="302"/>
      <c r="D1889" s="50"/>
      <c r="E1889" s="348"/>
      <c r="F1889" s="22"/>
      <c r="G1889" s="22"/>
      <c r="H1889" s="22"/>
      <c r="I1889" s="50"/>
      <c r="J1889" s="351"/>
      <c r="K1889" s="448"/>
      <c r="L1889" s="29"/>
      <c r="M1889" s="31"/>
      <c r="N1889" s="14"/>
      <c r="O1889" s="31"/>
      <c r="Q1889" s="36"/>
      <c r="R1889" s="36"/>
      <c r="S1889" s="36"/>
      <c r="T1889" s="36"/>
      <c r="V1889" s="31"/>
    </row>
    <row r="1890">
      <c r="A1890" s="14"/>
      <c r="B1890" s="460"/>
      <c r="C1890" s="302"/>
      <c r="D1890" s="50"/>
      <c r="E1890" s="348"/>
      <c r="F1890" s="22"/>
      <c r="G1890" s="22"/>
      <c r="H1890" s="22"/>
      <c r="I1890" s="50"/>
      <c r="J1890" s="351"/>
      <c r="K1890" s="448"/>
      <c r="L1890" s="29"/>
      <c r="M1890" s="31"/>
      <c r="N1890" s="14"/>
      <c r="O1890" s="31"/>
      <c r="Q1890" s="36"/>
      <c r="R1890" s="36"/>
      <c r="S1890" s="36"/>
      <c r="T1890" s="36"/>
      <c r="V1890" s="31"/>
    </row>
    <row r="1891">
      <c r="A1891" s="14"/>
      <c r="B1891" s="460"/>
      <c r="C1891" s="302"/>
      <c r="D1891" s="50"/>
      <c r="E1891" s="348"/>
      <c r="F1891" s="22"/>
      <c r="G1891" s="22"/>
      <c r="H1891" s="22"/>
      <c r="I1891" s="50"/>
      <c r="J1891" s="351"/>
      <c r="K1891" s="448"/>
      <c r="L1891" s="29"/>
      <c r="M1891" s="31"/>
      <c r="N1891" s="14"/>
      <c r="O1891" s="31"/>
      <c r="Q1891" s="36"/>
      <c r="R1891" s="36"/>
      <c r="S1891" s="36"/>
      <c r="T1891" s="36"/>
      <c r="V1891" s="31"/>
    </row>
    <row r="1892">
      <c r="A1892" s="14"/>
      <c r="B1892" s="460"/>
      <c r="C1892" s="302"/>
      <c r="D1892" s="50"/>
      <c r="E1892" s="348"/>
      <c r="F1892" s="22"/>
      <c r="G1892" s="22"/>
      <c r="H1892" s="22"/>
      <c r="I1892" s="50"/>
      <c r="J1892" s="351"/>
      <c r="K1892" s="448"/>
      <c r="L1892" s="29"/>
      <c r="M1892" s="31"/>
      <c r="N1892" s="14"/>
      <c r="O1892" s="31"/>
      <c r="Q1892" s="36"/>
      <c r="R1892" s="36"/>
      <c r="S1892" s="36"/>
      <c r="T1892" s="36"/>
      <c r="V1892" s="31"/>
    </row>
    <row r="1893">
      <c r="A1893" s="14"/>
      <c r="B1893" s="460"/>
      <c r="C1893" s="302"/>
      <c r="D1893" s="50"/>
      <c r="E1893" s="348"/>
      <c r="F1893" s="22"/>
      <c r="G1893" s="22"/>
      <c r="H1893" s="22"/>
      <c r="I1893" s="50"/>
      <c r="J1893" s="351"/>
      <c r="K1893" s="448"/>
      <c r="L1893" s="29"/>
      <c r="M1893" s="31"/>
      <c r="N1893" s="14"/>
      <c r="O1893" s="31"/>
      <c r="Q1893" s="36"/>
      <c r="R1893" s="36"/>
      <c r="S1893" s="36"/>
      <c r="T1893" s="36"/>
      <c r="V1893" s="31"/>
    </row>
    <row r="1894">
      <c r="A1894" s="14"/>
      <c r="B1894" s="460"/>
      <c r="C1894" s="302"/>
      <c r="D1894" s="50"/>
      <c r="E1894" s="348"/>
      <c r="F1894" s="22"/>
      <c r="G1894" s="22"/>
      <c r="H1894" s="22"/>
      <c r="I1894" s="50"/>
      <c r="J1894" s="351"/>
      <c r="K1894" s="448"/>
      <c r="L1894" s="29"/>
      <c r="M1894" s="31"/>
      <c r="N1894" s="14"/>
      <c r="O1894" s="31"/>
      <c r="Q1894" s="36"/>
      <c r="R1894" s="36"/>
      <c r="S1894" s="36"/>
      <c r="T1894" s="36"/>
      <c r="V1894" s="31"/>
    </row>
    <row r="1895">
      <c r="A1895" s="14"/>
      <c r="B1895" s="460"/>
      <c r="C1895" s="302"/>
      <c r="D1895" s="50"/>
      <c r="E1895" s="348"/>
      <c r="F1895" s="22"/>
      <c r="G1895" s="22"/>
      <c r="H1895" s="22"/>
      <c r="I1895" s="50"/>
      <c r="J1895" s="351"/>
      <c r="K1895" s="448"/>
      <c r="L1895" s="29"/>
      <c r="M1895" s="31"/>
      <c r="N1895" s="14"/>
      <c r="O1895" s="31"/>
      <c r="Q1895" s="36"/>
      <c r="R1895" s="36"/>
      <c r="S1895" s="36"/>
      <c r="T1895" s="36"/>
      <c r="V1895" s="31"/>
    </row>
    <row r="1896">
      <c r="A1896" s="14"/>
      <c r="B1896" s="460"/>
      <c r="C1896" s="302"/>
      <c r="D1896" s="50"/>
      <c r="E1896" s="348"/>
      <c r="F1896" s="22"/>
      <c r="G1896" s="22"/>
      <c r="H1896" s="22"/>
      <c r="I1896" s="50"/>
      <c r="J1896" s="351"/>
      <c r="K1896" s="448"/>
      <c r="L1896" s="29"/>
      <c r="M1896" s="31"/>
      <c r="N1896" s="14"/>
      <c r="O1896" s="31"/>
      <c r="Q1896" s="36"/>
      <c r="R1896" s="36"/>
      <c r="S1896" s="36"/>
      <c r="T1896" s="36"/>
      <c r="V1896" s="31"/>
    </row>
    <row r="1897">
      <c r="A1897" s="14"/>
      <c r="B1897" s="460"/>
      <c r="C1897" s="302"/>
      <c r="D1897" s="50"/>
      <c r="E1897" s="348"/>
      <c r="F1897" s="22"/>
      <c r="G1897" s="22"/>
      <c r="H1897" s="22"/>
      <c r="I1897" s="50"/>
      <c r="J1897" s="351"/>
      <c r="K1897" s="448"/>
      <c r="L1897" s="29"/>
      <c r="M1897" s="31"/>
      <c r="N1897" s="14"/>
      <c r="O1897" s="31"/>
      <c r="Q1897" s="36"/>
      <c r="R1897" s="36"/>
      <c r="S1897" s="36"/>
      <c r="T1897" s="36"/>
      <c r="V1897" s="31"/>
    </row>
    <row r="1898">
      <c r="A1898" s="14"/>
      <c r="B1898" s="460"/>
      <c r="C1898" s="302"/>
      <c r="D1898" s="50"/>
      <c r="E1898" s="348"/>
      <c r="F1898" s="22"/>
      <c r="G1898" s="22"/>
      <c r="H1898" s="22"/>
      <c r="I1898" s="50"/>
      <c r="J1898" s="351"/>
      <c r="K1898" s="448"/>
      <c r="L1898" s="29"/>
      <c r="M1898" s="31"/>
      <c r="N1898" s="14"/>
      <c r="O1898" s="31"/>
      <c r="Q1898" s="36"/>
      <c r="R1898" s="36"/>
      <c r="S1898" s="36"/>
      <c r="T1898" s="36"/>
      <c r="V1898" s="31"/>
    </row>
    <row r="1899">
      <c r="A1899" s="14"/>
      <c r="B1899" s="460"/>
      <c r="C1899" s="302"/>
      <c r="D1899" s="50"/>
      <c r="E1899" s="348"/>
      <c r="F1899" s="22"/>
      <c r="G1899" s="22"/>
      <c r="H1899" s="22"/>
      <c r="I1899" s="50"/>
      <c r="J1899" s="351"/>
      <c r="K1899" s="448"/>
      <c r="L1899" s="29"/>
      <c r="M1899" s="31"/>
      <c r="N1899" s="14"/>
      <c r="O1899" s="31"/>
      <c r="Q1899" s="36"/>
      <c r="R1899" s="36"/>
      <c r="S1899" s="36"/>
      <c r="T1899" s="36"/>
      <c r="V1899" s="31"/>
    </row>
    <row r="1900">
      <c r="A1900" s="14"/>
      <c r="B1900" s="460"/>
      <c r="C1900" s="302"/>
      <c r="D1900" s="50"/>
      <c r="E1900" s="348"/>
      <c r="F1900" s="22"/>
      <c r="G1900" s="22"/>
      <c r="H1900" s="22"/>
      <c r="I1900" s="50"/>
      <c r="J1900" s="351"/>
      <c r="K1900" s="448"/>
      <c r="L1900" s="29"/>
      <c r="M1900" s="31"/>
      <c r="N1900" s="14"/>
      <c r="O1900" s="31"/>
      <c r="Q1900" s="36"/>
      <c r="R1900" s="36"/>
      <c r="S1900" s="36"/>
      <c r="T1900" s="36"/>
      <c r="V1900" s="31"/>
    </row>
    <row r="1901">
      <c r="A1901" s="14"/>
      <c r="B1901" s="460"/>
      <c r="C1901" s="302"/>
      <c r="D1901" s="50"/>
      <c r="E1901" s="348"/>
      <c r="F1901" s="22"/>
      <c r="G1901" s="22"/>
      <c r="H1901" s="22"/>
      <c r="I1901" s="50"/>
      <c r="J1901" s="351"/>
      <c r="K1901" s="448"/>
      <c r="L1901" s="29"/>
      <c r="M1901" s="31"/>
      <c r="N1901" s="14"/>
      <c r="O1901" s="31"/>
      <c r="Q1901" s="36"/>
      <c r="R1901" s="36"/>
      <c r="S1901" s="36"/>
      <c r="T1901" s="36"/>
      <c r="V1901" s="31"/>
    </row>
    <row r="1902">
      <c r="A1902" s="14"/>
      <c r="B1902" s="460"/>
      <c r="C1902" s="302"/>
      <c r="D1902" s="50"/>
      <c r="E1902" s="348"/>
      <c r="F1902" s="22"/>
      <c r="G1902" s="22"/>
      <c r="H1902" s="22"/>
      <c r="I1902" s="50"/>
      <c r="J1902" s="351"/>
      <c r="K1902" s="448"/>
      <c r="L1902" s="29"/>
      <c r="M1902" s="31"/>
      <c r="N1902" s="14"/>
      <c r="O1902" s="31"/>
      <c r="Q1902" s="36"/>
      <c r="R1902" s="36"/>
      <c r="S1902" s="36"/>
      <c r="T1902" s="36"/>
      <c r="V1902" s="31"/>
    </row>
    <row r="1903">
      <c r="A1903" s="14"/>
      <c r="B1903" s="460"/>
      <c r="C1903" s="302"/>
      <c r="D1903" s="50"/>
      <c r="E1903" s="348"/>
      <c r="F1903" s="22"/>
      <c r="G1903" s="22"/>
      <c r="H1903" s="22"/>
      <c r="I1903" s="50"/>
      <c r="J1903" s="351"/>
      <c r="K1903" s="448"/>
      <c r="L1903" s="29"/>
      <c r="M1903" s="31"/>
      <c r="N1903" s="14"/>
      <c r="O1903" s="31"/>
      <c r="Q1903" s="36"/>
      <c r="R1903" s="36"/>
      <c r="S1903" s="36"/>
      <c r="T1903" s="36"/>
      <c r="V1903" s="31"/>
    </row>
    <row r="1904">
      <c r="A1904" s="14"/>
      <c r="B1904" s="460"/>
      <c r="C1904" s="302"/>
      <c r="D1904" s="50"/>
      <c r="E1904" s="348"/>
      <c r="F1904" s="22"/>
      <c r="G1904" s="22"/>
      <c r="H1904" s="22"/>
      <c r="I1904" s="50"/>
      <c r="J1904" s="351"/>
      <c r="K1904" s="448"/>
      <c r="L1904" s="29"/>
      <c r="M1904" s="31"/>
      <c r="N1904" s="14"/>
      <c r="O1904" s="31"/>
      <c r="Q1904" s="36"/>
      <c r="R1904" s="36"/>
      <c r="S1904" s="36"/>
      <c r="T1904" s="36"/>
      <c r="V1904" s="31"/>
    </row>
    <row r="1905">
      <c r="A1905" s="14"/>
      <c r="B1905" s="460"/>
      <c r="C1905" s="302"/>
      <c r="D1905" s="50"/>
      <c r="E1905" s="348"/>
      <c r="F1905" s="22"/>
      <c r="G1905" s="22"/>
      <c r="H1905" s="22"/>
      <c r="I1905" s="50"/>
      <c r="J1905" s="351"/>
      <c r="K1905" s="448"/>
      <c r="L1905" s="29"/>
      <c r="M1905" s="31"/>
      <c r="N1905" s="14"/>
      <c r="O1905" s="31"/>
      <c r="Q1905" s="36"/>
      <c r="R1905" s="36"/>
      <c r="S1905" s="36"/>
      <c r="T1905" s="36"/>
      <c r="V1905" s="31"/>
    </row>
    <row r="1906">
      <c r="A1906" s="14"/>
      <c r="B1906" s="460"/>
      <c r="C1906" s="302"/>
      <c r="D1906" s="50"/>
      <c r="E1906" s="348"/>
      <c r="F1906" s="22"/>
      <c r="G1906" s="22"/>
      <c r="H1906" s="22"/>
      <c r="I1906" s="50"/>
      <c r="J1906" s="351"/>
      <c r="K1906" s="448"/>
      <c r="L1906" s="29"/>
      <c r="M1906" s="31"/>
      <c r="N1906" s="14"/>
      <c r="O1906" s="31"/>
      <c r="Q1906" s="36"/>
      <c r="R1906" s="36"/>
      <c r="S1906" s="36"/>
      <c r="T1906" s="36"/>
      <c r="V1906" s="31"/>
    </row>
    <row r="1907">
      <c r="A1907" s="14"/>
      <c r="B1907" s="460"/>
      <c r="C1907" s="302"/>
      <c r="D1907" s="50"/>
      <c r="E1907" s="348"/>
      <c r="F1907" s="22"/>
      <c r="G1907" s="22"/>
      <c r="H1907" s="22"/>
      <c r="I1907" s="50"/>
      <c r="J1907" s="351"/>
      <c r="K1907" s="448"/>
      <c r="L1907" s="29"/>
      <c r="M1907" s="31"/>
      <c r="N1907" s="14"/>
      <c r="O1907" s="31"/>
      <c r="Q1907" s="36"/>
      <c r="R1907" s="36"/>
      <c r="S1907" s="36"/>
      <c r="T1907" s="36"/>
      <c r="V1907" s="31"/>
    </row>
    <row r="1908">
      <c r="A1908" s="14"/>
      <c r="B1908" s="460"/>
      <c r="C1908" s="302"/>
      <c r="D1908" s="50"/>
      <c r="E1908" s="348"/>
      <c r="F1908" s="22"/>
      <c r="G1908" s="22"/>
      <c r="H1908" s="22"/>
      <c r="I1908" s="50"/>
      <c r="J1908" s="351"/>
      <c r="K1908" s="448"/>
      <c r="L1908" s="29"/>
      <c r="M1908" s="31"/>
      <c r="N1908" s="14"/>
      <c r="O1908" s="31"/>
      <c r="Q1908" s="36"/>
      <c r="R1908" s="36"/>
      <c r="S1908" s="36"/>
      <c r="T1908" s="36"/>
      <c r="V1908" s="31"/>
    </row>
    <row r="1909">
      <c r="A1909" s="14"/>
      <c r="B1909" s="460"/>
      <c r="C1909" s="302"/>
      <c r="D1909" s="50"/>
      <c r="E1909" s="348"/>
      <c r="F1909" s="22"/>
      <c r="G1909" s="22"/>
      <c r="H1909" s="22"/>
      <c r="I1909" s="50"/>
      <c r="J1909" s="351"/>
      <c r="K1909" s="448"/>
      <c r="L1909" s="29"/>
      <c r="M1909" s="31"/>
      <c r="N1909" s="14"/>
      <c r="O1909" s="31"/>
      <c r="Q1909" s="36"/>
      <c r="R1909" s="36"/>
      <c r="S1909" s="36"/>
      <c r="T1909" s="36"/>
      <c r="V1909" s="31"/>
    </row>
    <row r="1910">
      <c r="A1910" s="14"/>
      <c r="B1910" s="460"/>
      <c r="C1910" s="302"/>
      <c r="D1910" s="50"/>
      <c r="E1910" s="348"/>
      <c r="F1910" s="22"/>
      <c r="G1910" s="22"/>
      <c r="H1910" s="22"/>
      <c r="I1910" s="50"/>
      <c r="J1910" s="351"/>
      <c r="K1910" s="448"/>
      <c r="L1910" s="29"/>
      <c r="M1910" s="31"/>
      <c r="N1910" s="14"/>
      <c r="O1910" s="31"/>
      <c r="Q1910" s="36"/>
      <c r="R1910" s="36"/>
      <c r="S1910" s="36"/>
      <c r="T1910" s="36"/>
      <c r="V1910" s="31"/>
    </row>
    <row r="1911">
      <c r="A1911" s="14"/>
      <c r="B1911" s="460"/>
      <c r="C1911" s="302"/>
      <c r="D1911" s="50"/>
      <c r="E1911" s="348"/>
      <c r="F1911" s="22"/>
      <c r="G1911" s="22"/>
      <c r="H1911" s="22"/>
      <c r="I1911" s="50"/>
      <c r="J1911" s="351"/>
      <c r="K1911" s="448"/>
      <c r="L1911" s="29"/>
      <c r="M1911" s="31"/>
      <c r="N1911" s="14"/>
      <c r="O1911" s="31"/>
      <c r="Q1911" s="36"/>
      <c r="R1911" s="36"/>
      <c r="S1911" s="36"/>
      <c r="T1911" s="36"/>
      <c r="V1911" s="31"/>
    </row>
    <row r="1912">
      <c r="A1912" s="14"/>
      <c r="B1912" s="460"/>
      <c r="C1912" s="302"/>
      <c r="D1912" s="50"/>
      <c r="E1912" s="348"/>
      <c r="F1912" s="22"/>
      <c r="G1912" s="22"/>
      <c r="H1912" s="22"/>
      <c r="I1912" s="50"/>
      <c r="J1912" s="351"/>
      <c r="K1912" s="448"/>
      <c r="L1912" s="29"/>
      <c r="M1912" s="31"/>
      <c r="N1912" s="14"/>
      <c r="O1912" s="31"/>
      <c r="Q1912" s="36"/>
      <c r="R1912" s="36"/>
      <c r="S1912" s="36"/>
      <c r="T1912" s="36"/>
      <c r="V1912" s="31"/>
    </row>
    <row r="1913">
      <c r="A1913" s="14"/>
      <c r="B1913" s="460"/>
      <c r="C1913" s="302"/>
      <c r="D1913" s="50"/>
      <c r="E1913" s="348"/>
      <c r="F1913" s="22"/>
      <c r="G1913" s="22"/>
      <c r="H1913" s="22"/>
      <c r="I1913" s="50"/>
      <c r="J1913" s="351"/>
      <c r="K1913" s="448"/>
      <c r="L1913" s="29"/>
      <c r="M1913" s="31"/>
      <c r="N1913" s="14"/>
      <c r="O1913" s="31"/>
      <c r="Q1913" s="36"/>
      <c r="R1913" s="36"/>
      <c r="S1913" s="36"/>
      <c r="T1913" s="36"/>
      <c r="V1913" s="31"/>
    </row>
    <row r="1914">
      <c r="A1914" s="14"/>
      <c r="B1914" s="460"/>
      <c r="C1914" s="302"/>
      <c r="D1914" s="50"/>
      <c r="E1914" s="348"/>
      <c r="F1914" s="22"/>
      <c r="G1914" s="22"/>
      <c r="H1914" s="22"/>
      <c r="I1914" s="50"/>
      <c r="J1914" s="351"/>
      <c r="K1914" s="448"/>
      <c r="L1914" s="29"/>
      <c r="M1914" s="31"/>
      <c r="N1914" s="14"/>
      <c r="O1914" s="31"/>
      <c r="Q1914" s="36"/>
      <c r="R1914" s="36"/>
      <c r="S1914" s="36"/>
      <c r="T1914" s="36"/>
      <c r="V1914" s="31"/>
    </row>
    <row r="1915">
      <c r="A1915" s="14"/>
      <c r="B1915" s="460"/>
      <c r="C1915" s="302"/>
      <c r="D1915" s="50"/>
      <c r="E1915" s="348"/>
      <c r="F1915" s="22"/>
      <c r="G1915" s="22"/>
      <c r="H1915" s="22"/>
      <c r="I1915" s="50"/>
      <c r="J1915" s="351"/>
      <c r="K1915" s="448"/>
      <c r="L1915" s="29"/>
      <c r="M1915" s="31"/>
      <c r="N1915" s="14"/>
      <c r="O1915" s="31"/>
      <c r="Q1915" s="36"/>
      <c r="R1915" s="36"/>
      <c r="S1915" s="36"/>
      <c r="T1915" s="36"/>
      <c r="V1915" s="31"/>
    </row>
    <row r="1916">
      <c r="A1916" s="14"/>
      <c r="B1916" s="460"/>
      <c r="C1916" s="302"/>
      <c r="D1916" s="50"/>
      <c r="E1916" s="348"/>
      <c r="F1916" s="22"/>
      <c r="G1916" s="22"/>
      <c r="H1916" s="22"/>
      <c r="I1916" s="50"/>
      <c r="J1916" s="351"/>
      <c r="K1916" s="448"/>
      <c r="L1916" s="29"/>
      <c r="M1916" s="31"/>
      <c r="N1916" s="14"/>
      <c r="O1916" s="31"/>
      <c r="Q1916" s="36"/>
      <c r="R1916" s="36"/>
      <c r="S1916" s="36"/>
      <c r="T1916" s="36"/>
      <c r="V1916" s="31"/>
    </row>
    <row r="1917">
      <c r="A1917" s="14"/>
      <c r="B1917" s="460"/>
      <c r="C1917" s="302"/>
      <c r="D1917" s="50"/>
      <c r="E1917" s="348"/>
      <c r="F1917" s="22"/>
      <c r="G1917" s="22"/>
      <c r="H1917" s="22"/>
      <c r="I1917" s="50"/>
      <c r="J1917" s="351"/>
      <c r="K1917" s="448"/>
      <c r="L1917" s="29"/>
      <c r="M1917" s="31"/>
      <c r="N1917" s="14"/>
      <c r="O1917" s="31"/>
      <c r="Q1917" s="36"/>
      <c r="R1917" s="36"/>
      <c r="S1917" s="36"/>
      <c r="T1917" s="36"/>
      <c r="V1917" s="31"/>
    </row>
    <row r="1918">
      <c r="A1918" s="14"/>
      <c r="B1918" s="460"/>
      <c r="C1918" s="302"/>
      <c r="D1918" s="50"/>
      <c r="E1918" s="348"/>
      <c r="F1918" s="22"/>
      <c r="G1918" s="22"/>
      <c r="H1918" s="22"/>
      <c r="I1918" s="50"/>
      <c r="J1918" s="351"/>
      <c r="K1918" s="448"/>
      <c r="L1918" s="29"/>
      <c r="M1918" s="31"/>
      <c r="N1918" s="14"/>
      <c r="O1918" s="31"/>
      <c r="Q1918" s="36"/>
      <c r="R1918" s="36"/>
      <c r="S1918" s="36"/>
      <c r="T1918" s="36"/>
      <c r="V1918" s="31"/>
    </row>
    <row r="1919">
      <c r="A1919" s="14"/>
      <c r="B1919" s="460"/>
      <c r="C1919" s="302"/>
      <c r="D1919" s="50"/>
      <c r="E1919" s="348"/>
      <c r="F1919" s="22"/>
      <c r="G1919" s="22"/>
      <c r="H1919" s="22"/>
      <c r="I1919" s="50"/>
      <c r="J1919" s="351"/>
      <c r="K1919" s="448"/>
      <c r="L1919" s="29"/>
      <c r="M1919" s="31"/>
      <c r="N1919" s="14"/>
      <c r="O1919" s="31"/>
      <c r="Q1919" s="36"/>
      <c r="R1919" s="36"/>
      <c r="S1919" s="36"/>
      <c r="T1919" s="36"/>
      <c r="V1919" s="31"/>
    </row>
    <row r="1920">
      <c r="A1920" s="14"/>
      <c r="B1920" s="460"/>
      <c r="C1920" s="302"/>
      <c r="D1920" s="50"/>
      <c r="E1920" s="348"/>
      <c r="F1920" s="22"/>
      <c r="G1920" s="22"/>
      <c r="H1920" s="22"/>
      <c r="I1920" s="50"/>
      <c r="J1920" s="351"/>
      <c r="K1920" s="448"/>
      <c r="L1920" s="29"/>
      <c r="M1920" s="31"/>
      <c r="N1920" s="14"/>
      <c r="O1920" s="31"/>
      <c r="Q1920" s="36"/>
      <c r="R1920" s="36"/>
      <c r="S1920" s="36"/>
      <c r="T1920" s="36"/>
      <c r="V1920" s="31"/>
    </row>
    <row r="1921">
      <c r="A1921" s="14"/>
      <c r="B1921" s="460"/>
      <c r="C1921" s="302"/>
      <c r="D1921" s="50"/>
      <c r="E1921" s="348"/>
      <c r="F1921" s="22"/>
      <c r="G1921" s="22"/>
      <c r="H1921" s="22"/>
      <c r="I1921" s="50"/>
      <c r="J1921" s="351"/>
      <c r="K1921" s="448"/>
      <c r="L1921" s="29"/>
      <c r="M1921" s="31"/>
      <c r="N1921" s="14"/>
      <c r="O1921" s="31"/>
      <c r="Q1921" s="36"/>
      <c r="R1921" s="36"/>
      <c r="S1921" s="36"/>
      <c r="T1921" s="36"/>
      <c r="V1921" s="31"/>
    </row>
    <row r="1922">
      <c r="A1922" s="14"/>
      <c r="B1922" s="460"/>
      <c r="C1922" s="302"/>
      <c r="D1922" s="50"/>
      <c r="E1922" s="348"/>
      <c r="F1922" s="22"/>
      <c r="G1922" s="22"/>
      <c r="H1922" s="22"/>
      <c r="I1922" s="50"/>
      <c r="J1922" s="351"/>
      <c r="K1922" s="448"/>
      <c r="L1922" s="29"/>
      <c r="M1922" s="31"/>
      <c r="N1922" s="14"/>
      <c r="O1922" s="31"/>
      <c r="Q1922" s="36"/>
      <c r="R1922" s="36"/>
      <c r="S1922" s="36"/>
      <c r="T1922" s="36"/>
      <c r="V1922" s="31"/>
    </row>
    <row r="1923">
      <c r="A1923" s="14"/>
      <c r="B1923" s="460"/>
      <c r="C1923" s="302"/>
      <c r="D1923" s="50"/>
      <c r="E1923" s="348"/>
      <c r="F1923" s="22"/>
      <c r="G1923" s="22"/>
      <c r="H1923" s="22"/>
      <c r="I1923" s="50"/>
      <c r="J1923" s="351"/>
      <c r="K1923" s="448"/>
      <c r="L1923" s="29"/>
      <c r="M1923" s="31"/>
      <c r="N1923" s="14"/>
      <c r="O1923" s="31"/>
      <c r="Q1923" s="36"/>
      <c r="R1923" s="36"/>
      <c r="S1923" s="36"/>
      <c r="T1923" s="36"/>
      <c r="V1923" s="31"/>
    </row>
    <row r="1924">
      <c r="A1924" s="14"/>
      <c r="B1924" s="460"/>
      <c r="C1924" s="302"/>
      <c r="D1924" s="50"/>
      <c r="E1924" s="348"/>
      <c r="F1924" s="22"/>
      <c r="G1924" s="22"/>
      <c r="H1924" s="22"/>
      <c r="I1924" s="50"/>
      <c r="J1924" s="351"/>
      <c r="K1924" s="448"/>
      <c r="L1924" s="29"/>
      <c r="M1924" s="31"/>
      <c r="N1924" s="14"/>
      <c r="O1924" s="31"/>
      <c r="Q1924" s="36"/>
      <c r="R1924" s="36"/>
      <c r="S1924" s="36"/>
      <c r="T1924" s="36"/>
      <c r="V1924" s="31"/>
    </row>
    <row r="1925">
      <c r="A1925" s="14"/>
      <c r="B1925" s="460"/>
      <c r="C1925" s="302"/>
      <c r="D1925" s="50"/>
      <c r="E1925" s="348"/>
      <c r="F1925" s="22"/>
      <c r="G1925" s="22"/>
      <c r="H1925" s="22"/>
      <c r="I1925" s="50"/>
      <c r="J1925" s="351"/>
      <c r="K1925" s="448"/>
      <c r="L1925" s="29"/>
      <c r="M1925" s="31"/>
      <c r="N1925" s="14"/>
      <c r="O1925" s="31"/>
      <c r="Q1925" s="36"/>
      <c r="R1925" s="36"/>
      <c r="S1925" s="36"/>
      <c r="T1925" s="36"/>
      <c r="V1925" s="31"/>
    </row>
    <row r="1926">
      <c r="A1926" s="14"/>
      <c r="B1926" s="460"/>
      <c r="C1926" s="302"/>
      <c r="D1926" s="50"/>
      <c r="E1926" s="348"/>
      <c r="F1926" s="22"/>
      <c r="G1926" s="22"/>
      <c r="H1926" s="22"/>
      <c r="I1926" s="50"/>
      <c r="J1926" s="351"/>
      <c r="K1926" s="448"/>
      <c r="L1926" s="29"/>
      <c r="M1926" s="31"/>
      <c r="N1926" s="14"/>
      <c r="O1926" s="31"/>
      <c r="Q1926" s="36"/>
      <c r="R1926" s="36"/>
      <c r="S1926" s="36"/>
      <c r="T1926" s="36"/>
      <c r="V1926" s="31"/>
    </row>
    <row r="1927">
      <c r="A1927" s="14"/>
      <c r="B1927" s="460"/>
      <c r="C1927" s="302"/>
      <c r="D1927" s="50"/>
      <c r="E1927" s="348"/>
      <c r="F1927" s="22"/>
      <c r="G1927" s="22"/>
      <c r="H1927" s="22"/>
      <c r="I1927" s="50"/>
      <c r="J1927" s="351"/>
      <c r="K1927" s="448"/>
      <c r="L1927" s="29"/>
      <c r="M1927" s="31"/>
      <c r="N1927" s="14"/>
      <c r="O1927" s="31"/>
      <c r="Q1927" s="36"/>
      <c r="R1927" s="36"/>
      <c r="S1927" s="36"/>
      <c r="T1927" s="36"/>
      <c r="V1927" s="31"/>
    </row>
    <row r="1928">
      <c r="A1928" s="14"/>
      <c r="B1928" s="460"/>
      <c r="C1928" s="302"/>
      <c r="D1928" s="50"/>
      <c r="E1928" s="348"/>
      <c r="F1928" s="22"/>
      <c r="G1928" s="22"/>
      <c r="H1928" s="22"/>
      <c r="I1928" s="50"/>
      <c r="J1928" s="351"/>
      <c r="K1928" s="448"/>
      <c r="L1928" s="29"/>
      <c r="M1928" s="31"/>
      <c r="N1928" s="14"/>
      <c r="O1928" s="31"/>
      <c r="Q1928" s="36"/>
      <c r="R1928" s="36"/>
      <c r="S1928" s="36"/>
      <c r="T1928" s="36"/>
      <c r="V1928" s="31"/>
    </row>
    <row r="1929">
      <c r="A1929" s="14"/>
      <c r="B1929" s="460"/>
      <c r="C1929" s="302"/>
      <c r="D1929" s="50"/>
      <c r="E1929" s="348"/>
      <c r="F1929" s="22"/>
      <c r="G1929" s="22"/>
      <c r="H1929" s="22"/>
      <c r="I1929" s="50"/>
      <c r="J1929" s="351"/>
      <c r="K1929" s="448"/>
      <c r="L1929" s="29"/>
      <c r="M1929" s="31"/>
      <c r="N1929" s="14"/>
      <c r="O1929" s="31"/>
      <c r="Q1929" s="36"/>
      <c r="R1929" s="36"/>
      <c r="S1929" s="36"/>
      <c r="T1929" s="36"/>
      <c r="V1929" s="31"/>
    </row>
    <row r="1930">
      <c r="A1930" s="14"/>
      <c r="B1930" s="460"/>
      <c r="C1930" s="302"/>
      <c r="D1930" s="50"/>
      <c r="E1930" s="348"/>
      <c r="F1930" s="22"/>
      <c r="G1930" s="22"/>
      <c r="H1930" s="22"/>
      <c r="I1930" s="50"/>
      <c r="J1930" s="351"/>
      <c r="K1930" s="448"/>
      <c r="L1930" s="29"/>
      <c r="M1930" s="31"/>
      <c r="N1930" s="14"/>
      <c r="O1930" s="31"/>
      <c r="Q1930" s="36"/>
      <c r="R1930" s="36"/>
      <c r="S1930" s="36"/>
      <c r="T1930" s="36"/>
      <c r="V1930" s="31"/>
    </row>
    <row r="1931">
      <c r="A1931" s="14"/>
      <c r="B1931" s="460"/>
      <c r="C1931" s="302"/>
      <c r="D1931" s="50"/>
      <c r="E1931" s="348"/>
      <c r="F1931" s="22"/>
      <c r="G1931" s="22"/>
      <c r="H1931" s="22"/>
      <c r="I1931" s="50"/>
      <c r="J1931" s="351"/>
      <c r="K1931" s="448"/>
      <c r="L1931" s="29"/>
      <c r="M1931" s="31"/>
      <c r="N1931" s="14"/>
      <c r="O1931" s="31"/>
      <c r="Q1931" s="36"/>
      <c r="R1931" s="36"/>
      <c r="S1931" s="36"/>
      <c r="T1931" s="36"/>
      <c r="V1931" s="31"/>
    </row>
    <row r="1932">
      <c r="A1932" s="14"/>
      <c r="B1932" s="460"/>
      <c r="C1932" s="302"/>
      <c r="D1932" s="50"/>
      <c r="E1932" s="348"/>
      <c r="F1932" s="22"/>
      <c r="G1932" s="22"/>
      <c r="H1932" s="22"/>
      <c r="I1932" s="50"/>
      <c r="J1932" s="351"/>
      <c r="K1932" s="448"/>
      <c r="L1932" s="29"/>
      <c r="M1932" s="31"/>
      <c r="N1932" s="14"/>
      <c r="O1932" s="31"/>
      <c r="Q1932" s="36"/>
      <c r="R1932" s="36"/>
      <c r="S1932" s="36"/>
      <c r="T1932" s="36"/>
      <c r="V1932" s="31"/>
    </row>
    <row r="1933">
      <c r="A1933" s="14"/>
      <c r="B1933" s="460"/>
      <c r="C1933" s="302"/>
      <c r="D1933" s="50"/>
      <c r="E1933" s="348"/>
      <c r="F1933" s="22"/>
      <c r="G1933" s="22"/>
      <c r="H1933" s="22"/>
      <c r="I1933" s="50"/>
      <c r="J1933" s="351"/>
      <c r="K1933" s="448"/>
      <c r="L1933" s="29"/>
      <c r="M1933" s="31"/>
      <c r="N1933" s="14"/>
      <c r="O1933" s="31"/>
      <c r="Q1933" s="36"/>
      <c r="R1933" s="36"/>
      <c r="S1933" s="36"/>
      <c r="T1933" s="36"/>
      <c r="V1933" s="31"/>
    </row>
    <row r="1934">
      <c r="A1934" s="14"/>
      <c r="B1934" s="460"/>
      <c r="C1934" s="302"/>
      <c r="D1934" s="50"/>
      <c r="E1934" s="348"/>
      <c r="F1934" s="22"/>
      <c r="G1934" s="22"/>
      <c r="H1934" s="22"/>
      <c r="I1934" s="50"/>
      <c r="J1934" s="351"/>
      <c r="K1934" s="448"/>
      <c r="L1934" s="29"/>
      <c r="M1934" s="31"/>
      <c r="N1934" s="14"/>
      <c r="O1934" s="31"/>
      <c r="Q1934" s="36"/>
      <c r="R1934" s="36"/>
      <c r="S1934" s="36"/>
      <c r="T1934" s="36"/>
      <c r="V1934" s="31"/>
    </row>
    <row r="1935">
      <c r="A1935" s="14"/>
      <c r="B1935" s="460"/>
      <c r="C1935" s="302"/>
      <c r="D1935" s="50"/>
      <c r="E1935" s="348"/>
      <c r="F1935" s="22"/>
      <c r="G1935" s="22"/>
      <c r="H1935" s="22"/>
      <c r="I1935" s="50"/>
      <c r="J1935" s="351"/>
      <c r="K1935" s="448"/>
      <c r="L1935" s="29"/>
      <c r="M1935" s="31"/>
      <c r="N1935" s="14"/>
      <c r="O1935" s="31"/>
      <c r="Q1935" s="36"/>
      <c r="R1935" s="36"/>
      <c r="S1935" s="36"/>
      <c r="T1935" s="36"/>
      <c r="V1935" s="31"/>
    </row>
    <row r="1936">
      <c r="A1936" s="14"/>
      <c r="B1936" s="460"/>
      <c r="C1936" s="302"/>
      <c r="D1936" s="50"/>
      <c r="E1936" s="348"/>
      <c r="F1936" s="22"/>
      <c r="G1936" s="22"/>
      <c r="H1936" s="22"/>
      <c r="I1936" s="50"/>
      <c r="J1936" s="351"/>
      <c r="K1936" s="448"/>
      <c r="L1936" s="29"/>
      <c r="M1936" s="31"/>
      <c r="N1936" s="14"/>
      <c r="O1936" s="31"/>
      <c r="Q1936" s="36"/>
      <c r="R1936" s="36"/>
      <c r="S1936" s="36"/>
      <c r="T1936" s="36"/>
      <c r="V1936" s="31"/>
    </row>
    <row r="1937">
      <c r="A1937" s="14"/>
      <c r="B1937" s="460"/>
      <c r="C1937" s="302"/>
      <c r="D1937" s="50"/>
      <c r="E1937" s="348"/>
      <c r="F1937" s="22"/>
      <c r="G1937" s="22"/>
      <c r="H1937" s="22"/>
      <c r="I1937" s="50"/>
      <c r="J1937" s="351"/>
      <c r="K1937" s="448"/>
      <c r="L1937" s="29"/>
      <c r="M1937" s="31"/>
      <c r="N1937" s="14"/>
      <c r="O1937" s="31"/>
      <c r="Q1937" s="36"/>
      <c r="R1937" s="36"/>
      <c r="S1937" s="36"/>
      <c r="T1937" s="36"/>
      <c r="V1937" s="31"/>
    </row>
    <row r="1938">
      <c r="A1938" s="14"/>
      <c r="B1938" s="460"/>
      <c r="C1938" s="302"/>
      <c r="D1938" s="50"/>
      <c r="E1938" s="348"/>
      <c r="F1938" s="22"/>
      <c r="G1938" s="22"/>
      <c r="H1938" s="22"/>
      <c r="I1938" s="50"/>
      <c r="J1938" s="351"/>
      <c r="K1938" s="448"/>
      <c r="L1938" s="29"/>
      <c r="M1938" s="31"/>
      <c r="N1938" s="14"/>
      <c r="O1938" s="31"/>
      <c r="Q1938" s="36"/>
      <c r="R1938" s="36"/>
      <c r="S1938" s="36"/>
      <c r="T1938" s="36"/>
      <c r="V1938" s="31"/>
    </row>
    <row r="1939">
      <c r="A1939" s="14"/>
      <c r="B1939" s="460"/>
      <c r="C1939" s="302"/>
      <c r="D1939" s="50"/>
      <c r="E1939" s="348"/>
      <c r="F1939" s="22"/>
      <c r="G1939" s="22"/>
      <c r="H1939" s="22"/>
      <c r="I1939" s="50"/>
      <c r="J1939" s="351"/>
      <c r="K1939" s="448"/>
      <c r="L1939" s="29"/>
      <c r="M1939" s="31"/>
      <c r="N1939" s="14"/>
      <c r="O1939" s="31"/>
      <c r="Q1939" s="36"/>
      <c r="R1939" s="36"/>
      <c r="S1939" s="36"/>
      <c r="T1939" s="36"/>
      <c r="V1939" s="31"/>
    </row>
    <row r="1940">
      <c r="A1940" s="14"/>
      <c r="B1940" s="460"/>
      <c r="C1940" s="302"/>
      <c r="D1940" s="50"/>
      <c r="E1940" s="348"/>
      <c r="F1940" s="22"/>
      <c r="G1940" s="22"/>
      <c r="H1940" s="22"/>
      <c r="I1940" s="50"/>
      <c r="J1940" s="351"/>
      <c r="K1940" s="448"/>
      <c r="L1940" s="29"/>
      <c r="M1940" s="31"/>
      <c r="N1940" s="14"/>
      <c r="O1940" s="31"/>
      <c r="Q1940" s="36"/>
      <c r="R1940" s="36"/>
      <c r="S1940" s="36"/>
      <c r="T1940" s="36"/>
      <c r="V1940" s="31"/>
    </row>
    <row r="1941">
      <c r="A1941" s="14"/>
      <c r="B1941" s="460"/>
      <c r="C1941" s="302"/>
      <c r="D1941" s="50"/>
      <c r="E1941" s="348"/>
      <c r="F1941" s="22"/>
      <c r="G1941" s="22"/>
      <c r="H1941" s="22"/>
      <c r="I1941" s="50"/>
      <c r="J1941" s="351"/>
      <c r="K1941" s="448"/>
      <c r="L1941" s="29"/>
      <c r="M1941" s="31"/>
      <c r="N1941" s="14"/>
      <c r="O1941" s="31"/>
      <c r="Q1941" s="36"/>
      <c r="R1941" s="36"/>
      <c r="S1941" s="36"/>
      <c r="T1941" s="36"/>
      <c r="V1941" s="31"/>
    </row>
    <row r="1942">
      <c r="A1942" s="14"/>
      <c r="B1942" s="460"/>
      <c r="C1942" s="302"/>
      <c r="D1942" s="50"/>
      <c r="E1942" s="348"/>
      <c r="F1942" s="22"/>
      <c r="G1942" s="22"/>
      <c r="H1942" s="22"/>
      <c r="I1942" s="50"/>
      <c r="J1942" s="351"/>
      <c r="K1942" s="448"/>
      <c r="L1942" s="29"/>
      <c r="M1942" s="31"/>
      <c r="N1942" s="14"/>
      <c r="O1942" s="31"/>
      <c r="Q1942" s="36"/>
      <c r="R1942" s="36"/>
      <c r="S1942" s="36"/>
      <c r="T1942" s="36"/>
      <c r="V1942" s="31"/>
    </row>
    <row r="1943">
      <c r="A1943" s="14"/>
      <c r="B1943" s="460"/>
      <c r="C1943" s="302"/>
      <c r="D1943" s="50"/>
      <c r="E1943" s="348"/>
      <c r="F1943" s="22"/>
      <c r="G1943" s="22"/>
      <c r="H1943" s="22"/>
      <c r="I1943" s="50"/>
      <c r="J1943" s="351"/>
      <c r="K1943" s="448"/>
      <c r="L1943" s="29"/>
      <c r="M1943" s="31"/>
      <c r="N1943" s="14"/>
      <c r="O1943" s="31"/>
      <c r="Q1943" s="36"/>
      <c r="R1943" s="36"/>
      <c r="S1943" s="36"/>
      <c r="T1943" s="36"/>
      <c r="V1943" s="31"/>
    </row>
    <row r="1944">
      <c r="A1944" s="14"/>
      <c r="B1944" s="460"/>
      <c r="C1944" s="302"/>
      <c r="D1944" s="50"/>
      <c r="E1944" s="348"/>
      <c r="F1944" s="22"/>
      <c r="G1944" s="22"/>
      <c r="H1944" s="22"/>
      <c r="I1944" s="50"/>
      <c r="J1944" s="351"/>
      <c r="K1944" s="448"/>
      <c r="L1944" s="29"/>
      <c r="M1944" s="31"/>
      <c r="N1944" s="14"/>
      <c r="O1944" s="31"/>
      <c r="Q1944" s="36"/>
      <c r="R1944" s="36"/>
      <c r="S1944" s="36"/>
      <c r="T1944" s="36"/>
      <c r="V1944" s="31"/>
    </row>
    <row r="1945">
      <c r="A1945" s="14"/>
      <c r="B1945" s="460"/>
      <c r="C1945" s="302"/>
      <c r="D1945" s="50"/>
      <c r="E1945" s="348"/>
      <c r="F1945" s="22"/>
      <c r="G1945" s="22"/>
      <c r="H1945" s="22"/>
      <c r="I1945" s="50"/>
      <c r="J1945" s="351"/>
      <c r="K1945" s="448"/>
      <c r="L1945" s="29"/>
      <c r="M1945" s="31"/>
      <c r="N1945" s="14"/>
      <c r="O1945" s="31"/>
      <c r="Q1945" s="36"/>
      <c r="R1945" s="36"/>
      <c r="S1945" s="36"/>
      <c r="T1945" s="36"/>
      <c r="V1945" s="31"/>
    </row>
    <row r="1946">
      <c r="A1946" s="14"/>
      <c r="B1946" s="460"/>
      <c r="C1946" s="302"/>
      <c r="D1946" s="50"/>
      <c r="E1946" s="348"/>
      <c r="F1946" s="22"/>
      <c r="G1946" s="22"/>
      <c r="H1946" s="22"/>
      <c r="I1946" s="50"/>
      <c r="J1946" s="351"/>
      <c r="K1946" s="448"/>
      <c r="L1946" s="29"/>
      <c r="M1946" s="31"/>
      <c r="N1946" s="14"/>
      <c r="O1946" s="31"/>
      <c r="Q1946" s="36"/>
      <c r="R1946" s="36"/>
      <c r="S1946" s="36"/>
      <c r="T1946" s="36"/>
      <c r="V1946" s="31"/>
    </row>
    <row r="1947">
      <c r="A1947" s="14"/>
      <c r="B1947" s="460"/>
      <c r="C1947" s="302"/>
      <c r="D1947" s="50"/>
      <c r="E1947" s="348"/>
      <c r="F1947" s="22"/>
      <c r="G1947" s="22"/>
      <c r="H1947" s="22"/>
      <c r="I1947" s="50"/>
      <c r="J1947" s="351"/>
      <c r="K1947" s="448"/>
      <c r="L1947" s="29"/>
      <c r="M1947" s="31"/>
      <c r="N1947" s="14"/>
      <c r="O1947" s="31"/>
      <c r="Q1947" s="36"/>
      <c r="R1947" s="36"/>
      <c r="S1947" s="36"/>
      <c r="T1947" s="36"/>
      <c r="V1947" s="31"/>
    </row>
    <row r="1948">
      <c r="A1948" s="14"/>
      <c r="B1948" s="460"/>
      <c r="C1948" s="302"/>
      <c r="D1948" s="50"/>
      <c r="E1948" s="348"/>
      <c r="F1948" s="22"/>
      <c r="G1948" s="22"/>
      <c r="H1948" s="22"/>
      <c r="I1948" s="50"/>
      <c r="J1948" s="351"/>
      <c r="K1948" s="448"/>
      <c r="L1948" s="29"/>
      <c r="M1948" s="31"/>
      <c r="N1948" s="14"/>
      <c r="O1948" s="31"/>
      <c r="Q1948" s="36"/>
      <c r="R1948" s="36"/>
      <c r="S1948" s="36"/>
      <c r="T1948" s="36"/>
      <c r="V1948" s="31"/>
    </row>
    <row r="1949">
      <c r="A1949" s="14"/>
      <c r="B1949" s="460"/>
      <c r="C1949" s="302"/>
      <c r="D1949" s="50"/>
      <c r="E1949" s="348"/>
      <c r="F1949" s="22"/>
      <c r="G1949" s="22"/>
      <c r="H1949" s="22"/>
      <c r="I1949" s="50"/>
      <c r="J1949" s="351"/>
      <c r="K1949" s="448"/>
      <c r="L1949" s="29"/>
      <c r="M1949" s="31"/>
      <c r="N1949" s="14"/>
      <c r="O1949" s="31"/>
      <c r="Q1949" s="36"/>
      <c r="R1949" s="36"/>
      <c r="S1949" s="36"/>
      <c r="T1949" s="36"/>
      <c r="V1949" s="31"/>
    </row>
    <row r="1950">
      <c r="A1950" s="14"/>
      <c r="B1950" s="460"/>
      <c r="C1950" s="302"/>
      <c r="D1950" s="50"/>
      <c r="E1950" s="348"/>
      <c r="F1950" s="22"/>
      <c r="G1950" s="22"/>
      <c r="H1950" s="22"/>
      <c r="I1950" s="50"/>
      <c r="J1950" s="351"/>
      <c r="K1950" s="448"/>
      <c r="L1950" s="29"/>
      <c r="M1950" s="31"/>
      <c r="N1950" s="14"/>
      <c r="O1950" s="31"/>
      <c r="Q1950" s="36"/>
      <c r="R1950" s="36"/>
      <c r="S1950" s="36"/>
      <c r="T1950" s="36"/>
      <c r="V1950" s="31"/>
    </row>
    <row r="1951">
      <c r="A1951" s="14"/>
      <c r="B1951" s="460"/>
      <c r="C1951" s="302"/>
      <c r="D1951" s="50"/>
      <c r="E1951" s="348"/>
      <c r="F1951" s="22"/>
      <c r="G1951" s="22"/>
      <c r="H1951" s="22"/>
      <c r="I1951" s="50"/>
      <c r="J1951" s="351"/>
      <c r="K1951" s="448"/>
      <c r="L1951" s="29"/>
      <c r="M1951" s="31"/>
      <c r="N1951" s="14"/>
      <c r="O1951" s="31"/>
      <c r="Q1951" s="36"/>
      <c r="R1951" s="36"/>
      <c r="S1951" s="36"/>
      <c r="T1951" s="36"/>
      <c r="V1951" s="31"/>
    </row>
    <row r="1952">
      <c r="A1952" s="14"/>
      <c r="B1952" s="460"/>
      <c r="C1952" s="302"/>
      <c r="D1952" s="50"/>
      <c r="E1952" s="348"/>
      <c r="F1952" s="22"/>
      <c r="G1952" s="22"/>
      <c r="H1952" s="22"/>
      <c r="I1952" s="50"/>
      <c r="J1952" s="351"/>
      <c r="K1952" s="448"/>
      <c r="L1952" s="29"/>
      <c r="M1952" s="31"/>
      <c r="N1952" s="14"/>
      <c r="O1952" s="31"/>
      <c r="Q1952" s="36"/>
      <c r="R1952" s="36"/>
      <c r="S1952" s="36"/>
      <c r="T1952" s="36"/>
      <c r="V1952" s="31"/>
    </row>
    <row r="1953">
      <c r="A1953" s="14"/>
      <c r="B1953" s="460"/>
      <c r="C1953" s="302"/>
      <c r="D1953" s="50"/>
      <c r="E1953" s="348"/>
      <c r="F1953" s="22"/>
      <c r="G1953" s="22"/>
      <c r="H1953" s="22"/>
      <c r="I1953" s="50"/>
      <c r="J1953" s="351"/>
      <c r="K1953" s="448"/>
      <c r="L1953" s="29"/>
      <c r="M1953" s="31"/>
      <c r="N1953" s="14"/>
      <c r="O1953" s="31"/>
      <c r="Q1953" s="36"/>
      <c r="R1953" s="36"/>
      <c r="S1953" s="36"/>
      <c r="T1953" s="36"/>
      <c r="V1953" s="31"/>
    </row>
    <row r="1954">
      <c r="A1954" s="14"/>
      <c r="B1954" s="460"/>
      <c r="C1954" s="302"/>
      <c r="D1954" s="50"/>
      <c r="E1954" s="348"/>
      <c r="F1954" s="22"/>
      <c r="G1954" s="22"/>
      <c r="H1954" s="22"/>
      <c r="I1954" s="50"/>
      <c r="J1954" s="351"/>
      <c r="K1954" s="448"/>
      <c r="L1954" s="29"/>
      <c r="M1954" s="31"/>
      <c r="N1954" s="14"/>
      <c r="O1954" s="31"/>
      <c r="Q1954" s="36"/>
      <c r="R1954" s="36"/>
      <c r="S1954" s="36"/>
      <c r="T1954" s="36"/>
      <c r="V1954" s="31"/>
    </row>
    <row r="1955">
      <c r="A1955" s="14"/>
      <c r="B1955" s="460"/>
      <c r="C1955" s="302"/>
      <c r="D1955" s="50"/>
      <c r="E1955" s="348"/>
      <c r="F1955" s="22"/>
      <c r="G1955" s="22"/>
      <c r="H1955" s="22"/>
      <c r="I1955" s="50"/>
      <c r="J1955" s="351"/>
      <c r="K1955" s="448"/>
      <c r="L1955" s="29"/>
      <c r="M1955" s="31"/>
      <c r="N1955" s="14"/>
      <c r="O1955" s="31"/>
      <c r="Q1955" s="36"/>
      <c r="R1955" s="36"/>
      <c r="S1955" s="36"/>
      <c r="T1955" s="36"/>
      <c r="V1955" s="31"/>
    </row>
    <row r="1956">
      <c r="A1956" s="14"/>
      <c r="B1956" s="460"/>
      <c r="C1956" s="302"/>
      <c r="D1956" s="50"/>
      <c r="E1956" s="348"/>
      <c r="F1956" s="22"/>
      <c r="G1956" s="22"/>
      <c r="H1956" s="22"/>
      <c r="I1956" s="50"/>
      <c r="J1956" s="351"/>
      <c r="K1956" s="448"/>
      <c r="L1956" s="29"/>
      <c r="M1956" s="31"/>
      <c r="N1956" s="14"/>
      <c r="O1956" s="31"/>
      <c r="Q1956" s="36"/>
      <c r="R1956" s="36"/>
      <c r="S1956" s="36"/>
      <c r="T1956" s="36"/>
      <c r="V1956" s="31"/>
    </row>
    <row r="1957">
      <c r="A1957" s="14"/>
      <c r="B1957" s="460"/>
      <c r="C1957" s="302"/>
      <c r="D1957" s="50"/>
      <c r="E1957" s="348"/>
      <c r="F1957" s="22"/>
      <c r="G1957" s="22"/>
      <c r="H1957" s="22"/>
      <c r="I1957" s="50"/>
      <c r="J1957" s="351"/>
      <c r="K1957" s="448"/>
      <c r="L1957" s="29"/>
      <c r="M1957" s="31"/>
      <c r="N1957" s="14"/>
      <c r="O1957" s="31"/>
      <c r="Q1957" s="36"/>
      <c r="R1957" s="36"/>
      <c r="S1957" s="36"/>
      <c r="T1957" s="36"/>
      <c r="V1957" s="31"/>
    </row>
    <row r="1958">
      <c r="A1958" s="14"/>
      <c r="B1958" s="460"/>
      <c r="C1958" s="302"/>
      <c r="D1958" s="50"/>
      <c r="E1958" s="348"/>
      <c r="F1958" s="22"/>
      <c r="G1958" s="22"/>
      <c r="H1958" s="22"/>
      <c r="I1958" s="50"/>
      <c r="J1958" s="351"/>
      <c r="K1958" s="448"/>
      <c r="L1958" s="29"/>
      <c r="M1958" s="31"/>
      <c r="N1958" s="14"/>
      <c r="O1958" s="31"/>
      <c r="Q1958" s="36"/>
      <c r="R1958" s="36"/>
      <c r="S1958" s="36"/>
      <c r="T1958" s="36"/>
      <c r="V1958" s="31"/>
    </row>
    <row r="1959">
      <c r="A1959" s="14"/>
      <c r="B1959" s="460"/>
      <c r="C1959" s="302"/>
      <c r="D1959" s="50"/>
      <c r="E1959" s="348"/>
      <c r="F1959" s="22"/>
      <c r="G1959" s="22"/>
      <c r="H1959" s="22"/>
      <c r="I1959" s="50"/>
      <c r="J1959" s="351"/>
      <c r="K1959" s="448"/>
      <c r="L1959" s="29"/>
      <c r="M1959" s="31"/>
      <c r="N1959" s="14"/>
      <c r="O1959" s="31"/>
      <c r="Q1959" s="36"/>
      <c r="R1959" s="36"/>
      <c r="S1959" s="36"/>
      <c r="T1959" s="36"/>
      <c r="V1959" s="31"/>
    </row>
    <row r="1960">
      <c r="A1960" s="14"/>
      <c r="B1960" s="460"/>
      <c r="C1960" s="302"/>
      <c r="D1960" s="50"/>
      <c r="E1960" s="348"/>
      <c r="F1960" s="22"/>
      <c r="G1960" s="22"/>
      <c r="H1960" s="22"/>
      <c r="I1960" s="50"/>
      <c r="J1960" s="351"/>
      <c r="K1960" s="448"/>
      <c r="L1960" s="29"/>
      <c r="M1960" s="31"/>
      <c r="N1960" s="14"/>
      <c r="O1960" s="31"/>
      <c r="Q1960" s="36"/>
      <c r="R1960" s="36"/>
      <c r="S1960" s="36"/>
      <c r="T1960" s="36"/>
      <c r="V1960" s="31"/>
    </row>
    <row r="1961">
      <c r="A1961" s="14"/>
      <c r="B1961" s="460"/>
      <c r="C1961" s="302"/>
      <c r="D1961" s="50"/>
      <c r="E1961" s="348"/>
      <c r="F1961" s="22"/>
      <c r="G1961" s="22"/>
      <c r="H1961" s="22"/>
      <c r="I1961" s="50"/>
      <c r="J1961" s="351"/>
      <c r="K1961" s="448"/>
      <c r="L1961" s="29"/>
      <c r="M1961" s="31"/>
      <c r="N1961" s="14"/>
      <c r="O1961" s="31"/>
      <c r="Q1961" s="36"/>
      <c r="R1961" s="36"/>
      <c r="S1961" s="36"/>
      <c r="T1961" s="36"/>
      <c r="V1961" s="31"/>
    </row>
    <row r="1962">
      <c r="A1962" s="14"/>
      <c r="B1962" s="460"/>
      <c r="C1962" s="302"/>
      <c r="D1962" s="50"/>
      <c r="E1962" s="348"/>
      <c r="F1962" s="22"/>
      <c r="G1962" s="22"/>
      <c r="H1962" s="22"/>
      <c r="I1962" s="50"/>
      <c r="J1962" s="351"/>
      <c r="K1962" s="448"/>
      <c r="L1962" s="29"/>
      <c r="M1962" s="31"/>
      <c r="N1962" s="14"/>
      <c r="O1962" s="31"/>
      <c r="Q1962" s="36"/>
      <c r="R1962" s="36"/>
      <c r="S1962" s="36"/>
      <c r="T1962" s="36"/>
      <c r="V1962" s="31"/>
    </row>
    <row r="1963">
      <c r="A1963" s="14"/>
      <c r="B1963" s="460"/>
      <c r="C1963" s="302"/>
      <c r="D1963" s="50"/>
      <c r="E1963" s="348"/>
      <c r="F1963" s="22"/>
      <c r="G1963" s="22"/>
      <c r="H1963" s="22"/>
      <c r="I1963" s="50"/>
      <c r="J1963" s="351"/>
      <c r="K1963" s="448"/>
      <c r="L1963" s="29"/>
      <c r="M1963" s="31"/>
      <c r="N1963" s="14"/>
      <c r="O1963" s="31"/>
      <c r="Q1963" s="36"/>
      <c r="R1963" s="36"/>
      <c r="S1963" s="36"/>
      <c r="T1963" s="36"/>
      <c r="V1963" s="31"/>
    </row>
    <row r="1964">
      <c r="A1964" s="14"/>
      <c r="B1964" s="460"/>
      <c r="C1964" s="302"/>
      <c r="D1964" s="50"/>
      <c r="E1964" s="348"/>
      <c r="F1964" s="22"/>
      <c r="G1964" s="22"/>
      <c r="H1964" s="22"/>
      <c r="I1964" s="50"/>
      <c r="J1964" s="351"/>
      <c r="K1964" s="448"/>
      <c r="L1964" s="29"/>
      <c r="M1964" s="31"/>
      <c r="N1964" s="14"/>
      <c r="O1964" s="31"/>
      <c r="Q1964" s="36"/>
      <c r="R1964" s="36"/>
      <c r="S1964" s="36"/>
      <c r="T1964" s="36"/>
      <c r="V1964" s="31"/>
    </row>
    <row r="1965">
      <c r="A1965" s="14"/>
      <c r="B1965" s="460"/>
      <c r="C1965" s="302"/>
      <c r="D1965" s="50"/>
      <c r="E1965" s="348"/>
      <c r="F1965" s="22"/>
      <c r="G1965" s="22"/>
      <c r="H1965" s="22"/>
      <c r="I1965" s="50"/>
      <c r="J1965" s="351"/>
      <c r="K1965" s="448"/>
      <c r="L1965" s="29"/>
      <c r="M1965" s="31"/>
      <c r="N1965" s="14"/>
      <c r="O1965" s="31"/>
      <c r="Q1965" s="36"/>
      <c r="R1965" s="36"/>
      <c r="S1965" s="36"/>
      <c r="T1965" s="36"/>
      <c r="V1965" s="31"/>
    </row>
    <row r="1966">
      <c r="A1966" s="14"/>
      <c r="B1966" s="460"/>
      <c r="C1966" s="302"/>
      <c r="D1966" s="50"/>
      <c r="E1966" s="348"/>
      <c r="F1966" s="22"/>
      <c r="G1966" s="22"/>
      <c r="H1966" s="22"/>
      <c r="I1966" s="50"/>
      <c r="J1966" s="351"/>
      <c r="K1966" s="448"/>
      <c r="L1966" s="29"/>
      <c r="M1966" s="31"/>
      <c r="N1966" s="14"/>
      <c r="O1966" s="31"/>
      <c r="Q1966" s="36"/>
      <c r="R1966" s="36"/>
      <c r="S1966" s="36"/>
      <c r="T1966" s="36"/>
      <c r="V1966" s="31"/>
    </row>
    <row r="1967">
      <c r="A1967" s="14"/>
      <c r="B1967" s="460"/>
      <c r="C1967" s="302"/>
      <c r="D1967" s="50"/>
      <c r="E1967" s="348"/>
      <c r="F1967" s="22"/>
      <c r="G1967" s="22"/>
      <c r="H1967" s="22"/>
      <c r="I1967" s="50"/>
      <c r="J1967" s="351"/>
      <c r="K1967" s="448"/>
      <c r="L1967" s="29"/>
      <c r="M1967" s="31"/>
      <c r="N1967" s="14"/>
      <c r="O1967" s="31"/>
      <c r="Q1967" s="36"/>
      <c r="R1967" s="36"/>
      <c r="S1967" s="36"/>
      <c r="T1967" s="36"/>
      <c r="V1967" s="31"/>
    </row>
    <row r="1968">
      <c r="A1968" s="14"/>
      <c r="B1968" s="460"/>
      <c r="C1968" s="302"/>
      <c r="D1968" s="50"/>
      <c r="E1968" s="348"/>
      <c r="F1968" s="22"/>
      <c r="G1968" s="22"/>
      <c r="H1968" s="22"/>
      <c r="I1968" s="50"/>
      <c r="J1968" s="351"/>
      <c r="K1968" s="448"/>
      <c r="L1968" s="29"/>
      <c r="M1968" s="31"/>
      <c r="N1968" s="14"/>
      <c r="O1968" s="31"/>
      <c r="Q1968" s="36"/>
      <c r="R1968" s="36"/>
      <c r="S1968" s="36"/>
      <c r="T1968" s="36"/>
      <c r="V1968" s="31"/>
    </row>
    <row r="1969">
      <c r="A1969" s="14"/>
      <c r="B1969" s="460"/>
      <c r="C1969" s="302"/>
      <c r="D1969" s="50"/>
      <c r="E1969" s="348"/>
      <c r="F1969" s="22"/>
      <c r="G1969" s="22"/>
      <c r="H1969" s="22"/>
      <c r="I1969" s="50"/>
      <c r="J1969" s="351"/>
      <c r="K1969" s="448"/>
      <c r="L1969" s="29"/>
      <c r="M1969" s="31"/>
      <c r="N1969" s="14"/>
      <c r="O1969" s="31"/>
      <c r="Q1969" s="36"/>
      <c r="R1969" s="36"/>
      <c r="S1969" s="36"/>
      <c r="T1969" s="36"/>
      <c r="V1969" s="31"/>
    </row>
    <row r="1970">
      <c r="A1970" s="14"/>
      <c r="B1970" s="460"/>
      <c r="C1970" s="302"/>
      <c r="D1970" s="50"/>
      <c r="E1970" s="348"/>
      <c r="F1970" s="22"/>
      <c r="G1970" s="22"/>
      <c r="H1970" s="22"/>
      <c r="I1970" s="50"/>
      <c r="J1970" s="351"/>
      <c r="K1970" s="448"/>
      <c r="L1970" s="29"/>
      <c r="M1970" s="31"/>
      <c r="N1970" s="14"/>
      <c r="O1970" s="31"/>
      <c r="Q1970" s="36"/>
      <c r="R1970" s="36"/>
      <c r="S1970" s="36"/>
      <c r="T1970" s="36"/>
      <c r="V1970" s="31"/>
    </row>
    <row r="1971">
      <c r="A1971" s="14"/>
      <c r="B1971" s="460"/>
      <c r="C1971" s="302"/>
      <c r="D1971" s="50"/>
      <c r="E1971" s="348"/>
      <c r="F1971" s="22"/>
      <c r="G1971" s="22"/>
      <c r="H1971" s="22"/>
      <c r="I1971" s="50"/>
      <c r="J1971" s="351"/>
      <c r="K1971" s="448"/>
      <c r="L1971" s="29"/>
      <c r="M1971" s="31"/>
      <c r="N1971" s="14"/>
      <c r="O1971" s="31"/>
      <c r="Q1971" s="36"/>
      <c r="R1971" s="36"/>
      <c r="S1971" s="36"/>
      <c r="T1971" s="36"/>
      <c r="V1971" s="31"/>
    </row>
    <row r="1972">
      <c r="A1972" s="14"/>
      <c r="B1972" s="460"/>
      <c r="C1972" s="302"/>
      <c r="D1972" s="50"/>
      <c r="E1972" s="348"/>
      <c r="F1972" s="22"/>
      <c r="G1972" s="22"/>
      <c r="H1972" s="22"/>
      <c r="I1972" s="50"/>
      <c r="J1972" s="351"/>
      <c r="K1972" s="448"/>
      <c r="L1972" s="29"/>
      <c r="M1972" s="31"/>
      <c r="N1972" s="14"/>
      <c r="O1972" s="31"/>
      <c r="Q1972" s="36"/>
      <c r="R1972" s="36"/>
      <c r="S1972" s="36"/>
      <c r="T1972" s="36"/>
      <c r="V1972" s="31"/>
    </row>
    <row r="1973">
      <c r="A1973" s="14"/>
      <c r="B1973" s="460"/>
      <c r="C1973" s="302"/>
      <c r="D1973" s="50"/>
      <c r="E1973" s="348"/>
      <c r="F1973" s="22"/>
      <c r="G1973" s="22"/>
      <c r="H1973" s="22"/>
      <c r="I1973" s="50"/>
      <c r="J1973" s="351"/>
      <c r="K1973" s="448"/>
      <c r="L1973" s="29"/>
      <c r="M1973" s="31"/>
      <c r="N1973" s="14"/>
      <c r="O1973" s="31"/>
      <c r="Q1973" s="36"/>
      <c r="R1973" s="36"/>
      <c r="S1973" s="36"/>
      <c r="T1973" s="36"/>
      <c r="V1973" s="31"/>
    </row>
    <row r="1974">
      <c r="A1974" s="14"/>
      <c r="B1974" s="460"/>
      <c r="C1974" s="302"/>
      <c r="D1974" s="50"/>
      <c r="E1974" s="348"/>
      <c r="F1974" s="22"/>
      <c r="G1974" s="22"/>
      <c r="H1974" s="22"/>
      <c r="I1974" s="50"/>
      <c r="J1974" s="351"/>
      <c r="K1974" s="448"/>
      <c r="L1974" s="29"/>
      <c r="M1974" s="31"/>
      <c r="N1974" s="14"/>
      <c r="O1974" s="31"/>
      <c r="Q1974" s="36"/>
      <c r="R1974" s="36"/>
      <c r="S1974" s="36"/>
      <c r="T1974" s="36"/>
      <c r="V1974" s="31"/>
    </row>
    <row r="1975">
      <c r="A1975" s="14"/>
      <c r="B1975" s="460"/>
      <c r="C1975" s="302"/>
      <c r="D1975" s="50"/>
      <c r="E1975" s="348"/>
      <c r="F1975" s="22"/>
      <c r="G1975" s="22"/>
      <c r="H1975" s="22"/>
      <c r="I1975" s="50"/>
      <c r="J1975" s="351"/>
      <c r="K1975" s="448"/>
      <c r="L1975" s="29"/>
      <c r="M1975" s="31"/>
      <c r="N1975" s="14"/>
      <c r="O1975" s="31"/>
      <c r="Q1975" s="36"/>
      <c r="R1975" s="36"/>
      <c r="S1975" s="36"/>
      <c r="T1975" s="36"/>
      <c r="V1975" s="31"/>
    </row>
    <row r="1976">
      <c r="A1976" s="14"/>
      <c r="B1976" s="460"/>
      <c r="C1976" s="302"/>
      <c r="D1976" s="50"/>
      <c r="E1976" s="348"/>
      <c r="F1976" s="22"/>
      <c r="G1976" s="22"/>
      <c r="H1976" s="22"/>
      <c r="I1976" s="50"/>
      <c r="J1976" s="351"/>
      <c r="K1976" s="448"/>
      <c r="L1976" s="29"/>
      <c r="M1976" s="31"/>
      <c r="N1976" s="14"/>
      <c r="O1976" s="31"/>
      <c r="Q1976" s="36"/>
      <c r="R1976" s="36"/>
      <c r="S1976" s="36"/>
      <c r="T1976" s="36"/>
      <c r="V1976" s="31"/>
    </row>
    <row r="1977">
      <c r="A1977" s="14"/>
      <c r="B1977" s="460"/>
      <c r="C1977" s="302"/>
      <c r="D1977" s="50"/>
      <c r="E1977" s="348"/>
      <c r="F1977" s="22"/>
      <c r="G1977" s="22"/>
      <c r="H1977" s="22"/>
      <c r="I1977" s="50"/>
      <c r="J1977" s="351"/>
      <c r="K1977" s="448"/>
      <c r="L1977" s="29"/>
      <c r="M1977" s="31"/>
      <c r="N1977" s="14"/>
      <c r="O1977" s="31"/>
      <c r="Q1977" s="36"/>
      <c r="R1977" s="36"/>
      <c r="S1977" s="36"/>
      <c r="T1977" s="36"/>
      <c r="V1977" s="31"/>
    </row>
    <row r="1978">
      <c r="A1978" s="14"/>
      <c r="B1978" s="460"/>
      <c r="C1978" s="302"/>
      <c r="D1978" s="50"/>
      <c r="E1978" s="348"/>
      <c r="F1978" s="22"/>
      <c r="G1978" s="22"/>
      <c r="H1978" s="22"/>
      <c r="I1978" s="50"/>
      <c r="J1978" s="351"/>
      <c r="K1978" s="448"/>
      <c r="L1978" s="29"/>
      <c r="M1978" s="31"/>
      <c r="N1978" s="14"/>
      <c r="O1978" s="31"/>
      <c r="Q1978" s="36"/>
      <c r="R1978" s="36"/>
      <c r="S1978" s="36"/>
      <c r="T1978" s="36"/>
      <c r="V1978" s="31"/>
    </row>
    <row r="1979">
      <c r="A1979" s="14"/>
      <c r="B1979" s="460"/>
      <c r="C1979" s="302"/>
      <c r="D1979" s="50"/>
      <c r="E1979" s="348"/>
      <c r="F1979" s="22"/>
      <c r="G1979" s="22"/>
      <c r="H1979" s="22"/>
      <c r="I1979" s="50"/>
      <c r="J1979" s="351"/>
      <c r="K1979" s="448"/>
      <c r="L1979" s="29"/>
      <c r="M1979" s="31"/>
      <c r="N1979" s="14"/>
      <c r="O1979" s="31"/>
      <c r="Q1979" s="36"/>
      <c r="R1979" s="36"/>
      <c r="S1979" s="36"/>
      <c r="T1979" s="36"/>
      <c r="V1979" s="31"/>
    </row>
    <row r="1980">
      <c r="A1980" s="14"/>
      <c r="B1980" s="460"/>
      <c r="C1980" s="302"/>
      <c r="D1980" s="50"/>
      <c r="E1980" s="348"/>
      <c r="F1980" s="22"/>
      <c r="G1980" s="22"/>
      <c r="H1980" s="22"/>
      <c r="I1980" s="50"/>
      <c r="J1980" s="351"/>
      <c r="K1980" s="448"/>
      <c r="L1980" s="29"/>
      <c r="M1980" s="31"/>
      <c r="N1980" s="14"/>
      <c r="O1980" s="31"/>
      <c r="Q1980" s="36"/>
      <c r="R1980" s="36"/>
      <c r="S1980" s="36"/>
      <c r="T1980" s="36"/>
      <c r="V1980" s="31"/>
    </row>
    <row r="1981">
      <c r="A1981" s="14"/>
      <c r="B1981" s="460"/>
      <c r="C1981" s="302"/>
      <c r="D1981" s="50"/>
      <c r="E1981" s="348"/>
      <c r="F1981" s="22"/>
      <c r="G1981" s="22"/>
      <c r="H1981" s="22"/>
      <c r="I1981" s="50"/>
      <c r="J1981" s="351"/>
      <c r="K1981" s="448"/>
      <c r="L1981" s="29"/>
      <c r="M1981" s="31"/>
      <c r="N1981" s="14"/>
      <c r="O1981" s="31"/>
      <c r="Q1981" s="36"/>
      <c r="R1981" s="36"/>
      <c r="S1981" s="36"/>
      <c r="T1981" s="36"/>
      <c r="V1981" s="31"/>
    </row>
    <row r="1982">
      <c r="A1982" s="14"/>
      <c r="B1982" s="460"/>
      <c r="C1982" s="302"/>
      <c r="D1982" s="50"/>
      <c r="E1982" s="348"/>
      <c r="F1982" s="22"/>
      <c r="G1982" s="22"/>
      <c r="H1982" s="22"/>
      <c r="I1982" s="50"/>
      <c r="J1982" s="351"/>
      <c r="K1982" s="448"/>
      <c r="L1982" s="29"/>
      <c r="M1982" s="31"/>
      <c r="N1982" s="14"/>
      <c r="O1982" s="31"/>
      <c r="Q1982" s="36"/>
      <c r="R1982" s="36"/>
      <c r="S1982" s="36"/>
      <c r="T1982" s="36"/>
      <c r="V1982" s="31"/>
    </row>
    <row r="1983">
      <c r="A1983" s="14"/>
      <c r="B1983" s="460"/>
      <c r="C1983" s="302"/>
      <c r="D1983" s="50"/>
      <c r="E1983" s="348"/>
      <c r="F1983" s="22"/>
      <c r="G1983" s="22"/>
      <c r="H1983" s="22"/>
      <c r="I1983" s="50"/>
      <c r="J1983" s="351"/>
      <c r="K1983" s="448"/>
      <c r="L1983" s="29"/>
      <c r="M1983" s="31"/>
      <c r="N1983" s="14"/>
      <c r="O1983" s="31"/>
      <c r="Q1983" s="36"/>
      <c r="R1983" s="36"/>
      <c r="S1983" s="36"/>
      <c r="T1983" s="36"/>
      <c r="V1983" s="31"/>
    </row>
    <row r="1984">
      <c r="A1984" s="14"/>
      <c r="B1984" s="460"/>
      <c r="C1984" s="302"/>
      <c r="D1984" s="50"/>
      <c r="E1984" s="348"/>
      <c r="F1984" s="22"/>
      <c r="G1984" s="22"/>
      <c r="H1984" s="22"/>
      <c r="I1984" s="50"/>
      <c r="J1984" s="351"/>
      <c r="K1984" s="448"/>
      <c r="L1984" s="29"/>
      <c r="M1984" s="31"/>
      <c r="N1984" s="14"/>
      <c r="O1984" s="31"/>
      <c r="Q1984" s="36"/>
      <c r="R1984" s="36"/>
      <c r="S1984" s="36"/>
      <c r="T1984" s="36"/>
      <c r="V1984" s="31"/>
    </row>
    <row r="1985">
      <c r="A1985" s="14"/>
      <c r="B1985" s="460"/>
      <c r="C1985" s="302"/>
      <c r="D1985" s="50"/>
      <c r="E1985" s="348"/>
      <c r="F1985" s="22"/>
      <c r="G1985" s="22"/>
      <c r="H1985" s="22"/>
      <c r="I1985" s="50"/>
      <c r="J1985" s="351"/>
      <c r="K1985" s="448"/>
      <c r="L1985" s="29"/>
      <c r="M1985" s="31"/>
      <c r="N1985" s="14"/>
      <c r="O1985" s="31"/>
      <c r="Q1985" s="36"/>
      <c r="R1985" s="36"/>
      <c r="S1985" s="36"/>
      <c r="T1985" s="36"/>
      <c r="V1985" s="31"/>
    </row>
    <row r="1986">
      <c r="A1986" s="14"/>
      <c r="B1986" s="460"/>
      <c r="C1986" s="302"/>
      <c r="D1986" s="50"/>
      <c r="E1986" s="348"/>
      <c r="F1986" s="22"/>
      <c r="G1986" s="22"/>
      <c r="H1986" s="22"/>
      <c r="I1986" s="50"/>
      <c r="J1986" s="351"/>
      <c r="K1986" s="448"/>
      <c r="L1986" s="29"/>
      <c r="M1986" s="31"/>
      <c r="N1986" s="14"/>
      <c r="O1986" s="31"/>
      <c r="Q1986" s="36"/>
      <c r="R1986" s="36"/>
      <c r="S1986" s="36"/>
      <c r="T1986" s="36"/>
      <c r="V1986" s="31"/>
    </row>
    <row r="1987">
      <c r="A1987" s="14"/>
      <c r="B1987" s="460"/>
      <c r="C1987" s="302"/>
      <c r="D1987" s="50"/>
      <c r="E1987" s="348"/>
      <c r="F1987" s="22"/>
      <c r="G1987" s="22"/>
      <c r="H1987" s="22"/>
      <c r="I1987" s="50"/>
      <c r="J1987" s="351"/>
      <c r="K1987" s="448"/>
      <c r="L1987" s="29"/>
      <c r="M1987" s="31"/>
      <c r="N1987" s="14"/>
      <c r="O1987" s="31"/>
      <c r="Q1987" s="36"/>
      <c r="R1987" s="36"/>
      <c r="S1987" s="36"/>
      <c r="T1987" s="36"/>
      <c r="V1987" s="31"/>
    </row>
    <row r="1988">
      <c r="A1988" s="14"/>
      <c r="B1988" s="460"/>
      <c r="C1988" s="302"/>
      <c r="D1988" s="50"/>
      <c r="E1988" s="348"/>
      <c r="F1988" s="22"/>
      <c r="G1988" s="22"/>
      <c r="H1988" s="22"/>
      <c r="I1988" s="50"/>
      <c r="J1988" s="351"/>
      <c r="K1988" s="448"/>
      <c r="L1988" s="29"/>
      <c r="M1988" s="31"/>
      <c r="N1988" s="14"/>
      <c r="O1988" s="31"/>
      <c r="Q1988" s="36"/>
      <c r="R1988" s="36"/>
      <c r="S1988" s="36"/>
      <c r="T1988" s="36"/>
      <c r="V1988" s="31"/>
    </row>
    <row r="1989">
      <c r="A1989" s="14"/>
      <c r="B1989" s="460"/>
      <c r="C1989" s="302"/>
      <c r="D1989" s="50"/>
      <c r="E1989" s="348"/>
      <c r="F1989" s="22"/>
      <c r="G1989" s="22"/>
      <c r="H1989" s="22"/>
      <c r="I1989" s="50"/>
      <c r="J1989" s="351"/>
      <c r="K1989" s="448"/>
      <c r="L1989" s="29"/>
      <c r="M1989" s="31"/>
      <c r="N1989" s="14"/>
      <c r="O1989" s="31"/>
      <c r="Q1989" s="36"/>
      <c r="R1989" s="36"/>
      <c r="S1989" s="36"/>
      <c r="T1989" s="36"/>
      <c r="V1989" s="31"/>
    </row>
    <row r="1990">
      <c r="A1990" s="14"/>
      <c r="B1990" s="460"/>
      <c r="C1990" s="302"/>
      <c r="D1990" s="50"/>
      <c r="E1990" s="348"/>
      <c r="F1990" s="22"/>
      <c r="G1990" s="22"/>
      <c r="H1990" s="22"/>
      <c r="I1990" s="50"/>
      <c r="J1990" s="351"/>
      <c r="K1990" s="448"/>
      <c r="L1990" s="29"/>
      <c r="M1990" s="31"/>
      <c r="N1990" s="14"/>
      <c r="O1990" s="31"/>
      <c r="Q1990" s="36"/>
      <c r="R1990" s="36"/>
      <c r="S1990" s="36"/>
      <c r="T1990" s="36"/>
      <c r="V1990" s="31"/>
    </row>
    <row r="1991">
      <c r="A1991" s="14"/>
      <c r="B1991" s="460"/>
      <c r="C1991" s="302"/>
      <c r="D1991" s="50"/>
      <c r="E1991" s="348"/>
      <c r="F1991" s="22"/>
      <c r="G1991" s="22"/>
      <c r="H1991" s="22"/>
      <c r="I1991" s="50"/>
      <c r="J1991" s="351"/>
      <c r="K1991" s="448"/>
      <c r="L1991" s="29"/>
      <c r="M1991" s="31"/>
      <c r="N1991" s="14"/>
      <c r="O1991" s="31"/>
      <c r="Q1991" s="36"/>
      <c r="R1991" s="36"/>
      <c r="S1991" s="36"/>
      <c r="T1991" s="36"/>
      <c r="V1991" s="31"/>
    </row>
    <row r="1992">
      <c r="A1992" s="14"/>
      <c r="B1992" s="460"/>
      <c r="C1992" s="302"/>
      <c r="D1992" s="50"/>
      <c r="E1992" s="348"/>
      <c r="F1992" s="22"/>
      <c r="G1992" s="22"/>
      <c r="H1992" s="22"/>
      <c r="I1992" s="50"/>
      <c r="J1992" s="351"/>
      <c r="K1992" s="448"/>
      <c r="L1992" s="29"/>
      <c r="M1992" s="31"/>
      <c r="N1992" s="14"/>
      <c r="O1992" s="31"/>
      <c r="Q1992" s="36"/>
      <c r="R1992" s="36"/>
      <c r="S1992" s="36"/>
      <c r="T1992" s="36"/>
      <c r="V1992" s="31"/>
    </row>
    <row r="1993">
      <c r="A1993" s="14"/>
      <c r="B1993" s="460"/>
      <c r="C1993" s="302"/>
      <c r="D1993" s="50"/>
      <c r="E1993" s="348"/>
      <c r="F1993" s="22"/>
      <c r="G1993" s="22"/>
      <c r="H1993" s="22"/>
      <c r="I1993" s="50"/>
      <c r="J1993" s="351"/>
      <c r="K1993" s="448"/>
      <c r="L1993" s="29"/>
      <c r="M1993" s="31"/>
      <c r="N1993" s="14"/>
      <c r="O1993" s="31"/>
      <c r="Q1993" s="36"/>
      <c r="R1993" s="36"/>
      <c r="S1993" s="36"/>
      <c r="T1993" s="36"/>
      <c r="V1993" s="31"/>
    </row>
    <row r="1994">
      <c r="A1994" s="14"/>
      <c r="B1994" s="460"/>
      <c r="C1994" s="302"/>
      <c r="D1994" s="50"/>
      <c r="E1994" s="348"/>
      <c r="F1994" s="22"/>
      <c r="G1994" s="22"/>
      <c r="H1994" s="22"/>
      <c r="I1994" s="50"/>
      <c r="J1994" s="351"/>
      <c r="K1994" s="448"/>
      <c r="L1994" s="29"/>
      <c r="M1994" s="31"/>
      <c r="N1994" s="14"/>
      <c r="O1994" s="31"/>
      <c r="Q1994" s="36"/>
      <c r="R1994" s="36"/>
      <c r="S1994" s="36"/>
      <c r="T1994" s="36"/>
      <c r="V1994" s="31"/>
    </row>
    <row r="1995">
      <c r="A1995" s="14"/>
      <c r="B1995" s="460"/>
      <c r="C1995" s="302"/>
      <c r="D1995" s="50"/>
      <c r="E1995" s="348"/>
      <c r="F1995" s="22"/>
      <c r="G1995" s="22"/>
      <c r="H1995" s="22"/>
      <c r="I1995" s="50"/>
      <c r="J1995" s="351"/>
      <c r="K1995" s="448"/>
      <c r="L1995" s="29"/>
      <c r="M1995" s="31"/>
      <c r="N1995" s="14"/>
      <c r="O1995" s="31"/>
      <c r="Q1995" s="36"/>
      <c r="R1995" s="36"/>
      <c r="S1995" s="36"/>
      <c r="T1995" s="36"/>
      <c r="V1995" s="31"/>
    </row>
    <row r="1996">
      <c r="A1996" s="14"/>
      <c r="B1996" s="460"/>
      <c r="C1996" s="302"/>
      <c r="D1996" s="50"/>
      <c r="E1996" s="348"/>
      <c r="F1996" s="22"/>
      <c r="G1996" s="22"/>
      <c r="H1996" s="22"/>
      <c r="I1996" s="50"/>
      <c r="J1996" s="351"/>
      <c r="K1996" s="448"/>
      <c r="L1996" s="29"/>
      <c r="M1996" s="31"/>
      <c r="N1996" s="14"/>
      <c r="O1996" s="31"/>
      <c r="Q1996" s="36"/>
      <c r="R1996" s="36"/>
      <c r="S1996" s="36"/>
      <c r="T1996" s="36"/>
      <c r="V1996" s="31"/>
    </row>
    <row r="1997">
      <c r="A1997" s="14"/>
      <c r="B1997" s="460"/>
      <c r="C1997" s="302"/>
      <c r="D1997" s="50"/>
      <c r="E1997" s="348"/>
      <c r="F1997" s="22"/>
      <c r="G1997" s="22"/>
      <c r="H1997" s="22"/>
      <c r="I1997" s="50"/>
      <c r="J1997" s="351"/>
      <c r="K1997" s="448"/>
      <c r="L1997" s="29"/>
      <c r="M1997" s="31"/>
      <c r="N1997" s="14"/>
      <c r="O1997" s="31"/>
      <c r="Q1997" s="36"/>
      <c r="R1997" s="36"/>
      <c r="S1997" s="36"/>
      <c r="T1997" s="36"/>
      <c r="V1997" s="31"/>
    </row>
    <row r="1998">
      <c r="A1998" s="14"/>
      <c r="B1998" s="460"/>
      <c r="C1998" s="302"/>
      <c r="D1998" s="50"/>
      <c r="E1998" s="348"/>
      <c r="F1998" s="22"/>
      <c r="G1998" s="22"/>
      <c r="H1998" s="22"/>
      <c r="I1998" s="50"/>
      <c r="J1998" s="351"/>
      <c r="K1998" s="448"/>
      <c r="L1998" s="29"/>
      <c r="M1998" s="31"/>
      <c r="N1998" s="14"/>
      <c r="O1998" s="31"/>
      <c r="Q1998" s="36"/>
      <c r="R1998" s="36"/>
      <c r="S1998" s="36"/>
      <c r="T1998" s="36"/>
      <c r="V1998" s="31"/>
    </row>
    <row r="1999">
      <c r="A1999" s="14"/>
      <c r="B1999" s="460"/>
      <c r="C1999" s="302"/>
      <c r="D1999" s="50"/>
      <c r="E1999" s="348"/>
      <c r="F1999" s="22"/>
      <c r="G1999" s="22"/>
      <c r="H1999" s="22"/>
      <c r="I1999" s="50"/>
      <c r="J1999" s="351"/>
      <c r="K1999" s="448"/>
      <c r="L1999" s="29"/>
      <c r="M1999" s="31"/>
      <c r="N1999" s="14"/>
      <c r="O1999" s="31"/>
      <c r="Q1999" s="36"/>
      <c r="R1999" s="36"/>
      <c r="S1999" s="36"/>
      <c r="T1999" s="36"/>
      <c r="V1999" s="31"/>
    </row>
    <row r="2000">
      <c r="A2000" s="14"/>
      <c r="B2000" s="460"/>
      <c r="C2000" s="302"/>
      <c r="D2000" s="50"/>
      <c r="E2000" s="348"/>
      <c r="F2000" s="22"/>
      <c r="G2000" s="22"/>
      <c r="H2000" s="22"/>
      <c r="I2000" s="50"/>
      <c r="J2000" s="351"/>
      <c r="K2000" s="448"/>
      <c r="L2000" s="29"/>
      <c r="M2000" s="31"/>
      <c r="N2000" s="14"/>
      <c r="O2000" s="31"/>
      <c r="Q2000" s="36"/>
      <c r="R2000" s="36"/>
      <c r="S2000" s="36"/>
      <c r="T2000" s="36"/>
      <c r="V2000" s="31"/>
    </row>
    <row r="2001">
      <c r="A2001" s="14"/>
      <c r="B2001" s="460"/>
      <c r="C2001" s="302"/>
      <c r="D2001" s="50"/>
      <c r="E2001" s="348"/>
      <c r="F2001" s="22"/>
      <c r="G2001" s="22"/>
      <c r="H2001" s="22"/>
      <c r="I2001" s="50"/>
      <c r="J2001" s="351"/>
      <c r="K2001" s="448"/>
      <c r="L2001" s="29"/>
      <c r="M2001" s="31"/>
      <c r="N2001" s="14"/>
      <c r="O2001" s="31"/>
      <c r="Q2001" s="36"/>
      <c r="R2001" s="36"/>
      <c r="S2001" s="36"/>
      <c r="T2001" s="36"/>
      <c r="V2001" s="31"/>
    </row>
    <row r="2002">
      <c r="A2002" s="14"/>
      <c r="B2002" s="460"/>
      <c r="C2002" s="302"/>
      <c r="D2002" s="50"/>
      <c r="E2002" s="348"/>
      <c r="F2002" s="22"/>
      <c r="G2002" s="22"/>
      <c r="H2002" s="22"/>
      <c r="I2002" s="50"/>
      <c r="J2002" s="351"/>
      <c r="K2002" s="448"/>
      <c r="L2002" s="29"/>
      <c r="M2002" s="31"/>
      <c r="N2002" s="14"/>
      <c r="O2002" s="31"/>
      <c r="Q2002" s="36"/>
      <c r="R2002" s="36"/>
      <c r="S2002" s="36"/>
      <c r="T2002" s="36"/>
      <c r="V2002" s="31"/>
    </row>
    <row r="2003">
      <c r="A2003" s="14"/>
      <c r="B2003" s="460"/>
      <c r="C2003" s="302"/>
      <c r="D2003" s="50"/>
      <c r="E2003" s="348"/>
      <c r="F2003" s="22"/>
      <c r="G2003" s="22"/>
      <c r="H2003" s="22"/>
      <c r="I2003" s="50"/>
      <c r="J2003" s="351"/>
      <c r="K2003" s="448"/>
      <c r="L2003" s="29"/>
      <c r="M2003" s="31"/>
      <c r="N2003" s="14"/>
      <c r="O2003" s="31"/>
      <c r="Q2003" s="36"/>
      <c r="R2003" s="36"/>
      <c r="S2003" s="36"/>
      <c r="T2003" s="36"/>
      <c r="V2003" s="31"/>
    </row>
    <row r="2004">
      <c r="A2004" s="14"/>
      <c r="B2004" s="460"/>
      <c r="C2004" s="302"/>
      <c r="D2004" s="50"/>
      <c r="E2004" s="348"/>
      <c r="F2004" s="22"/>
      <c r="G2004" s="22"/>
      <c r="H2004" s="22"/>
      <c r="I2004" s="50"/>
      <c r="J2004" s="351"/>
      <c r="K2004" s="448"/>
      <c r="L2004" s="29"/>
      <c r="M2004" s="31"/>
      <c r="N2004" s="14"/>
      <c r="O2004" s="31"/>
      <c r="Q2004" s="36"/>
      <c r="R2004" s="36"/>
      <c r="S2004" s="36"/>
      <c r="T2004" s="36"/>
      <c r="V2004" s="31"/>
    </row>
    <row r="2005">
      <c r="A2005" s="14"/>
      <c r="B2005" s="460"/>
      <c r="C2005" s="302"/>
      <c r="D2005" s="50"/>
      <c r="E2005" s="348"/>
      <c r="F2005" s="22"/>
      <c r="G2005" s="22"/>
      <c r="H2005" s="22"/>
      <c r="I2005" s="50"/>
      <c r="J2005" s="351"/>
      <c r="K2005" s="448"/>
      <c r="L2005" s="29"/>
      <c r="M2005" s="31"/>
      <c r="N2005" s="14"/>
      <c r="O2005" s="31"/>
      <c r="Q2005" s="36"/>
      <c r="R2005" s="36"/>
      <c r="S2005" s="36"/>
      <c r="T2005" s="36"/>
      <c r="V2005" s="31"/>
    </row>
    <row r="2006">
      <c r="A2006" s="14"/>
      <c r="B2006" s="460"/>
      <c r="C2006" s="302"/>
      <c r="D2006" s="50"/>
      <c r="E2006" s="348"/>
      <c r="F2006" s="22"/>
      <c r="G2006" s="22"/>
      <c r="H2006" s="22"/>
      <c r="I2006" s="50"/>
      <c r="J2006" s="351"/>
      <c r="K2006" s="448"/>
      <c r="L2006" s="29"/>
      <c r="M2006" s="31"/>
      <c r="N2006" s="14"/>
      <c r="O2006" s="31"/>
      <c r="Q2006" s="36"/>
      <c r="R2006" s="36"/>
      <c r="S2006" s="36"/>
      <c r="T2006" s="36"/>
      <c r="V2006" s="31"/>
    </row>
    <row r="2007">
      <c r="A2007" s="14"/>
      <c r="B2007" s="460"/>
      <c r="C2007" s="302"/>
      <c r="D2007" s="50"/>
      <c r="E2007" s="348"/>
      <c r="F2007" s="22"/>
      <c r="G2007" s="22"/>
      <c r="H2007" s="22"/>
      <c r="I2007" s="50"/>
      <c r="J2007" s="351"/>
      <c r="K2007" s="448"/>
      <c r="L2007" s="29"/>
      <c r="M2007" s="31"/>
      <c r="N2007" s="14"/>
      <c r="O2007" s="31"/>
      <c r="Q2007" s="36"/>
      <c r="R2007" s="36"/>
      <c r="S2007" s="36"/>
      <c r="T2007" s="36"/>
      <c r="V2007" s="31"/>
    </row>
    <row r="2008">
      <c r="A2008" s="14"/>
      <c r="B2008" s="460"/>
      <c r="C2008" s="302"/>
      <c r="D2008" s="50"/>
      <c r="E2008" s="348"/>
      <c r="F2008" s="22"/>
      <c r="G2008" s="22"/>
      <c r="H2008" s="22"/>
      <c r="I2008" s="50"/>
      <c r="J2008" s="351"/>
      <c r="K2008" s="448"/>
      <c r="L2008" s="29"/>
      <c r="M2008" s="31"/>
      <c r="N2008" s="14"/>
      <c r="O2008" s="31"/>
      <c r="Q2008" s="36"/>
      <c r="R2008" s="36"/>
      <c r="S2008" s="36"/>
      <c r="T2008" s="36"/>
      <c r="V2008" s="31"/>
    </row>
    <row r="2009">
      <c r="A2009" s="14"/>
      <c r="B2009" s="460"/>
      <c r="C2009" s="302"/>
      <c r="D2009" s="50"/>
      <c r="E2009" s="348"/>
      <c r="F2009" s="22"/>
      <c r="G2009" s="22"/>
      <c r="H2009" s="22"/>
      <c r="I2009" s="50"/>
      <c r="J2009" s="351"/>
      <c r="K2009" s="448"/>
      <c r="L2009" s="29"/>
      <c r="M2009" s="31"/>
      <c r="N2009" s="14"/>
      <c r="O2009" s="31"/>
      <c r="Q2009" s="36"/>
      <c r="R2009" s="36"/>
      <c r="S2009" s="36"/>
      <c r="T2009" s="36"/>
      <c r="V2009" s="31"/>
    </row>
    <row r="2010">
      <c r="A2010" s="14"/>
      <c r="B2010" s="460"/>
      <c r="C2010" s="302"/>
      <c r="D2010" s="50"/>
      <c r="E2010" s="348"/>
      <c r="F2010" s="22"/>
      <c r="G2010" s="22"/>
      <c r="H2010" s="22"/>
      <c r="I2010" s="50"/>
      <c r="J2010" s="351"/>
      <c r="K2010" s="448"/>
      <c r="L2010" s="29"/>
      <c r="M2010" s="31"/>
      <c r="N2010" s="14"/>
      <c r="O2010" s="31"/>
      <c r="Q2010" s="36"/>
      <c r="R2010" s="36"/>
      <c r="S2010" s="36"/>
      <c r="T2010" s="36"/>
      <c r="V2010" s="31"/>
    </row>
    <row r="2011">
      <c r="A2011" s="14"/>
      <c r="B2011" s="460"/>
      <c r="C2011" s="302"/>
      <c r="D2011" s="50"/>
      <c r="E2011" s="348"/>
      <c r="F2011" s="22"/>
      <c r="G2011" s="22"/>
      <c r="H2011" s="22"/>
      <c r="I2011" s="50"/>
      <c r="J2011" s="351"/>
      <c r="K2011" s="448"/>
      <c r="L2011" s="29"/>
      <c r="M2011" s="31"/>
      <c r="N2011" s="14"/>
      <c r="O2011" s="31"/>
      <c r="Q2011" s="36"/>
      <c r="R2011" s="36"/>
      <c r="S2011" s="36"/>
      <c r="T2011" s="36"/>
      <c r="V2011" s="31"/>
    </row>
    <row r="2012">
      <c r="A2012" s="14"/>
      <c r="B2012" s="460"/>
      <c r="C2012" s="302"/>
      <c r="D2012" s="50"/>
      <c r="E2012" s="348"/>
      <c r="F2012" s="22"/>
      <c r="G2012" s="22"/>
      <c r="H2012" s="22"/>
      <c r="I2012" s="50"/>
      <c r="J2012" s="351"/>
      <c r="K2012" s="448"/>
      <c r="L2012" s="29"/>
      <c r="M2012" s="31"/>
      <c r="N2012" s="14"/>
      <c r="O2012" s="31"/>
      <c r="Q2012" s="36"/>
      <c r="R2012" s="36"/>
      <c r="S2012" s="36"/>
      <c r="T2012" s="36"/>
      <c r="V2012" s="31"/>
    </row>
    <row r="2013">
      <c r="A2013" s="14"/>
      <c r="B2013" s="460"/>
      <c r="C2013" s="302"/>
      <c r="D2013" s="50"/>
      <c r="E2013" s="348"/>
      <c r="F2013" s="22"/>
      <c r="G2013" s="22"/>
      <c r="H2013" s="22"/>
      <c r="I2013" s="50"/>
      <c r="J2013" s="351"/>
      <c r="K2013" s="448"/>
      <c r="L2013" s="29"/>
      <c r="M2013" s="31"/>
      <c r="N2013" s="14"/>
      <c r="O2013" s="31"/>
      <c r="Q2013" s="36"/>
      <c r="R2013" s="36"/>
      <c r="S2013" s="36"/>
      <c r="T2013" s="36"/>
      <c r="V2013" s="31"/>
    </row>
    <row r="2014">
      <c r="A2014" s="14"/>
      <c r="B2014" s="460"/>
      <c r="C2014" s="302"/>
      <c r="D2014" s="50"/>
      <c r="E2014" s="348"/>
      <c r="F2014" s="22"/>
      <c r="G2014" s="22"/>
      <c r="H2014" s="22"/>
      <c r="I2014" s="50"/>
      <c r="J2014" s="351"/>
      <c r="K2014" s="448"/>
      <c r="L2014" s="29"/>
      <c r="M2014" s="31"/>
      <c r="N2014" s="14"/>
      <c r="O2014" s="31"/>
      <c r="Q2014" s="36"/>
      <c r="R2014" s="36"/>
      <c r="S2014" s="36"/>
      <c r="T2014" s="36"/>
      <c r="V2014" s="31"/>
    </row>
    <row r="2015">
      <c r="A2015" s="14"/>
      <c r="B2015" s="460"/>
      <c r="C2015" s="302"/>
      <c r="D2015" s="50"/>
      <c r="E2015" s="348"/>
      <c r="F2015" s="22"/>
      <c r="G2015" s="22"/>
      <c r="H2015" s="22"/>
      <c r="I2015" s="50"/>
      <c r="J2015" s="351"/>
      <c r="K2015" s="448"/>
      <c r="L2015" s="29"/>
      <c r="M2015" s="31"/>
      <c r="N2015" s="14"/>
      <c r="O2015" s="31"/>
      <c r="Q2015" s="36"/>
      <c r="R2015" s="36"/>
      <c r="S2015" s="36"/>
      <c r="T2015" s="36"/>
      <c r="V2015" s="31"/>
    </row>
    <row r="2016">
      <c r="A2016" s="14"/>
      <c r="B2016" s="460"/>
      <c r="C2016" s="302"/>
      <c r="D2016" s="50"/>
      <c r="E2016" s="348"/>
      <c r="F2016" s="22"/>
      <c r="G2016" s="22"/>
      <c r="H2016" s="22"/>
      <c r="I2016" s="50"/>
      <c r="J2016" s="351"/>
      <c r="K2016" s="448"/>
      <c r="L2016" s="29"/>
      <c r="M2016" s="31"/>
      <c r="N2016" s="14"/>
      <c r="O2016" s="31"/>
      <c r="Q2016" s="36"/>
      <c r="R2016" s="36"/>
      <c r="S2016" s="36"/>
      <c r="T2016" s="36"/>
      <c r="V2016" s="31"/>
    </row>
    <row r="2017">
      <c r="A2017" s="14"/>
      <c r="B2017" s="460"/>
      <c r="C2017" s="302"/>
      <c r="D2017" s="50"/>
      <c r="E2017" s="348"/>
      <c r="F2017" s="22"/>
      <c r="G2017" s="22"/>
      <c r="H2017" s="22"/>
      <c r="I2017" s="50"/>
      <c r="J2017" s="351"/>
      <c r="K2017" s="448"/>
      <c r="L2017" s="29"/>
      <c r="M2017" s="31"/>
      <c r="N2017" s="14"/>
      <c r="O2017" s="31"/>
      <c r="Q2017" s="36"/>
      <c r="R2017" s="36"/>
      <c r="S2017" s="36"/>
      <c r="T2017" s="36"/>
      <c r="V2017" s="31"/>
    </row>
    <row r="2018">
      <c r="A2018" s="14"/>
      <c r="B2018" s="460"/>
      <c r="C2018" s="302"/>
      <c r="D2018" s="50"/>
      <c r="E2018" s="348"/>
      <c r="F2018" s="22"/>
      <c r="G2018" s="22"/>
      <c r="H2018" s="22"/>
      <c r="I2018" s="50"/>
      <c r="J2018" s="351"/>
      <c r="K2018" s="448"/>
      <c r="L2018" s="29"/>
      <c r="M2018" s="31"/>
      <c r="N2018" s="14"/>
      <c r="O2018" s="31"/>
      <c r="Q2018" s="36"/>
      <c r="R2018" s="36"/>
      <c r="S2018" s="36"/>
      <c r="T2018" s="36"/>
      <c r="V2018" s="31"/>
    </row>
    <row r="2019">
      <c r="A2019" s="14"/>
      <c r="B2019" s="460"/>
      <c r="C2019" s="302"/>
      <c r="D2019" s="50"/>
      <c r="E2019" s="348"/>
      <c r="F2019" s="22"/>
      <c r="G2019" s="22"/>
      <c r="H2019" s="22"/>
      <c r="I2019" s="50"/>
      <c r="J2019" s="351"/>
      <c r="K2019" s="448"/>
      <c r="L2019" s="29"/>
      <c r="M2019" s="31"/>
      <c r="N2019" s="14"/>
      <c r="O2019" s="31"/>
      <c r="Q2019" s="36"/>
      <c r="R2019" s="36"/>
      <c r="S2019" s="36"/>
      <c r="T2019" s="36"/>
      <c r="V2019" s="31"/>
    </row>
    <row r="2020">
      <c r="A2020" s="14"/>
      <c r="B2020" s="460"/>
      <c r="C2020" s="302"/>
      <c r="D2020" s="50"/>
      <c r="E2020" s="348"/>
      <c r="F2020" s="22"/>
      <c r="G2020" s="22"/>
      <c r="H2020" s="22"/>
      <c r="I2020" s="50"/>
      <c r="J2020" s="351"/>
      <c r="K2020" s="448"/>
      <c r="L2020" s="29"/>
      <c r="M2020" s="31"/>
      <c r="N2020" s="14"/>
      <c r="O2020" s="31"/>
      <c r="Q2020" s="36"/>
      <c r="R2020" s="36"/>
      <c r="S2020" s="36"/>
      <c r="T2020" s="36"/>
      <c r="V2020" s="31"/>
    </row>
    <row r="2021">
      <c r="A2021" s="14"/>
      <c r="B2021" s="460"/>
      <c r="C2021" s="302"/>
      <c r="D2021" s="50"/>
      <c r="E2021" s="348"/>
      <c r="F2021" s="22"/>
      <c r="G2021" s="22"/>
      <c r="H2021" s="22"/>
      <c r="I2021" s="50"/>
      <c r="J2021" s="351"/>
      <c r="K2021" s="448"/>
      <c r="L2021" s="29"/>
      <c r="M2021" s="31"/>
      <c r="N2021" s="14"/>
      <c r="O2021" s="31"/>
      <c r="Q2021" s="36"/>
      <c r="R2021" s="36"/>
      <c r="S2021" s="36"/>
      <c r="T2021" s="36"/>
      <c r="V2021" s="31"/>
    </row>
    <row r="2022">
      <c r="A2022" s="14"/>
      <c r="B2022" s="460"/>
      <c r="C2022" s="302"/>
      <c r="D2022" s="50"/>
      <c r="E2022" s="348"/>
      <c r="F2022" s="22"/>
      <c r="G2022" s="22"/>
      <c r="H2022" s="22"/>
      <c r="I2022" s="50"/>
      <c r="J2022" s="351"/>
      <c r="K2022" s="448"/>
      <c r="L2022" s="29"/>
      <c r="M2022" s="31"/>
      <c r="N2022" s="14"/>
      <c r="O2022" s="31"/>
      <c r="Q2022" s="36"/>
      <c r="R2022" s="36"/>
      <c r="S2022" s="36"/>
      <c r="T2022" s="36"/>
      <c r="V2022" s="31"/>
    </row>
    <row r="2023">
      <c r="A2023" s="14"/>
      <c r="B2023" s="460"/>
      <c r="C2023" s="302"/>
      <c r="D2023" s="50"/>
      <c r="E2023" s="348"/>
      <c r="F2023" s="22"/>
      <c r="G2023" s="22"/>
      <c r="H2023" s="22"/>
      <c r="I2023" s="50"/>
      <c r="J2023" s="351"/>
      <c r="K2023" s="448"/>
      <c r="L2023" s="29"/>
      <c r="M2023" s="31"/>
      <c r="N2023" s="14"/>
      <c r="O2023" s="31"/>
      <c r="Q2023" s="36"/>
      <c r="R2023" s="36"/>
      <c r="S2023" s="36"/>
      <c r="T2023" s="36"/>
      <c r="V2023" s="31"/>
    </row>
    <row r="2024">
      <c r="A2024" s="14"/>
      <c r="B2024" s="460"/>
      <c r="C2024" s="302"/>
      <c r="D2024" s="50"/>
      <c r="E2024" s="348"/>
      <c r="F2024" s="22"/>
      <c r="G2024" s="22"/>
      <c r="H2024" s="22"/>
      <c r="I2024" s="50"/>
      <c r="J2024" s="351"/>
      <c r="K2024" s="448"/>
      <c r="L2024" s="29"/>
      <c r="M2024" s="31"/>
      <c r="N2024" s="14"/>
      <c r="O2024" s="31"/>
      <c r="Q2024" s="36"/>
      <c r="R2024" s="36"/>
      <c r="S2024" s="36"/>
      <c r="T2024" s="36"/>
      <c r="V2024" s="31"/>
    </row>
    <row r="2025">
      <c r="A2025" s="14"/>
      <c r="B2025" s="460"/>
      <c r="C2025" s="302"/>
      <c r="D2025" s="50"/>
      <c r="E2025" s="348"/>
      <c r="F2025" s="22"/>
      <c r="G2025" s="22"/>
      <c r="H2025" s="22"/>
      <c r="I2025" s="50"/>
      <c r="J2025" s="351"/>
      <c r="K2025" s="448"/>
      <c r="L2025" s="29"/>
      <c r="M2025" s="31"/>
      <c r="N2025" s="14"/>
      <c r="O2025" s="31"/>
      <c r="Q2025" s="36"/>
      <c r="R2025" s="36"/>
      <c r="S2025" s="36"/>
      <c r="T2025" s="36"/>
      <c r="V2025" s="31"/>
    </row>
    <row r="2026">
      <c r="A2026" s="14"/>
      <c r="B2026" s="460"/>
      <c r="C2026" s="302"/>
      <c r="D2026" s="50"/>
      <c r="E2026" s="348"/>
      <c r="F2026" s="22"/>
      <c r="G2026" s="22"/>
      <c r="H2026" s="22"/>
      <c r="I2026" s="50"/>
      <c r="J2026" s="351"/>
      <c r="K2026" s="448"/>
      <c r="L2026" s="29"/>
      <c r="M2026" s="31"/>
      <c r="N2026" s="14"/>
      <c r="O2026" s="31"/>
      <c r="Q2026" s="36"/>
      <c r="R2026" s="36"/>
      <c r="S2026" s="36"/>
      <c r="T2026" s="36"/>
      <c r="V2026" s="31"/>
    </row>
    <row r="2027">
      <c r="A2027" s="14"/>
      <c r="B2027" s="460"/>
      <c r="C2027" s="302"/>
      <c r="D2027" s="50"/>
      <c r="E2027" s="348"/>
      <c r="F2027" s="22"/>
      <c r="G2027" s="22"/>
      <c r="H2027" s="22"/>
      <c r="I2027" s="50"/>
      <c r="J2027" s="351"/>
      <c r="K2027" s="448"/>
      <c r="L2027" s="29"/>
      <c r="M2027" s="31"/>
      <c r="N2027" s="14"/>
      <c r="O2027" s="31"/>
      <c r="Q2027" s="36"/>
      <c r="R2027" s="36"/>
      <c r="S2027" s="36"/>
      <c r="T2027" s="36"/>
      <c r="V2027" s="31"/>
    </row>
    <row r="2028">
      <c r="A2028" s="14"/>
      <c r="B2028" s="460"/>
      <c r="C2028" s="302"/>
      <c r="D2028" s="50"/>
      <c r="E2028" s="348"/>
      <c r="F2028" s="22"/>
      <c r="G2028" s="22"/>
      <c r="H2028" s="22"/>
      <c r="I2028" s="50"/>
      <c r="J2028" s="351"/>
      <c r="K2028" s="448"/>
      <c r="L2028" s="29"/>
      <c r="M2028" s="31"/>
      <c r="N2028" s="14"/>
      <c r="O2028" s="31"/>
      <c r="Q2028" s="36"/>
      <c r="R2028" s="36"/>
      <c r="S2028" s="36"/>
      <c r="T2028" s="36"/>
      <c r="V2028" s="31"/>
    </row>
    <row r="2029">
      <c r="A2029" s="14"/>
      <c r="B2029" s="460"/>
      <c r="C2029" s="302"/>
      <c r="D2029" s="50"/>
      <c r="E2029" s="348"/>
      <c r="F2029" s="22"/>
      <c r="G2029" s="22"/>
      <c r="H2029" s="22"/>
      <c r="I2029" s="50"/>
      <c r="J2029" s="351"/>
      <c r="K2029" s="448"/>
      <c r="L2029" s="29"/>
      <c r="M2029" s="31"/>
      <c r="N2029" s="14"/>
      <c r="O2029" s="31"/>
      <c r="Q2029" s="36"/>
      <c r="R2029" s="36"/>
      <c r="S2029" s="36"/>
      <c r="T2029" s="36"/>
      <c r="V2029" s="31"/>
    </row>
    <row r="2030">
      <c r="A2030" s="14"/>
      <c r="B2030" s="460"/>
      <c r="C2030" s="302"/>
      <c r="D2030" s="50"/>
      <c r="E2030" s="348"/>
      <c r="F2030" s="22"/>
      <c r="G2030" s="22"/>
      <c r="H2030" s="22"/>
      <c r="I2030" s="50"/>
      <c r="J2030" s="351"/>
      <c r="K2030" s="448"/>
      <c r="L2030" s="29"/>
      <c r="M2030" s="31"/>
      <c r="N2030" s="14"/>
      <c r="O2030" s="31"/>
      <c r="Q2030" s="36"/>
      <c r="R2030" s="36"/>
      <c r="S2030" s="36"/>
      <c r="T2030" s="36"/>
      <c r="V2030" s="31"/>
    </row>
    <row r="2031">
      <c r="A2031" s="14"/>
      <c r="B2031" s="460"/>
      <c r="C2031" s="302"/>
      <c r="D2031" s="50"/>
      <c r="E2031" s="348"/>
      <c r="F2031" s="22"/>
      <c r="G2031" s="22"/>
      <c r="H2031" s="22"/>
      <c r="I2031" s="50"/>
      <c r="J2031" s="351"/>
      <c r="K2031" s="448"/>
      <c r="L2031" s="29"/>
      <c r="M2031" s="31"/>
      <c r="N2031" s="14"/>
      <c r="O2031" s="31"/>
      <c r="Q2031" s="36"/>
      <c r="R2031" s="36"/>
      <c r="S2031" s="36"/>
      <c r="T2031" s="36"/>
      <c r="V2031" s="31"/>
    </row>
    <row r="2032">
      <c r="A2032" s="14"/>
      <c r="B2032" s="460"/>
      <c r="C2032" s="302"/>
      <c r="D2032" s="50"/>
      <c r="E2032" s="348"/>
      <c r="F2032" s="22"/>
      <c r="G2032" s="22"/>
      <c r="H2032" s="22"/>
      <c r="I2032" s="50"/>
      <c r="J2032" s="351"/>
      <c r="K2032" s="448"/>
      <c r="L2032" s="29"/>
      <c r="M2032" s="31"/>
      <c r="N2032" s="14"/>
      <c r="O2032" s="31"/>
      <c r="Q2032" s="36"/>
      <c r="R2032" s="36"/>
      <c r="S2032" s="36"/>
      <c r="T2032" s="36"/>
      <c r="V2032" s="31"/>
    </row>
    <row r="2033">
      <c r="A2033" s="14"/>
      <c r="B2033" s="460"/>
      <c r="C2033" s="302"/>
      <c r="D2033" s="50"/>
      <c r="E2033" s="348"/>
      <c r="F2033" s="22"/>
      <c r="G2033" s="22"/>
      <c r="H2033" s="22"/>
      <c r="I2033" s="50"/>
      <c r="J2033" s="351"/>
      <c r="K2033" s="448"/>
      <c r="L2033" s="29"/>
      <c r="M2033" s="31"/>
      <c r="N2033" s="14"/>
      <c r="O2033" s="31"/>
      <c r="Q2033" s="36"/>
      <c r="R2033" s="36"/>
      <c r="S2033" s="36"/>
      <c r="T2033" s="36"/>
      <c r="V2033" s="31"/>
    </row>
    <row r="2034">
      <c r="A2034" s="14"/>
      <c r="B2034" s="460"/>
      <c r="C2034" s="302"/>
      <c r="D2034" s="50"/>
      <c r="E2034" s="348"/>
      <c r="F2034" s="22"/>
      <c r="G2034" s="22"/>
      <c r="H2034" s="22"/>
      <c r="I2034" s="50"/>
      <c r="J2034" s="351"/>
      <c r="K2034" s="448"/>
      <c r="L2034" s="29"/>
      <c r="M2034" s="31"/>
      <c r="N2034" s="14"/>
      <c r="O2034" s="31"/>
      <c r="Q2034" s="36"/>
      <c r="R2034" s="36"/>
      <c r="S2034" s="36"/>
      <c r="T2034" s="36"/>
      <c r="V2034" s="31"/>
    </row>
    <row r="2035">
      <c r="A2035" s="14"/>
      <c r="B2035" s="460"/>
      <c r="C2035" s="302"/>
      <c r="D2035" s="50"/>
      <c r="E2035" s="348"/>
      <c r="F2035" s="22"/>
      <c r="G2035" s="22"/>
      <c r="H2035" s="22"/>
      <c r="I2035" s="50"/>
      <c r="J2035" s="351"/>
      <c r="K2035" s="448"/>
      <c r="L2035" s="29"/>
      <c r="M2035" s="31"/>
      <c r="N2035" s="14"/>
      <c r="O2035" s="31"/>
      <c r="Q2035" s="36"/>
      <c r="R2035" s="36"/>
      <c r="S2035" s="36"/>
      <c r="T2035" s="36"/>
      <c r="V2035" s="31"/>
    </row>
    <row r="2036">
      <c r="A2036" s="14"/>
      <c r="B2036" s="460"/>
      <c r="C2036" s="302"/>
      <c r="D2036" s="50"/>
      <c r="E2036" s="348"/>
      <c r="F2036" s="22"/>
      <c r="G2036" s="22"/>
      <c r="H2036" s="22"/>
      <c r="I2036" s="50"/>
      <c r="J2036" s="351"/>
      <c r="K2036" s="448"/>
      <c r="L2036" s="29"/>
      <c r="M2036" s="31"/>
      <c r="N2036" s="14"/>
      <c r="O2036" s="31"/>
      <c r="Q2036" s="36"/>
      <c r="R2036" s="36"/>
      <c r="S2036" s="36"/>
      <c r="T2036" s="36"/>
      <c r="V2036" s="31"/>
    </row>
    <row r="2037">
      <c r="A2037" s="14"/>
      <c r="B2037" s="460"/>
      <c r="C2037" s="302"/>
      <c r="D2037" s="50"/>
      <c r="E2037" s="348"/>
      <c r="F2037" s="22"/>
      <c r="G2037" s="22"/>
      <c r="H2037" s="22"/>
      <c r="I2037" s="50"/>
      <c r="J2037" s="351"/>
      <c r="K2037" s="448"/>
      <c r="L2037" s="29"/>
      <c r="M2037" s="31"/>
      <c r="N2037" s="14"/>
      <c r="O2037" s="31"/>
      <c r="Q2037" s="36"/>
      <c r="R2037" s="36"/>
      <c r="S2037" s="36"/>
      <c r="T2037" s="36"/>
      <c r="V2037" s="31"/>
    </row>
    <row r="2038">
      <c r="A2038" s="14"/>
      <c r="B2038" s="460"/>
      <c r="C2038" s="302"/>
      <c r="D2038" s="50"/>
      <c r="E2038" s="348"/>
      <c r="F2038" s="22"/>
      <c r="G2038" s="22"/>
      <c r="H2038" s="22"/>
      <c r="I2038" s="50"/>
      <c r="J2038" s="351"/>
      <c r="K2038" s="448"/>
      <c r="L2038" s="29"/>
      <c r="M2038" s="31"/>
      <c r="N2038" s="14"/>
      <c r="O2038" s="31"/>
      <c r="Q2038" s="36"/>
      <c r="R2038" s="36"/>
      <c r="S2038" s="36"/>
      <c r="T2038" s="36"/>
      <c r="V2038" s="31"/>
    </row>
    <row r="2039">
      <c r="A2039" s="14"/>
      <c r="B2039" s="460"/>
      <c r="C2039" s="302"/>
      <c r="D2039" s="50"/>
      <c r="E2039" s="348"/>
      <c r="F2039" s="22"/>
      <c r="G2039" s="22"/>
      <c r="H2039" s="22"/>
      <c r="I2039" s="50"/>
      <c r="J2039" s="351"/>
      <c r="K2039" s="448"/>
      <c r="L2039" s="29"/>
      <c r="M2039" s="31"/>
      <c r="N2039" s="14"/>
      <c r="O2039" s="31"/>
      <c r="Q2039" s="36"/>
      <c r="R2039" s="36"/>
      <c r="S2039" s="36"/>
      <c r="T2039" s="36"/>
      <c r="V2039" s="31"/>
    </row>
    <row r="2040">
      <c r="A2040" s="14"/>
      <c r="B2040" s="460"/>
      <c r="C2040" s="302"/>
      <c r="D2040" s="50"/>
      <c r="E2040" s="348"/>
      <c r="F2040" s="22"/>
      <c r="G2040" s="22"/>
      <c r="H2040" s="22"/>
      <c r="I2040" s="50"/>
      <c r="J2040" s="351"/>
      <c r="K2040" s="448"/>
      <c r="L2040" s="29"/>
      <c r="M2040" s="31"/>
      <c r="N2040" s="14"/>
      <c r="O2040" s="31"/>
      <c r="Q2040" s="36"/>
      <c r="R2040" s="36"/>
      <c r="S2040" s="36"/>
      <c r="T2040" s="36"/>
      <c r="V2040" s="31"/>
    </row>
    <row r="2041">
      <c r="A2041" s="14"/>
      <c r="B2041" s="460"/>
      <c r="C2041" s="302"/>
      <c r="D2041" s="50"/>
      <c r="E2041" s="348"/>
      <c r="F2041" s="22"/>
      <c r="G2041" s="22"/>
      <c r="H2041" s="22"/>
      <c r="I2041" s="50"/>
      <c r="J2041" s="351"/>
      <c r="K2041" s="448"/>
      <c r="L2041" s="29"/>
      <c r="M2041" s="31"/>
      <c r="N2041" s="14"/>
      <c r="O2041" s="31"/>
      <c r="Q2041" s="36"/>
      <c r="R2041" s="36"/>
      <c r="S2041" s="36"/>
      <c r="T2041" s="36"/>
      <c r="V2041" s="31"/>
    </row>
    <row r="2042">
      <c r="A2042" s="14"/>
      <c r="B2042" s="460"/>
      <c r="C2042" s="302"/>
      <c r="D2042" s="50"/>
      <c r="E2042" s="348"/>
      <c r="F2042" s="22"/>
      <c r="G2042" s="22"/>
      <c r="H2042" s="22"/>
      <c r="I2042" s="50"/>
      <c r="J2042" s="351"/>
      <c r="K2042" s="448"/>
      <c r="L2042" s="29"/>
      <c r="M2042" s="31"/>
      <c r="N2042" s="14"/>
      <c r="O2042" s="31"/>
      <c r="Q2042" s="36"/>
      <c r="R2042" s="36"/>
      <c r="S2042" s="36"/>
      <c r="T2042" s="36"/>
      <c r="V2042" s="31"/>
    </row>
    <row r="2043">
      <c r="A2043" s="14"/>
      <c r="B2043" s="460"/>
      <c r="C2043" s="302"/>
      <c r="D2043" s="50"/>
      <c r="E2043" s="348"/>
      <c r="F2043" s="22"/>
      <c r="G2043" s="22"/>
      <c r="H2043" s="22"/>
      <c r="I2043" s="50"/>
      <c r="J2043" s="351"/>
      <c r="K2043" s="448"/>
      <c r="L2043" s="29"/>
      <c r="M2043" s="31"/>
      <c r="N2043" s="14"/>
      <c r="O2043" s="31"/>
      <c r="Q2043" s="36"/>
      <c r="R2043" s="36"/>
      <c r="S2043" s="36"/>
      <c r="T2043" s="36"/>
      <c r="V2043" s="31"/>
    </row>
    <row r="2044">
      <c r="A2044" s="14"/>
      <c r="B2044" s="460"/>
      <c r="C2044" s="302"/>
      <c r="D2044" s="50"/>
      <c r="E2044" s="348"/>
      <c r="F2044" s="22"/>
      <c r="G2044" s="22"/>
      <c r="H2044" s="22"/>
      <c r="I2044" s="50"/>
      <c r="J2044" s="351"/>
      <c r="K2044" s="448"/>
      <c r="L2044" s="29"/>
      <c r="M2044" s="31"/>
      <c r="N2044" s="14"/>
      <c r="O2044" s="31"/>
      <c r="Q2044" s="36"/>
      <c r="R2044" s="36"/>
      <c r="S2044" s="36"/>
      <c r="T2044" s="36"/>
      <c r="V2044" s="31"/>
    </row>
    <row r="2045">
      <c r="A2045" s="14"/>
      <c r="B2045" s="460"/>
      <c r="C2045" s="302"/>
      <c r="D2045" s="50"/>
      <c r="E2045" s="348"/>
      <c r="F2045" s="22"/>
      <c r="G2045" s="22"/>
      <c r="H2045" s="22"/>
      <c r="I2045" s="50"/>
      <c r="J2045" s="351"/>
      <c r="K2045" s="448"/>
      <c r="L2045" s="29"/>
      <c r="M2045" s="31"/>
      <c r="N2045" s="14"/>
      <c r="O2045" s="31"/>
      <c r="Q2045" s="36"/>
      <c r="R2045" s="36"/>
      <c r="S2045" s="36"/>
      <c r="T2045" s="36"/>
      <c r="V2045" s="31"/>
    </row>
    <row r="2046">
      <c r="A2046" s="14"/>
      <c r="B2046" s="460"/>
      <c r="C2046" s="302"/>
      <c r="D2046" s="50"/>
      <c r="E2046" s="348"/>
      <c r="F2046" s="22"/>
      <c r="G2046" s="22"/>
      <c r="H2046" s="22"/>
      <c r="I2046" s="50"/>
      <c r="J2046" s="351"/>
      <c r="K2046" s="448"/>
      <c r="L2046" s="29"/>
      <c r="M2046" s="31"/>
      <c r="N2046" s="14"/>
      <c r="O2046" s="31"/>
      <c r="Q2046" s="36"/>
      <c r="R2046" s="36"/>
      <c r="S2046" s="36"/>
      <c r="T2046" s="36"/>
      <c r="V2046" s="31"/>
    </row>
    <row r="2047">
      <c r="A2047" s="14"/>
      <c r="B2047" s="460"/>
      <c r="C2047" s="302"/>
      <c r="D2047" s="50"/>
      <c r="E2047" s="348"/>
      <c r="F2047" s="22"/>
      <c r="G2047" s="22"/>
      <c r="H2047" s="22"/>
      <c r="I2047" s="50"/>
      <c r="J2047" s="351"/>
      <c r="K2047" s="448"/>
      <c r="L2047" s="29"/>
      <c r="M2047" s="31"/>
      <c r="N2047" s="14"/>
      <c r="O2047" s="31"/>
      <c r="Q2047" s="36"/>
      <c r="R2047" s="36"/>
      <c r="S2047" s="36"/>
      <c r="T2047" s="36"/>
      <c r="V2047" s="31"/>
    </row>
    <row r="2048">
      <c r="A2048" s="14"/>
      <c r="B2048" s="460"/>
      <c r="C2048" s="302"/>
      <c r="D2048" s="50"/>
      <c r="E2048" s="348"/>
      <c r="F2048" s="22"/>
      <c r="G2048" s="22"/>
      <c r="H2048" s="22"/>
      <c r="I2048" s="50"/>
      <c r="J2048" s="351"/>
      <c r="K2048" s="448"/>
      <c r="L2048" s="29"/>
      <c r="M2048" s="31"/>
      <c r="N2048" s="14"/>
      <c r="O2048" s="31"/>
      <c r="Q2048" s="36"/>
      <c r="R2048" s="36"/>
      <c r="S2048" s="36"/>
      <c r="T2048" s="36"/>
      <c r="V2048" s="31"/>
    </row>
    <row r="2049">
      <c r="A2049" s="14"/>
      <c r="B2049" s="460"/>
      <c r="C2049" s="302"/>
      <c r="D2049" s="50"/>
      <c r="E2049" s="348"/>
      <c r="F2049" s="22"/>
      <c r="G2049" s="22"/>
      <c r="H2049" s="22"/>
      <c r="I2049" s="50"/>
      <c r="J2049" s="351"/>
      <c r="K2049" s="448"/>
      <c r="L2049" s="29"/>
      <c r="M2049" s="31"/>
      <c r="N2049" s="14"/>
      <c r="O2049" s="31"/>
      <c r="Q2049" s="36"/>
      <c r="R2049" s="36"/>
      <c r="S2049" s="36"/>
      <c r="T2049" s="36"/>
      <c r="V2049" s="31"/>
    </row>
    <row r="2050">
      <c r="A2050" s="14"/>
      <c r="B2050" s="460"/>
      <c r="C2050" s="302"/>
      <c r="D2050" s="50"/>
      <c r="E2050" s="348"/>
      <c r="F2050" s="22"/>
      <c r="G2050" s="22"/>
      <c r="H2050" s="22"/>
      <c r="I2050" s="50"/>
      <c r="J2050" s="351"/>
      <c r="K2050" s="448"/>
      <c r="L2050" s="29"/>
      <c r="M2050" s="31"/>
      <c r="N2050" s="14"/>
      <c r="O2050" s="31"/>
      <c r="Q2050" s="36"/>
      <c r="R2050" s="36"/>
      <c r="S2050" s="36"/>
      <c r="T2050" s="36"/>
      <c r="V2050" s="31"/>
    </row>
    <row r="2051">
      <c r="A2051" s="14"/>
      <c r="B2051" s="460"/>
      <c r="C2051" s="302"/>
      <c r="D2051" s="50"/>
      <c r="E2051" s="348"/>
      <c r="F2051" s="22"/>
      <c r="G2051" s="22"/>
      <c r="H2051" s="22"/>
      <c r="I2051" s="50"/>
      <c r="J2051" s="351"/>
      <c r="K2051" s="448"/>
      <c r="L2051" s="29"/>
      <c r="M2051" s="31"/>
      <c r="N2051" s="14"/>
      <c r="O2051" s="31"/>
      <c r="Q2051" s="36"/>
      <c r="R2051" s="36"/>
      <c r="S2051" s="36"/>
      <c r="T2051" s="36"/>
      <c r="V2051" s="31"/>
    </row>
    <row r="2052">
      <c r="A2052" s="14"/>
      <c r="B2052" s="460"/>
      <c r="C2052" s="302"/>
      <c r="D2052" s="50"/>
      <c r="E2052" s="348"/>
      <c r="F2052" s="22"/>
      <c r="G2052" s="22"/>
      <c r="H2052" s="22"/>
      <c r="I2052" s="50"/>
      <c r="J2052" s="351"/>
      <c r="K2052" s="448"/>
      <c r="L2052" s="29"/>
      <c r="M2052" s="31"/>
      <c r="N2052" s="14"/>
      <c r="O2052" s="31"/>
      <c r="Q2052" s="36"/>
      <c r="R2052" s="36"/>
      <c r="S2052" s="36"/>
      <c r="T2052" s="36"/>
      <c r="V2052" s="31"/>
    </row>
    <row r="2053">
      <c r="A2053" s="14"/>
      <c r="B2053" s="460"/>
      <c r="C2053" s="302"/>
      <c r="D2053" s="50"/>
      <c r="E2053" s="348"/>
      <c r="F2053" s="22"/>
      <c r="G2053" s="22"/>
      <c r="H2053" s="22"/>
      <c r="I2053" s="50"/>
      <c r="J2053" s="351"/>
      <c r="K2053" s="448"/>
      <c r="L2053" s="29"/>
      <c r="M2053" s="31"/>
      <c r="N2053" s="14"/>
      <c r="O2053" s="31"/>
      <c r="Q2053" s="36"/>
      <c r="R2053" s="36"/>
      <c r="S2053" s="36"/>
      <c r="T2053" s="36"/>
      <c r="V2053" s="31"/>
    </row>
    <row r="2054">
      <c r="A2054" s="14"/>
      <c r="B2054" s="460"/>
      <c r="C2054" s="302"/>
      <c r="D2054" s="50"/>
      <c r="E2054" s="348"/>
      <c r="F2054" s="22"/>
      <c r="G2054" s="22"/>
      <c r="H2054" s="22"/>
      <c r="I2054" s="50"/>
      <c r="J2054" s="351"/>
      <c r="K2054" s="448"/>
      <c r="L2054" s="29"/>
      <c r="M2054" s="31"/>
      <c r="N2054" s="14"/>
      <c r="O2054" s="31"/>
      <c r="Q2054" s="36"/>
      <c r="R2054" s="36"/>
      <c r="S2054" s="36"/>
      <c r="T2054" s="36"/>
      <c r="V2054" s="31"/>
    </row>
    <row r="2055">
      <c r="A2055" s="14"/>
      <c r="B2055" s="460"/>
      <c r="C2055" s="302"/>
      <c r="D2055" s="50"/>
      <c r="E2055" s="348"/>
      <c r="F2055" s="22"/>
      <c r="G2055" s="22"/>
      <c r="H2055" s="22"/>
      <c r="I2055" s="50"/>
      <c r="J2055" s="351"/>
      <c r="K2055" s="448"/>
      <c r="L2055" s="29"/>
      <c r="M2055" s="31"/>
      <c r="N2055" s="14"/>
      <c r="O2055" s="31"/>
      <c r="Q2055" s="36"/>
      <c r="R2055" s="36"/>
      <c r="S2055" s="36"/>
      <c r="T2055" s="36"/>
      <c r="V2055" s="31"/>
    </row>
    <row r="2056">
      <c r="A2056" s="14"/>
      <c r="B2056" s="460"/>
      <c r="C2056" s="302"/>
      <c r="D2056" s="50"/>
      <c r="E2056" s="348"/>
      <c r="F2056" s="22"/>
      <c r="G2056" s="22"/>
      <c r="H2056" s="22"/>
      <c r="I2056" s="50"/>
      <c r="J2056" s="351"/>
      <c r="K2056" s="448"/>
      <c r="L2056" s="29"/>
      <c r="M2056" s="31"/>
      <c r="N2056" s="14"/>
      <c r="O2056" s="31"/>
      <c r="Q2056" s="36"/>
      <c r="R2056" s="36"/>
      <c r="S2056" s="36"/>
      <c r="T2056" s="36"/>
      <c r="V2056" s="31"/>
    </row>
    <row r="2057">
      <c r="A2057" s="14"/>
      <c r="B2057" s="460"/>
      <c r="C2057" s="302"/>
      <c r="D2057" s="50"/>
      <c r="E2057" s="348"/>
      <c r="F2057" s="22"/>
      <c r="G2057" s="22"/>
      <c r="H2057" s="22"/>
      <c r="I2057" s="50"/>
      <c r="J2057" s="351"/>
      <c r="K2057" s="448"/>
      <c r="L2057" s="29"/>
      <c r="M2057" s="31"/>
      <c r="N2057" s="14"/>
      <c r="O2057" s="31"/>
      <c r="Q2057" s="36"/>
      <c r="R2057" s="36"/>
      <c r="S2057" s="36"/>
      <c r="T2057" s="36"/>
      <c r="V2057" s="31"/>
    </row>
    <row r="2058">
      <c r="A2058" s="14"/>
      <c r="B2058" s="460"/>
      <c r="C2058" s="302"/>
      <c r="D2058" s="50"/>
      <c r="E2058" s="348"/>
      <c r="F2058" s="22"/>
      <c r="G2058" s="22"/>
      <c r="H2058" s="22"/>
      <c r="I2058" s="50"/>
      <c r="J2058" s="351"/>
      <c r="K2058" s="448"/>
      <c r="L2058" s="29"/>
      <c r="M2058" s="31"/>
      <c r="N2058" s="14"/>
      <c r="O2058" s="31"/>
      <c r="Q2058" s="36"/>
      <c r="R2058" s="36"/>
      <c r="S2058" s="36"/>
      <c r="T2058" s="36"/>
      <c r="V2058" s="31"/>
    </row>
    <row r="2059">
      <c r="A2059" s="14"/>
      <c r="B2059" s="460"/>
      <c r="C2059" s="302"/>
      <c r="D2059" s="50"/>
      <c r="E2059" s="348"/>
      <c r="F2059" s="22"/>
      <c r="G2059" s="22"/>
      <c r="H2059" s="22"/>
      <c r="I2059" s="50"/>
      <c r="J2059" s="351"/>
      <c r="K2059" s="448"/>
      <c r="L2059" s="29"/>
      <c r="M2059" s="31"/>
      <c r="N2059" s="14"/>
      <c r="O2059" s="31"/>
      <c r="Q2059" s="36"/>
      <c r="R2059" s="36"/>
      <c r="S2059" s="36"/>
      <c r="T2059" s="36"/>
      <c r="V2059" s="31"/>
    </row>
    <row r="2060">
      <c r="A2060" s="14"/>
      <c r="B2060" s="460"/>
      <c r="C2060" s="302"/>
      <c r="D2060" s="50"/>
      <c r="E2060" s="348"/>
      <c r="F2060" s="22"/>
      <c r="G2060" s="22"/>
      <c r="H2060" s="22"/>
      <c r="I2060" s="50"/>
      <c r="J2060" s="351"/>
      <c r="K2060" s="448"/>
      <c r="L2060" s="29"/>
      <c r="M2060" s="31"/>
      <c r="N2060" s="14"/>
      <c r="O2060" s="31"/>
      <c r="Q2060" s="36"/>
      <c r="R2060" s="36"/>
      <c r="S2060" s="36"/>
      <c r="T2060" s="36"/>
      <c r="V2060" s="31"/>
    </row>
    <row r="2061">
      <c r="A2061" s="14"/>
      <c r="B2061" s="460"/>
      <c r="C2061" s="302"/>
      <c r="D2061" s="50"/>
      <c r="E2061" s="348"/>
      <c r="F2061" s="22"/>
      <c r="G2061" s="22"/>
      <c r="H2061" s="22"/>
      <c r="I2061" s="50"/>
      <c r="J2061" s="351"/>
      <c r="K2061" s="448"/>
      <c r="L2061" s="29"/>
      <c r="M2061" s="31"/>
      <c r="N2061" s="14"/>
      <c r="O2061" s="31"/>
      <c r="Q2061" s="36"/>
      <c r="R2061" s="36"/>
      <c r="S2061" s="36"/>
      <c r="T2061" s="36"/>
      <c r="V2061" s="31"/>
    </row>
    <row r="2062">
      <c r="A2062" s="14"/>
      <c r="B2062" s="460"/>
      <c r="C2062" s="302"/>
      <c r="D2062" s="50"/>
      <c r="E2062" s="348"/>
      <c r="F2062" s="22"/>
      <c r="G2062" s="22"/>
      <c r="H2062" s="22"/>
      <c r="I2062" s="50"/>
      <c r="J2062" s="351"/>
      <c r="K2062" s="448"/>
      <c r="L2062" s="29"/>
      <c r="M2062" s="31"/>
      <c r="N2062" s="14"/>
      <c r="O2062" s="31"/>
      <c r="Q2062" s="36"/>
      <c r="R2062" s="36"/>
      <c r="S2062" s="36"/>
      <c r="T2062" s="36"/>
      <c r="V2062" s="31"/>
    </row>
    <row r="2063">
      <c r="A2063" s="14"/>
      <c r="B2063" s="460"/>
      <c r="C2063" s="302"/>
      <c r="D2063" s="50"/>
      <c r="E2063" s="348"/>
      <c r="F2063" s="22"/>
      <c r="G2063" s="22"/>
      <c r="H2063" s="22"/>
      <c r="I2063" s="50"/>
      <c r="J2063" s="351"/>
      <c r="K2063" s="448"/>
      <c r="L2063" s="29"/>
      <c r="M2063" s="31"/>
      <c r="N2063" s="14"/>
      <c r="O2063" s="31"/>
      <c r="Q2063" s="36"/>
      <c r="R2063" s="36"/>
      <c r="S2063" s="36"/>
      <c r="T2063" s="36"/>
      <c r="V2063" s="31"/>
    </row>
    <row r="2064">
      <c r="A2064" s="14"/>
      <c r="B2064" s="460"/>
      <c r="C2064" s="302"/>
      <c r="D2064" s="50"/>
      <c r="E2064" s="348"/>
      <c r="F2064" s="22"/>
      <c r="G2064" s="22"/>
      <c r="H2064" s="22"/>
      <c r="I2064" s="50"/>
      <c r="J2064" s="351"/>
      <c r="K2064" s="448"/>
      <c r="L2064" s="29"/>
      <c r="M2064" s="31"/>
      <c r="N2064" s="14"/>
      <c r="O2064" s="31"/>
      <c r="Q2064" s="36"/>
      <c r="R2064" s="36"/>
      <c r="S2064" s="36"/>
      <c r="T2064" s="36"/>
      <c r="V2064" s="31"/>
    </row>
    <row r="2065">
      <c r="A2065" s="14"/>
      <c r="B2065" s="460"/>
      <c r="C2065" s="302"/>
      <c r="D2065" s="50"/>
      <c r="E2065" s="348"/>
      <c r="F2065" s="22"/>
      <c r="G2065" s="22"/>
      <c r="H2065" s="22"/>
      <c r="I2065" s="50"/>
      <c r="J2065" s="351"/>
      <c r="K2065" s="448"/>
      <c r="L2065" s="29"/>
      <c r="M2065" s="31"/>
      <c r="N2065" s="14"/>
      <c r="O2065" s="31"/>
      <c r="Q2065" s="36"/>
      <c r="R2065" s="36"/>
      <c r="S2065" s="36"/>
      <c r="T2065" s="36"/>
      <c r="V2065" s="31"/>
    </row>
    <row r="2066">
      <c r="A2066" s="14"/>
      <c r="B2066" s="460"/>
      <c r="C2066" s="302"/>
      <c r="D2066" s="50"/>
      <c r="E2066" s="348"/>
      <c r="F2066" s="22"/>
      <c r="G2066" s="22"/>
      <c r="H2066" s="22"/>
      <c r="I2066" s="50"/>
      <c r="J2066" s="351"/>
      <c r="K2066" s="448"/>
      <c r="L2066" s="29"/>
      <c r="M2066" s="31"/>
      <c r="N2066" s="14"/>
      <c r="O2066" s="31"/>
      <c r="Q2066" s="36"/>
      <c r="R2066" s="36"/>
      <c r="S2066" s="36"/>
      <c r="T2066" s="36"/>
      <c r="V2066" s="31"/>
    </row>
    <row r="2067">
      <c r="A2067" s="14"/>
      <c r="B2067" s="460"/>
      <c r="C2067" s="302"/>
      <c r="D2067" s="50"/>
      <c r="E2067" s="348"/>
      <c r="F2067" s="22"/>
      <c r="G2067" s="22"/>
      <c r="H2067" s="22"/>
      <c r="I2067" s="50"/>
      <c r="J2067" s="351"/>
      <c r="K2067" s="448"/>
      <c r="L2067" s="29"/>
      <c r="M2067" s="31"/>
      <c r="N2067" s="14"/>
      <c r="O2067" s="31"/>
      <c r="Q2067" s="36"/>
      <c r="R2067" s="36"/>
      <c r="S2067" s="36"/>
      <c r="T2067" s="36"/>
      <c r="V2067" s="31"/>
    </row>
    <row r="2068">
      <c r="A2068" s="14"/>
      <c r="B2068" s="460"/>
      <c r="C2068" s="302"/>
      <c r="D2068" s="50"/>
      <c r="E2068" s="348"/>
      <c r="F2068" s="22"/>
      <c r="G2068" s="22"/>
      <c r="H2068" s="22"/>
      <c r="I2068" s="50"/>
      <c r="J2068" s="351"/>
      <c r="K2068" s="448"/>
      <c r="L2068" s="29"/>
      <c r="M2068" s="31"/>
      <c r="N2068" s="14"/>
      <c r="O2068" s="31"/>
      <c r="Q2068" s="36"/>
      <c r="R2068" s="36"/>
      <c r="S2068" s="36"/>
      <c r="T2068" s="36"/>
      <c r="V2068" s="31"/>
    </row>
    <row r="2069">
      <c r="A2069" s="14"/>
      <c r="B2069" s="460"/>
      <c r="C2069" s="302"/>
      <c r="D2069" s="50"/>
      <c r="E2069" s="348"/>
      <c r="F2069" s="22"/>
      <c r="G2069" s="22"/>
      <c r="H2069" s="22"/>
      <c r="I2069" s="50"/>
      <c r="J2069" s="351"/>
      <c r="K2069" s="448"/>
      <c r="L2069" s="29"/>
      <c r="M2069" s="31"/>
      <c r="N2069" s="14"/>
      <c r="O2069" s="31"/>
      <c r="Q2069" s="36"/>
      <c r="R2069" s="36"/>
      <c r="S2069" s="36"/>
      <c r="T2069" s="36"/>
      <c r="V2069" s="31"/>
    </row>
    <row r="2070">
      <c r="A2070" s="14"/>
      <c r="B2070" s="460"/>
      <c r="C2070" s="302"/>
      <c r="D2070" s="50"/>
      <c r="E2070" s="348"/>
      <c r="F2070" s="22"/>
      <c r="G2070" s="22"/>
      <c r="H2070" s="22"/>
      <c r="I2070" s="50"/>
      <c r="J2070" s="351"/>
      <c r="K2070" s="448"/>
      <c r="L2070" s="29"/>
      <c r="M2070" s="31"/>
      <c r="N2070" s="14"/>
      <c r="O2070" s="31"/>
      <c r="Q2070" s="36"/>
      <c r="R2070" s="36"/>
      <c r="S2070" s="36"/>
      <c r="T2070" s="36"/>
      <c r="V2070" s="31"/>
    </row>
    <row r="2071">
      <c r="A2071" s="14"/>
      <c r="B2071" s="460"/>
      <c r="C2071" s="302"/>
      <c r="D2071" s="50"/>
      <c r="E2071" s="348"/>
      <c r="F2071" s="22"/>
      <c r="G2071" s="22"/>
      <c r="H2071" s="22"/>
      <c r="I2071" s="50"/>
      <c r="J2071" s="351"/>
      <c r="K2071" s="448"/>
      <c r="L2071" s="29"/>
      <c r="M2071" s="31"/>
      <c r="N2071" s="14"/>
      <c r="O2071" s="31"/>
      <c r="Q2071" s="36"/>
      <c r="R2071" s="36"/>
      <c r="S2071" s="36"/>
      <c r="T2071" s="36"/>
      <c r="V2071" s="31"/>
    </row>
    <row r="2072">
      <c r="A2072" s="14"/>
      <c r="B2072" s="460"/>
      <c r="C2072" s="302"/>
      <c r="D2072" s="50"/>
      <c r="E2072" s="348"/>
      <c r="F2072" s="22"/>
      <c r="G2072" s="22"/>
      <c r="H2072" s="22"/>
      <c r="I2072" s="50"/>
      <c r="J2072" s="351"/>
      <c r="K2072" s="448"/>
      <c r="L2072" s="29"/>
      <c r="M2072" s="31"/>
      <c r="N2072" s="14"/>
      <c r="O2072" s="31"/>
      <c r="Q2072" s="36"/>
      <c r="R2072" s="36"/>
      <c r="S2072" s="36"/>
      <c r="T2072" s="36"/>
      <c r="V2072" s="31"/>
    </row>
    <row r="2073">
      <c r="A2073" s="14"/>
      <c r="B2073" s="460"/>
      <c r="C2073" s="302"/>
      <c r="D2073" s="50"/>
      <c r="E2073" s="348"/>
      <c r="F2073" s="22"/>
      <c r="G2073" s="22"/>
      <c r="H2073" s="22"/>
      <c r="I2073" s="50"/>
      <c r="J2073" s="351"/>
      <c r="K2073" s="448"/>
      <c r="L2073" s="29"/>
      <c r="M2073" s="31"/>
      <c r="N2073" s="14"/>
      <c r="O2073" s="31"/>
      <c r="Q2073" s="36"/>
      <c r="R2073" s="36"/>
      <c r="S2073" s="36"/>
      <c r="T2073" s="36"/>
      <c r="V2073" s="31"/>
    </row>
    <row r="2074">
      <c r="A2074" s="14"/>
      <c r="B2074" s="460"/>
      <c r="C2074" s="302"/>
      <c r="D2074" s="50"/>
      <c r="E2074" s="348"/>
      <c r="F2074" s="22"/>
      <c r="G2074" s="22"/>
      <c r="H2074" s="22"/>
      <c r="I2074" s="50"/>
      <c r="J2074" s="351"/>
      <c r="K2074" s="448"/>
      <c r="L2074" s="29"/>
      <c r="M2074" s="31"/>
      <c r="N2074" s="14"/>
      <c r="O2074" s="31"/>
      <c r="Q2074" s="36"/>
      <c r="R2074" s="36"/>
      <c r="S2074" s="36"/>
      <c r="T2074" s="36"/>
      <c r="V2074" s="31"/>
    </row>
    <row r="2075">
      <c r="A2075" s="14"/>
      <c r="B2075" s="460"/>
      <c r="C2075" s="302"/>
      <c r="D2075" s="50"/>
      <c r="E2075" s="348"/>
      <c r="F2075" s="22"/>
      <c r="G2075" s="22"/>
      <c r="H2075" s="22"/>
      <c r="I2075" s="50"/>
      <c r="J2075" s="351"/>
      <c r="K2075" s="448"/>
      <c r="L2075" s="29"/>
      <c r="M2075" s="31"/>
      <c r="N2075" s="14"/>
      <c r="O2075" s="31"/>
      <c r="Q2075" s="36"/>
      <c r="R2075" s="36"/>
      <c r="S2075" s="36"/>
      <c r="T2075" s="36"/>
      <c r="V2075" s="31"/>
    </row>
    <row r="2076">
      <c r="A2076" s="14"/>
      <c r="B2076" s="460"/>
      <c r="C2076" s="302"/>
      <c r="D2076" s="50"/>
      <c r="E2076" s="348"/>
      <c r="F2076" s="22"/>
      <c r="G2076" s="22"/>
      <c r="H2076" s="22"/>
      <c r="I2076" s="50"/>
      <c r="J2076" s="351"/>
      <c r="K2076" s="448"/>
      <c r="L2076" s="29"/>
      <c r="M2076" s="31"/>
      <c r="N2076" s="14"/>
      <c r="O2076" s="31"/>
      <c r="Q2076" s="36"/>
      <c r="R2076" s="36"/>
      <c r="S2076" s="36"/>
      <c r="T2076" s="36"/>
      <c r="V2076" s="31"/>
    </row>
    <row r="2077">
      <c r="A2077" s="14"/>
      <c r="B2077" s="460"/>
      <c r="C2077" s="302"/>
      <c r="D2077" s="50"/>
      <c r="E2077" s="348"/>
      <c r="F2077" s="22"/>
      <c r="G2077" s="22"/>
      <c r="H2077" s="22"/>
      <c r="I2077" s="50"/>
      <c r="J2077" s="351"/>
      <c r="K2077" s="448"/>
      <c r="L2077" s="29"/>
      <c r="M2077" s="31"/>
      <c r="N2077" s="14"/>
      <c r="O2077" s="31"/>
      <c r="Q2077" s="36"/>
      <c r="R2077" s="36"/>
      <c r="S2077" s="36"/>
      <c r="T2077" s="36"/>
      <c r="V2077" s="31"/>
    </row>
    <row r="2078">
      <c r="A2078" s="14"/>
      <c r="B2078" s="460"/>
      <c r="C2078" s="302"/>
      <c r="D2078" s="50"/>
      <c r="E2078" s="348"/>
      <c r="F2078" s="22"/>
      <c r="G2078" s="22"/>
      <c r="H2078" s="22"/>
      <c r="I2078" s="50"/>
      <c r="J2078" s="351"/>
      <c r="K2078" s="448"/>
      <c r="L2078" s="29"/>
      <c r="M2078" s="31"/>
      <c r="N2078" s="14"/>
      <c r="O2078" s="31"/>
      <c r="Q2078" s="36"/>
      <c r="R2078" s="36"/>
      <c r="S2078" s="36"/>
      <c r="T2078" s="36"/>
      <c r="V2078" s="31"/>
    </row>
    <row r="2079">
      <c r="A2079" s="14"/>
      <c r="B2079" s="460"/>
      <c r="C2079" s="302"/>
      <c r="D2079" s="50"/>
      <c r="E2079" s="348"/>
      <c r="F2079" s="22"/>
      <c r="G2079" s="22"/>
      <c r="H2079" s="22"/>
      <c r="I2079" s="50"/>
      <c r="J2079" s="351"/>
      <c r="K2079" s="448"/>
      <c r="L2079" s="29"/>
      <c r="M2079" s="31"/>
      <c r="N2079" s="14"/>
      <c r="O2079" s="31"/>
      <c r="Q2079" s="36"/>
      <c r="R2079" s="36"/>
      <c r="S2079" s="36"/>
      <c r="T2079" s="36"/>
      <c r="V2079" s="31"/>
    </row>
    <row r="2080">
      <c r="A2080" s="14"/>
      <c r="B2080" s="460"/>
      <c r="C2080" s="302"/>
      <c r="D2080" s="50"/>
      <c r="E2080" s="348"/>
      <c r="F2080" s="22"/>
      <c r="G2080" s="22"/>
      <c r="H2080" s="22"/>
      <c r="I2080" s="50"/>
      <c r="J2080" s="351"/>
      <c r="K2080" s="448"/>
      <c r="L2080" s="29"/>
      <c r="M2080" s="31"/>
      <c r="N2080" s="14"/>
      <c r="O2080" s="31"/>
      <c r="Q2080" s="36"/>
      <c r="R2080" s="36"/>
      <c r="S2080" s="36"/>
      <c r="T2080" s="36"/>
      <c r="V2080" s="31"/>
    </row>
    <row r="2081">
      <c r="A2081" s="14"/>
      <c r="B2081" s="460"/>
      <c r="C2081" s="302"/>
      <c r="D2081" s="50"/>
      <c r="E2081" s="348"/>
      <c r="F2081" s="22"/>
      <c r="G2081" s="22"/>
      <c r="H2081" s="22"/>
      <c r="I2081" s="50"/>
      <c r="J2081" s="351"/>
      <c r="K2081" s="448"/>
      <c r="L2081" s="29"/>
      <c r="M2081" s="31"/>
      <c r="N2081" s="14"/>
      <c r="O2081" s="31"/>
      <c r="Q2081" s="36"/>
      <c r="R2081" s="36"/>
      <c r="S2081" s="36"/>
      <c r="T2081" s="36"/>
      <c r="V2081" s="31"/>
    </row>
    <row r="2082">
      <c r="A2082" s="14"/>
      <c r="B2082" s="460"/>
      <c r="C2082" s="302"/>
      <c r="D2082" s="50"/>
      <c r="E2082" s="348"/>
      <c r="F2082" s="22"/>
      <c r="G2082" s="22"/>
      <c r="H2082" s="22"/>
      <c r="I2082" s="50"/>
      <c r="J2082" s="351"/>
      <c r="K2082" s="448"/>
      <c r="L2082" s="29"/>
      <c r="M2082" s="31"/>
      <c r="N2082" s="14"/>
      <c r="O2082" s="31"/>
      <c r="Q2082" s="36"/>
      <c r="R2082" s="36"/>
      <c r="S2082" s="36"/>
      <c r="T2082" s="36"/>
      <c r="V2082" s="31"/>
    </row>
    <row r="2083">
      <c r="A2083" s="14"/>
      <c r="B2083" s="460"/>
      <c r="C2083" s="302"/>
      <c r="D2083" s="50"/>
      <c r="E2083" s="348"/>
      <c r="F2083" s="22"/>
      <c r="G2083" s="22"/>
      <c r="H2083" s="22"/>
      <c r="I2083" s="50"/>
      <c r="J2083" s="351"/>
      <c r="K2083" s="448"/>
      <c r="L2083" s="29"/>
      <c r="M2083" s="31"/>
      <c r="N2083" s="14"/>
      <c r="O2083" s="31"/>
      <c r="Q2083" s="36"/>
      <c r="R2083" s="36"/>
      <c r="S2083" s="36"/>
      <c r="T2083" s="36"/>
      <c r="V2083" s="31"/>
    </row>
    <row r="2084">
      <c r="A2084" s="14"/>
      <c r="B2084" s="460"/>
      <c r="C2084" s="302"/>
      <c r="D2084" s="50"/>
      <c r="E2084" s="348"/>
      <c r="F2084" s="22"/>
      <c r="G2084" s="22"/>
      <c r="H2084" s="22"/>
      <c r="I2084" s="50"/>
      <c r="J2084" s="351"/>
      <c r="K2084" s="448"/>
      <c r="L2084" s="29"/>
      <c r="M2084" s="31"/>
      <c r="N2084" s="14"/>
      <c r="O2084" s="31"/>
      <c r="Q2084" s="36"/>
      <c r="R2084" s="36"/>
      <c r="S2084" s="36"/>
      <c r="T2084" s="36"/>
      <c r="V2084" s="31"/>
    </row>
    <row r="2085">
      <c r="A2085" s="14"/>
      <c r="B2085" s="460"/>
      <c r="C2085" s="302"/>
      <c r="D2085" s="50"/>
      <c r="E2085" s="348"/>
      <c r="F2085" s="22"/>
      <c r="G2085" s="22"/>
      <c r="H2085" s="22"/>
      <c r="I2085" s="50"/>
      <c r="J2085" s="351"/>
      <c r="K2085" s="448"/>
      <c r="L2085" s="29"/>
      <c r="M2085" s="31"/>
      <c r="N2085" s="14"/>
      <c r="O2085" s="31"/>
      <c r="Q2085" s="36"/>
      <c r="R2085" s="36"/>
      <c r="S2085" s="36"/>
      <c r="T2085" s="36"/>
      <c r="V2085" s="31"/>
    </row>
    <row r="2086">
      <c r="A2086" s="14"/>
      <c r="B2086" s="460"/>
      <c r="C2086" s="302"/>
      <c r="D2086" s="50"/>
      <c r="E2086" s="348"/>
      <c r="F2086" s="22"/>
      <c r="G2086" s="22"/>
      <c r="H2086" s="22"/>
      <c r="I2086" s="50"/>
      <c r="J2086" s="351"/>
      <c r="K2086" s="448"/>
      <c r="L2086" s="29"/>
      <c r="M2086" s="31"/>
      <c r="N2086" s="14"/>
      <c r="O2086" s="31"/>
      <c r="Q2086" s="36"/>
      <c r="R2086" s="36"/>
      <c r="S2086" s="36"/>
      <c r="T2086" s="36"/>
      <c r="V2086" s="31"/>
    </row>
    <row r="2087">
      <c r="A2087" s="14"/>
      <c r="B2087" s="460"/>
      <c r="C2087" s="302"/>
      <c r="D2087" s="50"/>
      <c r="E2087" s="348"/>
      <c r="F2087" s="22"/>
      <c r="G2087" s="22"/>
      <c r="H2087" s="22"/>
      <c r="I2087" s="50"/>
      <c r="J2087" s="351"/>
      <c r="K2087" s="448"/>
      <c r="L2087" s="29"/>
      <c r="M2087" s="31"/>
      <c r="N2087" s="14"/>
      <c r="O2087" s="31"/>
      <c r="Q2087" s="36"/>
      <c r="R2087" s="36"/>
      <c r="S2087" s="36"/>
      <c r="T2087" s="36"/>
      <c r="V2087" s="31"/>
    </row>
    <row r="2088">
      <c r="A2088" s="14"/>
      <c r="B2088" s="460"/>
      <c r="C2088" s="302"/>
      <c r="D2088" s="50"/>
      <c r="E2088" s="348"/>
      <c r="F2088" s="22"/>
      <c r="G2088" s="22"/>
      <c r="H2088" s="22"/>
      <c r="I2088" s="50"/>
      <c r="J2088" s="351"/>
      <c r="K2088" s="448"/>
      <c r="L2088" s="29"/>
      <c r="M2088" s="31"/>
      <c r="N2088" s="14"/>
      <c r="O2088" s="31"/>
      <c r="Q2088" s="36"/>
      <c r="R2088" s="36"/>
      <c r="S2088" s="36"/>
      <c r="T2088" s="36"/>
      <c r="V2088" s="31"/>
    </row>
    <row r="2089">
      <c r="A2089" s="14"/>
      <c r="B2089" s="460"/>
      <c r="C2089" s="302"/>
      <c r="D2089" s="50"/>
      <c r="E2089" s="348"/>
      <c r="F2089" s="22"/>
      <c r="G2089" s="22"/>
      <c r="H2089" s="22"/>
      <c r="I2089" s="50"/>
      <c r="J2089" s="351"/>
      <c r="K2089" s="448"/>
      <c r="L2089" s="29"/>
      <c r="M2089" s="31"/>
      <c r="N2089" s="14"/>
      <c r="O2089" s="31"/>
      <c r="Q2089" s="36"/>
      <c r="R2089" s="36"/>
      <c r="S2089" s="36"/>
      <c r="T2089" s="36"/>
      <c r="V2089" s="31"/>
    </row>
    <row r="2090">
      <c r="A2090" s="14"/>
      <c r="B2090" s="460"/>
      <c r="C2090" s="302"/>
      <c r="D2090" s="50"/>
      <c r="E2090" s="348"/>
      <c r="F2090" s="22"/>
      <c r="G2090" s="22"/>
      <c r="H2090" s="22"/>
      <c r="I2090" s="50"/>
      <c r="J2090" s="351"/>
      <c r="K2090" s="448"/>
      <c r="L2090" s="29"/>
      <c r="M2090" s="31"/>
      <c r="N2090" s="14"/>
      <c r="O2090" s="31"/>
      <c r="Q2090" s="36"/>
      <c r="R2090" s="36"/>
      <c r="S2090" s="36"/>
      <c r="T2090" s="36"/>
      <c r="V2090" s="31"/>
    </row>
    <row r="2091">
      <c r="A2091" s="14"/>
      <c r="B2091" s="460"/>
      <c r="C2091" s="302"/>
      <c r="D2091" s="50"/>
      <c r="E2091" s="348"/>
      <c r="F2091" s="22"/>
      <c r="G2091" s="22"/>
      <c r="H2091" s="22"/>
      <c r="I2091" s="50"/>
      <c r="J2091" s="351"/>
      <c r="K2091" s="448"/>
      <c r="L2091" s="29"/>
      <c r="M2091" s="31"/>
      <c r="N2091" s="14"/>
      <c r="O2091" s="31"/>
      <c r="Q2091" s="36"/>
      <c r="R2091" s="36"/>
      <c r="S2091" s="36"/>
      <c r="T2091" s="36"/>
      <c r="V2091" s="31"/>
    </row>
    <row r="2092">
      <c r="A2092" s="14"/>
      <c r="B2092" s="460"/>
      <c r="C2092" s="302"/>
      <c r="D2092" s="50"/>
      <c r="E2092" s="348"/>
      <c r="F2092" s="22"/>
      <c r="G2092" s="22"/>
      <c r="H2092" s="22"/>
      <c r="I2092" s="50"/>
      <c r="J2092" s="351"/>
      <c r="K2092" s="448"/>
      <c r="L2092" s="29"/>
      <c r="M2092" s="31"/>
      <c r="N2092" s="14"/>
      <c r="O2092" s="31"/>
      <c r="Q2092" s="36"/>
      <c r="R2092" s="36"/>
      <c r="S2092" s="36"/>
      <c r="T2092" s="36"/>
      <c r="V2092" s="31"/>
    </row>
    <row r="2093">
      <c r="A2093" s="14"/>
      <c r="B2093" s="460"/>
      <c r="C2093" s="302"/>
      <c r="D2093" s="50"/>
      <c r="E2093" s="348"/>
      <c r="F2093" s="22"/>
      <c r="G2093" s="22"/>
      <c r="H2093" s="22"/>
      <c r="I2093" s="50"/>
      <c r="J2093" s="351"/>
      <c r="K2093" s="448"/>
      <c r="L2093" s="29"/>
      <c r="M2093" s="31"/>
      <c r="N2093" s="14"/>
      <c r="O2093" s="31"/>
      <c r="Q2093" s="36"/>
      <c r="R2093" s="36"/>
      <c r="S2093" s="36"/>
      <c r="T2093" s="36"/>
      <c r="V2093" s="31"/>
    </row>
    <row r="2094">
      <c r="A2094" s="14"/>
      <c r="B2094" s="460"/>
      <c r="C2094" s="302"/>
      <c r="D2094" s="50"/>
      <c r="E2094" s="348"/>
      <c r="F2094" s="22"/>
      <c r="G2094" s="22"/>
      <c r="H2094" s="22"/>
      <c r="I2094" s="50"/>
      <c r="J2094" s="351"/>
      <c r="K2094" s="448"/>
      <c r="L2094" s="29"/>
      <c r="M2094" s="31"/>
      <c r="N2094" s="14"/>
      <c r="O2094" s="31"/>
      <c r="Q2094" s="36"/>
      <c r="R2094" s="36"/>
      <c r="S2094" s="36"/>
      <c r="T2094" s="36"/>
      <c r="V2094" s="31"/>
    </row>
    <row r="2095">
      <c r="A2095" s="14"/>
      <c r="B2095" s="460"/>
      <c r="C2095" s="302"/>
      <c r="D2095" s="50"/>
      <c r="E2095" s="348"/>
      <c r="F2095" s="22"/>
      <c r="G2095" s="22"/>
      <c r="H2095" s="22"/>
      <c r="I2095" s="50"/>
      <c r="J2095" s="351"/>
      <c r="K2095" s="448"/>
      <c r="L2095" s="29"/>
      <c r="M2095" s="31"/>
      <c r="N2095" s="14"/>
      <c r="O2095" s="31"/>
      <c r="Q2095" s="36"/>
      <c r="R2095" s="36"/>
      <c r="S2095" s="36"/>
      <c r="T2095" s="36"/>
      <c r="V2095" s="31"/>
    </row>
    <row r="2096">
      <c r="A2096" s="14"/>
      <c r="B2096" s="460"/>
      <c r="C2096" s="302"/>
      <c r="D2096" s="50"/>
      <c r="E2096" s="348"/>
      <c r="F2096" s="22"/>
      <c r="G2096" s="22"/>
      <c r="H2096" s="22"/>
      <c r="I2096" s="50"/>
      <c r="J2096" s="351"/>
      <c r="K2096" s="448"/>
      <c r="L2096" s="29"/>
      <c r="M2096" s="31"/>
      <c r="N2096" s="14"/>
      <c r="O2096" s="31"/>
      <c r="Q2096" s="36"/>
      <c r="R2096" s="36"/>
      <c r="S2096" s="36"/>
      <c r="T2096" s="36"/>
      <c r="V2096" s="31"/>
    </row>
    <row r="2097">
      <c r="A2097" s="14"/>
      <c r="B2097" s="460"/>
      <c r="C2097" s="302"/>
      <c r="D2097" s="50"/>
      <c r="E2097" s="348"/>
      <c r="F2097" s="22"/>
      <c r="G2097" s="22"/>
      <c r="H2097" s="22"/>
      <c r="I2097" s="50"/>
      <c r="J2097" s="351"/>
      <c r="K2097" s="448"/>
      <c r="L2097" s="29"/>
      <c r="M2097" s="31"/>
      <c r="N2097" s="14"/>
      <c r="O2097" s="31"/>
      <c r="Q2097" s="36"/>
      <c r="R2097" s="36"/>
      <c r="S2097" s="36"/>
      <c r="T2097" s="36"/>
      <c r="V2097" s="31"/>
    </row>
  </sheetData>
  <autoFilter ref="$A$1:$W$1292"/>
  <customSheetViews>
    <customSheetView guid="{155AD284-E958-47A7-8DBD-81D62394346E}" filter="1" showAutoFilter="1">
      <autoFilter ref="$A$1:$W$49">
        <filterColumn colId="0">
          <filters>
            <filter val="jhonatan.torres@bold.co"/>
            <filter val="juan.salgado@bold.co"/>
            <filter val="angel.lesmes@bold.co"/>
          </filters>
        </filterColumn>
      </autoFilter>
    </customSheetView>
    <customSheetView guid="{57BDE3D8-3301-41A3-9AF5-D6EECF3386D1}" filter="1" showAutoFilter="1">
      <autoFilter ref="$A$1:$W$184">
        <filterColumn colId="8">
          <filters blank="1">
            <filter val="No"/>
            <filter val="Referido Inbound"/>
            <filter val="SI"/>
            <filter val="Referido Spiders"/>
          </filters>
        </filterColumn>
      </autoFilter>
    </customSheetView>
    <customSheetView guid="{5D9E7831-1ABD-41AE-957B-68888FF3675C}" filter="1" showAutoFilter="1">
      <autoFilter ref="$A$1:$AE$1374"/>
    </customSheetView>
    <customSheetView guid="{D70BEF0D-5FD9-4706-8B67-F16959E26C2D}" filter="1" showAutoFilter="1">
      <autoFilter ref="$A$1:$W$1374">
        <filterColumn colId="0">
          <filters>
            <filter val="jhonatan.torres@bold.co"/>
            <filter val="Sergio.londono@bold.co"/>
            <filter val="juan.salgado@bold.co"/>
            <filter val="luis.corredor@bold.co"/>
            <filter val="Jhonatan.moreno@bold.co"/>
          </filters>
        </filterColumn>
      </autoFilter>
    </customSheetView>
  </customSheetViews>
  <mergeCells count="13">
    <mergeCell ref="L425:L446"/>
    <mergeCell ref="P425:P446"/>
    <mergeCell ref="K451:K452"/>
    <mergeCell ref="K606:K607"/>
    <mergeCell ref="K639:K642"/>
    <mergeCell ref="L639:L642"/>
    <mergeCell ref="K359:K366"/>
    <mergeCell ref="L359:L366"/>
    <mergeCell ref="K371:K374"/>
    <mergeCell ref="L371:L374"/>
    <mergeCell ref="K378:K407"/>
    <mergeCell ref="L378:L407"/>
    <mergeCell ref="K425:K446"/>
  </mergeCells>
  <conditionalFormatting sqref="K1:K880 L425:L446 K882:K991 K994 K1016 K1022 K1024 K1032 K1037 K1056:K1057 K1060:K2097">
    <cfRule type="colorScale" priority="1">
      <colorScale>
        <cfvo type="min"/>
        <cfvo type="max"/>
        <color rgb="FF57BB8A"/>
        <color rgb="FFFFFFFF"/>
      </colorScale>
    </cfRule>
  </conditionalFormatting>
  <conditionalFormatting sqref="I2:I2097">
    <cfRule type="notContainsBlanks" dxfId="3" priority="2">
      <formula>LEN(TRIM(I2))&gt;0</formula>
    </cfRule>
  </conditionalFormatting>
  <dataValidations>
    <dataValidation type="list" allowBlank="1" showErrorMessage="1" sqref="I2:I351 I353:I366 V2:V459 V461:V573 V575:V580 I368:I2097 V582:V2097">
      <formula1>"SI,No"</formula1>
    </dataValidation>
    <dataValidation type="list" allowBlank="1" showErrorMessage="1" sqref="N2:N580 N582:N2097">
      <formula1>"Si ,No"</formula1>
    </dataValidation>
    <dataValidation type="list" allowBlank="1" showErrorMessage="1" sqref="M2:M2097">
      <formula1>"Pagos,Comodato,Paga a Plazos"</formula1>
    </dataValidation>
    <dataValidation type="list" allowBlank="1" showErrorMessage="1" sqref="I352 I367">
      <formula1>"Cliente Propio,Referido Spiders,Referido Outbound,Referido Inbound"</formula1>
    </dataValidation>
    <dataValidation type="list" allowBlank="1" showErrorMessage="1" sqref="O2:O2097">
      <formula1>"Si,No"</formula1>
    </dataValidation>
    <dataValidation type="list" allowBlank="1" showErrorMessage="1" sqref="D2:D2097">
      <formula1>"No,Si"</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5</v>
      </c>
      <c r="F1" s="3" t="s">
        <v>6</v>
      </c>
      <c r="G1" s="4" t="s">
        <v>7</v>
      </c>
      <c r="H1" s="1" t="s">
        <v>8</v>
      </c>
      <c r="I1" s="1" t="s">
        <v>9</v>
      </c>
      <c r="J1" s="1" t="s">
        <v>10</v>
      </c>
      <c r="K1" s="6" t="s">
        <v>13</v>
      </c>
      <c r="L1" s="7" t="s">
        <v>14</v>
      </c>
      <c r="M1" s="1" t="s">
        <v>15</v>
      </c>
      <c r="N1" s="1" t="s">
        <v>16</v>
      </c>
      <c r="O1" s="1" t="s">
        <v>18</v>
      </c>
      <c r="P1" s="1" t="s">
        <v>20</v>
      </c>
      <c r="Q1" s="10" t="s">
        <v>21</v>
      </c>
      <c r="R1" s="10" t="s">
        <v>23</v>
      </c>
      <c r="S1" s="10" t="s">
        <v>24</v>
      </c>
      <c r="T1" s="10" t="s">
        <v>25</v>
      </c>
      <c r="U1" s="1" t="s">
        <v>27</v>
      </c>
      <c r="V1" s="1" t="s">
        <v>33</v>
      </c>
      <c r="W1" s="1" t="s">
        <v>31</v>
      </c>
    </row>
  </sheetData>
  <conditionalFormatting sqref="K1">
    <cfRule type="colorScale" priority="1">
      <colorScale>
        <cfvo type="min"/>
        <cfvo type="max"/>
        <color rgb="FF57BB8A"/>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75"/>
    <col customWidth="1" min="5" max="5" width="54.0"/>
  </cols>
  <sheetData>
    <row r="1">
      <c r="A1" s="2" t="s">
        <v>4</v>
      </c>
      <c r="B1" s="2" t="s">
        <v>11</v>
      </c>
      <c r="C1" s="5" t="s">
        <v>12</v>
      </c>
      <c r="D1" s="5"/>
      <c r="E1" s="5" t="s">
        <v>17</v>
      </c>
      <c r="F1" s="5" t="s">
        <v>19</v>
      </c>
      <c r="G1" s="5" t="s">
        <v>7</v>
      </c>
      <c r="H1" s="9" t="s">
        <v>8</v>
      </c>
      <c r="I1" s="5" t="s">
        <v>22</v>
      </c>
      <c r="J1" s="2" t="s">
        <v>26</v>
      </c>
      <c r="K1" s="2" t="s">
        <v>28</v>
      </c>
      <c r="L1" s="2" t="s">
        <v>29</v>
      </c>
      <c r="M1" s="11" t="s">
        <v>32</v>
      </c>
      <c r="N1" s="2" t="s">
        <v>34</v>
      </c>
      <c r="O1" s="13" t="s">
        <v>35</v>
      </c>
      <c r="P1" s="2" t="s">
        <v>39</v>
      </c>
      <c r="Q1" s="2"/>
      <c r="R1" s="2"/>
      <c r="S1" s="16"/>
      <c r="T1" s="17"/>
      <c r="U1" s="17"/>
      <c r="V1" s="17"/>
      <c r="W1" s="17"/>
      <c r="X1" s="17"/>
      <c r="Y1" s="17"/>
      <c r="Z1" s="17"/>
      <c r="AA1" s="17"/>
      <c r="AB1" s="17"/>
      <c r="AC1" s="17"/>
      <c r="AD1" s="17"/>
      <c r="AE1" s="17"/>
      <c r="AF1" s="17"/>
      <c r="AG1" s="17"/>
      <c r="AH1" s="18"/>
    </row>
    <row r="2">
      <c r="A2" s="19" t="s">
        <v>41</v>
      </c>
      <c r="B2" s="19" t="s">
        <v>42</v>
      </c>
      <c r="C2" s="21" t="s">
        <v>43</v>
      </c>
      <c r="D2" s="21" t="s">
        <v>44</v>
      </c>
      <c r="E2" s="23" t="s">
        <v>45</v>
      </c>
      <c r="F2" s="25">
        <v>46028.0</v>
      </c>
      <c r="G2" s="21" t="s">
        <v>46</v>
      </c>
      <c r="H2" s="28">
        <f t="shared" ref="H2:H36" si="1">YEAR(F2)</f>
        <v>2026</v>
      </c>
      <c r="I2" s="30">
        <v>46028.0</v>
      </c>
      <c r="J2" s="19" t="s">
        <v>50</v>
      </c>
      <c r="K2" s="19" t="s">
        <v>51</v>
      </c>
      <c r="L2" s="32" t="s">
        <v>52</v>
      </c>
      <c r="M2" s="33">
        <v>342700.0</v>
      </c>
      <c r="N2" s="19" t="s">
        <v>53</v>
      </c>
      <c r="O2" s="21" t="s">
        <v>54</v>
      </c>
      <c r="P2" s="19" t="s">
        <v>55</v>
      </c>
      <c r="Q2" s="19"/>
      <c r="R2" s="19"/>
      <c r="S2" s="34"/>
      <c r="T2" s="34"/>
      <c r="U2" s="34"/>
      <c r="V2" s="34"/>
      <c r="W2" s="34"/>
      <c r="X2" s="34"/>
      <c r="Y2" s="34"/>
      <c r="Z2" s="34"/>
      <c r="AA2" s="34"/>
      <c r="AB2" s="34"/>
      <c r="AC2" s="34"/>
      <c r="AD2" s="34"/>
      <c r="AE2" s="34"/>
      <c r="AF2" s="34"/>
      <c r="AG2" s="34"/>
      <c r="AH2" s="34"/>
    </row>
    <row r="3">
      <c r="A3" s="19" t="s">
        <v>56</v>
      </c>
      <c r="B3" s="19" t="s">
        <v>57</v>
      </c>
      <c r="C3" s="21" t="s">
        <v>43</v>
      </c>
      <c r="D3" s="21" t="s">
        <v>44</v>
      </c>
      <c r="E3" s="19" t="s">
        <v>58</v>
      </c>
      <c r="F3" s="25">
        <v>46042.0</v>
      </c>
      <c r="G3" s="21" t="s">
        <v>46</v>
      </c>
      <c r="H3" s="28">
        <f t="shared" si="1"/>
        <v>2026</v>
      </c>
      <c r="I3" s="30">
        <v>46042.0</v>
      </c>
      <c r="J3" s="19" t="s">
        <v>59</v>
      </c>
      <c r="K3" s="19" t="s">
        <v>60</v>
      </c>
      <c r="L3" s="19" t="s">
        <v>58</v>
      </c>
      <c r="M3" s="33">
        <v>0.0</v>
      </c>
      <c r="N3" s="19" t="s">
        <v>61</v>
      </c>
      <c r="O3" s="21" t="s">
        <v>62</v>
      </c>
      <c r="P3" s="19" t="s">
        <v>63</v>
      </c>
      <c r="Q3" s="19"/>
      <c r="R3" s="19"/>
      <c r="S3" s="34"/>
      <c r="T3" s="34"/>
      <c r="U3" s="34"/>
      <c r="V3" s="34"/>
      <c r="W3" s="34"/>
      <c r="X3" s="34"/>
      <c r="Y3" s="34"/>
      <c r="Z3" s="34"/>
      <c r="AA3" s="34"/>
      <c r="AB3" s="34"/>
      <c r="AC3" s="34"/>
      <c r="AD3" s="34"/>
      <c r="AE3" s="34"/>
      <c r="AF3" s="34"/>
      <c r="AG3" s="34"/>
      <c r="AH3" s="34"/>
    </row>
    <row r="4">
      <c r="A4" s="19" t="s">
        <v>41</v>
      </c>
      <c r="B4" s="19" t="s">
        <v>42</v>
      </c>
      <c r="C4" s="21" t="s">
        <v>43</v>
      </c>
      <c r="D4" s="21" t="s">
        <v>44</v>
      </c>
      <c r="E4" s="23" t="s">
        <v>45</v>
      </c>
      <c r="F4" s="25">
        <v>46039.0</v>
      </c>
      <c r="G4" s="21" t="s">
        <v>46</v>
      </c>
      <c r="H4" s="28">
        <f t="shared" si="1"/>
        <v>2026</v>
      </c>
      <c r="I4" s="30">
        <v>46045.0</v>
      </c>
      <c r="J4" s="19" t="s">
        <v>50</v>
      </c>
      <c r="K4" s="19" t="s">
        <v>64</v>
      </c>
      <c r="L4" s="19" t="s">
        <v>58</v>
      </c>
      <c r="M4" s="33">
        <v>391458.0</v>
      </c>
      <c r="N4" s="19" t="s">
        <v>65</v>
      </c>
      <c r="O4" s="19" t="s">
        <v>62</v>
      </c>
      <c r="P4" s="19" t="s">
        <v>55</v>
      </c>
      <c r="Q4" s="19"/>
      <c r="R4" s="19"/>
      <c r="S4" s="34"/>
      <c r="T4" s="34"/>
      <c r="U4" s="34"/>
      <c r="V4" s="34"/>
      <c r="W4" s="34"/>
      <c r="X4" s="34"/>
      <c r="Y4" s="34"/>
      <c r="Z4" s="34"/>
      <c r="AA4" s="34"/>
      <c r="AB4" s="34"/>
      <c r="AC4" s="34"/>
      <c r="AD4" s="34"/>
      <c r="AE4" s="34"/>
      <c r="AF4" s="34"/>
      <c r="AG4" s="34"/>
      <c r="AH4" s="34"/>
    </row>
    <row r="5">
      <c r="A5" s="19" t="s">
        <v>41</v>
      </c>
      <c r="B5" s="19" t="s">
        <v>42</v>
      </c>
      <c r="C5" s="21" t="s">
        <v>43</v>
      </c>
      <c r="D5" s="21" t="s">
        <v>44</v>
      </c>
      <c r="E5" s="23" t="s">
        <v>45</v>
      </c>
      <c r="F5" s="25">
        <v>46028.0</v>
      </c>
      <c r="G5" s="21" t="s">
        <v>46</v>
      </c>
      <c r="H5" s="28">
        <f t="shared" si="1"/>
        <v>2026</v>
      </c>
      <c r="I5" s="30">
        <v>46045.0</v>
      </c>
      <c r="J5" s="19" t="s">
        <v>50</v>
      </c>
      <c r="K5" s="19" t="s">
        <v>69</v>
      </c>
      <c r="L5" s="25">
        <v>46049.0</v>
      </c>
      <c r="M5" s="33">
        <v>442250.0</v>
      </c>
      <c r="N5" s="19" t="s">
        <v>70</v>
      </c>
      <c r="O5" s="19" t="s">
        <v>54</v>
      </c>
      <c r="P5" s="19" t="s">
        <v>55</v>
      </c>
      <c r="Q5" s="19"/>
      <c r="R5" s="19"/>
      <c r="S5" s="34"/>
      <c r="T5" s="34"/>
      <c r="U5" s="34"/>
      <c r="V5" s="34"/>
      <c r="W5" s="34"/>
      <c r="X5" s="34"/>
      <c r="Y5" s="34"/>
      <c r="Z5" s="34"/>
      <c r="AA5" s="34"/>
      <c r="AB5" s="34"/>
      <c r="AC5" s="34"/>
      <c r="AD5" s="34"/>
      <c r="AE5" s="34"/>
      <c r="AF5" s="34"/>
      <c r="AG5" s="34"/>
      <c r="AH5" s="34"/>
    </row>
    <row r="6">
      <c r="A6" s="19" t="s">
        <v>41</v>
      </c>
      <c r="B6" s="19" t="s">
        <v>42</v>
      </c>
      <c r="C6" s="21" t="s">
        <v>43</v>
      </c>
      <c r="D6" s="21" t="s">
        <v>44</v>
      </c>
      <c r="E6" s="23" t="s">
        <v>73</v>
      </c>
      <c r="F6" s="25">
        <v>45973.0</v>
      </c>
      <c r="G6" s="21" t="s">
        <v>74</v>
      </c>
      <c r="H6" s="28">
        <f t="shared" si="1"/>
        <v>2025</v>
      </c>
      <c r="I6" s="30">
        <v>46055.0</v>
      </c>
      <c r="J6" s="19" t="s">
        <v>50</v>
      </c>
      <c r="K6" s="19" t="s">
        <v>69</v>
      </c>
      <c r="L6" s="23"/>
      <c r="M6" s="33">
        <v>762500.0</v>
      </c>
      <c r="N6" s="19" t="s">
        <v>53</v>
      </c>
      <c r="O6" s="21" t="s">
        <v>54</v>
      </c>
      <c r="P6" s="19"/>
      <c r="Q6" s="19"/>
      <c r="R6" s="19"/>
      <c r="S6" s="34"/>
      <c r="T6" s="34"/>
      <c r="U6" s="34"/>
      <c r="V6" s="34"/>
      <c r="W6" s="34"/>
      <c r="X6" s="34"/>
      <c r="Y6" s="34"/>
      <c r="Z6" s="34"/>
      <c r="AA6" s="34"/>
      <c r="AB6" s="34"/>
      <c r="AC6" s="34"/>
      <c r="AD6" s="34"/>
      <c r="AE6" s="34"/>
      <c r="AF6" s="34"/>
      <c r="AG6" s="34"/>
      <c r="AH6" s="34"/>
    </row>
    <row r="7">
      <c r="A7" s="19" t="s">
        <v>41</v>
      </c>
      <c r="B7" s="19" t="s">
        <v>42</v>
      </c>
      <c r="C7" s="21" t="s">
        <v>43</v>
      </c>
      <c r="D7" s="21" t="s">
        <v>44</v>
      </c>
      <c r="E7" s="23" t="s">
        <v>73</v>
      </c>
      <c r="F7" s="25">
        <v>45997.0</v>
      </c>
      <c r="G7" s="21" t="s">
        <v>79</v>
      </c>
      <c r="H7" s="28">
        <f t="shared" si="1"/>
        <v>2025</v>
      </c>
      <c r="I7" s="30">
        <v>46055.0</v>
      </c>
      <c r="J7" s="19" t="s">
        <v>50</v>
      </c>
      <c r="K7" s="19" t="s">
        <v>80</v>
      </c>
      <c r="L7" s="23"/>
      <c r="M7" s="33">
        <v>526100.0</v>
      </c>
      <c r="N7" s="19" t="s">
        <v>81</v>
      </c>
      <c r="O7" s="21" t="s">
        <v>54</v>
      </c>
      <c r="P7" s="19"/>
      <c r="Q7" s="19"/>
      <c r="R7" s="19"/>
      <c r="S7" s="34"/>
      <c r="T7" s="34"/>
      <c r="U7" s="34"/>
      <c r="V7" s="34"/>
      <c r="W7" s="34"/>
      <c r="X7" s="34"/>
      <c r="Y7" s="34"/>
      <c r="Z7" s="34"/>
      <c r="AA7" s="34"/>
      <c r="AB7" s="34"/>
      <c r="AC7" s="34"/>
      <c r="AD7" s="34"/>
      <c r="AE7" s="34"/>
      <c r="AF7" s="34"/>
      <c r="AG7" s="34"/>
      <c r="AH7" s="34"/>
    </row>
    <row r="8">
      <c r="A8" s="19" t="s">
        <v>41</v>
      </c>
      <c r="B8" s="19" t="s">
        <v>42</v>
      </c>
      <c r="C8" s="21" t="s">
        <v>43</v>
      </c>
      <c r="D8" s="21" t="s">
        <v>44</v>
      </c>
      <c r="E8" s="23" t="s">
        <v>73</v>
      </c>
      <c r="F8" s="25">
        <v>45997.0</v>
      </c>
      <c r="G8" s="21" t="s">
        <v>79</v>
      </c>
      <c r="H8" s="28">
        <f t="shared" si="1"/>
        <v>2025</v>
      </c>
      <c r="I8" s="30">
        <v>46055.0</v>
      </c>
      <c r="J8" s="19" t="s">
        <v>50</v>
      </c>
      <c r="K8" s="19" t="s">
        <v>80</v>
      </c>
      <c r="L8" s="23"/>
      <c r="M8" s="33">
        <v>1505300.0</v>
      </c>
      <c r="N8" s="19" t="s">
        <v>81</v>
      </c>
      <c r="O8" s="21" t="s">
        <v>54</v>
      </c>
      <c r="P8" s="19"/>
      <c r="Q8" s="19"/>
      <c r="R8" s="19"/>
      <c r="S8" s="34"/>
      <c r="T8" s="34"/>
      <c r="U8" s="34"/>
      <c r="V8" s="34"/>
      <c r="W8" s="34"/>
      <c r="X8" s="34"/>
      <c r="Y8" s="34"/>
      <c r="Z8" s="34"/>
      <c r="AA8" s="34"/>
      <c r="AB8" s="34"/>
      <c r="AC8" s="34"/>
      <c r="AD8" s="34"/>
      <c r="AE8" s="34"/>
      <c r="AF8" s="34"/>
      <c r="AG8" s="34"/>
      <c r="AH8" s="34"/>
    </row>
    <row r="9">
      <c r="A9" s="19" t="s">
        <v>41</v>
      </c>
      <c r="B9" s="19" t="s">
        <v>42</v>
      </c>
      <c r="C9" s="21" t="s">
        <v>43</v>
      </c>
      <c r="D9" s="21" t="s">
        <v>44</v>
      </c>
      <c r="E9" s="23" t="s">
        <v>73</v>
      </c>
      <c r="F9" s="25">
        <v>45677.0</v>
      </c>
      <c r="G9" s="21" t="s">
        <v>46</v>
      </c>
      <c r="H9" s="28">
        <f t="shared" si="1"/>
        <v>2025</v>
      </c>
      <c r="I9" s="30">
        <v>46045.0</v>
      </c>
      <c r="J9" s="19" t="s">
        <v>50</v>
      </c>
      <c r="K9" s="19" t="s">
        <v>64</v>
      </c>
      <c r="L9" s="25">
        <v>46050.0</v>
      </c>
      <c r="M9" s="33">
        <v>495000.0</v>
      </c>
      <c r="N9" s="19" t="s">
        <v>87</v>
      </c>
      <c r="O9" s="19" t="s">
        <v>54</v>
      </c>
      <c r="P9" s="19" t="s">
        <v>55</v>
      </c>
      <c r="Q9" s="19"/>
      <c r="R9" s="19"/>
      <c r="S9" s="34"/>
      <c r="T9" s="34"/>
      <c r="U9" s="34"/>
      <c r="V9" s="34"/>
      <c r="W9" s="34"/>
      <c r="X9" s="34"/>
      <c r="Y9" s="34"/>
      <c r="Z9" s="34"/>
      <c r="AA9" s="34"/>
      <c r="AB9" s="34"/>
      <c r="AC9" s="34"/>
      <c r="AD9" s="34"/>
      <c r="AE9" s="34"/>
      <c r="AF9" s="34"/>
      <c r="AG9" s="34"/>
      <c r="AH9" s="34"/>
    </row>
    <row r="10">
      <c r="A10" s="19" t="s">
        <v>41</v>
      </c>
      <c r="B10" s="19" t="s">
        <v>42</v>
      </c>
      <c r="C10" s="21" t="s">
        <v>43</v>
      </c>
      <c r="D10" s="21" t="s">
        <v>44</v>
      </c>
      <c r="E10" s="38" t="s">
        <v>45</v>
      </c>
      <c r="F10" s="25">
        <v>45987.0</v>
      </c>
      <c r="G10" s="21" t="s">
        <v>74</v>
      </c>
      <c r="H10" s="28">
        <f t="shared" si="1"/>
        <v>2025</v>
      </c>
      <c r="I10" s="30">
        <v>46075.0</v>
      </c>
      <c r="J10" s="19" t="s">
        <v>50</v>
      </c>
      <c r="K10" s="19" t="s">
        <v>64</v>
      </c>
      <c r="L10" s="25">
        <v>46050.0</v>
      </c>
      <c r="M10" s="33">
        <v>300000.0</v>
      </c>
      <c r="N10" s="19" t="s">
        <v>92</v>
      </c>
      <c r="O10" s="19" t="s">
        <v>54</v>
      </c>
      <c r="P10" s="19"/>
      <c r="Q10" s="19"/>
      <c r="R10" s="19"/>
      <c r="S10" s="34"/>
      <c r="T10" s="34"/>
      <c r="U10" s="34"/>
      <c r="V10" s="34"/>
      <c r="W10" s="34"/>
      <c r="X10" s="34"/>
      <c r="Y10" s="34"/>
      <c r="Z10" s="34"/>
      <c r="AA10" s="34"/>
      <c r="AB10" s="34"/>
      <c r="AC10" s="34"/>
      <c r="AD10" s="34"/>
      <c r="AE10" s="34"/>
      <c r="AF10" s="34"/>
      <c r="AG10" s="34"/>
      <c r="AH10" s="34"/>
    </row>
    <row r="11">
      <c r="A11" s="19" t="s">
        <v>94</v>
      </c>
      <c r="B11" s="19" t="s">
        <v>95</v>
      </c>
      <c r="C11" s="23" t="s">
        <v>96</v>
      </c>
      <c r="D11" s="21" t="s">
        <v>96</v>
      </c>
      <c r="E11" s="23" t="s">
        <v>98</v>
      </c>
      <c r="F11" s="25">
        <v>46044.0</v>
      </c>
      <c r="G11" s="21" t="s">
        <v>46</v>
      </c>
      <c r="H11" s="28">
        <f t="shared" si="1"/>
        <v>2026</v>
      </c>
      <c r="I11" s="30">
        <v>46044.0</v>
      </c>
      <c r="J11" s="19" t="s">
        <v>100</v>
      </c>
      <c r="K11" s="19" t="s">
        <v>101</v>
      </c>
      <c r="L11" s="23"/>
      <c r="M11" s="39" t="s">
        <v>58</v>
      </c>
      <c r="N11" s="19" t="s">
        <v>102</v>
      </c>
      <c r="O11" s="19" t="s">
        <v>54</v>
      </c>
      <c r="P11" s="19"/>
      <c r="Q11" s="19"/>
      <c r="R11" s="19"/>
      <c r="S11" s="34"/>
      <c r="T11" s="34"/>
      <c r="U11" s="34"/>
      <c r="V11" s="34"/>
      <c r="W11" s="34"/>
      <c r="X11" s="34"/>
      <c r="Y11" s="34"/>
      <c r="Z11" s="34"/>
      <c r="AA11" s="34"/>
      <c r="AB11" s="34"/>
      <c r="AC11" s="34"/>
      <c r="AD11" s="34"/>
      <c r="AE11" s="34"/>
      <c r="AF11" s="34"/>
      <c r="AG11" s="34"/>
      <c r="AH11" s="34"/>
    </row>
    <row r="12">
      <c r="A12" s="19" t="s">
        <v>41</v>
      </c>
      <c r="B12" s="19" t="s">
        <v>95</v>
      </c>
      <c r="C12" s="23" t="s">
        <v>96</v>
      </c>
      <c r="D12" s="21" t="s">
        <v>96</v>
      </c>
      <c r="E12" s="23" t="s">
        <v>103</v>
      </c>
      <c r="F12" s="25">
        <v>46042.0</v>
      </c>
      <c r="G12" s="21" t="s">
        <v>46</v>
      </c>
      <c r="H12" s="28">
        <f t="shared" si="1"/>
        <v>2026</v>
      </c>
      <c r="I12" s="30">
        <v>46042.0</v>
      </c>
      <c r="J12" s="19" t="s">
        <v>105</v>
      </c>
      <c r="K12" s="19" t="s">
        <v>106</v>
      </c>
      <c r="L12" s="23"/>
      <c r="M12" s="39" t="s">
        <v>58</v>
      </c>
      <c r="N12" s="19" t="s">
        <v>107</v>
      </c>
      <c r="O12" s="21" t="s">
        <v>54</v>
      </c>
      <c r="P12" s="19"/>
      <c r="Q12" s="19"/>
      <c r="R12" s="19"/>
      <c r="S12" s="34"/>
      <c r="T12" s="34"/>
      <c r="U12" s="34"/>
      <c r="V12" s="34"/>
      <c r="W12" s="34"/>
      <c r="X12" s="34"/>
      <c r="Y12" s="34"/>
      <c r="Z12" s="34"/>
      <c r="AA12" s="34"/>
      <c r="AB12" s="34"/>
      <c r="AC12" s="34"/>
      <c r="AD12" s="34"/>
      <c r="AE12" s="34"/>
      <c r="AF12" s="34"/>
      <c r="AG12" s="34"/>
      <c r="AH12" s="34"/>
    </row>
    <row r="13">
      <c r="A13" s="19" t="s">
        <v>108</v>
      </c>
      <c r="B13" s="19" t="s">
        <v>95</v>
      </c>
      <c r="C13" s="23" t="s">
        <v>96</v>
      </c>
      <c r="D13" s="21" t="s">
        <v>96</v>
      </c>
      <c r="E13" s="23" t="s">
        <v>103</v>
      </c>
      <c r="F13" s="25">
        <v>46042.0</v>
      </c>
      <c r="G13" s="21" t="s">
        <v>46</v>
      </c>
      <c r="H13" s="28">
        <f t="shared" si="1"/>
        <v>2026</v>
      </c>
      <c r="I13" s="30">
        <v>46042.0</v>
      </c>
      <c r="J13" s="19" t="s">
        <v>109</v>
      </c>
      <c r="K13" s="19" t="s">
        <v>110</v>
      </c>
      <c r="L13" s="23"/>
      <c r="M13" s="39" t="s">
        <v>58</v>
      </c>
      <c r="N13" s="19" t="s">
        <v>111</v>
      </c>
      <c r="O13" s="21" t="s">
        <v>54</v>
      </c>
      <c r="P13" s="19"/>
      <c r="Q13" s="19"/>
      <c r="R13" s="19"/>
      <c r="S13" s="34"/>
      <c r="T13" s="34"/>
      <c r="U13" s="34"/>
      <c r="V13" s="34"/>
      <c r="W13" s="34"/>
      <c r="X13" s="34"/>
      <c r="Y13" s="34"/>
      <c r="Z13" s="34"/>
      <c r="AA13" s="34"/>
      <c r="AB13" s="34"/>
      <c r="AC13" s="34"/>
      <c r="AD13" s="34"/>
      <c r="AE13" s="34"/>
      <c r="AF13" s="34"/>
      <c r="AG13" s="34"/>
      <c r="AH13" s="34"/>
    </row>
    <row r="14">
      <c r="A14" s="19" t="s">
        <v>41</v>
      </c>
      <c r="B14" s="19" t="s">
        <v>42</v>
      </c>
      <c r="C14" s="21" t="s">
        <v>43</v>
      </c>
      <c r="D14" s="21" t="s">
        <v>44</v>
      </c>
      <c r="E14" s="23" t="s">
        <v>45</v>
      </c>
      <c r="F14" s="25">
        <v>46042.0</v>
      </c>
      <c r="G14" s="21" t="s">
        <v>46</v>
      </c>
      <c r="H14" s="28">
        <f t="shared" si="1"/>
        <v>2026</v>
      </c>
      <c r="I14" s="30">
        <v>132800.0</v>
      </c>
      <c r="J14" s="19" t="s">
        <v>50</v>
      </c>
      <c r="K14" s="19" t="s">
        <v>64</v>
      </c>
      <c r="L14" s="40">
        <v>46030.0</v>
      </c>
      <c r="M14" s="33">
        <v>915000.0</v>
      </c>
      <c r="N14" s="19" t="s">
        <v>116</v>
      </c>
      <c r="O14" s="19" t="s">
        <v>54</v>
      </c>
      <c r="P14" s="19" t="s">
        <v>55</v>
      </c>
      <c r="Q14" s="19"/>
      <c r="R14" s="19"/>
      <c r="S14" s="34"/>
      <c r="T14" s="34"/>
      <c r="U14" s="34"/>
      <c r="V14" s="34"/>
      <c r="W14" s="34"/>
      <c r="X14" s="34"/>
      <c r="Y14" s="34"/>
      <c r="Z14" s="34"/>
      <c r="AA14" s="34"/>
      <c r="AB14" s="34"/>
      <c r="AC14" s="34"/>
      <c r="AD14" s="34"/>
      <c r="AE14" s="34"/>
      <c r="AF14" s="34"/>
      <c r="AG14" s="34"/>
      <c r="AH14" s="34"/>
    </row>
    <row r="15">
      <c r="A15" s="19" t="s">
        <v>41</v>
      </c>
      <c r="B15" s="19" t="s">
        <v>42</v>
      </c>
      <c r="C15" s="21" t="s">
        <v>43</v>
      </c>
      <c r="D15" s="21" t="s">
        <v>44</v>
      </c>
      <c r="E15" s="23" t="s">
        <v>45</v>
      </c>
      <c r="F15" s="25">
        <v>46044.0</v>
      </c>
      <c r="G15" s="21" t="s">
        <v>46</v>
      </c>
      <c r="H15" s="28">
        <f t="shared" si="1"/>
        <v>2026</v>
      </c>
      <c r="I15" s="30">
        <v>132800.0</v>
      </c>
      <c r="J15" s="19" t="s">
        <v>105</v>
      </c>
      <c r="K15" s="19" t="s">
        <v>120</v>
      </c>
      <c r="L15" s="25">
        <v>45680.0</v>
      </c>
      <c r="M15" s="19" t="s">
        <v>58</v>
      </c>
      <c r="N15" s="19" t="s">
        <v>121</v>
      </c>
      <c r="O15" s="19" t="s">
        <v>54</v>
      </c>
      <c r="P15" s="19" t="s">
        <v>122</v>
      </c>
      <c r="Q15" s="19"/>
      <c r="R15" s="19"/>
      <c r="S15" s="34"/>
      <c r="T15" s="34"/>
      <c r="U15" s="34"/>
      <c r="V15" s="34"/>
      <c r="W15" s="34"/>
      <c r="X15" s="34"/>
      <c r="Y15" s="34"/>
      <c r="Z15" s="34"/>
      <c r="AA15" s="34"/>
      <c r="AB15" s="34"/>
      <c r="AC15" s="34"/>
      <c r="AD15" s="34"/>
      <c r="AE15" s="34"/>
      <c r="AF15" s="34"/>
      <c r="AG15" s="34"/>
      <c r="AH15" s="34"/>
    </row>
    <row r="16">
      <c r="A16" s="19" t="s">
        <v>41</v>
      </c>
      <c r="B16" s="19" t="s">
        <v>42</v>
      </c>
      <c r="C16" s="21" t="s">
        <v>43</v>
      </c>
      <c r="D16" s="21" t="s">
        <v>44</v>
      </c>
      <c r="E16" s="23" t="s">
        <v>123</v>
      </c>
      <c r="F16" s="25">
        <v>46042.0</v>
      </c>
      <c r="G16" s="21" t="s">
        <v>46</v>
      </c>
      <c r="H16" s="28">
        <f t="shared" si="1"/>
        <v>2026</v>
      </c>
      <c r="I16" s="30">
        <v>46045.0</v>
      </c>
      <c r="J16" s="19" t="s">
        <v>50</v>
      </c>
      <c r="K16" s="19" t="s">
        <v>64</v>
      </c>
      <c r="L16" s="25">
        <v>46050.0</v>
      </c>
      <c r="M16" s="33">
        <v>1658000.0</v>
      </c>
      <c r="N16" s="19" t="s">
        <v>124</v>
      </c>
      <c r="O16" s="19" t="s">
        <v>54</v>
      </c>
      <c r="P16" s="19" t="s">
        <v>55</v>
      </c>
      <c r="Q16" s="19"/>
      <c r="R16" s="19"/>
      <c r="S16" s="34"/>
      <c r="T16" s="34"/>
      <c r="U16" s="34"/>
      <c r="V16" s="34"/>
      <c r="W16" s="34"/>
      <c r="X16" s="34"/>
      <c r="Y16" s="34"/>
      <c r="Z16" s="34"/>
      <c r="AA16" s="34"/>
      <c r="AB16" s="34"/>
      <c r="AC16" s="34"/>
      <c r="AD16" s="34"/>
      <c r="AE16" s="34"/>
      <c r="AF16" s="34"/>
      <c r="AG16" s="34"/>
      <c r="AH16" s="34"/>
    </row>
    <row r="17">
      <c r="A17" s="19" t="s">
        <v>41</v>
      </c>
      <c r="B17" s="19" t="s">
        <v>42</v>
      </c>
      <c r="C17" s="21" t="s">
        <v>43</v>
      </c>
      <c r="D17" s="21" t="s">
        <v>44</v>
      </c>
      <c r="E17" s="23" t="s">
        <v>123</v>
      </c>
      <c r="F17" s="25">
        <v>46042.0</v>
      </c>
      <c r="G17" s="21" t="s">
        <v>46</v>
      </c>
      <c r="H17" s="28">
        <f t="shared" si="1"/>
        <v>2026</v>
      </c>
      <c r="I17" s="30">
        <v>46045.0</v>
      </c>
      <c r="J17" s="19" t="s">
        <v>50</v>
      </c>
      <c r="K17" s="19" t="s">
        <v>64</v>
      </c>
      <c r="L17" s="25">
        <v>46050.0</v>
      </c>
      <c r="M17" s="33">
        <v>245000.0</v>
      </c>
      <c r="N17" s="19" t="s">
        <v>127</v>
      </c>
      <c r="O17" s="19" t="s">
        <v>54</v>
      </c>
      <c r="P17" s="19" t="s">
        <v>55</v>
      </c>
      <c r="Q17" s="19"/>
      <c r="R17" s="19"/>
      <c r="S17" s="34"/>
      <c r="T17" s="34"/>
      <c r="U17" s="34"/>
      <c r="V17" s="34"/>
      <c r="W17" s="34"/>
      <c r="X17" s="34"/>
      <c r="Y17" s="34"/>
      <c r="Z17" s="34"/>
      <c r="AA17" s="34"/>
      <c r="AB17" s="34"/>
      <c r="AC17" s="34"/>
      <c r="AD17" s="34"/>
      <c r="AE17" s="34"/>
      <c r="AF17" s="34"/>
      <c r="AG17" s="34"/>
      <c r="AH17" s="34"/>
    </row>
    <row r="18">
      <c r="A18" s="19" t="s">
        <v>41</v>
      </c>
      <c r="B18" s="19" t="s">
        <v>42</v>
      </c>
      <c r="C18" s="21" t="s">
        <v>43</v>
      </c>
      <c r="D18" s="21" t="s">
        <v>44</v>
      </c>
      <c r="E18" s="23" t="s">
        <v>129</v>
      </c>
      <c r="F18" s="25">
        <v>46042.0</v>
      </c>
      <c r="G18" s="21" t="s">
        <v>46</v>
      </c>
      <c r="H18" s="28">
        <f t="shared" si="1"/>
        <v>2026</v>
      </c>
      <c r="I18" s="30">
        <v>46045.0</v>
      </c>
      <c r="J18" s="19" t="s">
        <v>50</v>
      </c>
      <c r="K18" s="19" t="s">
        <v>64</v>
      </c>
      <c r="L18" s="25">
        <v>46049.0</v>
      </c>
      <c r="M18" s="33">
        <v>2315000.0</v>
      </c>
      <c r="N18" s="19" t="s">
        <v>131</v>
      </c>
      <c r="O18" s="19" t="s">
        <v>54</v>
      </c>
      <c r="P18" s="19" t="s">
        <v>55</v>
      </c>
      <c r="Q18" s="19"/>
      <c r="R18" s="19"/>
      <c r="S18" s="34"/>
      <c r="T18" s="34"/>
      <c r="U18" s="34"/>
      <c r="V18" s="34"/>
      <c r="W18" s="34"/>
      <c r="X18" s="34"/>
      <c r="Y18" s="34"/>
      <c r="Z18" s="34"/>
      <c r="AA18" s="34"/>
      <c r="AB18" s="34"/>
      <c r="AC18" s="34"/>
      <c r="AD18" s="34"/>
      <c r="AE18" s="34"/>
      <c r="AF18" s="34"/>
      <c r="AG18" s="34"/>
      <c r="AH18" s="34"/>
    </row>
    <row r="19">
      <c r="A19" s="19" t="s">
        <v>41</v>
      </c>
      <c r="B19" s="19" t="s">
        <v>42</v>
      </c>
      <c r="C19" s="21" t="s">
        <v>43</v>
      </c>
      <c r="D19" s="21" t="s">
        <v>44</v>
      </c>
      <c r="E19" s="23" t="s">
        <v>129</v>
      </c>
      <c r="F19" s="25">
        <v>46042.0</v>
      </c>
      <c r="G19" s="21" t="s">
        <v>46</v>
      </c>
      <c r="H19" s="28">
        <f t="shared" si="1"/>
        <v>2026</v>
      </c>
      <c r="I19" s="30">
        <v>46045.0</v>
      </c>
      <c r="J19" s="19" t="s">
        <v>50</v>
      </c>
      <c r="K19" s="19" t="s">
        <v>64</v>
      </c>
      <c r="L19" s="21" t="s">
        <v>58</v>
      </c>
      <c r="M19" s="33">
        <v>1960300.0</v>
      </c>
      <c r="N19" s="19" t="s">
        <v>134</v>
      </c>
      <c r="O19" s="19" t="s">
        <v>62</v>
      </c>
      <c r="P19" s="19" t="s">
        <v>55</v>
      </c>
      <c r="Q19" s="19"/>
      <c r="R19" s="19"/>
      <c r="S19" s="34"/>
      <c r="T19" s="34"/>
      <c r="U19" s="34"/>
      <c r="V19" s="34"/>
      <c r="W19" s="34"/>
      <c r="X19" s="34"/>
      <c r="Y19" s="34"/>
      <c r="Z19" s="34"/>
      <c r="AA19" s="34"/>
      <c r="AB19" s="34"/>
      <c r="AC19" s="34"/>
      <c r="AD19" s="34"/>
      <c r="AE19" s="34"/>
      <c r="AF19" s="34"/>
      <c r="AG19" s="34"/>
      <c r="AH19" s="34"/>
    </row>
    <row r="20">
      <c r="A20" s="19" t="s">
        <v>41</v>
      </c>
      <c r="B20" s="19" t="s">
        <v>42</v>
      </c>
      <c r="C20" s="21" t="s">
        <v>43</v>
      </c>
      <c r="D20" s="21" t="s">
        <v>44</v>
      </c>
      <c r="E20" s="23" t="s">
        <v>129</v>
      </c>
      <c r="F20" s="25">
        <v>46042.0</v>
      </c>
      <c r="G20" s="21" t="s">
        <v>46</v>
      </c>
      <c r="H20" s="28">
        <f t="shared" si="1"/>
        <v>2026</v>
      </c>
      <c r="I20" s="30">
        <v>46045.0</v>
      </c>
      <c r="J20" s="19" t="s">
        <v>50</v>
      </c>
      <c r="K20" s="19" t="s">
        <v>64</v>
      </c>
      <c r="L20" s="25">
        <v>46049.0</v>
      </c>
      <c r="M20" s="33">
        <v>101100.0</v>
      </c>
      <c r="N20" s="19" t="s">
        <v>138</v>
      </c>
      <c r="O20" s="19" t="s">
        <v>54</v>
      </c>
      <c r="P20" s="19" t="s">
        <v>55</v>
      </c>
      <c r="Q20" s="19"/>
      <c r="R20" s="19"/>
      <c r="S20" s="34"/>
      <c r="T20" s="34"/>
      <c r="U20" s="34"/>
      <c r="V20" s="34"/>
      <c r="W20" s="34"/>
      <c r="X20" s="34"/>
      <c r="Y20" s="34"/>
      <c r="Z20" s="34"/>
      <c r="AA20" s="34"/>
      <c r="AB20" s="34"/>
      <c r="AC20" s="34"/>
      <c r="AD20" s="34"/>
      <c r="AE20" s="34"/>
      <c r="AF20" s="34"/>
      <c r="AG20" s="34"/>
      <c r="AH20" s="34"/>
    </row>
    <row r="21">
      <c r="A21" s="19" t="s">
        <v>41</v>
      </c>
      <c r="B21" s="19" t="s">
        <v>42</v>
      </c>
      <c r="C21" s="21" t="s">
        <v>43</v>
      </c>
      <c r="D21" s="21" t="s">
        <v>44</v>
      </c>
      <c r="E21" s="23" t="s">
        <v>123</v>
      </c>
      <c r="F21" s="25">
        <v>46037.0</v>
      </c>
      <c r="G21" s="21" t="s">
        <v>46</v>
      </c>
      <c r="H21" s="28">
        <f t="shared" si="1"/>
        <v>2026</v>
      </c>
      <c r="I21" s="30">
        <v>46045.0</v>
      </c>
      <c r="J21" s="19" t="s">
        <v>50</v>
      </c>
      <c r="K21" s="19" t="s">
        <v>64</v>
      </c>
      <c r="L21" s="25">
        <v>46050.0</v>
      </c>
      <c r="M21" s="33">
        <v>155100.0</v>
      </c>
      <c r="N21" s="19" t="s">
        <v>141</v>
      </c>
      <c r="O21" s="19" t="s">
        <v>54</v>
      </c>
      <c r="P21" s="19" t="s">
        <v>55</v>
      </c>
      <c r="Q21" s="19"/>
      <c r="R21" s="19"/>
      <c r="S21" s="34"/>
      <c r="T21" s="34"/>
      <c r="U21" s="34"/>
      <c r="V21" s="34"/>
      <c r="W21" s="34"/>
      <c r="X21" s="34"/>
      <c r="Y21" s="34"/>
      <c r="Z21" s="34"/>
      <c r="AA21" s="34"/>
      <c r="AB21" s="34"/>
      <c r="AC21" s="34"/>
      <c r="AD21" s="34"/>
      <c r="AE21" s="34"/>
      <c r="AF21" s="34"/>
      <c r="AG21" s="34"/>
      <c r="AH21" s="34"/>
    </row>
    <row r="22">
      <c r="A22" s="19" t="s">
        <v>41</v>
      </c>
      <c r="B22" s="19" t="s">
        <v>42</v>
      </c>
      <c r="C22" s="21" t="s">
        <v>43</v>
      </c>
      <c r="D22" s="21" t="s">
        <v>44</v>
      </c>
      <c r="E22" s="23" t="s">
        <v>143</v>
      </c>
      <c r="F22" s="25">
        <v>46022.0</v>
      </c>
      <c r="G22" s="23" t="str">
        <f>TEXT(F22,"mmmm")</f>
        <v>diciembre</v>
      </c>
      <c r="H22" s="28">
        <f t="shared" si="1"/>
        <v>2025</v>
      </c>
      <c r="I22" s="30">
        <v>46045.0</v>
      </c>
      <c r="J22" s="19" t="s">
        <v>50</v>
      </c>
      <c r="K22" s="19" t="s">
        <v>64</v>
      </c>
      <c r="L22" s="25">
        <v>46049.0</v>
      </c>
      <c r="M22" s="33">
        <v>1274749.0</v>
      </c>
      <c r="N22" s="19" t="s">
        <v>146</v>
      </c>
      <c r="O22" s="19" t="s">
        <v>62</v>
      </c>
      <c r="P22" s="19" t="s">
        <v>55</v>
      </c>
      <c r="Q22" s="19"/>
      <c r="R22" s="19"/>
      <c r="S22" s="34"/>
      <c r="T22" s="34"/>
      <c r="U22" s="34"/>
      <c r="V22" s="34"/>
      <c r="W22" s="34"/>
      <c r="X22" s="34"/>
      <c r="Y22" s="34"/>
      <c r="Z22" s="34"/>
      <c r="AA22" s="34"/>
      <c r="AB22" s="34"/>
      <c r="AC22" s="34"/>
      <c r="AD22" s="34"/>
      <c r="AE22" s="34"/>
      <c r="AF22" s="34"/>
      <c r="AG22" s="34"/>
      <c r="AH22" s="34"/>
    </row>
    <row r="23">
      <c r="A23" s="19" t="s">
        <v>41</v>
      </c>
      <c r="B23" s="19" t="s">
        <v>42</v>
      </c>
      <c r="C23" s="21" t="s">
        <v>43</v>
      </c>
      <c r="D23" s="21" t="s">
        <v>44</v>
      </c>
      <c r="E23" s="23" t="s">
        <v>148</v>
      </c>
      <c r="F23" s="25">
        <v>46044.0</v>
      </c>
      <c r="G23" s="21" t="s">
        <v>150</v>
      </c>
      <c r="H23" s="28">
        <f t="shared" si="1"/>
        <v>2026</v>
      </c>
      <c r="I23" s="30">
        <v>46045.0</v>
      </c>
      <c r="J23" s="19" t="s">
        <v>151</v>
      </c>
      <c r="K23" s="19" t="s">
        <v>152</v>
      </c>
      <c r="L23" s="25">
        <v>46047.0</v>
      </c>
      <c r="M23" s="39" t="s">
        <v>58</v>
      </c>
      <c r="N23" s="19" t="s">
        <v>153</v>
      </c>
      <c r="O23" s="19" t="s">
        <v>62</v>
      </c>
      <c r="P23" s="19" t="s">
        <v>154</v>
      </c>
      <c r="Q23" s="19"/>
      <c r="R23" s="19"/>
      <c r="S23" s="34"/>
      <c r="T23" s="34"/>
      <c r="U23" s="34"/>
      <c r="V23" s="34"/>
      <c r="W23" s="34"/>
      <c r="X23" s="34"/>
      <c r="Y23" s="34"/>
      <c r="Z23" s="34"/>
      <c r="AA23" s="34"/>
      <c r="AB23" s="34"/>
      <c r="AC23" s="34"/>
      <c r="AD23" s="34"/>
      <c r="AE23" s="34"/>
      <c r="AF23" s="34"/>
      <c r="AG23" s="34"/>
      <c r="AH23" s="34"/>
    </row>
    <row r="24">
      <c r="A24" s="19" t="s">
        <v>41</v>
      </c>
      <c r="B24" s="19" t="s">
        <v>42</v>
      </c>
      <c r="C24" s="21" t="s">
        <v>43</v>
      </c>
      <c r="D24" s="21" t="s">
        <v>44</v>
      </c>
      <c r="E24" s="23" t="s">
        <v>155</v>
      </c>
      <c r="F24" s="25">
        <v>46042.0</v>
      </c>
      <c r="G24" s="21" t="s">
        <v>46</v>
      </c>
      <c r="H24" s="28">
        <f t="shared" si="1"/>
        <v>2026</v>
      </c>
      <c r="I24" s="30">
        <v>46045.0</v>
      </c>
      <c r="J24" s="19" t="s">
        <v>50</v>
      </c>
      <c r="K24" s="19" t="s">
        <v>64</v>
      </c>
      <c r="L24" s="25">
        <v>46049.0</v>
      </c>
      <c r="M24" s="33">
        <v>249900.0</v>
      </c>
      <c r="N24" s="19" t="s">
        <v>157</v>
      </c>
      <c r="O24" s="19" t="s">
        <v>54</v>
      </c>
      <c r="P24" s="19" t="s">
        <v>55</v>
      </c>
      <c r="Q24" s="19"/>
      <c r="R24" s="19"/>
      <c r="S24" s="34"/>
      <c r="T24" s="34"/>
      <c r="U24" s="34"/>
      <c r="V24" s="34"/>
      <c r="W24" s="34"/>
      <c r="X24" s="34"/>
      <c r="Y24" s="34"/>
      <c r="Z24" s="34"/>
      <c r="AA24" s="34"/>
      <c r="AB24" s="34"/>
      <c r="AC24" s="34"/>
      <c r="AD24" s="34"/>
      <c r="AE24" s="34"/>
      <c r="AF24" s="34"/>
      <c r="AG24" s="34"/>
      <c r="AH24" s="34"/>
    </row>
    <row r="25">
      <c r="A25" s="19" t="s">
        <v>41</v>
      </c>
      <c r="B25" s="19" t="s">
        <v>42</v>
      </c>
      <c r="C25" s="21" t="s">
        <v>43</v>
      </c>
      <c r="D25" s="21" t="s">
        <v>44</v>
      </c>
      <c r="E25" s="23" t="s">
        <v>73</v>
      </c>
      <c r="F25" s="25">
        <v>45965.0</v>
      </c>
      <c r="G25" s="21" t="s">
        <v>74</v>
      </c>
      <c r="H25" s="28">
        <f t="shared" si="1"/>
        <v>2025</v>
      </c>
      <c r="I25" s="30">
        <v>45965.0</v>
      </c>
      <c r="J25" s="19" t="s">
        <v>50</v>
      </c>
      <c r="K25" s="19" t="s">
        <v>161</v>
      </c>
      <c r="L25" s="23"/>
      <c r="M25" s="33">
        <v>780000.0</v>
      </c>
      <c r="N25" s="19" t="s">
        <v>163</v>
      </c>
      <c r="O25" s="19" t="s">
        <v>62</v>
      </c>
      <c r="P25" s="19" t="s">
        <v>55</v>
      </c>
      <c r="Q25" s="19"/>
      <c r="R25" s="19"/>
      <c r="S25" s="34"/>
      <c r="T25" s="34"/>
      <c r="U25" s="34"/>
      <c r="V25" s="34"/>
      <c r="W25" s="34"/>
      <c r="X25" s="34"/>
      <c r="Y25" s="34"/>
      <c r="Z25" s="34"/>
      <c r="AA25" s="34"/>
      <c r="AB25" s="34"/>
      <c r="AC25" s="34"/>
      <c r="AD25" s="34"/>
      <c r="AE25" s="34"/>
      <c r="AF25" s="34"/>
      <c r="AG25" s="34"/>
      <c r="AH25" s="34"/>
    </row>
    <row r="26">
      <c r="A26" s="19" t="s">
        <v>41</v>
      </c>
      <c r="B26" s="19" t="s">
        <v>42</v>
      </c>
      <c r="C26" s="21" t="s">
        <v>43</v>
      </c>
      <c r="D26" s="21" t="s">
        <v>44</v>
      </c>
      <c r="E26" s="23" t="s">
        <v>129</v>
      </c>
      <c r="F26" s="25">
        <v>46049.0</v>
      </c>
      <c r="G26" s="21" t="s">
        <v>46</v>
      </c>
      <c r="H26" s="28">
        <f t="shared" si="1"/>
        <v>2026</v>
      </c>
      <c r="I26" s="30">
        <v>46049.0</v>
      </c>
      <c r="J26" s="19" t="s">
        <v>50</v>
      </c>
      <c r="K26" s="19" t="s">
        <v>174</v>
      </c>
      <c r="L26" s="25">
        <v>46049.0</v>
      </c>
      <c r="M26" s="33">
        <v>1488032.0</v>
      </c>
      <c r="N26" s="19" t="s">
        <v>178</v>
      </c>
      <c r="O26" s="19" t="s">
        <v>54</v>
      </c>
      <c r="P26" s="19" t="s">
        <v>55</v>
      </c>
      <c r="Q26" s="19"/>
      <c r="R26" s="19"/>
      <c r="S26" s="34"/>
      <c r="T26" s="34"/>
      <c r="U26" s="34"/>
      <c r="V26" s="34"/>
      <c r="W26" s="34"/>
      <c r="X26" s="34"/>
      <c r="Y26" s="34"/>
      <c r="Z26" s="34"/>
      <c r="AA26" s="34"/>
      <c r="AB26" s="34"/>
      <c r="AC26" s="34"/>
      <c r="AD26" s="34"/>
      <c r="AE26" s="34"/>
      <c r="AF26" s="34"/>
      <c r="AG26" s="34"/>
      <c r="AH26" s="34"/>
    </row>
    <row r="27">
      <c r="A27" s="19" t="s">
        <v>41</v>
      </c>
      <c r="B27" s="45" t="s">
        <v>42</v>
      </c>
      <c r="C27" s="23" t="s">
        <v>182</v>
      </c>
      <c r="D27" s="21" t="s">
        <v>183</v>
      </c>
      <c r="E27" s="23" t="s">
        <v>184</v>
      </c>
      <c r="F27" s="25">
        <v>46062.0</v>
      </c>
      <c r="G27" s="21" t="s">
        <v>186</v>
      </c>
      <c r="H27" s="28">
        <f t="shared" si="1"/>
        <v>2026</v>
      </c>
      <c r="I27" s="30">
        <v>46071.0</v>
      </c>
      <c r="J27" s="19" t="s">
        <v>50</v>
      </c>
      <c r="K27" s="19" t="s">
        <v>188</v>
      </c>
      <c r="L27" s="25">
        <v>46072.0</v>
      </c>
      <c r="M27" s="33">
        <v>86402.0</v>
      </c>
      <c r="N27" s="19" t="s">
        <v>190</v>
      </c>
      <c r="O27" s="19" t="s">
        <v>54</v>
      </c>
      <c r="P27" s="19" t="s">
        <v>55</v>
      </c>
      <c r="Q27" s="19"/>
      <c r="R27" s="19"/>
      <c r="S27" s="34"/>
      <c r="T27" s="34"/>
      <c r="U27" s="34"/>
      <c r="V27" s="34"/>
      <c r="W27" s="34"/>
      <c r="X27" s="34"/>
      <c r="Y27" s="34"/>
      <c r="Z27" s="34"/>
      <c r="AA27" s="34"/>
      <c r="AB27" s="34"/>
      <c r="AC27" s="34"/>
      <c r="AD27" s="34"/>
      <c r="AE27" s="34"/>
      <c r="AF27" s="34"/>
      <c r="AG27" s="34"/>
      <c r="AH27" s="34"/>
    </row>
    <row r="28">
      <c r="A28" s="19" t="s">
        <v>41</v>
      </c>
      <c r="B28" s="45" t="s">
        <v>192</v>
      </c>
      <c r="C28" s="21" t="s">
        <v>43</v>
      </c>
      <c r="D28" s="21" t="s">
        <v>44</v>
      </c>
      <c r="E28" s="23" t="s">
        <v>155</v>
      </c>
      <c r="F28" s="25">
        <v>46065.0</v>
      </c>
      <c r="G28" s="21" t="s">
        <v>186</v>
      </c>
      <c r="H28" s="28">
        <f t="shared" si="1"/>
        <v>2026</v>
      </c>
      <c r="I28" s="30">
        <v>46072.0</v>
      </c>
      <c r="J28" s="19" t="s">
        <v>50</v>
      </c>
      <c r="K28" s="19" t="s">
        <v>194</v>
      </c>
      <c r="L28" s="25">
        <v>46072.0</v>
      </c>
      <c r="M28" s="33">
        <v>1445124.0</v>
      </c>
      <c r="N28" s="19" t="s">
        <v>197</v>
      </c>
      <c r="O28" s="19" t="s">
        <v>62</v>
      </c>
      <c r="P28" s="19" t="s">
        <v>55</v>
      </c>
      <c r="Q28" s="19"/>
      <c r="R28" s="19"/>
      <c r="S28" s="34"/>
      <c r="T28" s="34"/>
      <c r="U28" s="34"/>
      <c r="V28" s="34"/>
      <c r="W28" s="34"/>
      <c r="X28" s="34"/>
      <c r="Y28" s="34"/>
      <c r="Z28" s="34"/>
      <c r="AA28" s="34"/>
      <c r="AB28" s="34"/>
      <c r="AC28" s="34"/>
      <c r="AD28" s="34"/>
      <c r="AE28" s="34"/>
      <c r="AF28" s="34"/>
      <c r="AG28" s="34"/>
      <c r="AH28" s="34"/>
    </row>
    <row r="29">
      <c r="A29" s="19" t="s">
        <v>41</v>
      </c>
      <c r="B29" s="45" t="s">
        <v>42</v>
      </c>
      <c r="C29" s="23" t="s">
        <v>182</v>
      </c>
      <c r="D29" s="21" t="s">
        <v>183</v>
      </c>
      <c r="E29" s="23" t="s">
        <v>184</v>
      </c>
      <c r="F29" s="25">
        <v>46062.0</v>
      </c>
      <c r="G29" s="21" t="s">
        <v>186</v>
      </c>
      <c r="H29" s="28">
        <f t="shared" si="1"/>
        <v>2026</v>
      </c>
      <c r="I29" s="30">
        <v>46071.0</v>
      </c>
      <c r="J29" s="19" t="s">
        <v>50</v>
      </c>
      <c r="K29" s="19" t="s">
        <v>188</v>
      </c>
      <c r="L29" s="25">
        <v>46072.0</v>
      </c>
      <c r="M29" s="33">
        <v>240668.0</v>
      </c>
      <c r="N29" s="19" t="s">
        <v>204</v>
      </c>
      <c r="O29" s="19" t="s">
        <v>54</v>
      </c>
      <c r="P29" s="19" t="s">
        <v>55</v>
      </c>
      <c r="Q29" s="19"/>
      <c r="R29" s="19"/>
      <c r="S29" s="34"/>
      <c r="T29" s="34"/>
      <c r="U29" s="34"/>
      <c r="V29" s="34"/>
      <c r="W29" s="34"/>
      <c r="X29" s="34"/>
      <c r="Y29" s="34"/>
      <c r="Z29" s="34"/>
      <c r="AA29" s="34"/>
      <c r="AB29" s="34"/>
      <c r="AC29" s="34"/>
      <c r="AD29" s="34"/>
      <c r="AE29" s="34"/>
      <c r="AF29" s="34"/>
      <c r="AG29" s="34"/>
      <c r="AH29" s="34"/>
    </row>
    <row r="30">
      <c r="A30" s="19" t="s">
        <v>41</v>
      </c>
      <c r="B30" s="45" t="s">
        <v>192</v>
      </c>
      <c r="C30" s="21" t="s">
        <v>43</v>
      </c>
      <c r="D30" s="21" t="s">
        <v>44</v>
      </c>
      <c r="E30" s="23" t="s">
        <v>45</v>
      </c>
      <c r="F30" s="25">
        <v>46062.0</v>
      </c>
      <c r="G30" s="21" t="s">
        <v>186</v>
      </c>
      <c r="H30" s="28">
        <f t="shared" si="1"/>
        <v>2026</v>
      </c>
      <c r="I30" s="30">
        <v>46072.0</v>
      </c>
      <c r="J30" s="19" t="s">
        <v>50</v>
      </c>
      <c r="K30" s="19" t="s">
        <v>194</v>
      </c>
      <c r="L30" s="25">
        <v>46072.0</v>
      </c>
      <c r="M30" s="33">
        <v>1701800.0</v>
      </c>
      <c r="N30" s="19" t="s">
        <v>211</v>
      </c>
      <c r="O30" s="19" t="s">
        <v>54</v>
      </c>
      <c r="P30" s="19" t="s">
        <v>55</v>
      </c>
      <c r="Q30" s="19"/>
      <c r="R30" s="19"/>
      <c r="S30" s="34"/>
      <c r="T30" s="34"/>
      <c r="U30" s="34"/>
      <c r="V30" s="34"/>
      <c r="W30" s="34"/>
      <c r="X30" s="34"/>
      <c r="Y30" s="34"/>
      <c r="Z30" s="34"/>
      <c r="AA30" s="34"/>
      <c r="AB30" s="34"/>
      <c r="AC30" s="34"/>
      <c r="AD30" s="34"/>
      <c r="AE30" s="34"/>
      <c r="AF30" s="34"/>
      <c r="AG30" s="34"/>
      <c r="AH30" s="34"/>
    </row>
    <row r="31">
      <c r="A31" s="19" t="s">
        <v>41</v>
      </c>
      <c r="B31" s="45" t="s">
        <v>42</v>
      </c>
      <c r="C31" s="23" t="s">
        <v>182</v>
      </c>
      <c r="D31" s="21" t="s">
        <v>183</v>
      </c>
      <c r="E31" s="23" t="s">
        <v>184</v>
      </c>
      <c r="F31" s="25">
        <v>46056.0</v>
      </c>
      <c r="G31" s="21" t="s">
        <v>186</v>
      </c>
      <c r="H31" s="28">
        <f t="shared" si="1"/>
        <v>2026</v>
      </c>
      <c r="I31" s="30">
        <v>46064.0</v>
      </c>
      <c r="J31" s="19" t="s">
        <v>50</v>
      </c>
      <c r="K31" s="19" t="s">
        <v>188</v>
      </c>
      <c r="L31" s="23"/>
      <c r="M31" s="33">
        <v>343495.0</v>
      </c>
      <c r="N31" s="19" t="s">
        <v>213</v>
      </c>
      <c r="O31" s="19" t="s">
        <v>62</v>
      </c>
      <c r="P31" s="19" t="s">
        <v>55</v>
      </c>
      <c r="Q31" s="19"/>
      <c r="R31" s="19"/>
      <c r="S31" s="34"/>
      <c r="T31" s="34"/>
      <c r="U31" s="34"/>
      <c r="V31" s="34"/>
      <c r="W31" s="34"/>
      <c r="X31" s="34"/>
      <c r="Y31" s="34"/>
      <c r="Z31" s="34"/>
      <c r="AA31" s="34"/>
      <c r="AB31" s="34"/>
      <c r="AC31" s="34"/>
      <c r="AD31" s="34"/>
      <c r="AE31" s="34"/>
      <c r="AF31" s="34"/>
      <c r="AG31" s="34"/>
      <c r="AH31" s="34"/>
    </row>
    <row r="32">
      <c r="A32" s="19" t="s">
        <v>41</v>
      </c>
      <c r="B32" s="45" t="s">
        <v>192</v>
      </c>
      <c r="C32" s="21" t="s">
        <v>43</v>
      </c>
      <c r="D32" s="21" t="s">
        <v>44</v>
      </c>
      <c r="E32" s="23" t="s">
        <v>45</v>
      </c>
      <c r="F32" s="25">
        <v>46056.0</v>
      </c>
      <c r="G32" s="21" t="s">
        <v>186</v>
      </c>
      <c r="H32" s="28">
        <f t="shared" si="1"/>
        <v>2026</v>
      </c>
      <c r="I32" s="30">
        <v>46072.0</v>
      </c>
      <c r="J32" s="19" t="s">
        <v>50</v>
      </c>
      <c r="K32" s="19" t="s">
        <v>80</v>
      </c>
      <c r="L32" s="25">
        <v>46072.0</v>
      </c>
      <c r="M32" s="33">
        <v>586600.0</v>
      </c>
      <c r="N32" s="19" t="s">
        <v>219</v>
      </c>
      <c r="O32" s="19" t="s">
        <v>54</v>
      </c>
      <c r="P32" s="19" t="s">
        <v>55</v>
      </c>
      <c r="Q32" s="19"/>
      <c r="R32" s="19"/>
      <c r="S32" s="34"/>
      <c r="T32" s="34"/>
      <c r="U32" s="34"/>
      <c r="V32" s="34"/>
      <c r="W32" s="34"/>
      <c r="X32" s="34"/>
      <c r="Y32" s="34"/>
      <c r="Z32" s="34"/>
      <c r="AA32" s="34"/>
      <c r="AB32" s="34"/>
      <c r="AC32" s="34"/>
      <c r="AD32" s="34"/>
      <c r="AE32" s="34"/>
      <c r="AF32" s="34"/>
      <c r="AG32" s="34"/>
      <c r="AH32" s="34"/>
    </row>
    <row r="33">
      <c r="A33" s="19" t="s">
        <v>41</v>
      </c>
      <c r="B33" s="45" t="s">
        <v>192</v>
      </c>
      <c r="C33" s="21" t="s">
        <v>43</v>
      </c>
      <c r="D33" s="21" t="s">
        <v>44</v>
      </c>
      <c r="E33" s="23" t="s">
        <v>45</v>
      </c>
      <c r="F33" s="25">
        <v>46062.0</v>
      </c>
      <c r="G33" s="21" t="s">
        <v>186</v>
      </c>
      <c r="H33" s="28">
        <f t="shared" si="1"/>
        <v>2026</v>
      </c>
      <c r="I33" s="30">
        <v>46072.0</v>
      </c>
      <c r="J33" s="19" t="s">
        <v>50</v>
      </c>
      <c r="K33" s="19" t="s">
        <v>80</v>
      </c>
      <c r="L33" s="25">
        <v>46072.0</v>
      </c>
      <c r="M33" s="33">
        <v>360300.0</v>
      </c>
      <c r="N33" s="19" t="s">
        <v>219</v>
      </c>
      <c r="O33" s="19" t="s">
        <v>54</v>
      </c>
      <c r="P33" s="19" t="s">
        <v>55</v>
      </c>
      <c r="Q33" s="19"/>
      <c r="R33" s="19"/>
      <c r="S33" s="34"/>
      <c r="T33" s="34"/>
      <c r="U33" s="34"/>
      <c r="V33" s="34"/>
      <c r="W33" s="34"/>
      <c r="X33" s="34"/>
      <c r="Y33" s="34"/>
      <c r="Z33" s="34"/>
      <c r="AA33" s="34"/>
      <c r="AB33" s="34"/>
      <c r="AC33" s="34"/>
      <c r="AD33" s="34"/>
      <c r="AE33" s="34"/>
      <c r="AF33" s="34"/>
      <c r="AG33" s="34"/>
      <c r="AH33" s="34"/>
    </row>
    <row r="34">
      <c r="A34" s="19" t="s">
        <v>41</v>
      </c>
      <c r="B34" s="45" t="s">
        <v>192</v>
      </c>
      <c r="C34" s="21" t="s">
        <v>43</v>
      </c>
      <c r="D34" s="21" t="s">
        <v>44</v>
      </c>
      <c r="E34" s="23" t="s">
        <v>45</v>
      </c>
      <c r="F34" s="25">
        <v>46063.0</v>
      </c>
      <c r="G34" s="21" t="s">
        <v>186</v>
      </c>
      <c r="H34" s="28">
        <f t="shared" si="1"/>
        <v>2026</v>
      </c>
      <c r="I34" s="30">
        <v>46072.0</v>
      </c>
      <c r="J34" s="19" t="s">
        <v>50</v>
      </c>
      <c r="K34" s="19" t="s">
        <v>80</v>
      </c>
      <c r="L34" s="25">
        <v>46072.0</v>
      </c>
      <c r="M34" s="33">
        <v>519000.0</v>
      </c>
      <c r="N34" s="19" t="s">
        <v>219</v>
      </c>
      <c r="O34" s="19" t="s">
        <v>54</v>
      </c>
      <c r="P34" s="19" t="s">
        <v>55</v>
      </c>
      <c r="Q34" s="19"/>
      <c r="R34" s="19"/>
      <c r="S34" s="34"/>
      <c r="T34" s="34"/>
      <c r="U34" s="34"/>
      <c r="V34" s="34"/>
      <c r="W34" s="34"/>
      <c r="X34" s="34"/>
      <c r="Y34" s="34"/>
      <c r="Z34" s="34"/>
      <c r="AA34" s="34"/>
      <c r="AB34" s="34"/>
      <c r="AC34" s="34"/>
      <c r="AD34" s="34"/>
      <c r="AE34" s="34"/>
      <c r="AF34" s="34"/>
      <c r="AG34" s="34"/>
      <c r="AH34" s="34"/>
    </row>
    <row r="35">
      <c r="A35" s="19" t="s">
        <v>41</v>
      </c>
      <c r="B35" s="45" t="s">
        <v>42</v>
      </c>
      <c r="C35" s="21" t="s">
        <v>43</v>
      </c>
      <c r="D35" s="21" t="s">
        <v>44</v>
      </c>
      <c r="E35" s="53" t="s">
        <v>123</v>
      </c>
      <c r="F35" s="25">
        <v>46191.0</v>
      </c>
      <c r="G35" s="21" t="s">
        <v>226</v>
      </c>
      <c r="H35" s="28">
        <f t="shared" si="1"/>
        <v>2026</v>
      </c>
      <c r="I35" s="30">
        <v>46072.0</v>
      </c>
      <c r="J35" s="19" t="s">
        <v>50</v>
      </c>
      <c r="K35" s="19" t="s">
        <v>229</v>
      </c>
      <c r="L35" s="25">
        <v>46072.0</v>
      </c>
      <c r="M35" s="33">
        <v>95500.0</v>
      </c>
      <c r="N35" s="54" t="s">
        <v>211</v>
      </c>
      <c r="O35" s="19" t="s">
        <v>54</v>
      </c>
      <c r="P35" s="19" t="s">
        <v>55</v>
      </c>
      <c r="Q35" s="19"/>
      <c r="R35" s="54"/>
      <c r="S35" s="34"/>
      <c r="T35" s="34"/>
      <c r="U35" s="34"/>
      <c r="V35" s="34"/>
      <c r="W35" s="34"/>
      <c r="X35" s="34"/>
      <c r="Y35" s="34"/>
      <c r="Z35" s="34"/>
      <c r="AA35" s="34"/>
      <c r="AB35" s="34"/>
      <c r="AC35" s="34"/>
      <c r="AD35" s="34"/>
      <c r="AE35" s="34"/>
      <c r="AF35" s="34"/>
      <c r="AG35" s="34"/>
      <c r="AH35" s="34"/>
    </row>
    <row r="36">
      <c r="A36" s="55" t="s">
        <v>41</v>
      </c>
      <c r="B36" s="58" t="s">
        <v>42</v>
      </c>
      <c r="C36" s="59" t="s">
        <v>182</v>
      </c>
      <c r="D36" s="21" t="s">
        <v>183</v>
      </c>
      <c r="E36" s="59" t="s">
        <v>184</v>
      </c>
      <c r="F36" s="61">
        <v>46297.0</v>
      </c>
      <c r="G36" s="63" t="s">
        <v>242</v>
      </c>
      <c r="H36" s="65">
        <f t="shared" si="1"/>
        <v>2026</v>
      </c>
      <c r="I36" s="30">
        <v>46072.0</v>
      </c>
      <c r="J36" s="55" t="s">
        <v>50</v>
      </c>
      <c r="K36" s="55" t="s">
        <v>229</v>
      </c>
      <c r="L36" s="61">
        <v>46077.0</v>
      </c>
      <c r="M36" s="66">
        <v>173230.0</v>
      </c>
      <c r="N36" s="55" t="s">
        <v>245</v>
      </c>
      <c r="O36" s="55" t="s">
        <v>54</v>
      </c>
      <c r="P36" s="55" t="s">
        <v>55</v>
      </c>
      <c r="Q36" s="55"/>
      <c r="R36" s="55"/>
      <c r="S36" s="34"/>
      <c r="T36" s="34"/>
      <c r="U36" s="34"/>
      <c r="V36" s="34"/>
      <c r="W36" s="34"/>
      <c r="X36" s="34"/>
      <c r="Y36" s="34"/>
      <c r="Z36" s="34"/>
      <c r="AA36" s="34"/>
      <c r="AB36" s="34"/>
      <c r="AC36" s="34"/>
      <c r="AD36" s="34"/>
      <c r="AE36" s="34"/>
      <c r="AF36" s="34"/>
      <c r="AG36" s="34"/>
      <c r="AH36" s="34"/>
    </row>
    <row r="37">
      <c r="A37" s="67"/>
      <c r="B37" s="68"/>
      <c r="C37" s="68"/>
      <c r="D37" s="69"/>
      <c r="E37" s="69"/>
      <c r="F37" s="69"/>
      <c r="G37" s="69"/>
      <c r="H37" s="69"/>
      <c r="I37" s="30"/>
      <c r="J37" s="68"/>
      <c r="K37" s="68"/>
      <c r="L37" s="69"/>
      <c r="M37" s="70"/>
      <c r="N37" s="68"/>
      <c r="O37" s="68"/>
      <c r="P37" s="68"/>
      <c r="Q37" s="68"/>
      <c r="R37" s="68"/>
      <c r="S37" s="71"/>
      <c r="T37" s="71"/>
      <c r="U37" s="71"/>
      <c r="V37" s="71"/>
      <c r="W37" s="71"/>
      <c r="X37" s="71"/>
      <c r="Y37" s="71"/>
      <c r="Z37" s="71"/>
      <c r="AA37" s="71"/>
      <c r="AB37" s="71"/>
      <c r="AC37" s="71"/>
      <c r="AD37" s="71"/>
      <c r="AE37" s="71"/>
      <c r="AF37" s="71"/>
      <c r="AG37" s="71"/>
      <c r="AH37" s="72"/>
    </row>
    <row r="38">
      <c r="A38" s="73" t="s">
        <v>41</v>
      </c>
      <c r="B38" s="73" t="s">
        <v>42</v>
      </c>
      <c r="C38" s="21" t="s">
        <v>43</v>
      </c>
      <c r="D38" s="21" t="s">
        <v>44</v>
      </c>
      <c r="E38" s="73" t="s">
        <v>263</v>
      </c>
      <c r="F38" s="74">
        <v>46108.0</v>
      </c>
      <c r="G38" s="75" t="s">
        <v>265</v>
      </c>
      <c r="H38" s="76">
        <v>2026.0</v>
      </c>
      <c r="I38" s="30">
        <v>46111.0</v>
      </c>
      <c r="J38" s="73" t="s">
        <v>50</v>
      </c>
      <c r="K38" s="73" t="s">
        <v>229</v>
      </c>
      <c r="L38" s="74">
        <v>46118.0</v>
      </c>
      <c r="M38" s="77">
        <v>331200.0</v>
      </c>
      <c r="N38" s="73" t="s">
        <v>274</v>
      </c>
      <c r="O38" s="73" t="s">
        <v>275</v>
      </c>
      <c r="P38" s="73" t="s">
        <v>55</v>
      </c>
      <c r="Q38" s="73"/>
      <c r="R38" s="79"/>
      <c r="S38" s="34"/>
      <c r="T38" s="34"/>
      <c r="U38" s="34"/>
      <c r="V38" s="34"/>
      <c r="W38" s="34"/>
      <c r="X38" s="34"/>
      <c r="Y38" s="34"/>
      <c r="Z38" s="34"/>
      <c r="AA38" s="34"/>
      <c r="AB38" s="34"/>
      <c r="AC38" s="34"/>
      <c r="AD38" s="34"/>
      <c r="AE38" s="34"/>
      <c r="AF38" s="34"/>
      <c r="AG38" s="34"/>
      <c r="AH38" s="34"/>
    </row>
    <row r="39">
      <c r="A39" s="21" t="s">
        <v>41</v>
      </c>
      <c r="B39" s="19" t="s">
        <v>192</v>
      </c>
      <c r="C39" s="21" t="s">
        <v>43</v>
      </c>
      <c r="D39" s="21" t="s">
        <v>44</v>
      </c>
      <c r="E39" s="19" t="s">
        <v>155</v>
      </c>
      <c r="F39" s="25">
        <v>46106.0</v>
      </c>
      <c r="G39" s="21" t="s">
        <v>282</v>
      </c>
      <c r="H39" s="32">
        <v>2026.0</v>
      </c>
      <c r="I39" s="30">
        <v>46113.0</v>
      </c>
      <c r="J39" s="19" t="s">
        <v>50</v>
      </c>
      <c r="K39" s="19" t="s">
        <v>229</v>
      </c>
      <c r="L39" s="25">
        <v>46119.0</v>
      </c>
      <c r="M39" s="33">
        <v>800000.0</v>
      </c>
      <c r="N39" s="19" t="s">
        <v>284</v>
      </c>
      <c r="O39" s="19" t="s">
        <v>54</v>
      </c>
      <c r="P39" s="19" t="s">
        <v>55</v>
      </c>
      <c r="Q39" s="19"/>
      <c r="R39" s="19"/>
      <c r="S39" s="34"/>
      <c r="T39" s="34"/>
      <c r="U39" s="34"/>
      <c r="V39" s="34"/>
      <c r="W39" s="34"/>
      <c r="X39" s="34"/>
      <c r="Y39" s="34"/>
      <c r="Z39" s="34"/>
      <c r="AA39" s="34"/>
      <c r="AB39" s="34"/>
      <c r="AC39" s="34"/>
      <c r="AD39" s="34"/>
      <c r="AE39" s="34"/>
      <c r="AF39" s="34"/>
      <c r="AG39" s="34"/>
      <c r="AH39" s="34"/>
    </row>
    <row r="40" ht="17.25" customHeight="1">
      <c r="A40" s="21" t="s">
        <v>41</v>
      </c>
      <c r="B40" s="19" t="s">
        <v>192</v>
      </c>
      <c r="C40" s="21" t="s">
        <v>43</v>
      </c>
      <c r="D40" s="21" t="s">
        <v>44</v>
      </c>
      <c r="E40" s="19" t="s">
        <v>223</v>
      </c>
      <c r="F40" s="25">
        <v>46122.0</v>
      </c>
      <c r="G40" s="21" t="s">
        <v>282</v>
      </c>
      <c r="H40" s="32">
        <v>2026.0</v>
      </c>
      <c r="I40" s="30">
        <v>46122.0</v>
      </c>
      <c r="J40" s="19" t="s">
        <v>291</v>
      </c>
      <c r="K40" s="19" t="s">
        <v>294</v>
      </c>
      <c r="L40" s="25">
        <v>46123.0</v>
      </c>
      <c r="M40" s="39" t="s">
        <v>58</v>
      </c>
      <c r="N40" s="19" t="s">
        <v>296</v>
      </c>
      <c r="O40" s="19" t="s">
        <v>54</v>
      </c>
      <c r="P40" s="19" t="s">
        <v>297</v>
      </c>
      <c r="Q40" s="19"/>
      <c r="R40" s="19"/>
      <c r="S40" s="34"/>
      <c r="T40" s="34"/>
      <c r="U40" s="34"/>
      <c r="V40" s="34"/>
      <c r="W40" s="34"/>
      <c r="X40" s="34"/>
      <c r="Y40" s="34"/>
      <c r="Z40" s="34"/>
      <c r="AA40" s="34"/>
      <c r="AB40" s="34"/>
      <c r="AC40" s="34"/>
      <c r="AD40" s="34"/>
      <c r="AE40" s="34"/>
      <c r="AF40" s="34"/>
      <c r="AG40" s="34"/>
      <c r="AH40" s="34"/>
    </row>
    <row r="41" ht="16.5" customHeight="1">
      <c r="A41" s="21" t="s">
        <v>41</v>
      </c>
      <c r="B41" s="19" t="s">
        <v>192</v>
      </c>
      <c r="C41" s="21" t="s">
        <v>43</v>
      </c>
      <c r="D41" s="21" t="s">
        <v>44</v>
      </c>
      <c r="E41" s="19" t="s">
        <v>212</v>
      </c>
      <c r="F41" s="81">
        <v>46128.0</v>
      </c>
      <c r="G41" s="21" t="s">
        <v>282</v>
      </c>
      <c r="H41" s="32">
        <v>2026.0</v>
      </c>
      <c r="I41" s="30">
        <v>46134.0</v>
      </c>
      <c r="J41" s="19" t="s">
        <v>50</v>
      </c>
      <c r="K41" s="19" t="s">
        <v>229</v>
      </c>
      <c r="L41" s="83">
        <v>46139.0</v>
      </c>
      <c r="M41" s="33">
        <v>113000.0</v>
      </c>
      <c r="N41" s="19" t="s">
        <v>309</v>
      </c>
      <c r="O41" s="19" t="s">
        <v>54</v>
      </c>
      <c r="P41" s="19" t="s">
        <v>55</v>
      </c>
      <c r="Q41" s="19"/>
      <c r="R41" s="54"/>
      <c r="S41" s="34"/>
      <c r="T41" s="34"/>
      <c r="U41" s="34"/>
      <c r="V41" s="34"/>
      <c r="W41" s="34"/>
      <c r="X41" s="34"/>
      <c r="Y41" s="34"/>
      <c r="Z41" s="34"/>
      <c r="AA41" s="34"/>
      <c r="AB41" s="34"/>
      <c r="AC41" s="34"/>
      <c r="AD41" s="34"/>
      <c r="AE41" s="34"/>
      <c r="AF41" s="34"/>
      <c r="AG41" s="34"/>
      <c r="AH41" s="34"/>
    </row>
    <row r="42">
      <c r="A42" s="21" t="s">
        <v>41</v>
      </c>
      <c r="B42" s="19" t="s">
        <v>192</v>
      </c>
      <c r="C42" s="21" t="s">
        <v>43</v>
      </c>
      <c r="D42" s="21" t="s">
        <v>44</v>
      </c>
      <c r="E42" s="19" t="s">
        <v>148</v>
      </c>
      <c r="F42" s="25">
        <v>46131.0</v>
      </c>
      <c r="G42" s="21" t="s">
        <v>282</v>
      </c>
      <c r="H42" s="32">
        <v>2026.0</v>
      </c>
      <c r="I42" s="30">
        <v>46131.0</v>
      </c>
      <c r="J42" s="19" t="s">
        <v>315</v>
      </c>
      <c r="K42" s="19" t="s">
        <v>229</v>
      </c>
      <c r="L42" s="25">
        <v>46139.0</v>
      </c>
      <c r="M42" s="33">
        <v>900000.0</v>
      </c>
      <c r="N42" s="19" t="s">
        <v>316</v>
      </c>
      <c r="O42" s="19" t="s">
        <v>54</v>
      </c>
      <c r="P42" s="19" t="s">
        <v>55</v>
      </c>
      <c r="Q42" s="19"/>
      <c r="R42" s="19"/>
      <c r="S42" s="34"/>
      <c r="T42" s="34"/>
      <c r="U42" s="34"/>
      <c r="V42" s="34"/>
      <c r="W42" s="34"/>
      <c r="X42" s="34"/>
      <c r="Y42" s="34"/>
      <c r="Z42" s="34"/>
      <c r="AA42" s="34"/>
      <c r="AB42" s="34"/>
      <c r="AC42" s="34"/>
      <c r="AD42" s="34"/>
      <c r="AE42" s="34"/>
      <c r="AF42" s="34"/>
      <c r="AG42" s="34"/>
      <c r="AH42" s="34"/>
    </row>
    <row r="43">
      <c r="A43" s="21" t="s">
        <v>41</v>
      </c>
      <c r="B43" s="19" t="s">
        <v>42</v>
      </c>
      <c r="C43" s="21" t="s">
        <v>43</v>
      </c>
      <c r="D43" s="21" t="s">
        <v>44</v>
      </c>
      <c r="E43" s="19" t="s">
        <v>45</v>
      </c>
      <c r="F43" s="25">
        <v>46150.0</v>
      </c>
      <c r="G43" s="21" t="s">
        <v>317</v>
      </c>
      <c r="H43" s="32">
        <v>2026.0</v>
      </c>
      <c r="I43" s="30">
        <v>46164.0</v>
      </c>
      <c r="J43" s="19" t="s">
        <v>50</v>
      </c>
      <c r="K43" s="19" t="s">
        <v>229</v>
      </c>
      <c r="L43" s="25">
        <v>46167.0</v>
      </c>
      <c r="M43" s="33">
        <v>72000.0</v>
      </c>
      <c r="N43" s="19" t="s">
        <v>320</v>
      </c>
      <c r="O43" s="19" t="s">
        <v>275</v>
      </c>
      <c r="P43" s="19" t="s">
        <v>55</v>
      </c>
      <c r="Q43" s="19"/>
      <c r="R43" s="19"/>
      <c r="S43" s="34"/>
      <c r="T43" s="34"/>
      <c r="U43" s="34"/>
      <c r="V43" s="34"/>
      <c r="W43" s="34"/>
      <c r="X43" s="34"/>
      <c r="Y43" s="34"/>
      <c r="Z43" s="34"/>
      <c r="AA43" s="34"/>
      <c r="AB43" s="34"/>
      <c r="AC43" s="34"/>
      <c r="AD43" s="34"/>
      <c r="AE43" s="34"/>
      <c r="AF43" s="34"/>
      <c r="AG43" s="34"/>
      <c r="AH43" s="34"/>
    </row>
    <row r="44">
      <c r="A44" s="21" t="s">
        <v>41</v>
      </c>
      <c r="B44" s="19" t="s">
        <v>42</v>
      </c>
      <c r="C44" s="21" t="s">
        <v>43</v>
      </c>
      <c r="D44" s="21" t="s">
        <v>44</v>
      </c>
      <c r="E44" s="19" t="s">
        <v>45</v>
      </c>
      <c r="F44" s="25">
        <v>46150.0</v>
      </c>
      <c r="G44" s="21" t="s">
        <v>317</v>
      </c>
      <c r="H44" s="32">
        <v>2026.0</v>
      </c>
      <c r="I44" s="30">
        <v>46153.0</v>
      </c>
      <c r="J44" s="19" t="s">
        <v>50</v>
      </c>
      <c r="K44" s="19" t="s">
        <v>229</v>
      </c>
      <c r="L44" s="25">
        <v>46156.0</v>
      </c>
      <c r="M44" s="33">
        <v>72000.0</v>
      </c>
      <c r="N44" s="19" t="s">
        <v>324</v>
      </c>
      <c r="O44" s="19" t="s">
        <v>275</v>
      </c>
      <c r="P44" s="19" t="s">
        <v>55</v>
      </c>
      <c r="Q44" s="19"/>
      <c r="R44" s="19"/>
      <c r="S44" s="34"/>
      <c r="T44" s="34"/>
      <c r="U44" s="34"/>
      <c r="V44" s="34"/>
      <c r="W44" s="34"/>
      <c r="X44" s="34"/>
      <c r="Y44" s="34"/>
      <c r="Z44" s="34"/>
      <c r="AA44" s="34"/>
      <c r="AB44" s="34"/>
      <c r="AC44" s="34"/>
      <c r="AD44" s="34"/>
      <c r="AE44" s="34"/>
      <c r="AF44" s="34"/>
      <c r="AG44" s="34"/>
      <c r="AH44" s="34"/>
    </row>
    <row r="45">
      <c r="A45" s="21" t="s">
        <v>41</v>
      </c>
      <c r="B45" s="19" t="s">
        <v>192</v>
      </c>
      <c r="C45" s="21" t="s">
        <v>43</v>
      </c>
      <c r="D45" s="21" t="s">
        <v>44</v>
      </c>
      <c r="E45" s="19" t="s">
        <v>123</v>
      </c>
      <c r="F45" s="25">
        <v>46052.0</v>
      </c>
      <c r="G45" s="21" t="s">
        <v>282</v>
      </c>
      <c r="H45" s="32">
        <v>2026.0</v>
      </c>
      <c r="I45" s="30">
        <v>46165.0</v>
      </c>
      <c r="J45" s="19" t="s">
        <v>50</v>
      </c>
      <c r="K45" s="19" t="s">
        <v>332</v>
      </c>
      <c r="L45" s="19" t="s">
        <v>58</v>
      </c>
      <c r="M45" s="33">
        <v>97500.0</v>
      </c>
      <c r="N45" s="34" t="s">
        <v>335</v>
      </c>
      <c r="O45" s="21" t="s">
        <v>54</v>
      </c>
      <c r="P45" s="19" t="s">
        <v>55</v>
      </c>
      <c r="Q45" s="19"/>
      <c r="R45" s="19"/>
      <c r="S45" s="34"/>
      <c r="T45" s="34"/>
      <c r="U45" s="34"/>
      <c r="V45" s="34"/>
      <c r="W45" s="34"/>
      <c r="X45" s="34"/>
      <c r="Y45" s="34"/>
      <c r="Z45" s="34"/>
      <c r="AA45" s="34"/>
      <c r="AB45" s="34"/>
      <c r="AC45" s="34"/>
      <c r="AD45" s="34"/>
      <c r="AE45" s="34"/>
      <c r="AF45" s="34"/>
      <c r="AG45" s="34"/>
      <c r="AH45" s="34"/>
    </row>
    <row r="46">
      <c r="A46" s="21" t="s">
        <v>41</v>
      </c>
      <c r="B46" s="19" t="s">
        <v>42</v>
      </c>
      <c r="C46" s="21" t="s">
        <v>43</v>
      </c>
      <c r="D46" s="21" t="s">
        <v>44</v>
      </c>
      <c r="E46" s="19" t="s">
        <v>218</v>
      </c>
      <c r="F46" s="25">
        <v>46150.0</v>
      </c>
      <c r="G46" s="21" t="s">
        <v>317</v>
      </c>
      <c r="H46" s="32">
        <v>2026.0</v>
      </c>
      <c r="I46" s="30">
        <v>46156.0</v>
      </c>
      <c r="J46" s="19" t="s">
        <v>50</v>
      </c>
      <c r="K46" s="19" t="s">
        <v>229</v>
      </c>
      <c r="L46" s="25">
        <v>46157.0</v>
      </c>
      <c r="M46" s="33">
        <v>100000.0</v>
      </c>
      <c r="N46" s="93" t="s">
        <v>350</v>
      </c>
      <c r="O46" s="19" t="s">
        <v>54</v>
      </c>
      <c r="P46" s="19" t="s">
        <v>55</v>
      </c>
      <c r="Q46" s="19"/>
      <c r="R46" s="94"/>
      <c r="S46" s="34"/>
      <c r="T46" s="34"/>
      <c r="U46" s="34"/>
      <c r="V46" s="34"/>
      <c r="W46" s="34"/>
      <c r="X46" s="34"/>
      <c r="Y46" s="34"/>
      <c r="Z46" s="34"/>
      <c r="AA46" s="34"/>
      <c r="AB46" s="34"/>
      <c r="AC46" s="34"/>
      <c r="AD46" s="34"/>
      <c r="AE46" s="34"/>
      <c r="AF46" s="34"/>
      <c r="AG46" s="34"/>
      <c r="AH46" s="34"/>
    </row>
    <row r="47">
      <c r="A47" s="21" t="s">
        <v>41</v>
      </c>
      <c r="B47" s="19" t="s">
        <v>192</v>
      </c>
      <c r="C47" s="21" t="s">
        <v>43</v>
      </c>
      <c r="D47" s="21" t="s">
        <v>44</v>
      </c>
      <c r="E47" s="19" t="s">
        <v>73</v>
      </c>
      <c r="F47" s="25">
        <v>46148.0</v>
      </c>
      <c r="G47" s="21" t="s">
        <v>317</v>
      </c>
      <c r="H47" s="32">
        <v>2026.0</v>
      </c>
      <c r="I47" s="30">
        <v>46161.0</v>
      </c>
      <c r="J47" s="19" t="s">
        <v>50</v>
      </c>
      <c r="K47" s="19" t="s">
        <v>229</v>
      </c>
      <c r="L47" s="96">
        <v>46167.0</v>
      </c>
      <c r="M47" s="33">
        <v>184700.0</v>
      </c>
      <c r="N47" s="19" t="s">
        <v>372</v>
      </c>
      <c r="O47" s="19" t="s">
        <v>54</v>
      </c>
      <c r="P47" s="19" t="s">
        <v>55</v>
      </c>
      <c r="Q47" s="19"/>
      <c r="R47" s="19"/>
      <c r="S47" s="34"/>
      <c r="T47" s="34"/>
      <c r="U47" s="34"/>
      <c r="V47" s="34"/>
      <c r="W47" s="34"/>
      <c r="X47" s="34"/>
      <c r="Y47" s="34"/>
      <c r="Z47" s="34"/>
      <c r="AA47" s="34"/>
      <c r="AB47" s="34"/>
      <c r="AC47" s="34"/>
      <c r="AD47" s="34"/>
      <c r="AE47" s="34"/>
      <c r="AF47" s="34"/>
      <c r="AG47" s="34"/>
      <c r="AH47" s="34"/>
    </row>
    <row r="48">
      <c r="A48" s="21" t="s">
        <v>41</v>
      </c>
      <c r="B48" s="19" t="s">
        <v>42</v>
      </c>
      <c r="C48" s="21" t="s">
        <v>43</v>
      </c>
      <c r="D48" s="21" t="s">
        <v>44</v>
      </c>
      <c r="E48" s="19" t="s">
        <v>218</v>
      </c>
      <c r="F48" s="25">
        <v>46151.0</v>
      </c>
      <c r="G48" s="21" t="s">
        <v>317</v>
      </c>
      <c r="H48" s="32">
        <v>2026.0</v>
      </c>
      <c r="I48" s="30">
        <v>46162.0</v>
      </c>
      <c r="J48" s="19" t="s">
        <v>50</v>
      </c>
      <c r="K48" s="19" t="s">
        <v>229</v>
      </c>
      <c r="L48" s="25">
        <v>46163.0</v>
      </c>
      <c r="M48" s="97">
        <v>495278.0</v>
      </c>
      <c r="N48" s="98" t="s">
        <v>381</v>
      </c>
      <c r="O48" s="19" t="s">
        <v>54</v>
      </c>
      <c r="P48" s="19" t="s">
        <v>55</v>
      </c>
      <c r="Q48" s="19"/>
      <c r="R48" s="94"/>
      <c r="S48" s="34"/>
      <c r="T48" s="34"/>
      <c r="U48" s="34"/>
      <c r="V48" s="34"/>
      <c r="W48" s="34"/>
      <c r="X48" s="34"/>
      <c r="Y48" s="34"/>
      <c r="Z48" s="34"/>
      <c r="AA48" s="34"/>
      <c r="AB48" s="34"/>
      <c r="AC48" s="34"/>
      <c r="AD48" s="34"/>
      <c r="AE48" s="34"/>
      <c r="AF48" s="34"/>
      <c r="AG48" s="34"/>
      <c r="AH48" s="34"/>
    </row>
    <row r="49">
      <c r="A49" s="21" t="s">
        <v>41</v>
      </c>
      <c r="B49" s="19" t="s">
        <v>192</v>
      </c>
      <c r="C49" s="21" t="s">
        <v>43</v>
      </c>
      <c r="D49" s="21" t="s">
        <v>44</v>
      </c>
      <c r="E49" s="19" t="s">
        <v>218</v>
      </c>
      <c r="F49" s="25">
        <v>46150.0</v>
      </c>
      <c r="G49" s="21" t="s">
        <v>317</v>
      </c>
      <c r="H49" s="32">
        <v>2026.0</v>
      </c>
      <c r="I49" s="30">
        <v>46162.0</v>
      </c>
      <c r="J49" s="19" t="s">
        <v>50</v>
      </c>
      <c r="K49" s="19" t="s">
        <v>332</v>
      </c>
      <c r="L49" s="25">
        <v>46163.0</v>
      </c>
      <c r="M49" s="33">
        <v>100000.0</v>
      </c>
      <c r="N49" s="19" t="s">
        <v>391</v>
      </c>
      <c r="O49" s="19" t="s">
        <v>54</v>
      </c>
      <c r="P49" s="19" t="s">
        <v>55</v>
      </c>
      <c r="Q49" s="19"/>
      <c r="R49" s="19"/>
      <c r="S49" s="34"/>
      <c r="T49" s="34"/>
      <c r="U49" s="34"/>
      <c r="V49" s="34"/>
      <c r="W49" s="34"/>
      <c r="X49" s="34"/>
      <c r="Y49" s="34"/>
      <c r="Z49" s="34"/>
      <c r="AA49" s="34"/>
      <c r="AB49" s="34"/>
      <c r="AC49" s="34"/>
      <c r="AD49" s="34"/>
      <c r="AE49" s="34"/>
      <c r="AF49" s="34"/>
      <c r="AG49" s="34"/>
      <c r="AH49" s="34"/>
    </row>
    <row r="50">
      <c r="A50" s="21" t="s">
        <v>41</v>
      </c>
      <c r="B50" s="19" t="s">
        <v>42</v>
      </c>
      <c r="C50" s="21" t="s">
        <v>43</v>
      </c>
      <c r="D50" s="21" t="s">
        <v>44</v>
      </c>
      <c r="E50" s="23"/>
      <c r="F50" s="25">
        <v>46106.0</v>
      </c>
      <c r="G50" s="21" t="s">
        <v>265</v>
      </c>
      <c r="H50" s="32">
        <v>2026.0</v>
      </c>
      <c r="I50" s="30">
        <v>46164.0</v>
      </c>
      <c r="J50" s="19" t="s">
        <v>50</v>
      </c>
      <c r="K50" s="19" t="s">
        <v>229</v>
      </c>
      <c r="L50" s="25">
        <v>46167.0</v>
      </c>
      <c r="M50" s="33">
        <v>634000.0</v>
      </c>
      <c r="N50" s="19" t="s">
        <v>402</v>
      </c>
      <c r="O50" s="19" t="s">
        <v>54</v>
      </c>
      <c r="P50" s="19" t="s">
        <v>55</v>
      </c>
      <c r="Q50" s="19"/>
      <c r="R50" s="19"/>
      <c r="S50" s="34"/>
      <c r="T50" s="34"/>
      <c r="U50" s="34"/>
      <c r="V50" s="34"/>
      <c r="W50" s="34"/>
      <c r="X50" s="34"/>
      <c r="Y50" s="34"/>
      <c r="Z50" s="34"/>
      <c r="AA50" s="34"/>
      <c r="AB50" s="34"/>
      <c r="AC50" s="34"/>
      <c r="AD50" s="34"/>
      <c r="AE50" s="34"/>
      <c r="AF50" s="34"/>
      <c r="AG50" s="34"/>
      <c r="AH50" s="34"/>
    </row>
    <row r="51" ht="24.0" customHeight="1">
      <c r="A51" s="21" t="s">
        <v>41</v>
      </c>
      <c r="B51" s="19"/>
      <c r="C51" s="21" t="s">
        <v>43</v>
      </c>
      <c r="D51" s="21" t="s">
        <v>44</v>
      </c>
      <c r="E51" s="19" t="s">
        <v>404</v>
      </c>
      <c r="F51" s="25">
        <v>46150.0</v>
      </c>
      <c r="G51" s="21" t="s">
        <v>317</v>
      </c>
      <c r="H51" s="32">
        <v>2026.0</v>
      </c>
      <c r="I51" s="30">
        <v>46161.0</v>
      </c>
      <c r="J51" s="19" t="s">
        <v>315</v>
      </c>
      <c r="K51" s="19" t="s">
        <v>229</v>
      </c>
      <c r="L51" s="25">
        <v>46163.0</v>
      </c>
      <c r="M51" s="33">
        <v>810750.0</v>
      </c>
      <c r="N51" s="19" t="s">
        <v>407</v>
      </c>
      <c r="O51" s="19" t="s">
        <v>54</v>
      </c>
      <c r="P51" s="19" t="s">
        <v>55</v>
      </c>
      <c r="Q51" s="19"/>
      <c r="R51" s="19"/>
      <c r="S51" s="34"/>
      <c r="T51" s="34"/>
      <c r="U51" s="34"/>
      <c r="V51" s="34"/>
      <c r="W51" s="34"/>
      <c r="X51" s="34"/>
      <c r="Y51" s="34"/>
      <c r="Z51" s="34"/>
      <c r="AA51" s="34"/>
      <c r="AB51" s="34"/>
      <c r="AC51" s="34"/>
      <c r="AD51" s="34"/>
      <c r="AE51" s="34"/>
      <c r="AF51" s="34"/>
      <c r="AG51" s="34"/>
      <c r="AH51" s="34"/>
    </row>
    <row r="52">
      <c r="A52" s="21" t="s">
        <v>41</v>
      </c>
      <c r="B52" s="19" t="s">
        <v>192</v>
      </c>
      <c r="C52" s="21" t="s">
        <v>43</v>
      </c>
      <c r="D52" s="21" t="s">
        <v>44</v>
      </c>
      <c r="E52" s="19" t="s">
        <v>409</v>
      </c>
      <c r="F52" s="25">
        <v>46195.0</v>
      </c>
      <c r="G52" s="21" t="s">
        <v>226</v>
      </c>
      <c r="H52" s="23"/>
      <c r="I52" s="30">
        <v>46196.0</v>
      </c>
      <c r="J52" s="19" t="s">
        <v>50</v>
      </c>
      <c r="K52" s="19" t="s">
        <v>64</v>
      </c>
      <c r="L52" s="25">
        <v>46197.0</v>
      </c>
      <c r="M52" s="33">
        <v>600000.0</v>
      </c>
      <c r="N52" s="99" t="s">
        <v>411</v>
      </c>
      <c r="O52" s="19" t="s">
        <v>54</v>
      </c>
      <c r="P52" s="19" t="s">
        <v>55</v>
      </c>
      <c r="Q52" s="19"/>
      <c r="R52" s="19"/>
      <c r="S52" s="34"/>
      <c r="T52" s="34"/>
      <c r="U52" s="34"/>
      <c r="V52" s="34"/>
      <c r="W52" s="34"/>
      <c r="X52" s="34"/>
      <c r="Y52" s="34"/>
      <c r="Z52" s="34"/>
      <c r="AA52" s="34"/>
      <c r="AB52" s="34"/>
      <c r="AC52" s="34"/>
      <c r="AD52" s="34"/>
      <c r="AE52" s="34"/>
      <c r="AF52" s="34"/>
      <c r="AG52" s="34"/>
      <c r="AH52" s="34"/>
    </row>
    <row r="53">
      <c r="A53" s="21" t="s">
        <v>41</v>
      </c>
      <c r="B53" s="19" t="s">
        <v>192</v>
      </c>
      <c r="C53" s="21" t="s">
        <v>43</v>
      </c>
      <c r="D53" s="21" t="s">
        <v>44</v>
      </c>
      <c r="E53" s="19" t="s">
        <v>409</v>
      </c>
      <c r="F53" s="25">
        <v>46195.0</v>
      </c>
      <c r="G53" s="21" t="s">
        <v>414</v>
      </c>
      <c r="H53" s="23"/>
      <c r="I53" s="30">
        <v>46206.0</v>
      </c>
      <c r="J53" s="19" t="s">
        <v>50</v>
      </c>
      <c r="K53" s="19" t="s">
        <v>64</v>
      </c>
      <c r="L53" s="19" t="s">
        <v>58</v>
      </c>
      <c r="M53" s="33">
        <v>600000.0</v>
      </c>
      <c r="N53" s="99" t="s">
        <v>411</v>
      </c>
      <c r="O53" s="19" t="s">
        <v>54</v>
      </c>
      <c r="P53" s="19" t="s">
        <v>55</v>
      </c>
      <c r="Q53" s="19"/>
      <c r="R53" s="19"/>
      <c r="S53" s="34"/>
      <c r="T53" s="34"/>
      <c r="U53" s="34"/>
      <c r="V53" s="34"/>
      <c r="W53" s="34"/>
      <c r="X53" s="34"/>
      <c r="Y53" s="34"/>
      <c r="Z53" s="34"/>
      <c r="AA53" s="34"/>
      <c r="AB53" s="34"/>
      <c r="AC53" s="34"/>
      <c r="AD53" s="34"/>
      <c r="AE53" s="34"/>
      <c r="AF53" s="34"/>
      <c r="AG53" s="34"/>
      <c r="AH53" s="34"/>
    </row>
    <row r="54">
      <c r="A54" s="21" t="s">
        <v>41</v>
      </c>
      <c r="B54" s="21" t="s">
        <v>42</v>
      </c>
      <c r="C54" s="21" t="s">
        <v>43</v>
      </c>
      <c r="D54" s="21" t="s">
        <v>44</v>
      </c>
      <c r="E54" s="19" t="s">
        <v>417</v>
      </c>
      <c r="F54" s="40">
        <v>46211.0</v>
      </c>
      <c r="G54" s="21" t="s">
        <v>414</v>
      </c>
      <c r="H54" s="32">
        <v>2026.0</v>
      </c>
      <c r="I54" s="30">
        <v>46220.0</v>
      </c>
      <c r="J54" s="19" t="s">
        <v>50</v>
      </c>
      <c r="K54" s="19" t="s">
        <v>64</v>
      </c>
      <c r="L54" s="25">
        <v>46226.0</v>
      </c>
      <c r="M54" s="33">
        <v>440000.0</v>
      </c>
      <c r="N54" s="19" t="s">
        <v>116</v>
      </c>
      <c r="O54" s="19" t="s">
        <v>54</v>
      </c>
      <c r="P54" s="19" t="s">
        <v>55</v>
      </c>
      <c r="Q54" s="19"/>
      <c r="R54" s="19"/>
      <c r="S54" s="34"/>
      <c r="T54" s="34"/>
      <c r="U54" s="34"/>
      <c r="V54" s="34"/>
      <c r="W54" s="34"/>
      <c r="X54" s="34"/>
      <c r="Y54" s="34"/>
      <c r="Z54" s="34"/>
      <c r="AA54" s="34"/>
      <c r="AB54" s="34"/>
      <c r="AC54" s="34"/>
      <c r="AD54" s="34"/>
      <c r="AE54" s="34"/>
      <c r="AF54" s="34"/>
      <c r="AG54" s="34"/>
      <c r="AH54" s="34"/>
    </row>
    <row r="55">
      <c r="A55" s="21" t="s">
        <v>41</v>
      </c>
      <c r="B55" s="21" t="s">
        <v>42</v>
      </c>
      <c r="C55" s="21" t="s">
        <v>43</v>
      </c>
      <c r="D55" s="21" t="s">
        <v>44</v>
      </c>
      <c r="E55" s="19" t="s">
        <v>418</v>
      </c>
      <c r="F55" s="40">
        <v>46211.0</v>
      </c>
      <c r="G55" s="21" t="s">
        <v>414</v>
      </c>
      <c r="H55" s="32">
        <v>2026.0</v>
      </c>
      <c r="I55" s="30">
        <v>46220.0</v>
      </c>
      <c r="J55" s="19" t="s">
        <v>50</v>
      </c>
      <c r="K55" s="19" t="s">
        <v>64</v>
      </c>
      <c r="L55" s="25">
        <v>46226.0</v>
      </c>
      <c r="M55" s="33">
        <v>257850.0</v>
      </c>
      <c r="N55" s="19" t="s">
        <v>121</v>
      </c>
      <c r="O55" s="19" t="s">
        <v>54</v>
      </c>
      <c r="P55" s="19" t="s">
        <v>55</v>
      </c>
      <c r="Q55" s="19"/>
      <c r="R55" s="19"/>
      <c r="S55" s="34"/>
      <c r="T55" s="34"/>
      <c r="U55" s="34"/>
      <c r="V55" s="34"/>
      <c r="W55" s="34"/>
      <c r="X55" s="34"/>
      <c r="Y55" s="34"/>
      <c r="Z55" s="34"/>
      <c r="AA55" s="34"/>
      <c r="AB55" s="34"/>
      <c r="AC55" s="34"/>
      <c r="AD55" s="34"/>
      <c r="AE55" s="34"/>
      <c r="AF55" s="34"/>
      <c r="AG55" s="34"/>
      <c r="AH55" s="34"/>
    </row>
    <row r="56">
      <c r="A56" s="21" t="s">
        <v>41</v>
      </c>
      <c r="B56" s="19" t="s">
        <v>192</v>
      </c>
      <c r="C56" s="21" t="s">
        <v>43</v>
      </c>
      <c r="D56" s="21" t="s">
        <v>44</v>
      </c>
      <c r="E56" s="19" t="s">
        <v>421</v>
      </c>
      <c r="F56" s="40">
        <v>46211.0</v>
      </c>
      <c r="G56" s="21" t="s">
        <v>414</v>
      </c>
      <c r="H56" s="32">
        <v>2026.0</v>
      </c>
      <c r="I56" s="30">
        <v>44022.0</v>
      </c>
      <c r="J56" s="19" t="s">
        <v>50</v>
      </c>
      <c r="K56" s="19" t="s">
        <v>64</v>
      </c>
      <c r="L56" s="25">
        <v>46226.0</v>
      </c>
      <c r="M56" s="33">
        <v>374800.0</v>
      </c>
      <c r="N56" s="19" t="s">
        <v>124</v>
      </c>
      <c r="O56" s="19" t="s">
        <v>54</v>
      </c>
      <c r="P56" s="19" t="s">
        <v>55</v>
      </c>
      <c r="Q56" s="19"/>
      <c r="R56" s="19"/>
      <c r="S56" s="34"/>
      <c r="T56" s="34"/>
      <c r="U56" s="34"/>
      <c r="V56" s="34"/>
      <c r="W56" s="34"/>
      <c r="X56" s="34"/>
      <c r="Y56" s="34"/>
      <c r="Z56" s="34"/>
      <c r="AA56" s="34"/>
      <c r="AB56" s="34"/>
      <c r="AC56" s="34"/>
      <c r="AD56" s="34"/>
      <c r="AE56" s="34"/>
      <c r="AF56" s="34"/>
      <c r="AG56" s="34"/>
      <c r="AH56" s="34"/>
    </row>
    <row r="57">
      <c r="A57" s="21" t="s">
        <v>41</v>
      </c>
      <c r="B57" s="19" t="s">
        <v>192</v>
      </c>
      <c r="C57" s="21" t="s">
        <v>43</v>
      </c>
      <c r="D57" s="21" t="s">
        <v>44</v>
      </c>
      <c r="E57" s="19" t="s">
        <v>422</v>
      </c>
      <c r="F57" s="40">
        <v>46214.0</v>
      </c>
      <c r="G57" s="21" t="s">
        <v>414</v>
      </c>
      <c r="H57" s="32">
        <v>2026.0</v>
      </c>
      <c r="I57" s="30">
        <v>46219.0</v>
      </c>
      <c r="J57" s="19" t="s">
        <v>50</v>
      </c>
      <c r="K57" s="19" t="s">
        <v>64</v>
      </c>
      <c r="L57" s="25">
        <v>46227.0</v>
      </c>
      <c r="M57" s="33">
        <v>305000.0</v>
      </c>
      <c r="N57" s="19" t="s">
        <v>127</v>
      </c>
      <c r="O57" s="19" t="s">
        <v>54</v>
      </c>
      <c r="P57" s="19" t="s">
        <v>55</v>
      </c>
      <c r="Q57" s="19"/>
      <c r="R57" s="19"/>
      <c r="S57" s="34"/>
      <c r="T57" s="34"/>
      <c r="U57" s="34"/>
      <c r="V57" s="34"/>
      <c r="W57" s="34"/>
      <c r="X57" s="34"/>
      <c r="Y57" s="34"/>
      <c r="Z57" s="34"/>
      <c r="AA57" s="34"/>
      <c r="AB57" s="34"/>
      <c r="AC57" s="34"/>
      <c r="AD57" s="34"/>
      <c r="AE57" s="34"/>
      <c r="AF57" s="34"/>
      <c r="AG57" s="34"/>
      <c r="AH57" s="34"/>
    </row>
    <row r="58">
      <c r="A58" s="21" t="s">
        <v>41</v>
      </c>
      <c r="B58" s="19" t="s">
        <v>192</v>
      </c>
      <c r="C58" s="21" t="s">
        <v>43</v>
      </c>
      <c r="D58" s="21" t="s">
        <v>44</v>
      </c>
      <c r="E58" s="19" t="s">
        <v>427</v>
      </c>
      <c r="F58" s="40">
        <v>46211.0</v>
      </c>
      <c r="G58" s="21" t="s">
        <v>414</v>
      </c>
      <c r="H58" s="32">
        <v>2026.0</v>
      </c>
      <c r="I58" s="30">
        <v>46212.0</v>
      </c>
      <c r="J58" s="19" t="s">
        <v>50</v>
      </c>
      <c r="K58" s="19" t="s">
        <v>64</v>
      </c>
      <c r="L58" s="25">
        <v>46226.0</v>
      </c>
      <c r="M58" s="33">
        <v>233951.0</v>
      </c>
      <c r="N58" s="19" t="s">
        <v>131</v>
      </c>
      <c r="O58" s="19" t="s">
        <v>54</v>
      </c>
      <c r="P58" s="19" t="s">
        <v>55</v>
      </c>
      <c r="Q58" s="19"/>
      <c r="R58" s="19"/>
      <c r="S58" s="34"/>
      <c r="T58" s="34"/>
      <c r="U58" s="34"/>
      <c r="V58" s="34"/>
      <c r="W58" s="34"/>
      <c r="X58" s="34"/>
      <c r="Y58" s="34"/>
      <c r="Z58" s="34"/>
      <c r="AA58" s="34"/>
      <c r="AB58" s="34"/>
      <c r="AC58" s="34"/>
      <c r="AD58" s="34"/>
      <c r="AE58" s="34"/>
      <c r="AF58" s="34"/>
      <c r="AG58" s="34"/>
      <c r="AH58" s="34"/>
    </row>
    <row r="59">
      <c r="A59" s="21" t="s">
        <v>108</v>
      </c>
      <c r="B59" s="21" t="s">
        <v>192</v>
      </c>
      <c r="C59" s="21" t="s">
        <v>366</v>
      </c>
      <c r="D59" s="21" t="s">
        <v>366</v>
      </c>
      <c r="E59" s="21" t="s">
        <v>387</v>
      </c>
      <c r="F59" s="40">
        <v>46231.0</v>
      </c>
      <c r="G59" s="21" t="s">
        <v>414</v>
      </c>
      <c r="H59" s="21">
        <v>2026.0</v>
      </c>
      <c r="I59" s="40">
        <v>46231.0</v>
      </c>
      <c r="J59" s="100" t="s">
        <v>59</v>
      </c>
      <c r="K59" s="21" t="s">
        <v>432</v>
      </c>
      <c r="L59" s="40">
        <v>46231.0</v>
      </c>
      <c r="M59" s="101" t="s">
        <v>58</v>
      </c>
      <c r="N59" s="21" t="s">
        <v>434</v>
      </c>
      <c r="O59" s="21" t="s">
        <v>54</v>
      </c>
      <c r="P59" s="21"/>
      <c r="Q59" s="21"/>
      <c r="R59" s="21"/>
      <c r="S59" s="34"/>
      <c r="T59" s="34"/>
      <c r="U59" s="34"/>
      <c r="V59" s="34"/>
      <c r="W59" s="34"/>
      <c r="X59" s="34"/>
      <c r="Y59" s="34"/>
      <c r="Z59" s="34"/>
      <c r="AA59" s="34"/>
      <c r="AB59" s="34"/>
      <c r="AC59" s="34"/>
      <c r="AD59" s="34"/>
      <c r="AE59" s="34"/>
      <c r="AF59" s="34"/>
      <c r="AG59" s="34"/>
      <c r="AH59" s="34"/>
    </row>
    <row r="60">
      <c r="A60" s="102" t="s">
        <v>108</v>
      </c>
      <c r="B60" s="102" t="s">
        <v>192</v>
      </c>
      <c r="C60" s="102" t="s">
        <v>43</v>
      </c>
      <c r="D60" s="102" t="s">
        <v>44</v>
      </c>
      <c r="E60" s="103" t="s">
        <v>45</v>
      </c>
      <c r="F60" s="74">
        <v>46212.0</v>
      </c>
      <c r="G60" s="102" t="s">
        <v>414</v>
      </c>
      <c r="H60" s="104">
        <v>2026.0</v>
      </c>
      <c r="I60" s="74">
        <v>46212.0</v>
      </c>
      <c r="J60" s="73" t="s">
        <v>151</v>
      </c>
      <c r="K60" s="102" t="s">
        <v>438</v>
      </c>
      <c r="L60" s="74">
        <v>46219.0</v>
      </c>
      <c r="M60" s="105" t="s">
        <v>58</v>
      </c>
      <c r="N60" s="102" t="s">
        <v>441</v>
      </c>
      <c r="O60" s="102" t="s">
        <v>54</v>
      </c>
      <c r="P60" s="102" t="s">
        <v>442</v>
      </c>
      <c r="Q60" s="102"/>
      <c r="R60" s="102"/>
      <c r="S60" s="34"/>
      <c r="T60" s="34"/>
      <c r="U60" s="34"/>
      <c r="V60" s="34"/>
      <c r="W60" s="34"/>
      <c r="X60" s="34"/>
      <c r="Y60" s="34"/>
      <c r="Z60" s="34"/>
      <c r="AA60" s="34"/>
      <c r="AB60" s="34"/>
      <c r="AC60" s="34"/>
      <c r="AD60" s="34"/>
      <c r="AE60" s="34"/>
      <c r="AF60" s="34"/>
      <c r="AG60" s="34"/>
      <c r="AH60" s="34"/>
    </row>
    <row r="61">
      <c r="A61" s="103" t="s">
        <v>41</v>
      </c>
      <c r="B61" s="103" t="s">
        <v>192</v>
      </c>
      <c r="C61" s="103" t="s">
        <v>43</v>
      </c>
      <c r="D61" s="103" t="s">
        <v>44</v>
      </c>
      <c r="E61" s="106" t="s">
        <v>301</v>
      </c>
      <c r="F61" s="25">
        <v>46212.0</v>
      </c>
      <c r="G61" s="103" t="s">
        <v>414</v>
      </c>
      <c r="H61" s="107">
        <v>2026.0</v>
      </c>
      <c r="I61" s="25">
        <v>46212.0</v>
      </c>
      <c r="J61" s="19" t="s">
        <v>109</v>
      </c>
      <c r="K61" s="103" t="s">
        <v>445</v>
      </c>
      <c r="L61" s="25">
        <v>46212.0</v>
      </c>
      <c r="M61" s="39" t="s">
        <v>58</v>
      </c>
      <c r="N61" s="103" t="s">
        <v>446</v>
      </c>
      <c r="O61" s="103" t="s">
        <v>54</v>
      </c>
      <c r="P61" s="103" t="s">
        <v>297</v>
      </c>
      <c r="Q61" s="103"/>
      <c r="R61" s="103"/>
      <c r="S61" s="34"/>
      <c r="T61" s="34"/>
      <c r="U61" s="34"/>
      <c r="V61" s="34"/>
      <c r="W61" s="34"/>
      <c r="X61" s="34"/>
      <c r="Y61" s="34"/>
      <c r="Z61" s="34"/>
      <c r="AA61" s="34"/>
      <c r="AB61" s="34"/>
      <c r="AC61" s="34"/>
      <c r="AD61" s="34"/>
      <c r="AE61" s="34"/>
      <c r="AF61" s="34"/>
      <c r="AG61" s="34"/>
      <c r="AH61" s="34"/>
    </row>
    <row r="62">
      <c r="A62" s="103" t="s">
        <v>41</v>
      </c>
      <c r="B62" s="103" t="s">
        <v>192</v>
      </c>
      <c r="C62" s="103" t="s">
        <v>43</v>
      </c>
      <c r="D62" s="103" t="s">
        <v>44</v>
      </c>
      <c r="E62" s="103" t="s">
        <v>301</v>
      </c>
      <c r="F62" s="25">
        <v>46212.0</v>
      </c>
      <c r="G62" s="103" t="s">
        <v>414</v>
      </c>
      <c r="H62" s="107">
        <v>2026.0</v>
      </c>
      <c r="I62" s="25">
        <v>46212.0</v>
      </c>
      <c r="J62" s="19" t="s">
        <v>448</v>
      </c>
      <c r="K62" s="103" t="s">
        <v>445</v>
      </c>
      <c r="L62" s="25">
        <v>46212.0</v>
      </c>
      <c r="M62" s="39" t="s">
        <v>58</v>
      </c>
      <c r="N62" s="103" t="s">
        <v>449</v>
      </c>
      <c r="O62" s="103" t="s">
        <v>54</v>
      </c>
      <c r="P62" s="103" t="s">
        <v>297</v>
      </c>
      <c r="Q62" s="103"/>
      <c r="R62" s="103"/>
      <c r="S62" s="34"/>
      <c r="T62" s="34"/>
      <c r="U62" s="34"/>
      <c r="V62" s="34"/>
      <c r="W62" s="34"/>
      <c r="X62" s="34"/>
      <c r="Y62" s="34"/>
      <c r="Z62" s="34"/>
      <c r="AA62" s="34"/>
      <c r="AB62" s="34"/>
      <c r="AC62" s="34"/>
      <c r="AD62" s="34"/>
      <c r="AE62" s="34"/>
      <c r="AF62" s="34"/>
      <c r="AG62" s="34"/>
      <c r="AH62" s="34"/>
    </row>
    <row r="63">
      <c r="A63" s="21" t="s">
        <v>41</v>
      </c>
      <c r="B63" s="21" t="s">
        <v>192</v>
      </c>
      <c r="C63" s="21" t="s">
        <v>312</v>
      </c>
      <c r="D63" s="21" t="s">
        <v>183</v>
      </c>
      <c r="E63" s="21" t="s">
        <v>301</v>
      </c>
      <c r="F63" s="40">
        <v>46212.0</v>
      </c>
      <c r="G63" s="21" t="s">
        <v>414</v>
      </c>
      <c r="H63" s="21">
        <v>2026.0</v>
      </c>
      <c r="I63" s="40">
        <v>46212.0</v>
      </c>
      <c r="J63" s="100" t="s">
        <v>451</v>
      </c>
      <c r="K63" s="21" t="s">
        <v>452</v>
      </c>
      <c r="L63" s="40">
        <v>46213.0</v>
      </c>
      <c r="M63" s="101" t="s">
        <v>58</v>
      </c>
      <c r="N63" s="21" t="s">
        <v>453</v>
      </c>
      <c r="O63" s="21" t="s">
        <v>54</v>
      </c>
      <c r="P63" s="21" t="s">
        <v>454</v>
      </c>
      <c r="Q63" s="21"/>
      <c r="R63" s="21"/>
      <c r="S63" s="34"/>
      <c r="T63" s="34"/>
      <c r="U63" s="34"/>
      <c r="V63" s="34"/>
      <c r="W63" s="34"/>
      <c r="X63" s="34"/>
      <c r="Y63" s="34"/>
      <c r="Z63" s="34"/>
      <c r="AA63" s="34"/>
      <c r="AB63" s="34"/>
      <c r="AC63" s="34"/>
      <c r="AD63" s="34"/>
      <c r="AE63" s="34"/>
      <c r="AF63" s="34"/>
      <c r="AG63" s="34"/>
      <c r="AH63" s="34"/>
    </row>
    <row r="64">
      <c r="A64" s="103" t="s">
        <v>41</v>
      </c>
      <c r="B64" s="103" t="s">
        <v>192</v>
      </c>
      <c r="C64" s="103" t="s">
        <v>43</v>
      </c>
      <c r="D64" s="103" t="s">
        <v>44</v>
      </c>
      <c r="E64" s="103" t="s">
        <v>457</v>
      </c>
      <c r="F64" s="25">
        <v>46209.0</v>
      </c>
      <c r="G64" s="103" t="s">
        <v>414</v>
      </c>
      <c r="H64" s="107">
        <v>2026.0</v>
      </c>
      <c r="I64" s="25">
        <v>46209.0</v>
      </c>
      <c r="J64" s="19" t="s">
        <v>458</v>
      </c>
      <c r="K64" s="103" t="s">
        <v>459</v>
      </c>
      <c r="L64" s="25">
        <v>46211.0</v>
      </c>
      <c r="M64" s="39" t="s">
        <v>58</v>
      </c>
      <c r="N64" s="103" t="s">
        <v>460</v>
      </c>
      <c r="O64" s="103" t="s">
        <v>54</v>
      </c>
      <c r="P64" s="103" t="s">
        <v>463</v>
      </c>
      <c r="Q64" s="103"/>
      <c r="R64" s="103"/>
      <c r="S64" s="34"/>
      <c r="T64" s="34"/>
      <c r="U64" s="34"/>
      <c r="V64" s="34"/>
      <c r="W64" s="34"/>
      <c r="X64" s="34"/>
      <c r="Y64" s="34"/>
      <c r="Z64" s="34"/>
      <c r="AA64" s="34"/>
      <c r="AB64" s="34"/>
      <c r="AC64" s="34"/>
      <c r="AD64" s="34"/>
      <c r="AE64" s="34"/>
      <c r="AF64" s="34"/>
      <c r="AG64" s="34"/>
      <c r="AH64" s="34"/>
    </row>
    <row r="65">
      <c r="A65" s="103" t="s">
        <v>41</v>
      </c>
      <c r="B65" s="103" t="s">
        <v>192</v>
      </c>
      <c r="C65" s="103" t="s">
        <v>43</v>
      </c>
      <c r="D65" s="103" t="s">
        <v>44</v>
      </c>
      <c r="E65" s="103" t="s">
        <v>457</v>
      </c>
      <c r="F65" s="25">
        <v>46203.0</v>
      </c>
      <c r="G65" s="103" t="s">
        <v>226</v>
      </c>
      <c r="H65" s="107">
        <v>2026.0</v>
      </c>
      <c r="I65" s="25">
        <v>46189.0</v>
      </c>
      <c r="J65" s="19" t="s">
        <v>451</v>
      </c>
      <c r="K65" s="103" t="s">
        <v>467</v>
      </c>
      <c r="L65" s="25">
        <v>46203.0</v>
      </c>
      <c r="M65" s="33">
        <v>748438.0</v>
      </c>
      <c r="N65" s="103" t="s">
        <v>468</v>
      </c>
      <c r="O65" s="103" t="s">
        <v>54</v>
      </c>
      <c r="P65" s="103" t="s">
        <v>454</v>
      </c>
      <c r="Q65" s="103"/>
      <c r="R65" s="103"/>
      <c r="S65" s="34"/>
      <c r="T65" s="34"/>
      <c r="U65" s="34"/>
      <c r="V65" s="34"/>
      <c r="W65" s="34"/>
      <c r="X65" s="34"/>
      <c r="Y65" s="34"/>
      <c r="Z65" s="34"/>
      <c r="AA65" s="34"/>
      <c r="AB65" s="34"/>
      <c r="AC65" s="34"/>
      <c r="AD65" s="34"/>
      <c r="AE65" s="34"/>
      <c r="AF65" s="34"/>
      <c r="AG65" s="34"/>
      <c r="AH65" s="34"/>
    </row>
    <row r="66">
      <c r="A66" s="103" t="s">
        <v>41</v>
      </c>
      <c r="B66" s="103" t="s">
        <v>192</v>
      </c>
      <c r="C66" s="103" t="s">
        <v>43</v>
      </c>
      <c r="D66" s="103" t="s">
        <v>44</v>
      </c>
      <c r="E66" s="108" t="s">
        <v>129</v>
      </c>
      <c r="F66" s="96">
        <v>46189.0</v>
      </c>
      <c r="G66" s="103" t="s">
        <v>226</v>
      </c>
      <c r="H66" s="107">
        <v>2026.0</v>
      </c>
      <c r="I66" s="25">
        <v>46192.0</v>
      </c>
      <c r="J66" s="19" t="s">
        <v>291</v>
      </c>
      <c r="K66" s="103" t="s">
        <v>472</v>
      </c>
      <c r="L66" s="25">
        <v>46198.0</v>
      </c>
      <c r="M66" s="33">
        <v>1400000.0</v>
      </c>
      <c r="N66" s="103" t="s">
        <v>473</v>
      </c>
      <c r="O66" s="103" t="s">
        <v>54</v>
      </c>
      <c r="P66" s="21" t="s">
        <v>474</v>
      </c>
      <c r="Q66" s="103"/>
      <c r="R66" s="103"/>
      <c r="S66" s="34"/>
      <c r="T66" s="34"/>
      <c r="U66" s="34"/>
      <c r="V66" s="34"/>
      <c r="W66" s="34"/>
      <c r="X66" s="34"/>
      <c r="Y66" s="34"/>
      <c r="Z66" s="34"/>
      <c r="AA66" s="34"/>
      <c r="AB66" s="34"/>
      <c r="AC66" s="34"/>
      <c r="AD66" s="34"/>
      <c r="AE66" s="34"/>
      <c r="AF66" s="34"/>
      <c r="AG66" s="34"/>
      <c r="AH66" s="34"/>
    </row>
    <row r="67">
      <c r="A67" s="21" t="s">
        <v>41</v>
      </c>
      <c r="B67" s="19" t="s">
        <v>192</v>
      </c>
      <c r="C67" s="21" t="s">
        <v>43</v>
      </c>
      <c r="D67" s="21" t="s">
        <v>44</v>
      </c>
      <c r="E67" s="19" t="s">
        <v>477</v>
      </c>
      <c r="F67" s="40">
        <v>46189.0</v>
      </c>
      <c r="G67" s="21" t="s">
        <v>226</v>
      </c>
      <c r="H67" s="32">
        <v>2026.0</v>
      </c>
      <c r="I67" s="30">
        <v>46193.0</v>
      </c>
      <c r="J67" s="19" t="s">
        <v>50</v>
      </c>
      <c r="K67" s="19" t="s">
        <v>64</v>
      </c>
      <c r="L67" s="25">
        <v>46205.0</v>
      </c>
      <c r="M67" s="33">
        <v>867148.0</v>
      </c>
      <c r="N67" s="19" t="s">
        <v>134</v>
      </c>
      <c r="O67" s="19" t="s">
        <v>54</v>
      </c>
      <c r="P67" s="19" t="s">
        <v>55</v>
      </c>
      <c r="Q67" s="19"/>
      <c r="R67" s="19"/>
      <c r="S67" s="34"/>
      <c r="T67" s="34"/>
      <c r="U67" s="34"/>
      <c r="V67" s="34"/>
      <c r="W67" s="34"/>
      <c r="X67" s="34"/>
      <c r="Y67" s="34"/>
      <c r="Z67" s="34"/>
      <c r="AA67" s="34"/>
      <c r="AB67" s="34"/>
      <c r="AC67" s="34"/>
      <c r="AD67" s="34"/>
      <c r="AE67" s="34"/>
      <c r="AF67" s="34"/>
      <c r="AG67" s="34"/>
      <c r="AH67" s="34"/>
    </row>
    <row r="68">
      <c r="A68" s="21" t="s">
        <v>41</v>
      </c>
      <c r="B68" s="19" t="s">
        <v>192</v>
      </c>
      <c r="C68" s="21" t="s">
        <v>43</v>
      </c>
      <c r="D68" s="21" t="s">
        <v>44</v>
      </c>
      <c r="E68" s="19" t="s">
        <v>481</v>
      </c>
      <c r="F68" s="40">
        <v>46211.0</v>
      </c>
      <c r="G68" s="21" t="s">
        <v>414</v>
      </c>
      <c r="H68" s="32">
        <v>2026.0</v>
      </c>
      <c r="I68" s="30">
        <v>46220.0</v>
      </c>
      <c r="J68" s="19" t="s">
        <v>50</v>
      </c>
      <c r="K68" s="19" t="s">
        <v>64</v>
      </c>
      <c r="L68" s="25">
        <v>46221.0</v>
      </c>
      <c r="M68" s="33">
        <v>350402.0</v>
      </c>
      <c r="N68" s="19" t="s">
        <v>138</v>
      </c>
      <c r="O68" s="19" t="s">
        <v>275</v>
      </c>
      <c r="P68" s="19" t="s">
        <v>55</v>
      </c>
      <c r="Q68" s="19"/>
      <c r="R68" s="19"/>
      <c r="S68" s="34"/>
      <c r="T68" s="34"/>
      <c r="U68" s="34"/>
      <c r="V68" s="34"/>
      <c r="W68" s="34"/>
      <c r="X68" s="34"/>
      <c r="Y68" s="34"/>
      <c r="Z68" s="34"/>
      <c r="AA68" s="34"/>
      <c r="AB68" s="34"/>
      <c r="AC68" s="34"/>
      <c r="AD68" s="34"/>
      <c r="AE68" s="34"/>
      <c r="AF68" s="34"/>
      <c r="AG68" s="34"/>
      <c r="AH68" s="34"/>
    </row>
    <row r="69">
      <c r="A69" s="21" t="s">
        <v>41</v>
      </c>
      <c r="B69" s="19" t="s">
        <v>42</v>
      </c>
      <c r="C69" s="21" t="s">
        <v>43</v>
      </c>
      <c r="D69" s="21" t="s">
        <v>44</v>
      </c>
      <c r="E69" s="19" t="s">
        <v>484</v>
      </c>
      <c r="F69" s="40">
        <v>46208.0</v>
      </c>
      <c r="G69" s="21" t="s">
        <v>414</v>
      </c>
      <c r="H69" s="32">
        <v>2026.0</v>
      </c>
      <c r="I69" s="30">
        <v>46212.0</v>
      </c>
      <c r="J69" s="19" t="s">
        <v>50</v>
      </c>
      <c r="K69" s="19" t="s">
        <v>64</v>
      </c>
      <c r="L69" s="25">
        <v>46225.0</v>
      </c>
      <c r="M69" s="33">
        <v>746499.0</v>
      </c>
      <c r="N69" s="19" t="s">
        <v>141</v>
      </c>
      <c r="O69" s="19" t="s">
        <v>54</v>
      </c>
      <c r="P69" s="19" t="s">
        <v>55</v>
      </c>
      <c r="Q69" s="19"/>
      <c r="R69" s="19"/>
      <c r="S69" s="34"/>
      <c r="T69" s="34"/>
      <c r="U69" s="34"/>
      <c r="V69" s="34"/>
      <c r="W69" s="34"/>
      <c r="X69" s="34"/>
      <c r="Y69" s="34"/>
      <c r="Z69" s="34"/>
      <c r="AA69" s="34"/>
      <c r="AB69" s="34"/>
      <c r="AC69" s="34"/>
      <c r="AD69" s="34"/>
      <c r="AE69" s="34"/>
      <c r="AF69" s="34"/>
      <c r="AG69" s="34"/>
      <c r="AH69" s="34"/>
    </row>
    <row r="70">
      <c r="A70" s="21" t="s">
        <v>41</v>
      </c>
      <c r="B70" s="19" t="s">
        <v>192</v>
      </c>
      <c r="C70" s="21" t="s">
        <v>43</v>
      </c>
      <c r="D70" s="21" t="s">
        <v>44</v>
      </c>
      <c r="E70" s="19" t="s">
        <v>487</v>
      </c>
      <c r="F70" s="40">
        <v>46164.0</v>
      </c>
      <c r="G70" s="21" t="s">
        <v>282</v>
      </c>
      <c r="H70" s="32">
        <v>2026.0</v>
      </c>
      <c r="I70" s="30">
        <v>46172.0</v>
      </c>
      <c r="J70" s="19" t="s">
        <v>50</v>
      </c>
      <c r="K70" s="19" t="s">
        <v>64</v>
      </c>
      <c r="L70" s="25">
        <v>46182.0</v>
      </c>
      <c r="M70" s="33">
        <v>600000.0</v>
      </c>
      <c r="N70" s="19" t="s">
        <v>107</v>
      </c>
      <c r="O70" s="19" t="s">
        <v>54</v>
      </c>
      <c r="P70" s="19" t="s">
        <v>55</v>
      </c>
      <c r="Q70" s="19"/>
      <c r="R70" s="19"/>
      <c r="S70" s="34"/>
      <c r="T70" s="34"/>
      <c r="U70" s="34"/>
      <c r="V70" s="34"/>
      <c r="W70" s="34"/>
      <c r="X70" s="34"/>
      <c r="Y70" s="34"/>
      <c r="Z70" s="34"/>
      <c r="AA70" s="34"/>
      <c r="AB70" s="34"/>
      <c r="AC70" s="34"/>
      <c r="AD70" s="34"/>
      <c r="AE70" s="34"/>
      <c r="AF70" s="34"/>
      <c r="AG70" s="34"/>
      <c r="AH70" s="34"/>
    </row>
    <row r="71">
      <c r="A71" s="21" t="s">
        <v>41</v>
      </c>
      <c r="B71" s="19" t="s">
        <v>42</v>
      </c>
      <c r="C71" s="21" t="s">
        <v>43</v>
      </c>
      <c r="D71" s="21" t="s">
        <v>44</v>
      </c>
      <c r="E71" s="19" t="s">
        <v>488</v>
      </c>
      <c r="F71" s="40">
        <v>46174.0</v>
      </c>
      <c r="G71" s="21" t="s">
        <v>317</v>
      </c>
      <c r="H71" s="32">
        <v>2026.0</v>
      </c>
      <c r="I71" s="30">
        <v>46176.0</v>
      </c>
      <c r="J71" s="19" t="s">
        <v>50</v>
      </c>
      <c r="K71" s="19" t="s">
        <v>64</v>
      </c>
      <c r="L71" s="25">
        <v>46182.0</v>
      </c>
      <c r="M71" s="33">
        <v>1528072.0</v>
      </c>
      <c r="N71" s="19" t="s">
        <v>111</v>
      </c>
      <c r="O71" s="19" t="s">
        <v>275</v>
      </c>
      <c r="P71" s="19" t="s">
        <v>55</v>
      </c>
      <c r="Q71" s="19"/>
      <c r="R71" s="19"/>
      <c r="S71" s="34"/>
      <c r="T71" s="34"/>
      <c r="U71" s="34"/>
      <c r="V71" s="34"/>
      <c r="W71" s="34"/>
      <c r="X71" s="34"/>
      <c r="Y71" s="34"/>
      <c r="Z71" s="34"/>
      <c r="AA71" s="34"/>
      <c r="AB71" s="34"/>
      <c r="AC71" s="34"/>
      <c r="AD71" s="34"/>
      <c r="AE71" s="34"/>
      <c r="AF71" s="34"/>
      <c r="AG71" s="34"/>
      <c r="AH71" s="34"/>
    </row>
    <row r="72">
      <c r="A72" s="21" t="s">
        <v>41</v>
      </c>
      <c r="B72" s="19" t="s">
        <v>192</v>
      </c>
      <c r="C72" s="21" t="s">
        <v>43</v>
      </c>
      <c r="D72" s="21" t="s">
        <v>44</v>
      </c>
      <c r="E72" s="19" t="s">
        <v>491</v>
      </c>
      <c r="F72" s="40">
        <v>46174.0</v>
      </c>
      <c r="G72" s="21" t="s">
        <v>317</v>
      </c>
      <c r="H72" s="32">
        <v>2026.0</v>
      </c>
      <c r="I72" s="30">
        <v>46178.0</v>
      </c>
      <c r="J72" s="19" t="s">
        <v>50</v>
      </c>
      <c r="K72" s="19" t="s">
        <v>64</v>
      </c>
      <c r="L72" s="25">
        <v>46182.0</v>
      </c>
      <c r="M72" s="33">
        <v>133500.0</v>
      </c>
      <c r="N72" s="19" t="s">
        <v>107</v>
      </c>
      <c r="O72" s="19" t="s">
        <v>275</v>
      </c>
      <c r="P72" s="19" t="s">
        <v>55</v>
      </c>
      <c r="Q72" s="19"/>
      <c r="R72" s="19"/>
      <c r="S72" s="34"/>
      <c r="T72" s="34"/>
      <c r="U72" s="34"/>
      <c r="V72" s="34"/>
      <c r="W72" s="34"/>
      <c r="X72" s="34"/>
      <c r="Y72" s="34"/>
      <c r="Z72" s="34"/>
      <c r="AA72" s="34"/>
      <c r="AB72" s="34"/>
      <c r="AC72" s="34"/>
      <c r="AD72" s="34"/>
      <c r="AE72" s="34"/>
      <c r="AF72" s="34"/>
      <c r="AG72" s="34"/>
      <c r="AH72" s="34"/>
    </row>
    <row r="73">
      <c r="A73" s="21" t="s">
        <v>41</v>
      </c>
      <c r="B73" s="19" t="s">
        <v>192</v>
      </c>
      <c r="C73" s="21" t="s">
        <v>43</v>
      </c>
      <c r="D73" s="21" t="s">
        <v>44</v>
      </c>
      <c r="E73" s="19" t="s">
        <v>494</v>
      </c>
      <c r="F73" s="40">
        <v>46224.0</v>
      </c>
      <c r="G73" s="19" t="s">
        <v>495</v>
      </c>
      <c r="H73" s="32">
        <v>2026.0</v>
      </c>
      <c r="I73" s="30">
        <v>46241.0</v>
      </c>
      <c r="J73" s="19" t="s">
        <v>50</v>
      </c>
      <c r="K73" s="19" t="s">
        <v>459</v>
      </c>
      <c r="L73" s="25">
        <v>46244.0</v>
      </c>
      <c r="M73" s="33">
        <v>419600.0</v>
      </c>
      <c r="N73" s="19" t="s">
        <v>111</v>
      </c>
      <c r="O73" s="19" t="s">
        <v>275</v>
      </c>
      <c r="P73" s="19" t="s">
        <v>55</v>
      </c>
      <c r="Q73" s="19"/>
      <c r="R73" s="19"/>
      <c r="S73" s="34"/>
      <c r="T73" s="34"/>
      <c r="U73" s="34"/>
      <c r="V73" s="34"/>
      <c r="W73" s="34"/>
      <c r="X73" s="34"/>
      <c r="Y73" s="34"/>
      <c r="Z73" s="34"/>
      <c r="AA73" s="34"/>
      <c r="AB73" s="34"/>
      <c r="AC73" s="34"/>
      <c r="AD73" s="34"/>
      <c r="AE73" s="34"/>
      <c r="AF73" s="34"/>
      <c r="AG73" s="34"/>
      <c r="AH73" s="34"/>
    </row>
    <row r="74">
      <c r="A74" s="21" t="s">
        <v>41</v>
      </c>
      <c r="B74" s="19" t="s">
        <v>192</v>
      </c>
      <c r="C74" s="21" t="s">
        <v>43</v>
      </c>
      <c r="D74" s="21" t="s">
        <v>44</v>
      </c>
      <c r="E74" s="73" t="s">
        <v>263</v>
      </c>
      <c r="F74" s="19" t="s">
        <v>498</v>
      </c>
      <c r="G74" s="19" t="s">
        <v>495</v>
      </c>
      <c r="H74" s="32">
        <v>2026.0</v>
      </c>
      <c r="I74" s="30">
        <v>46252.0</v>
      </c>
      <c r="J74" s="19" t="s">
        <v>50</v>
      </c>
      <c r="K74" s="19" t="s">
        <v>64</v>
      </c>
      <c r="L74" s="19" t="s">
        <v>58</v>
      </c>
      <c r="M74" s="33">
        <v>308700.0</v>
      </c>
      <c r="N74" s="19" t="s">
        <v>499</v>
      </c>
      <c r="O74" s="19" t="s">
        <v>275</v>
      </c>
      <c r="P74" s="19" t="s">
        <v>55</v>
      </c>
      <c r="Q74" s="19"/>
      <c r="R74" s="19"/>
      <c r="S74" s="34"/>
      <c r="T74" s="34"/>
      <c r="U74" s="34"/>
      <c r="V74" s="34"/>
      <c r="W74" s="34"/>
      <c r="X74" s="34"/>
      <c r="Y74" s="34"/>
      <c r="Z74" s="34"/>
      <c r="AA74" s="34"/>
      <c r="AB74" s="34"/>
      <c r="AC74" s="34"/>
      <c r="AD74" s="34"/>
      <c r="AE74" s="34"/>
      <c r="AF74" s="34"/>
      <c r="AG74" s="34"/>
      <c r="AH74" s="34"/>
    </row>
    <row r="75">
      <c r="A75" s="21" t="s">
        <v>41</v>
      </c>
      <c r="B75" s="19" t="s">
        <v>192</v>
      </c>
      <c r="C75" s="21" t="s">
        <v>43</v>
      </c>
      <c r="D75" s="21" t="s">
        <v>44</v>
      </c>
      <c r="E75" s="19" t="s">
        <v>155</v>
      </c>
      <c r="F75" s="25">
        <v>46249.0</v>
      </c>
      <c r="G75" s="19" t="s">
        <v>495</v>
      </c>
      <c r="H75" s="32">
        <v>2026.0</v>
      </c>
      <c r="I75" s="30">
        <v>46244.0</v>
      </c>
      <c r="J75" s="19" t="s">
        <v>50</v>
      </c>
      <c r="K75" s="19" t="s">
        <v>64</v>
      </c>
      <c r="L75" s="19" t="s">
        <v>58</v>
      </c>
      <c r="M75" s="33">
        <v>212300.0</v>
      </c>
      <c r="N75" s="21" t="s">
        <v>503</v>
      </c>
      <c r="O75" s="21" t="s">
        <v>54</v>
      </c>
      <c r="P75" s="19" t="s">
        <v>55</v>
      </c>
      <c r="Q75" s="19"/>
      <c r="R75" s="19"/>
      <c r="S75" s="34"/>
      <c r="T75" s="34"/>
      <c r="U75" s="34"/>
      <c r="V75" s="34"/>
      <c r="W75" s="34"/>
      <c r="X75" s="34"/>
      <c r="Y75" s="34"/>
      <c r="Z75" s="34"/>
      <c r="AA75" s="34"/>
      <c r="AB75" s="34"/>
      <c r="AC75" s="34"/>
      <c r="AD75" s="34"/>
      <c r="AE75" s="34"/>
      <c r="AF75" s="34"/>
      <c r="AG75" s="34"/>
      <c r="AH75" s="34"/>
    </row>
    <row r="76">
      <c r="A76" s="21" t="s">
        <v>41</v>
      </c>
      <c r="B76" s="19" t="s">
        <v>192</v>
      </c>
      <c r="C76" s="21" t="s">
        <v>43</v>
      </c>
      <c r="D76" s="21" t="s">
        <v>44</v>
      </c>
      <c r="E76" s="19" t="s">
        <v>504</v>
      </c>
      <c r="F76" s="25">
        <v>46250.0</v>
      </c>
      <c r="G76" s="19" t="s">
        <v>495</v>
      </c>
      <c r="H76" s="32">
        <v>2026.0</v>
      </c>
      <c r="I76" s="30">
        <v>46237.0</v>
      </c>
      <c r="J76" s="19" t="s">
        <v>50</v>
      </c>
      <c r="K76" s="19" t="s">
        <v>64</v>
      </c>
      <c r="L76" s="23"/>
      <c r="M76" s="33">
        <v>195700.0</v>
      </c>
      <c r="N76" s="21" t="s">
        <v>503</v>
      </c>
      <c r="O76" s="21" t="s">
        <v>54</v>
      </c>
      <c r="P76" s="19" t="s">
        <v>55</v>
      </c>
      <c r="Q76" s="19"/>
      <c r="R76" s="19"/>
      <c r="S76" s="34"/>
      <c r="T76" s="34"/>
      <c r="U76" s="34"/>
      <c r="V76" s="34"/>
      <c r="W76" s="34"/>
      <c r="X76" s="34"/>
      <c r="Y76" s="34"/>
      <c r="Z76" s="34"/>
      <c r="AA76" s="34"/>
      <c r="AB76" s="34"/>
      <c r="AC76" s="34"/>
      <c r="AD76" s="34"/>
      <c r="AE76" s="34"/>
      <c r="AF76" s="34"/>
      <c r="AG76" s="34"/>
      <c r="AH76" s="34"/>
    </row>
    <row r="77">
      <c r="A77" s="21" t="s">
        <v>41</v>
      </c>
      <c r="B77" s="19" t="s">
        <v>192</v>
      </c>
      <c r="C77" s="21" t="s">
        <v>43</v>
      </c>
      <c r="D77" s="21" t="s">
        <v>44</v>
      </c>
      <c r="E77" s="54" t="s">
        <v>507</v>
      </c>
      <c r="F77" s="25">
        <v>46255.0</v>
      </c>
      <c r="G77" s="19" t="s">
        <v>495</v>
      </c>
      <c r="H77" s="32">
        <v>2026.0</v>
      </c>
      <c r="I77" s="30">
        <v>46258.0</v>
      </c>
      <c r="J77" s="19" t="s">
        <v>50</v>
      </c>
      <c r="K77" s="19" t="s">
        <v>64</v>
      </c>
      <c r="L77" s="25">
        <v>46261.0</v>
      </c>
      <c r="M77" s="33">
        <v>1500000.0</v>
      </c>
      <c r="N77" s="19" t="s">
        <v>510</v>
      </c>
      <c r="O77" s="19" t="s">
        <v>54</v>
      </c>
      <c r="P77" s="19" t="s">
        <v>55</v>
      </c>
      <c r="Q77" s="19"/>
      <c r="R77" s="19"/>
      <c r="S77" s="34"/>
      <c r="T77" s="34"/>
      <c r="U77" s="34"/>
      <c r="V77" s="34"/>
      <c r="W77" s="34"/>
      <c r="X77" s="34"/>
      <c r="Y77" s="34"/>
      <c r="Z77" s="34"/>
      <c r="AA77" s="34"/>
      <c r="AB77" s="34"/>
      <c r="AC77" s="34"/>
      <c r="AD77" s="34"/>
      <c r="AE77" s="34"/>
      <c r="AF77" s="34"/>
      <c r="AG77" s="34"/>
      <c r="AH77" s="34"/>
    </row>
    <row r="78">
      <c r="A78" s="21" t="s">
        <v>41</v>
      </c>
      <c r="B78" s="19" t="s">
        <v>192</v>
      </c>
      <c r="C78" s="21" t="s">
        <v>43</v>
      </c>
      <c r="D78" s="21" t="s">
        <v>44</v>
      </c>
      <c r="E78" s="54" t="s">
        <v>511</v>
      </c>
      <c r="F78" s="25">
        <v>46249.0</v>
      </c>
      <c r="G78" s="19" t="s">
        <v>495</v>
      </c>
      <c r="H78" s="32">
        <v>2026.0</v>
      </c>
      <c r="I78" s="30">
        <v>46258.0</v>
      </c>
      <c r="J78" s="19" t="s">
        <v>50</v>
      </c>
      <c r="K78" s="19"/>
      <c r="L78" s="25">
        <v>46262.0</v>
      </c>
      <c r="M78" s="110">
        <v>179300.0</v>
      </c>
      <c r="N78" s="19" t="s">
        <v>510</v>
      </c>
      <c r="O78" s="19" t="s">
        <v>54</v>
      </c>
      <c r="P78" s="19" t="s">
        <v>55</v>
      </c>
      <c r="Q78" s="19"/>
      <c r="R78" s="19"/>
      <c r="S78" s="34"/>
      <c r="T78" s="34"/>
      <c r="U78" s="34"/>
      <c r="V78" s="34"/>
      <c r="W78" s="34"/>
      <c r="X78" s="34"/>
      <c r="Y78" s="34"/>
      <c r="Z78" s="34"/>
      <c r="AA78" s="34"/>
      <c r="AB78" s="34"/>
      <c r="AC78" s="34"/>
      <c r="AD78" s="34"/>
      <c r="AE78" s="34"/>
      <c r="AF78" s="34"/>
      <c r="AG78" s="34"/>
      <c r="AH78" s="34"/>
    </row>
    <row r="79">
      <c r="A79" s="21" t="s">
        <v>41</v>
      </c>
      <c r="B79" s="19" t="s">
        <v>192</v>
      </c>
      <c r="C79" s="21" t="s">
        <v>43</v>
      </c>
      <c r="D79" s="21" t="s">
        <v>44</v>
      </c>
      <c r="E79" s="111" t="s">
        <v>514</v>
      </c>
      <c r="F79" s="25">
        <v>46262.0</v>
      </c>
      <c r="G79" s="19" t="s">
        <v>495</v>
      </c>
      <c r="H79" s="32">
        <v>2026.0</v>
      </c>
      <c r="I79" s="30">
        <v>46262.0</v>
      </c>
      <c r="J79" s="19" t="s">
        <v>105</v>
      </c>
      <c r="K79" s="113" t="s">
        <v>517</v>
      </c>
      <c r="L79" s="25">
        <v>46265.0</v>
      </c>
      <c r="M79" s="39" t="s">
        <v>58</v>
      </c>
      <c r="N79" s="19" t="s">
        <v>523</v>
      </c>
      <c r="O79" s="19" t="s">
        <v>54</v>
      </c>
      <c r="P79" s="21" t="s">
        <v>524</v>
      </c>
      <c r="Q79" s="21"/>
      <c r="R79" s="21"/>
      <c r="S79" s="34"/>
      <c r="T79" s="34"/>
      <c r="U79" s="34"/>
      <c r="V79" s="34"/>
      <c r="W79" s="34"/>
      <c r="X79" s="34"/>
      <c r="Y79" s="34"/>
      <c r="Z79" s="34"/>
      <c r="AA79" s="34"/>
      <c r="AB79" s="34"/>
      <c r="AC79" s="34"/>
      <c r="AD79" s="34"/>
      <c r="AE79" s="34"/>
      <c r="AF79" s="34"/>
      <c r="AG79" s="34"/>
      <c r="AH79" s="34"/>
    </row>
    <row r="80">
      <c r="A80" s="21" t="s">
        <v>108</v>
      </c>
      <c r="B80" s="21" t="s">
        <v>192</v>
      </c>
      <c r="C80" s="21" t="s">
        <v>366</v>
      </c>
      <c r="D80" s="21" t="s">
        <v>366</v>
      </c>
      <c r="E80" s="21" t="s">
        <v>368</v>
      </c>
      <c r="F80" s="40">
        <v>46261.0</v>
      </c>
      <c r="G80" s="21" t="s">
        <v>495</v>
      </c>
      <c r="H80" s="21">
        <v>2026.0</v>
      </c>
      <c r="I80" s="30">
        <v>46261.0</v>
      </c>
      <c r="J80" s="100" t="s">
        <v>151</v>
      </c>
      <c r="K80" s="21" t="s">
        <v>294</v>
      </c>
      <c r="L80" s="40">
        <v>46261.0</v>
      </c>
      <c r="M80" s="101" t="s">
        <v>58</v>
      </c>
      <c r="N80" s="21" t="s">
        <v>527</v>
      </c>
      <c r="O80" s="21" t="s">
        <v>54</v>
      </c>
      <c r="P80" s="21" t="s">
        <v>442</v>
      </c>
      <c r="Q80" s="21"/>
      <c r="R80" s="21"/>
      <c r="S80" s="34"/>
      <c r="T80" s="34"/>
      <c r="U80" s="34"/>
      <c r="V80" s="34"/>
      <c r="W80" s="34"/>
      <c r="X80" s="34"/>
      <c r="Y80" s="34"/>
      <c r="Z80" s="34"/>
      <c r="AA80" s="34"/>
      <c r="AB80" s="34"/>
      <c r="AC80" s="34"/>
      <c r="AD80" s="34"/>
      <c r="AE80" s="34"/>
      <c r="AF80" s="34"/>
      <c r="AG80" s="34"/>
      <c r="AH80" s="34"/>
    </row>
    <row r="81">
      <c r="A81" s="21" t="s">
        <v>41</v>
      </c>
      <c r="B81" s="21" t="s">
        <v>192</v>
      </c>
      <c r="C81" s="21" t="s">
        <v>43</v>
      </c>
      <c r="D81" s="21" t="s">
        <v>44</v>
      </c>
      <c r="E81" s="21" t="s">
        <v>264</v>
      </c>
      <c r="F81" s="40">
        <v>46230.0</v>
      </c>
      <c r="G81" s="21" t="s">
        <v>414</v>
      </c>
      <c r="H81" s="21">
        <v>2026.0</v>
      </c>
      <c r="I81" s="30">
        <v>46230.0</v>
      </c>
      <c r="J81" s="100" t="s">
        <v>105</v>
      </c>
      <c r="K81" s="21" t="s">
        <v>530</v>
      </c>
      <c r="L81" s="21" t="s">
        <v>58</v>
      </c>
      <c r="M81" s="101">
        <v>4029300.0</v>
      </c>
      <c r="N81" s="21" t="s">
        <v>531</v>
      </c>
      <c r="O81" s="21" t="s">
        <v>62</v>
      </c>
      <c r="P81" s="21" t="s">
        <v>474</v>
      </c>
      <c r="Q81" s="21"/>
      <c r="R81" s="21"/>
      <c r="S81" s="34"/>
      <c r="T81" s="34"/>
      <c r="U81" s="34"/>
      <c r="V81" s="34"/>
      <c r="W81" s="34"/>
      <c r="X81" s="34"/>
      <c r="Y81" s="34"/>
      <c r="Z81" s="34"/>
      <c r="AA81" s="34"/>
      <c r="AB81" s="34"/>
      <c r="AC81" s="34"/>
      <c r="AD81" s="34"/>
      <c r="AE81" s="34"/>
      <c r="AF81" s="34"/>
      <c r="AG81" s="34"/>
      <c r="AH81" s="34"/>
    </row>
    <row r="82">
      <c r="A82" s="21" t="s">
        <v>41</v>
      </c>
      <c r="B82" s="21" t="s">
        <v>192</v>
      </c>
      <c r="C82" s="21" t="s">
        <v>312</v>
      </c>
      <c r="D82" s="21" t="s">
        <v>183</v>
      </c>
      <c r="E82" s="21" t="s">
        <v>325</v>
      </c>
      <c r="F82" s="40">
        <v>46239.0</v>
      </c>
      <c r="G82" s="21" t="s">
        <v>495</v>
      </c>
      <c r="H82" s="21">
        <v>2026.0</v>
      </c>
      <c r="I82" s="40">
        <v>46239.0</v>
      </c>
      <c r="J82" s="100" t="s">
        <v>291</v>
      </c>
      <c r="K82" s="21" t="s">
        <v>534</v>
      </c>
      <c r="L82" s="115">
        <v>46269.0</v>
      </c>
      <c r="M82" s="101">
        <v>633115.0</v>
      </c>
      <c r="N82" s="21" t="s">
        <v>537</v>
      </c>
      <c r="O82" s="21" t="s">
        <v>54</v>
      </c>
      <c r="P82" s="21"/>
      <c r="Q82" s="21"/>
      <c r="R82" s="21"/>
      <c r="S82" s="34"/>
      <c r="T82" s="34"/>
      <c r="U82" s="34"/>
      <c r="V82" s="34"/>
      <c r="W82" s="34"/>
      <c r="X82" s="34"/>
      <c r="Y82" s="34"/>
      <c r="Z82" s="34"/>
      <c r="AA82" s="34"/>
      <c r="AB82" s="34"/>
      <c r="AC82" s="34"/>
      <c r="AD82" s="34"/>
      <c r="AE82" s="34"/>
      <c r="AF82" s="34"/>
      <c r="AG82" s="34"/>
      <c r="AH82" s="34"/>
    </row>
    <row r="83">
      <c r="A83" s="21" t="s">
        <v>41</v>
      </c>
      <c r="B83" s="21" t="s">
        <v>192</v>
      </c>
      <c r="C83" s="21" t="s">
        <v>312</v>
      </c>
      <c r="D83" s="21" t="s">
        <v>183</v>
      </c>
      <c r="E83" s="21" t="s">
        <v>325</v>
      </c>
      <c r="F83" s="40">
        <v>46258.0</v>
      </c>
      <c r="G83" s="21" t="s">
        <v>495</v>
      </c>
      <c r="H83" s="21">
        <v>2026.0</v>
      </c>
      <c r="I83" s="40">
        <v>46265.0</v>
      </c>
      <c r="J83" s="100" t="s">
        <v>291</v>
      </c>
      <c r="K83" s="21" t="s">
        <v>538</v>
      </c>
      <c r="L83" s="40">
        <v>46269.0</v>
      </c>
      <c r="M83" s="117">
        <v>412517.0</v>
      </c>
      <c r="N83" s="21" t="s">
        <v>541</v>
      </c>
      <c r="O83" s="21" t="s">
        <v>54</v>
      </c>
      <c r="P83" s="21" t="s">
        <v>474</v>
      </c>
      <c r="Q83" s="21"/>
      <c r="R83" s="21"/>
      <c r="S83" s="34"/>
      <c r="T83" s="34"/>
      <c r="U83" s="34"/>
      <c r="V83" s="34"/>
      <c r="W83" s="34"/>
      <c r="X83" s="34"/>
      <c r="Y83" s="34"/>
      <c r="Z83" s="34"/>
      <c r="AA83" s="34"/>
      <c r="AB83" s="34"/>
      <c r="AC83" s="34"/>
      <c r="AD83" s="34"/>
      <c r="AE83" s="34"/>
      <c r="AF83" s="34"/>
      <c r="AG83" s="34"/>
      <c r="AH83" s="34"/>
    </row>
    <row r="84">
      <c r="A84" s="21" t="s">
        <v>108</v>
      </c>
      <c r="B84" s="21" t="s">
        <v>192</v>
      </c>
      <c r="C84" s="21" t="s">
        <v>43</v>
      </c>
      <c r="D84" s="21" t="s">
        <v>44</v>
      </c>
      <c r="E84" s="21" t="s">
        <v>301</v>
      </c>
      <c r="F84" s="40">
        <v>46262.0</v>
      </c>
      <c r="G84" s="21" t="s">
        <v>495</v>
      </c>
      <c r="H84" s="21">
        <v>2026.0</v>
      </c>
      <c r="I84" s="40">
        <v>46262.0</v>
      </c>
      <c r="J84" s="100" t="s">
        <v>151</v>
      </c>
      <c r="K84" s="21" t="s">
        <v>459</v>
      </c>
      <c r="L84" s="40">
        <v>46262.0</v>
      </c>
      <c r="M84" s="101" t="s">
        <v>58</v>
      </c>
      <c r="N84" s="21" t="s">
        <v>542</v>
      </c>
      <c r="O84" s="21" t="s">
        <v>54</v>
      </c>
      <c r="P84" s="21" t="s">
        <v>442</v>
      </c>
      <c r="Q84" s="21"/>
      <c r="R84" s="21"/>
      <c r="S84" s="34"/>
      <c r="T84" s="34"/>
      <c r="U84" s="34"/>
      <c r="V84" s="34"/>
      <c r="W84" s="34"/>
      <c r="X84" s="34"/>
      <c r="Y84" s="34"/>
      <c r="Z84" s="34"/>
      <c r="AA84" s="34"/>
      <c r="AB84" s="34"/>
      <c r="AC84" s="34"/>
      <c r="AD84" s="34"/>
      <c r="AE84" s="34"/>
      <c r="AF84" s="34"/>
      <c r="AG84" s="34"/>
      <c r="AH84" s="34"/>
    </row>
    <row r="85">
      <c r="A85" s="21" t="s">
        <v>108</v>
      </c>
      <c r="B85" s="21" t="s">
        <v>192</v>
      </c>
      <c r="C85" s="21" t="s">
        <v>43</v>
      </c>
      <c r="D85" s="21" t="s">
        <v>44</v>
      </c>
      <c r="E85" s="21" t="s">
        <v>45</v>
      </c>
      <c r="F85" s="40">
        <v>46252.0</v>
      </c>
      <c r="G85" s="21" t="s">
        <v>495</v>
      </c>
      <c r="H85" s="21">
        <v>2026.0</v>
      </c>
      <c r="I85" s="40">
        <v>46253.0</v>
      </c>
      <c r="J85" s="100" t="s">
        <v>458</v>
      </c>
      <c r="K85" s="21" t="s">
        <v>545</v>
      </c>
      <c r="L85" s="21" t="s">
        <v>58</v>
      </c>
      <c r="M85" s="101" t="s">
        <v>58</v>
      </c>
      <c r="N85" s="21" t="s">
        <v>546</v>
      </c>
      <c r="O85" s="21" t="s">
        <v>62</v>
      </c>
      <c r="P85" s="21" t="s">
        <v>463</v>
      </c>
      <c r="Q85" s="21"/>
      <c r="R85" s="21"/>
      <c r="S85" s="34"/>
      <c r="T85" s="34"/>
      <c r="U85" s="34"/>
      <c r="V85" s="34"/>
      <c r="W85" s="34"/>
      <c r="X85" s="34"/>
      <c r="Y85" s="34"/>
      <c r="Z85" s="34"/>
      <c r="AA85" s="34"/>
      <c r="AB85" s="34"/>
      <c r="AC85" s="34"/>
      <c r="AD85" s="34"/>
      <c r="AE85" s="34"/>
      <c r="AF85" s="34"/>
      <c r="AG85" s="34"/>
      <c r="AH85" s="34"/>
    </row>
    <row r="86">
      <c r="A86" s="21" t="s">
        <v>41</v>
      </c>
      <c r="B86" s="21" t="s">
        <v>192</v>
      </c>
      <c r="C86" s="21" t="s">
        <v>312</v>
      </c>
      <c r="D86" s="21" t="s">
        <v>183</v>
      </c>
      <c r="E86" s="21" t="s">
        <v>457</v>
      </c>
      <c r="F86" s="40">
        <v>46249.0</v>
      </c>
      <c r="G86" s="21" t="s">
        <v>495</v>
      </c>
      <c r="H86" s="21">
        <v>2026.0</v>
      </c>
      <c r="I86" s="40">
        <v>46255.0</v>
      </c>
      <c r="J86" s="100" t="s">
        <v>451</v>
      </c>
      <c r="K86" s="21" t="s">
        <v>549</v>
      </c>
      <c r="L86" s="115">
        <v>46268.0</v>
      </c>
      <c r="M86" s="101" t="s">
        <v>58</v>
      </c>
      <c r="N86" s="21" t="s">
        <v>550</v>
      </c>
      <c r="O86" s="21" t="s">
        <v>54</v>
      </c>
      <c r="P86" s="21" t="s">
        <v>454</v>
      </c>
      <c r="Q86" s="21"/>
      <c r="R86" s="21"/>
      <c r="S86" s="34"/>
      <c r="T86" s="34"/>
      <c r="U86" s="34"/>
      <c r="V86" s="34"/>
      <c r="W86" s="34"/>
      <c r="X86" s="34"/>
      <c r="Y86" s="34"/>
      <c r="Z86" s="34"/>
      <c r="AA86" s="34"/>
      <c r="AB86" s="34"/>
      <c r="AC86" s="34"/>
      <c r="AD86" s="34"/>
      <c r="AE86" s="34"/>
      <c r="AF86" s="34"/>
      <c r="AG86" s="34"/>
      <c r="AH86" s="34"/>
    </row>
    <row r="87">
      <c r="A87" s="21" t="s">
        <v>108</v>
      </c>
      <c r="B87" s="21" t="s">
        <v>192</v>
      </c>
      <c r="C87" s="21" t="s">
        <v>366</v>
      </c>
      <c r="D87" s="21" t="s">
        <v>366</v>
      </c>
      <c r="E87" s="21" t="s">
        <v>387</v>
      </c>
      <c r="F87" s="40">
        <v>46261.0</v>
      </c>
      <c r="G87" s="21" t="s">
        <v>495</v>
      </c>
      <c r="H87" s="21">
        <v>2026.0</v>
      </c>
      <c r="I87" s="40">
        <v>46261.0</v>
      </c>
      <c r="J87" s="100" t="s">
        <v>554</v>
      </c>
      <c r="K87" s="21" t="s">
        <v>555</v>
      </c>
      <c r="L87" s="40">
        <v>46261.0</v>
      </c>
      <c r="M87" s="101" t="s">
        <v>58</v>
      </c>
      <c r="N87" s="21" t="s">
        <v>556</v>
      </c>
      <c r="O87" s="21" t="s">
        <v>54</v>
      </c>
      <c r="P87" s="21" t="s">
        <v>557</v>
      </c>
      <c r="Q87" s="21"/>
      <c r="R87" s="21"/>
      <c r="S87" s="34"/>
      <c r="T87" s="34"/>
      <c r="U87" s="34"/>
      <c r="V87" s="34"/>
      <c r="W87" s="34"/>
      <c r="X87" s="34"/>
      <c r="Y87" s="34"/>
      <c r="Z87" s="34"/>
      <c r="AA87" s="34"/>
      <c r="AB87" s="34"/>
      <c r="AC87" s="34"/>
      <c r="AD87" s="34"/>
      <c r="AE87" s="34"/>
      <c r="AF87" s="34"/>
      <c r="AG87" s="34"/>
      <c r="AH87" s="34"/>
    </row>
    <row r="88">
      <c r="A88" s="21" t="s">
        <v>41</v>
      </c>
      <c r="B88" s="21" t="s">
        <v>192</v>
      </c>
      <c r="C88" s="21" t="s">
        <v>312</v>
      </c>
      <c r="D88" s="21" t="s">
        <v>183</v>
      </c>
      <c r="E88" s="21" t="s">
        <v>314</v>
      </c>
      <c r="F88" s="40">
        <v>46253.0</v>
      </c>
      <c r="G88" s="21" t="s">
        <v>495</v>
      </c>
      <c r="H88" s="21">
        <v>2026.0</v>
      </c>
      <c r="I88" s="40">
        <v>46254.0</v>
      </c>
      <c r="J88" s="100" t="s">
        <v>451</v>
      </c>
      <c r="K88" s="21" t="s">
        <v>452</v>
      </c>
      <c r="L88" s="40">
        <v>46260.0</v>
      </c>
      <c r="M88" s="101" t="s">
        <v>58</v>
      </c>
      <c r="N88" s="21" t="s">
        <v>560</v>
      </c>
      <c r="O88" s="21" t="s">
        <v>54</v>
      </c>
      <c r="P88" s="21" t="s">
        <v>454</v>
      </c>
      <c r="Q88" s="21"/>
      <c r="R88" s="21"/>
      <c r="S88" s="34"/>
      <c r="T88" s="34"/>
      <c r="U88" s="34"/>
      <c r="V88" s="34"/>
      <c r="W88" s="34"/>
      <c r="X88" s="34"/>
      <c r="Y88" s="34"/>
      <c r="Z88" s="34"/>
      <c r="AA88" s="34"/>
      <c r="AB88" s="34"/>
      <c r="AC88" s="34"/>
      <c r="AD88" s="34"/>
      <c r="AE88" s="34"/>
      <c r="AF88" s="34"/>
      <c r="AG88" s="34"/>
      <c r="AH88" s="34"/>
    </row>
    <row r="89">
      <c r="A89" s="21" t="s">
        <v>41</v>
      </c>
      <c r="B89" s="21" t="s">
        <v>192</v>
      </c>
      <c r="C89" s="21" t="s">
        <v>312</v>
      </c>
      <c r="D89" s="21" t="s">
        <v>183</v>
      </c>
      <c r="E89" s="21" t="s">
        <v>325</v>
      </c>
      <c r="F89" s="40">
        <v>46239.0</v>
      </c>
      <c r="G89" s="21" t="s">
        <v>495</v>
      </c>
      <c r="H89" s="21">
        <v>2026.0</v>
      </c>
      <c r="I89" s="115" t="s">
        <v>563</v>
      </c>
      <c r="J89" s="100" t="s">
        <v>291</v>
      </c>
      <c r="K89" s="21" t="s">
        <v>565</v>
      </c>
      <c r="L89" s="40">
        <v>46238.0</v>
      </c>
      <c r="M89" s="101" t="s">
        <v>58</v>
      </c>
      <c r="N89" s="21" t="s">
        <v>566</v>
      </c>
      <c r="O89" s="21" t="s">
        <v>54</v>
      </c>
      <c r="P89" s="21" t="s">
        <v>474</v>
      </c>
      <c r="Q89" s="21"/>
      <c r="R89" s="21"/>
      <c r="S89" s="34"/>
      <c r="T89" s="34"/>
      <c r="U89" s="34"/>
      <c r="V89" s="34"/>
      <c r="W89" s="34"/>
      <c r="X89" s="34"/>
      <c r="Y89" s="34"/>
      <c r="Z89" s="34"/>
      <c r="AA89" s="34"/>
      <c r="AB89" s="34"/>
      <c r="AC89" s="34"/>
      <c r="AD89" s="34"/>
      <c r="AE89" s="34"/>
      <c r="AF89" s="34"/>
      <c r="AG89" s="34"/>
      <c r="AH89" s="34"/>
    </row>
    <row r="90">
      <c r="A90" s="21" t="s">
        <v>41</v>
      </c>
      <c r="B90" s="21" t="s">
        <v>192</v>
      </c>
      <c r="C90" s="21" t="s">
        <v>43</v>
      </c>
      <c r="D90" s="21" t="s">
        <v>44</v>
      </c>
      <c r="E90" s="21" t="s">
        <v>143</v>
      </c>
      <c r="F90" s="40">
        <v>46216.0</v>
      </c>
      <c r="G90" s="21" t="s">
        <v>495</v>
      </c>
      <c r="H90" s="21">
        <v>2026.0</v>
      </c>
      <c r="I90" s="40">
        <v>46247.0</v>
      </c>
      <c r="J90" s="100" t="s">
        <v>151</v>
      </c>
      <c r="K90" s="21" t="s">
        <v>459</v>
      </c>
      <c r="L90" s="40">
        <v>46247.0</v>
      </c>
      <c r="M90" s="101" t="s">
        <v>58</v>
      </c>
      <c r="N90" s="21" t="s">
        <v>570</v>
      </c>
      <c r="O90" s="21" t="s">
        <v>54</v>
      </c>
      <c r="P90" s="21" t="s">
        <v>442</v>
      </c>
      <c r="Q90" s="21"/>
      <c r="R90" s="21"/>
      <c r="S90" s="34"/>
      <c r="T90" s="34"/>
      <c r="U90" s="34"/>
      <c r="V90" s="34"/>
      <c r="W90" s="34"/>
      <c r="X90" s="34"/>
      <c r="Y90" s="34"/>
      <c r="Z90" s="34"/>
      <c r="AA90" s="34"/>
      <c r="AB90" s="34"/>
      <c r="AC90" s="34"/>
      <c r="AD90" s="34"/>
      <c r="AE90" s="34"/>
      <c r="AF90" s="34"/>
      <c r="AG90" s="34"/>
      <c r="AH90" s="34"/>
    </row>
    <row r="91">
      <c r="A91" s="21" t="s">
        <v>41</v>
      </c>
      <c r="B91" s="21" t="s">
        <v>192</v>
      </c>
      <c r="C91" s="21" t="s">
        <v>43</v>
      </c>
      <c r="D91" s="21" t="s">
        <v>44</v>
      </c>
      <c r="E91" s="21" t="s">
        <v>148</v>
      </c>
      <c r="F91" s="40">
        <v>46245.0</v>
      </c>
      <c r="G91" s="21" t="s">
        <v>495</v>
      </c>
      <c r="H91" s="21">
        <v>2026.0</v>
      </c>
      <c r="I91" s="40">
        <v>46245.0</v>
      </c>
      <c r="J91" s="100" t="s">
        <v>50</v>
      </c>
      <c r="K91" s="21" t="s">
        <v>459</v>
      </c>
      <c r="L91" s="40">
        <v>46245.0</v>
      </c>
      <c r="M91" s="101">
        <v>419600.0</v>
      </c>
      <c r="N91" s="21" t="s">
        <v>573</v>
      </c>
      <c r="O91" s="21" t="s">
        <v>54</v>
      </c>
      <c r="P91" s="21" t="s">
        <v>55</v>
      </c>
      <c r="Q91" s="21"/>
      <c r="R91" s="21"/>
      <c r="S91" s="34"/>
      <c r="T91" s="34"/>
      <c r="U91" s="34"/>
      <c r="V91" s="34"/>
      <c r="W91" s="34"/>
      <c r="X91" s="34"/>
      <c r="Y91" s="34"/>
      <c r="Z91" s="34"/>
      <c r="AA91" s="34"/>
      <c r="AB91" s="34"/>
      <c r="AC91" s="34"/>
      <c r="AD91" s="34"/>
      <c r="AE91" s="34"/>
      <c r="AF91" s="34"/>
      <c r="AG91" s="34"/>
      <c r="AH91" s="34"/>
    </row>
    <row r="92">
      <c r="A92" s="21" t="s">
        <v>41</v>
      </c>
      <c r="B92" s="21" t="s">
        <v>192</v>
      </c>
      <c r="C92" s="21" t="s">
        <v>43</v>
      </c>
      <c r="D92" s="21" t="s">
        <v>44</v>
      </c>
      <c r="E92" s="21" t="s">
        <v>45</v>
      </c>
      <c r="F92" s="40">
        <v>46237.0</v>
      </c>
      <c r="G92" s="21" t="s">
        <v>495</v>
      </c>
      <c r="H92" s="21">
        <v>2026.0</v>
      </c>
      <c r="I92" s="40">
        <v>46237.0</v>
      </c>
      <c r="J92" s="100" t="s">
        <v>151</v>
      </c>
      <c r="K92" s="21" t="s">
        <v>574</v>
      </c>
      <c r="L92" s="40">
        <v>46244.0</v>
      </c>
      <c r="M92" s="101" t="s">
        <v>58</v>
      </c>
      <c r="N92" s="21" t="s">
        <v>570</v>
      </c>
      <c r="O92" s="21" t="s">
        <v>54</v>
      </c>
      <c r="P92" s="21" t="s">
        <v>442</v>
      </c>
      <c r="Q92" s="21"/>
      <c r="R92" s="21"/>
      <c r="S92" s="34"/>
      <c r="T92" s="34"/>
      <c r="U92" s="34"/>
      <c r="V92" s="34"/>
      <c r="W92" s="34"/>
      <c r="X92" s="34"/>
      <c r="Y92" s="34"/>
      <c r="Z92" s="34"/>
      <c r="AA92" s="34"/>
      <c r="AB92" s="34"/>
      <c r="AC92" s="34"/>
      <c r="AD92" s="34"/>
      <c r="AE92" s="34"/>
      <c r="AF92" s="34"/>
      <c r="AG92" s="34"/>
      <c r="AH92" s="34"/>
    </row>
    <row r="93">
      <c r="A93" s="21" t="s">
        <v>108</v>
      </c>
      <c r="B93" s="21" t="s">
        <v>192</v>
      </c>
      <c r="C93" s="21" t="s">
        <v>366</v>
      </c>
      <c r="D93" s="21" t="s">
        <v>366</v>
      </c>
      <c r="E93" s="21" t="s">
        <v>368</v>
      </c>
      <c r="F93" s="115">
        <v>46239.0</v>
      </c>
      <c r="G93" s="21" t="s">
        <v>495</v>
      </c>
      <c r="H93" s="21">
        <v>2026.0</v>
      </c>
      <c r="I93" s="40">
        <v>46240.0</v>
      </c>
      <c r="J93" s="100" t="s">
        <v>59</v>
      </c>
      <c r="K93" s="21" t="s">
        <v>432</v>
      </c>
      <c r="L93" s="40">
        <v>46240.0</v>
      </c>
      <c r="M93" s="101" t="s">
        <v>58</v>
      </c>
      <c r="N93" s="21" t="s">
        <v>577</v>
      </c>
      <c r="O93" s="21" t="s">
        <v>54</v>
      </c>
      <c r="P93" s="21" t="s">
        <v>557</v>
      </c>
      <c r="Q93" s="21"/>
      <c r="R93" s="21"/>
      <c r="S93" s="34"/>
      <c r="T93" s="34"/>
      <c r="U93" s="34"/>
      <c r="V93" s="34"/>
      <c r="W93" s="34"/>
      <c r="X93" s="34"/>
      <c r="Y93" s="34"/>
      <c r="Z93" s="34"/>
      <c r="AA93" s="34"/>
      <c r="AB93" s="34"/>
      <c r="AC93" s="34"/>
      <c r="AD93" s="34"/>
      <c r="AE93" s="34"/>
      <c r="AF93" s="34"/>
      <c r="AG93" s="34"/>
      <c r="AH93" s="34"/>
    </row>
    <row r="94">
      <c r="A94" s="21" t="s">
        <v>41</v>
      </c>
      <c r="B94" s="21" t="s">
        <v>192</v>
      </c>
      <c r="C94" s="21" t="s">
        <v>580</v>
      </c>
      <c r="D94" s="21" t="s">
        <v>581</v>
      </c>
      <c r="E94" s="21" t="s">
        <v>582</v>
      </c>
      <c r="F94" s="40">
        <v>46237.0</v>
      </c>
      <c r="G94" s="21" t="s">
        <v>495</v>
      </c>
      <c r="H94" s="21">
        <v>2026.0</v>
      </c>
      <c r="I94" s="115">
        <v>46237.0</v>
      </c>
      <c r="J94" s="100" t="s">
        <v>109</v>
      </c>
      <c r="K94" s="21" t="s">
        <v>583</v>
      </c>
      <c r="L94" s="40">
        <v>46237.0</v>
      </c>
      <c r="M94" s="101" t="s">
        <v>58</v>
      </c>
      <c r="N94" s="21" t="s">
        <v>584</v>
      </c>
      <c r="O94" s="21" t="s">
        <v>54</v>
      </c>
      <c r="P94" s="21" t="s">
        <v>297</v>
      </c>
      <c r="Q94" s="21"/>
      <c r="R94" s="21"/>
      <c r="S94" s="34"/>
      <c r="T94" s="34"/>
      <c r="U94" s="34"/>
      <c r="V94" s="34"/>
      <c r="W94" s="34"/>
      <c r="X94" s="34"/>
      <c r="Y94" s="34"/>
      <c r="Z94" s="34"/>
      <c r="AA94" s="34"/>
      <c r="AB94" s="34"/>
      <c r="AC94" s="34"/>
      <c r="AD94" s="34"/>
      <c r="AE94" s="34"/>
      <c r="AF94" s="34"/>
      <c r="AG94" s="34"/>
      <c r="AH94" s="34"/>
    </row>
    <row r="95">
      <c r="A95" s="21" t="s">
        <v>41</v>
      </c>
      <c r="B95" s="21" t="s">
        <v>192</v>
      </c>
      <c r="C95" s="21" t="s">
        <v>43</v>
      </c>
      <c r="D95" s="21" t="s">
        <v>44</v>
      </c>
      <c r="E95" s="21" t="s">
        <v>45</v>
      </c>
      <c r="F95" s="40">
        <v>46237.0</v>
      </c>
      <c r="G95" s="21" t="s">
        <v>495</v>
      </c>
      <c r="H95" s="21">
        <v>2026.0</v>
      </c>
      <c r="I95" s="40">
        <v>46237.0</v>
      </c>
      <c r="J95" s="100" t="s">
        <v>151</v>
      </c>
      <c r="K95" s="21" t="s">
        <v>589</v>
      </c>
      <c r="L95" s="40">
        <v>46237.0</v>
      </c>
      <c r="M95" s="101" t="s">
        <v>58</v>
      </c>
      <c r="N95" s="21" t="s">
        <v>570</v>
      </c>
      <c r="O95" s="21" t="s">
        <v>54</v>
      </c>
      <c r="P95" s="21"/>
      <c r="Q95" s="21"/>
      <c r="R95" s="21"/>
      <c r="S95" s="34"/>
      <c r="T95" s="34"/>
      <c r="U95" s="34"/>
      <c r="V95" s="34"/>
      <c r="W95" s="34"/>
      <c r="X95" s="34"/>
      <c r="Y95" s="34"/>
      <c r="Z95" s="34"/>
      <c r="AA95" s="34"/>
      <c r="AB95" s="34"/>
      <c r="AC95" s="34"/>
      <c r="AD95" s="34"/>
      <c r="AE95" s="34"/>
      <c r="AF95" s="34"/>
      <c r="AG95" s="34"/>
      <c r="AH95" s="34"/>
    </row>
    <row r="96">
      <c r="A96" s="21" t="s">
        <v>108</v>
      </c>
      <c r="B96" s="21" t="s">
        <v>192</v>
      </c>
      <c r="C96" s="21" t="s">
        <v>43</v>
      </c>
      <c r="D96" s="21" t="s">
        <v>44</v>
      </c>
      <c r="E96" s="21" t="s">
        <v>591</v>
      </c>
      <c r="F96" s="40">
        <v>46267.0</v>
      </c>
      <c r="G96" s="21" t="s">
        <v>592</v>
      </c>
      <c r="H96" s="21">
        <v>2026.0</v>
      </c>
      <c r="I96" s="40">
        <v>46267.0</v>
      </c>
      <c r="J96" s="100" t="s">
        <v>448</v>
      </c>
      <c r="K96" s="21" t="s">
        <v>593</v>
      </c>
      <c r="L96" s="40">
        <v>46267.0</v>
      </c>
      <c r="M96" s="101" t="s">
        <v>58</v>
      </c>
      <c r="N96" s="21" t="s">
        <v>594</v>
      </c>
      <c r="O96" s="21" t="s">
        <v>54</v>
      </c>
      <c r="P96" s="21" t="s">
        <v>297</v>
      </c>
      <c r="Q96" s="21"/>
      <c r="R96" s="21"/>
      <c r="S96" s="34"/>
      <c r="T96" s="34"/>
      <c r="U96" s="34"/>
      <c r="V96" s="34"/>
      <c r="W96" s="34"/>
      <c r="X96" s="34"/>
      <c r="Y96" s="34"/>
      <c r="Z96" s="34"/>
      <c r="AA96" s="34"/>
      <c r="AB96" s="34"/>
      <c r="AC96" s="34"/>
      <c r="AD96" s="34"/>
      <c r="AE96" s="34"/>
      <c r="AF96" s="34"/>
      <c r="AG96" s="34"/>
      <c r="AH96" s="34"/>
    </row>
    <row r="97">
      <c r="A97" s="21" t="s">
        <v>597</v>
      </c>
      <c r="B97" s="21" t="s">
        <v>192</v>
      </c>
      <c r="C97" s="21" t="s">
        <v>312</v>
      </c>
      <c r="D97" s="21" t="s">
        <v>183</v>
      </c>
      <c r="E97" s="21" t="s">
        <v>184</v>
      </c>
      <c r="F97" s="40">
        <v>46266.0</v>
      </c>
      <c r="G97" s="21" t="s">
        <v>592</v>
      </c>
      <c r="H97" s="21">
        <v>2026.0</v>
      </c>
      <c r="I97" s="40">
        <v>46266.0</v>
      </c>
      <c r="J97" s="100" t="s">
        <v>598</v>
      </c>
      <c r="K97" s="21" t="s">
        <v>600</v>
      </c>
      <c r="L97" s="40">
        <v>46266.0</v>
      </c>
      <c r="M97" s="101" t="s">
        <v>58</v>
      </c>
      <c r="N97" s="21" t="s">
        <v>601</v>
      </c>
      <c r="O97" s="21" t="s">
        <v>54</v>
      </c>
      <c r="P97" s="21" t="s">
        <v>442</v>
      </c>
      <c r="Q97" s="21"/>
      <c r="R97" s="21"/>
      <c r="S97" s="34"/>
      <c r="T97" s="34"/>
      <c r="U97" s="34"/>
      <c r="V97" s="34"/>
      <c r="W97" s="34"/>
      <c r="X97" s="34"/>
      <c r="Y97" s="34"/>
      <c r="Z97" s="34"/>
      <c r="AA97" s="34"/>
      <c r="AB97" s="34"/>
      <c r="AC97" s="34"/>
      <c r="AD97" s="34"/>
      <c r="AE97" s="34"/>
      <c r="AF97" s="34"/>
      <c r="AG97" s="34"/>
      <c r="AH97" s="34"/>
    </row>
    <row r="98">
      <c r="A98" s="21" t="s">
        <v>108</v>
      </c>
      <c r="B98" s="21" t="s">
        <v>192</v>
      </c>
      <c r="C98" s="21" t="s">
        <v>43</v>
      </c>
      <c r="D98" s="21" t="s">
        <v>44</v>
      </c>
      <c r="E98" s="21" t="s">
        <v>604</v>
      </c>
      <c r="F98" s="30">
        <v>46269.0</v>
      </c>
      <c r="G98" s="21" t="s">
        <v>592</v>
      </c>
      <c r="H98" s="21">
        <v>2026.0</v>
      </c>
      <c r="I98" s="30">
        <v>46269.0</v>
      </c>
      <c r="J98" s="100" t="s">
        <v>605</v>
      </c>
      <c r="K98" s="21" t="s">
        <v>606</v>
      </c>
      <c r="L98" s="40">
        <v>46272.0</v>
      </c>
      <c r="M98" s="101" t="s">
        <v>58</v>
      </c>
      <c r="N98" s="21" t="s">
        <v>607</v>
      </c>
      <c r="O98" s="21" t="s">
        <v>54</v>
      </c>
      <c r="P98" s="21" t="s">
        <v>463</v>
      </c>
      <c r="Q98" s="21"/>
      <c r="R98" s="21"/>
      <c r="S98" s="34"/>
      <c r="T98" s="34"/>
      <c r="U98" s="34"/>
      <c r="V98" s="34"/>
      <c r="W98" s="34"/>
      <c r="X98" s="34"/>
      <c r="Y98" s="34"/>
      <c r="Z98" s="34"/>
      <c r="AA98" s="34"/>
      <c r="AB98" s="34"/>
      <c r="AC98" s="34"/>
      <c r="AD98" s="34"/>
      <c r="AE98" s="34"/>
      <c r="AF98" s="34"/>
      <c r="AG98" s="34"/>
      <c r="AH98" s="34"/>
    </row>
    <row r="99">
      <c r="A99" s="21" t="s">
        <v>108</v>
      </c>
      <c r="B99" s="21" t="s">
        <v>192</v>
      </c>
      <c r="C99" s="21" t="s">
        <v>366</v>
      </c>
      <c r="D99" s="21" t="s">
        <v>366</v>
      </c>
      <c r="E99" s="21" t="s">
        <v>387</v>
      </c>
      <c r="F99" s="115">
        <v>46269.0</v>
      </c>
      <c r="G99" s="21" t="s">
        <v>592</v>
      </c>
      <c r="H99" s="21">
        <v>2026.0</v>
      </c>
      <c r="I99" s="119">
        <v>46269.0</v>
      </c>
      <c r="J99" s="100" t="s">
        <v>611</v>
      </c>
      <c r="K99" s="21" t="s">
        <v>612</v>
      </c>
      <c r="L99" s="40">
        <v>46269.0</v>
      </c>
      <c r="M99" s="101" t="s">
        <v>58</v>
      </c>
      <c r="N99" s="120" t="s">
        <v>614</v>
      </c>
      <c r="O99" s="21" t="s">
        <v>54</v>
      </c>
      <c r="P99" s="21" t="s">
        <v>617</v>
      </c>
      <c r="Q99" s="21"/>
      <c r="R99" s="21"/>
      <c r="S99" s="34"/>
      <c r="T99" s="34"/>
      <c r="U99" s="34"/>
      <c r="V99" s="34"/>
      <c r="W99" s="34"/>
      <c r="X99" s="34"/>
      <c r="Y99" s="34"/>
      <c r="Z99" s="34"/>
      <c r="AA99" s="34"/>
      <c r="AB99" s="34"/>
      <c r="AC99" s="34"/>
      <c r="AD99" s="34"/>
      <c r="AE99" s="34"/>
      <c r="AF99" s="34"/>
      <c r="AG99" s="34"/>
      <c r="AH99" s="34"/>
    </row>
    <row r="100">
      <c r="A100" s="21" t="s">
        <v>108</v>
      </c>
      <c r="B100" s="21" t="s">
        <v>42</v>
      </c>
      <c r="C100" s="21" t="s">
        <v>366</v>
      </c>
      <c r="D100" s="21" t="s">
        <v>366</v>
      </c>
      <c r="E100" s="21" t="s">
        <v>387</v>
      </c>
      <c r="F100" s="40">
        <v>46274.0</v>
      </c>
      <c r="G100" s="21" t="s">
        <v>592</v>
      </c>
      <c r="H100" s="21">
        <v>2026.0</v>
      </c>
      <c r="I100" s="40">
        <v>46274.0</v>
      </c>
      <c r="J100" s="100" t="s">
        <v>458</v>
      </c>
      <c r="K100" s="21" t="s">
        <v>619</v>
      </c>
      <c r="L100" s="40">
        <v>46274.0</v>
      </c>
      <c r="M100" s="101"/>
      <c r="N100" s="21" t="s">
        <v>622</v>
      </c>
      <c r="O100" s="21" t="s">
        <v>54</v>
      </c>
      <c r="P100" s="21" t="s">
        <v>154</v>
      </c>
      <c r="Q100" s="21"/>
      <c r="R100" s="21"/>
      <c r="S100" s="34"/>
      <c r="T100" s="34"/>
      <c r="U100" s="34"/>
      <c r="V100" s="34"/>
      <c r="W100" s="34"/>
      <c r="X100" s="34"/>
      <c r="Y100" s="34"/>
      <c r="Z100" s="34"/>
      <c r="AA100" s="34"/>
      <c r="AB100" s="34"/>
      <c r="AC100" s="34"/>
      <c r="AD100" s="34"/>
      <c r="AE100" s="34"/>
      <c r="AF100" s="34"/>
      <c r="AG100" s="34"/>
      <c r="AH100" s="34"/>
    </row>
    <row r="101">
      <c r="A101" s="21" t="s">
        <v>108</v>
      </c>
      <c r="B101" s="21" t="s">
        <v>42</v>
      </c>
      <c r="C101" s="21" t="s">
        <v>312</v>
      </c>
      <c r="D101" s="21" t="s">
        <v>183</v>
      </c>
      <c r="E101" s="21" t="s">
        <v>184</v>
      </c>
      <c r="F101" s="40">
        <v>46274.0</v>
      </c>
      <c r="G101" s="21" t="s">
        <v>592</v>
      </c>
      <c r="H101" s="21">
        <v>2026.0</v>
      </c>
      <c r="I101" s="40">
        <v>46274.0</v>
      </c>
      <c r="J101" s="100" t="s">
        <v>151</v>
      </c>
      <c r="K101" s="21" t="s">
        <v>623</v>
      </c>
      <c r="L101" s="40">
        <v>46274.0</v>
      </c>
      <c r="M101" s="101"/>
      <c r="N101" s="21" t="s">
        <v>624</v>
      </c>
      <c r="O101" s="21" t="s">
        <v>54</v>
      </c>
      <c r="P101" s="21" t="s">
        <v>524</v>
      </c>
      <c r="Q101" s="21"/>
      <c r="R101" s="21"/>
      <c r="S101" s="34"/>
      <c r="T101" s="34"/>
      <c r="U101" s="34"/>
      <c r="V101" s="34"/>
      <c r="W101" s="34"/>
      <c r="X101" s="34"/>
      <c r="Y101" s="34"/>
      <c r="Z101" s="34"/>
      <c r="AA101" s="34"/>
      <c r="AB101" s="34"/>
      <c r="AC101" s="34"/>
      <c r="AD101" s="34"/>
      <c r="AE101" s="34"/>
      <c r="AF101" s="34"/>
      <c r="AG101" s="34"/>
      <c r="AH101" s="34"/>
    </row>
    <row r="102">
      <c r="A102" s="21" t="s">
        <v>41</v>
      </c>
      <c r="B102" s="21" t="s">
        <v>42</v>
      </c>
      <c r="C102" s="21" t="s">
        <v>312</v>
      </c>
      <c r="D102" s="21" t="s">
        <v>183</v>
      </c>
      <c r="E102" s="21" t="s">
        <v>184</v>
      </c>
      <c r="F102" s="121">
        <v>46255.0</v>
      </c>
      <c r="G102" s="21" t="s">
        <v>495</v>
      </c>
      <c r="H102" s="21">
        <v>2026.0</v>
      </c>
      <c r="I102" s="121">
        <v>46243.0</v>
      </c>
      <c r="J102" s="100" t="s">
        <v>50</v>
      </c>
      <c r="K102" s="21" t="s">
        <v>459</v>
      </c>
      <c r="L102" s="40">
        <v>46243.0</v>
      </c>
      <c r="M102" s="101">
        <v>191828.0</v>
      </c>
      <c r="N102" s="21" t="s">
        <v>627</v>
      </c>
      <c r="O102" s="21" t="s">
        <v>54</v>
      </c>
      <c r="P102" s="21" t="s">
        <v>55</v>
      </c>
      <c r="Q102" s="21"/>
      <c r="R102" s="21"/>
      <c r="S102" s="34"/>
      <c r="T102" s="34"/>
      <c r="U102" s="34"/>
      <c r="V102" s="34"/>
      <c r="W102" s="34"/>
      <c r="X102" s="34"/>
      <c r="Y102" s="34"/>
      <c r="Z102" s="34"/>
      <c r="AA102" s="34"/>
      <c r="AB102" s="34"/>
      <c r="AC102" s="34"/>
      <c r="AD102" s="34"/>
      <c r="AE102" s="34"/>
      <c r="AF102" s="34"/>
      <c r="AG102" s="34"/>
      <c r="AH102" s="34"/>
    </row>
    <row r="103">
      <c r="A103" s="21" t="s">
        <v>41</v>
      </c>
      <c r="B103" s="21" t="s">
        <v>42</v>
      </c>
      <c r="C103" s="21" t="s">
        <v>366</v>
      </c>
      <c r="D103" s="21" t="s">
        <v>366</v>
      </c>
      <c r="E103" s="21" t="s">
        <v>368</v>
      </c>
      <c r="F103" s="40">
        <v>46274.0</v>
      </c>
      <c r="G103" s="21" t="s">
        <v>592</v>
      </c>
      <c r="H103" s="21">
        <v>2026.0</v>
      </c>
      <c r="I103" s="40">
        <v>46274.0</v>
      </c>
      <c r="J103" s="100" t="s">
        <v>458</v>
      </c>
      <c r="K103" s="21" t="s">
        <v>574</v>
      </c>
      <c r="L103" s="40"/>
      <c r="M103" s="101"/>
      <c r="N103" s="21" t="s">
        <v>630</v>
      </c>
      <c r="O103" s="21" t="s">
        <v>62</v>
      </c>
      <c r="P103" s="21" t="s">
        <v>463</v>
      </c>
      <c r="Q103" s="21"/>
      <c r="R103" s="21"/>
      <c r="S103" s="34"/>
      <c r="T103" s="34"/>
      <c r="U103" s="34"/>
      <c r="V103" s="34"/>
      <c r="W103" s="34"/>
      <c r="X103" s="34"/>
      <c r="Y103" s="34"/>
      <c r="Z103" s="34"/>
      <c r="AA103" s="34"/>
      <c r="AB103" s="34"/>
      <c r="AC103" s="34"/>
      <c r="AD103" s="34"/>
      <c r="AE103" s="34"/>
      <c r="AF103" s="34"/>
      <c r="AG103" s="34"/>
      <c r="AH103" s="34"/>
    </row>
    <row r="104">
      <c r="A104" s="21" t="s">
        <v>41</v>
      </c>
      <c r="B104" s="21" t="s">
        <v>42</v>
      </c>
      <c r="C104" s="21" t="s">
        <v>43</v>
      </c>
      <c r="D104" s="21" t="s">
        <v>44</v>
      </c>
      <c r="E104" s="122" t="s">
        <v>73</v>
      </c>
      <c r="F104" s="40">
        <v>46262.0</v>
      </c>
      <c r="G104" s="21" t="s">
        <v>495</v>
      </c>
      <c r="H104" s="21">
        <v>2026.0</v>
      </c>
      <c r="I104" s="40">
        <v>46241.0</v>
      </c>
      <c r="J104" s="100" t="s">
        <v>50</v>
      </c>
      <c r="K104" s="21" t="s">
        <v>633</v>
      </c>
      <c r="L104" s="40">
        <v>46274.0</v>
      </c>
      <c r="M104" s="101">
        <v>266600.0</v>
      </c>
      <c r="N104" s="21" t="s">
        <v>634</v>
      </c>
      <c r="O104" s="21" t="s">
        <v>54</v>
      </c>
      <c r="P104" s="21" t="s">
        <v>524</v>
      </c>
      <c r="Q104" s="21"/>
      <c r="R104" s="21"/>
      <c r="S104" s="34"/>
      <c r="T104" s="34"/>
      <c r="U104" s="34"/>
      <c r="V104" s="34"/>
      <c r="W104" s="34"/>
      <c r="X104" s="34"/>
      <c r="Y104" s="34"/>
      <c r="Z104" s="34"/>
      <c r="AA104" s="34"/>
      <c r="AB104" s="34"/>
      <c r="AC104" s="34"/>
      <c r="AD104" s="34"/>
      <c r="AE104" s="34"/>
      <c r="AF104" s="34"/>
      <c r="AG104" s="34"/>
      <c r="AH104" s="34"/>
    </row>
    <row r="105">
      <c r="A105" s="21" t="s">
        <v>635</v>
      </c>
      <c r="B105" s="21" t="s">
        <v>42</v>
      </c>
      <c r="C105" s="21" t="s">
        <v>636</v>
      </c>
      <c r="D105" s="21" t="s">
        <v>636</v>
      </c>
      <c r="E105" s="122" t="s">
        <v>401</v>
      </c>
      <c r="F105" s="40">
        <v>46273.0</v>
      </c>
      <c r="G105" s="21" t="s">
        <v>592</v>
      </c>
      <c r="H105" s="21">
        <v>2026.0</v>
      </c>
      <c r="I105" s="40">
        <v>46273.0</v>
      </c>
      <c r="J105" s="100" t="s">
        <v>639</v>
      </c>
      <c r="K105" s="21" t="s">
        <v>432</v>
      </c>
      <c r="L105" s="40">
        <v>46273.0</v>
      </c>
      <c r="M105" s="101"/>
      <c r="N105" s="21" t="s">
        <v>640</v>
      </c>
      <c r="O105" s="21" t="s">
        <v>54</v>
      </c>
      <c r="P105" s="21" t="s">
        <v>557</v>
      </c>
      <c r="Q105" s="21"/>
      <c r="R105" s="21"/>
      <c r="S105" s="34"/>
      <c r="T105" s="34"/>
      <c r="U105" s="34"/>
      <c r="V105" s="34"/>
      <c r="W105" s="34"/>
      <c r="X105" s="34"/>
      <c r="Y105" s="34"/>
      <c r="Z105" s="34"/>
      <c r="AA105" s="34"/>
      <c r="AB105" s="34"/>
      <c r="AC105" s="34"/>
      <c r="AD105" s="34"/>
      <c r="AE105" s="34"/>
      <c r="AF105" s="34"/>
      <c r="AG105" s="34"/>
      <c r="AH105" s="34"/>
    </row>
    <row r="106">
      <c r="A106" s="21" t="s">
        <v>108</v>
      </c>
      <c r="B106" s="21" t="s">
        <v>42</v>
      </c>
      <c r="C106" s="21" t="s">
        <v>352</v>
      </c>
      <c r="D106" s="21" t="s">
        <v>643</v>
      </c>
      <c r="E106" s="21" t="s">
        <v>353</v>
      </c>
      <c r="F106" s="40">
        <v>46261.0</v>
      </c>
      <c r="G106" s="21" t="s">
        <v>495</v>
      </c>
      <c r="H106" s="21">
        <v>2026.0</v>
      </c>
      <c r="I106" s="40">
        <v>46261.0</v>
      </c>
      <c r="J106" s="100" t="s">
        <v>151</v>
      </c>
      <c r="K106" s="21" t="s">
        <v>644</v>
      </c>
      <c r="L106" s="121">
        <v>46242.0</v>
      </c>
      <c r="M106" s="101"/>
      <c r="N106" s="21" t="s">
        <v>645</v>
      </c>
      <c r="O106" s="21" t="s">
        <v>54</v>
      </c>
      <c r="P106" s="21" t="s">
        <v>442</v>
      </c>
      <c r="Q106" s="21"/>
      <c r="R106" s="21"/>
      <c r="S106" s="34"/>
      <c r="T106" s="34"/>
      <c r="U106" s="34"/>
      <c r="V106" s="34"/>
      <c r="W106" s="34"/>
      <c r="X106" s="34"/>
      <c r="Y106" s="34"/>
      <c r="Z106" s="34"/>
      <c r="AA106" s="34"/>
      <c r="AB106" s="34"/>
      <c r="AC106" s="34"/>
      <c r="AD106" s="34"/>
      <c r="AE106" s="34"/>
      <c r="AF106" s="34"/>
      <c r="AG106" s="34"/>
      <c r="AH106" s="123" t="s">
        <v>647</v>
      </c>
    </row>
    <row r="107">
      <c r="A107" s="21" t="s">
        <v>41</v>
      </c>
      <c r="B107" s="21" t="s">
        <v>42</v>
      </c>
      <c r="C107" s="21" t="s">
        <v>312</v>
      </c>
      <c r="D107" s="21" t="s">
        <v>183</v>
      </c>
      <c r="E107" s="21" t="s">
        <v>184</v>
      </c>
      <c r="F107" s="121">
        <v>46272.0</v>
      </c>
      <c r="G107" s="21" t="s">
        <v>592</v>
      </c>
      <c r="H107" s="21">
        <v>2026.0</v>
      </c>
      <c r="I107" s="40">
        <v>46272.0</v>
      </c>
      <c r="J107" s="100" t="s">
        <v>650</v>
      </c>
      <c r="K107" s="21" t="s">
        <v>459</v>
      </c>
      <c r="L107" s="40"/>
      <c r="M107" s="101">
        <v>98618.0</v>
      </c>
      <c r="N107" s="21" t="s">
        <v>651</v>
      </c>
      <c r="O107" s="21" t="s">
        <v>54</v>
      </c>
      <c r="P107" s="21" t="s">
        <v>55</v>
      </c>
      <c r="Q107" s="21"/>
      <c r="R107" s="21"/>
      <c r="S107" s="34"/>
      <c r="T107" s="34"/>
      <c r="U107" s="34"/>
      <c r="V107" s="34"/>
      <c r="W107" s="34"/>
      <c r="X107" s="34"/>
      <c r="Y107" s="34"/>
      <c r="Z107" s="34"/>
      <c r="AA107" s="34"/>
      <c r="AB107" s="34"/>
      <c r="AC107" s="34"/>
      <c r="AD107" s="34"/>
      <c r="AE107" s="34"/>
      <c r="AF107" s="34"/>
      <c r="AG107" s="34"/>
      <c r="AH107" s="34"/>
    </row>
    <row r="108">
      <c r="A108" s="21" t="s">
        <v>41</v>
      </c>
      <c r="B108" s="21" t="s">
        <v>42</v>
      </c>
      <c r="C108" s="21" t="s">
        <v>352</v>
      </c>
      <c r="D108" s="21" t="s">
        <v>643</v>
      </c>
      <c r="E108" s="21" t="s">
        <v>353</v>
      </c>
      <c r="F108" s="40">
        <v>46270.0</v>
      </c>
      <c r="G108" s="21" t="s">
        <v>592</v>
      </c>
      <c r="H108" s="21">
        <v>2026.0</v>
      </c>
      <c r="I108" s="40">
        <v>46273.0</v>
      </c>
      <c r="J108" s="100" t="s">
        <v>650</v>
      </c>
      <c r="K108" s="21" t="s">
        <v>459</v>
      </c>
      <c r="L108" s="40">
        <v>46273.0</v>
      </c>
      <c r="M108" s="101">
        <v>100000.0</v>
      </c>
      <c r="N108" s="21" t="s">
        <v>652</v>
      </c>
      <c r="O108" s="21" t="s">
        <v>54</v>
      </c>
      <c r="P108" s="21" t="s">
        <v>524</v>
      </c>
      <c r="Q108" s="21"/>
      <c r="R108" s="21"/>
      <c r="S108" s="34"/>
      <c r="T108" s="34"/>
      <c r="U108" s="34"/>
      <c r="V108" s="34"/>
      <c r="W108" s="34"/>
      <c r="X108" s="34"/>
      <c r="Y108" s="34"/>
      <c r="Z108" s="34"/>
      <c r="AA108" s="34"/>
      <c r="AB108" s="34"/>
      <c r="AC108" s="34"/>
      <c r="AD108" s="34"/>
      <c r="AE108" s="34"/>
      <c r="AF108" s="34"/>
      <c r="AG108" s="34"/>
      <c r="AH108" s="34"/>
    </row>
    <row r="109">
      <c r="A109" s="21" t="s">
        <v>41</v>
      </c>
      <c r="B109" s="21" t="s">
        <v>42</v>
      </c>
      <c r="C109" s="21" t="s">
        <v>43</v>
      </c>
      <c r="D109" s="21" t="s">
        <v>44</v>
      </c>
      <c r="E109" s="21" t="s">
        <v>264</v>
      </c>
      <c r="F109" s="40">
        <v>46261.0</v>
      </c>
      <c r="G109" s="21" t="s">
        <v>495</v>
      </c>
      <c r="H109" s="21">
        <v>2026.0</v>
      </c>
      <c r="I109" s="40">
        <v>46261.0</v>
      </c>
      <c r="J109" s="100" t="s">
        <v>291</v>
      </c>
      <c r="K109" s="21" t="s">
        <v>459</v>
      </c>
      <c r="L109" s="40">
        <v>46273.0</v>
      </c>
      <c r="M109" s="101">
        <v>5.6729367E7</v>
      </c>
      <c r="N109" s="21" t="s">
        <v>655</v>
      </c>
      <c r="O109" s="21" t="s">
        <v>54</v>
      </c>
      <c r="P109" s="21" t="s">
        <v>474</v>
      </c>
      <c r="Q109" s="21"/>
      <c r="R109" s="21"/>
      <c r="S109" s="34"/>
      <c r="T109" s="34"/>
      <c r="U109" s="34"/>
      <c r="V109" s="34"/>
      <c r="W109" s="34"/>
      <c r="X109" s="34"/>
      <c r="Y109" s="34"/>
      <c r="Z109" s="34"/>
      <c r="AA109" s="34"/>
      <c r="AB109" s="34"/>
      <c r="AC109" s="34"/>
      <c r="AD109" s="34"/>
      <c r="AE109" s="34"/>
      <c r="AF109" s="34"/>
      <c r="AG109" s="34"/>
      <c r="AH109" s="34"/>
    </row>
    <row r="110">
      <c r="A110" s="21" t="s">
        <v>41</v>
      </c>
      <c r="B110" s="21" t="s">
        <v>42</v>
      </c>
      <c r="C110" s="21" t="s">
        <v>636</v>
      </c>
      <c r="D110" s="21"/>
      <c r="E110" s="21" t="s">
        <v>353</v>
      </c>
      <c r="F110" s="40">
        <v>46241.0</v>
      </c>
      <c r="G110" s="21" t="s">
        <v>592</v>
      </c>
      <c r="H110" s="21">
        <v>2026.0</v>
      </c>
      <c r="I110" s="40">
        <v>46241.0</v>
      </c>
      <c r="J110" s="100" t="s">
        <v>59</v>
      </c>
      <c r="K110" s="21" t="s">
        <v>459</v>
      </c>
      <c r="L110" s="40">
        <v>46241.0</v>
      </c>
      <c r="M110" s="101"/>
      <c r="N110" s="21" t="s">
        <v>658</v>
      </c>
      <c r="O110" s="21" t="s">
        <v>54</v>
      </c>
      <c r="P110" s="21" t="s">
        <v>297</v>
      </c>
      <c r="Q110" s="21"/>
      <c r="R110" s="21"/>
      <c r="S110" s="34"/>
      <c r="T110" s="34"/>
      <c r="U110" s="34"/>
      <c r="V110" s="34"/>
      <c r="W110" s="34"/>
      <c r="X110" s="34"/>
      <c r="Y110" s="34"/>
      <c r="Z110" s="34"/>
      <c r="AA110" s="34"/>
      <c r="AB110" s="34"/>
      <c r="AC110" s="34"/>
      <c r="AD110" s="34"/>
      <c r="AE110" s="34"/>
      <c r="AF110" s="34"/>
      <c r="AG110" s="34"/>
      <c r="AH110" s="34"/>
    </row>
    <row r="111">
      <c r="A111" s="21" t="s">
        <v>635</v>
      </c>
      <c r="B111" s="21" t="s">
        <v>42</v>
      </c>
      <c r="C111" s="21" t="s">
        <v>43</v>
      </c>
      <c r="D111" s="21" t="s">
        <v>44</v>
      </c>
      <c r="E111" s="21" t="s">
        <v>129</v>
      </c>
      <c r="F111" s="40">
        <v>46266.0</v>
      </c>
      <c r="G111" s="21" t="s">
        <v>592</v>
      </c>
      <c r="H111" s="21">
        <v>2026.0</v>
      </c>
      <c r="I111" s="40">
        <v>46266.0</v>
      </c>
      <c r="J111" s="100" t="s">
        <v>659</v>
      </c>
      <c r="K111" s="21" t="s">
        <v>574</v>
      </c>
      <c r="L111" s="40">
        <v>46272.0</v>
      </c>
      <c r="M111" s="101"/>
      <c r="N111" s="21" t="s">
        <v>661</v>
      </c>
      <c r="O111" s="21" t="s">
        <v>54</v>
      </c>
      <c r="P111" s="21" t="s">
        <v>524</v>
      </c>
      <c r="Q111" s="21"/>
      <c r="R111" s="21"/>
      <c r="S111" s="34"/>
      <c r="T111" s="34"/>
      <c r="U111" s="34"/>
      <c r="V111" s="34"/>
      <c r="W111" s="34"/>
      <c r="X111" s="34"/>
      <c r="Y111" s="34"/>
      <c r="Z111" s="34"/>
      <c r="AA111" s="34"/>
      <c r="AB111" s="34"/>
      <c r="AC111" s="34"/>
      <c r="AD111" s="34"/>
      <c r="AE111" s="34"/>
      <c r="AF111" s="34"/>
      <c r="AG111" s="34"/>
      <c r="AH111" s="34"/>
    </row>
    <row r="112">
      <c r="A112" s="21" t="s">
        <v>41</v>
      </c>
      <c r="B112" s="21" t="s">
        <v>42</v>
      </c>
      <c r="C112" s="21" t="s">
        <v>312</v>
      </c>
      <c r="D112" s="21" t="s">
        <v>183</v>
      </c>
      <c r="E112" s="14" t="s">
        <v>184</v>
      </c>
      <c r="F112" s="40">
        <v>46255.0</v>
      </c>
      <c r="G112" s="21" t="s">
        <v>495</v>
      </c>
      <c r="H112" s="21">
        <v>2026.0</v>
      </c>
      <c r="I112" s="40">
        <v>46275.0</v>
      </c>
      <c r="J112" s="100" t="s">
        <v>50</v>
      </c>
      <c r="K112" s="21"/>
      <c r="L112" s="40"/>
      <c r="M112" s="101">
        <v>177229.0</v>
      </c>
      <c r="N112" s="21" t="s">
        <v>664</v>
      </c>
      <c r="O112" s="21" t="s">
        <v>62</v>
      </c>
      <c r="P112" s="21" t="s">
        <v>55</v>
      </c>
      <c r="Q112" s="21"/>
      <c r="R112" s="21"/>
      <c r="S112" s="34"/>
      <c r="T112" s="34"/>
      <c r="U112" s="34"/>
      <c r="V112" s="34"/>
      <c r="W112" s="34"/>
      <c r="X112" s="34"/>
      <c r="Y112" s="34"/>
      <c r="Z112" s="34"/>
      <c r="AA112" s="34"/>
      <c r="AB112" s="34"/>
      <c r="AC112" s="34"/>
      <c r="AD112" s="34"/>
      <c r="AE112" s="34"/>
      <c r="AF112" s="34"/>
      <c r="AG112" s="34"/>
      <c r="AH112" s="34"/>
    </row>
    <row r="113">
      <c r="A113" s="21" t="s">
        <v>41</v>
      </c>
      <c r="B113" s="21" t="s">
        <v>42</v>
      </c>
      <c r="C113" s="21" t="s">
        <v>312</v>
      </c>
      <c r="D113" s="21" t="s">
        <v>183</v>
      </c>
      <c r="E113" s="21" t="s">
        <v>184</v>
      </c>
      <c r="F113" s="40">
        <v>46262.0</v>
      </c>
      <c r="G113" s="21" t="s">
        <v>495</v>
      </c>
      <c r="H113" s="21">
        <v>2026.0</v>
      </c>
      <c r="I113" s="40">
        <v>46275.0</v>
      </c>
      <c r="J113" s="100" t="s">
        <v>50</v>
      </c>
      <c r="K113" s="21"/>
      <c r="L113" s="40"/>
      <c r="M113" s="101">
        <v>289855.0</v>
      </c>
      <c r="N113" s="21" t="s">
        <v>664</v>
      </c>
      <c r="O113" s="21" t="s">
        <v>62</v>
      </c>
      <c r="P113" s="21" t="s">
        <v>55</v>
      </c>
      <c r="Q113" s="21"/>
      <c r="R113" s="21"/>
      <c r="S113" s="34"/>
      <c r="T113" s="34"/>
      <c r="U113" s="34"/>
      <c r="V113" s="34"/>
      <c r="W113" s="34"/>
      <c r="X113" s="34"/>
      <c r="Y113" s="34"/>
      <c r="Z113" s="34"/>
      <c r="AA113" s="34"/>
      <c r="AB113" s="34"/>
      <c r="AC113" s="34"/>
      <c r="AD113" s="34"/>
      <c r="AE113" s="34"/>
      <c r="AF113" s="34"/>
      <c r="AG113" s="34"/>
      <c r="AH113" s="34"/>
    </row>
    <row r="114">
      <c r="A114" s="21" t="s">
        <v>41</v>
      </c>
      <c r="B114" s="21" t="s">
        <v>42</v>
      </c>
      <c r="C114" s="21" t="s">
        <v>43</v>
      </c>
      <c r="D114" s="21" t="s">
        <v>44</v>
      </c>
      <c r="E114" s="21" t="s">
        <v>45</v>
      </c>
      <c r="F114" s="40">
        <v>46261.0</v>
      </c>
      <c r="G114" s="21" t="s">
        <v>495</v>
      </c>
      <c r="H114" s="21">
        <v>2026.0</v>
      </c>
      <c r="I114" s="40">
        <v>46275.0</v>
      </c>
      <c r="J114" s="100" t="s">
        <v>50</v>
      </c>
      <c r="K114" s="21" t="s">
        <v>669</v>
      </c>
      <c r="L114" s="40"/>
      <c r="M114" s="101">
        <v>212300.0</v>
      </c>
      <c r="N114" s="21" t="s">
        <v>670</v>
      </c>
      <c r="O114" s="21" t="s">
        <v>62</v>
      </c>
      <c r="P114" s="21" t="s">
        <v>55</v>
      </c>
      <c r="Q114" s="21"/>
      <c r="R114" s="21"/>
      <c r="S114" s="34"/>
      <c r="T114" s="34"/>
      <c r="U114" s="34"/>
      <c r="V114" s="34"/>
      <c r="W114" s="34"/>
      <c r="X114" s="34"/>
      <c r="Y114" s="34"/>
      <c r="Z114" s="34"/>
      <c r="AA114" s="34"/>
      <c r="AB114" s="34"/>
      <c r="AC114" s="34"/>
      <c r="AD114" s="34"/>
      <c r="AE114" s="34"/>
      <c r="AF114" s="34"/>
      <c r="AG114" s="34"/>
      <c r="AH114" s="34"/>
    </row>
    <row r="115">
      <c r="A115" s="21" t="s">
        <v>41</v>
      </c>
      <c r="B115" s="21" t="s">
        <v>42</v>
      </c>
      <c r="C115" s="21" t="s">
        <v>312</v>
      </c>
      <c r="D115" s="21" t="s">
        <v>183</v>
      </c>
      <c r="E115" s="21" t="s">
        <v>184</v>
      </c>
      <c r="F115" s="40">
        <v>46274.0</v>
      </c>
      <c r="G115" s="21" t="s">
        <v>671</v>
      </c>
      <c r="H115" s="21">
        <v>2026.0</v>
      </c>
      <c r="I115" s="40">
        <v>46279.0</v>
      </c>
      <c r="J115" s="100" t="s">
        <v>672</v>
      </c>
      <c r="K115" s="21" t="s">
        <v>574</v>
      </c>
      <c r="L115" s="40">
        <v>46279.0</v>
      </c>
      <c r="M115" s="101">
        <v>430000.0</v>
      </c>
      <c r="N115" s="37" t="s">
        <v>673</v>
      </c>
      <c r="O115" s="21" t="s">
        <v>54</v>
      </c>
      <c r="P115" s="21" t="s">
        <v>55</v>
      </c>
      <c r="Q115" s="129" t="s">
        <v>674</v>
      </c>
      <c r="R115" s="129" t="s">
        <v>682</v>
      </c>
      <c r="S115" s="34"/>
      <c r="T115" s="34"/>
      <c r="U115" s="34"/>
      <c r="V115" s="34"/>
      <c r="W115" s="34"/>
      <c r="X115" s="34"/>
      <c r="Y115" s="34"/>
      <c r="Z115" s="34"/>
      <c r="AA115" s="34"/>
      <c r="AB115" s="34"/>
      <c r="AC115" s="34"/>
      <c r="AD115" s="34"/>
      <c r="AE115" s="34"/>
      <c r="AF115" s="34"/>
      <c r="AG115" s="34"/>
      <c r="AH115" s="34"/>
    </row>
    <row r="116">
      <c r="A116" s="21" t="s">
        <v>41</v>
      </c>
      <c r="B116" s="21" t="s">
        <v>42</v>
      </c>
      <c r="C116" s="21" t="s">
        <v>43</v>
      </c>
      <c r="D116" s="21" t="s">
        <v>44</v>
      </c>
      <c r="E116" s="21" t="s">
        <v>129</v>
      </c>
      <c r="F116" s="131" t="s">
        <v>688</v>
      </c>
      <c r="G116" s="21" t="s">
        <v>495</v>
      </c>
      <c r="H116" s="21">
        <v>2026.0</v>
      </c>
      <c r="I116" s="40">
        <v>46279.0</v>
      </c>
      <c r="J116" s="100" t="s">
        <v>291</v>
      </c>
      <c r="K116" s="21" t="s">
        <v>691</v>
      </c>
      <c r="L116" s="40">
        <v>46285.0</v>
      </c>
      <c r="M116" s="132" t="s">
        <v>693</v>
      </c>
      <c r="N116" s="14" t="s">
        <v>694</v>
      </c>
      <c r="O116" s="21" t="s">
        <v>54</v>
      </c>
      <c r="P116" s="21" t="s">
        <v>697</v>
      </c>
      <c r="Q116" s="129" t="s">
        <v>698</v>
      </c>
      <c r="R116" s="21"/>
      <c r="S116" s="34"/>
      <c r="T116" s="34"/>
      <c r="U116" s="34"/>
      <c r="V116" s="34"/>
      <c r="W116" s="34"/>
      <c r="X116" s="34"/>
      <c r="Y116" s="34"/>
      <c r="Z116" s="34"/>
      <c r="AA116" s="34"/>
      <c r="AB116" s="34"/>
      <c r="AC116" s="34"/>
      <c r="AD116" s="34"/>
      <c r="AE116" s="34"/>
      <c r="AF116" s="34"/>
      <c r="AG116" s="34"/>
      <c r="AH116" s="34"/>
    </row>
    <row r="117">
      <c r="A117" s="21" t="s">
        <v>41</v>
      </c>
      <c r="B117" s="21" t="s">
        <v>42</v>
      </c>
      <c r="C117" s="21" t="s">
        <v>43</v>
      </c>
      <c r="D117" s="21" t="s">
        <v>44</v>
      </c>
      <c r="E117" s="21" t="s">
        <v>129</v>
      </c>
      <c r="F117" s="40">
        <v>46270.0</v>
      </c>
      <c r="G117" s="21" t="s">
        <v>592</v>
      </c>
      <c r="H117" s="21">
        <v>2026.0</v>
      </c>
      <c r="I117" s="40">
        <v>46276.0</v>
      </c>
      <c r="J117" s="100" t="s">
        <v>59</v>
      </c>
      <c r="K117" s="21" t="s">
        <v>705</v>
      </c>
      <c r="L117" s="121">
        <v>46277.0</v>
      </c>
      <c r="M117" s="101">
        <v>1058621.0</v>
      </c>
      <c r="N117" s="21" t="s">
        <v>706</v>
      </c>
      <c r="O117" s="21" t="s">
        <v>54</v>
      </c>
      <c r="P117" s="21" t="s">
        <v>697</v>
      </c>
      <c r="Q117" s="133" t="s">
        <v>709</v>
      </c>
      <c r="R117" s="21"/>
      <c r="S117" s="34"/>
      <c r="T117" s="34"/>
      <c r="U117" s="34"/>
      <c r="V117" s="34"/>
      <c r="W117" s="34"/>
      <c r="X117" s="34"/>
      <c r="Y117" s="34"/>
      <c r="Z117" s="34"/>
      <c r="AA117" s="34"/>
      <c r="AB117" s="34"/>
      <c r="AC117" s="34"/>
      <c r="AD117" s="34"/>
      <c r="AE117" s="34"/>
      <c r="AF117" s="34"/>
      <c r="AG117" s="34"/>
      <c r="AH117" s="34"/>
    </row>
    <row r="118">
      <c r="A118" s="21" t="s">
        <v>41</v>
      </c>
      <c r="B118" s="21" t="s">
        <v>42</v>
      </c>
      <c r="C118" s="21" t="s">
        <v>43</v>
      </c>
      <c r="D118" s="21" t="s">
        <v>44</v>
      </c>
      <c r="E118" s="21" t="s">
        <v>129</v>
      </c>
      <c r="F118" s="40">
        <v>46279.0</v>
      </c>
      <c r="G118" s="21" t="s">
        <v>592</v>
      </c>
      <c r="H118" s="21">
        <v>2026.0</v>
      </c>
      <c r="I118" s="40">
        <v>46279.0</v>
      </c>
      <c r="J118" s="100" t="s">
        <v>448</v>
      </c>
      <c r="K118" s="21" t="s">
        <v>720</v>
      </c>
      <c r="L118" s="40">
        <v>46279.0</v>
      </c>
      <c r="M118" s="101" t="s">
        <v>693</v>
      </c>
      <c r="N118" s="21" t="s">
        <v>721</v>
      </c>
      <c r="O118" s="21" t="s">
        <v>54</v>
      </c>
      <c r="P118" s="21" t="s">
        <v>722</v>
      </c>
      <c r="Q118" s="129" t="s">
        <v>723</v>
      </c>
      <c r="R118" s="21"/>
      <c r="S118" s="34"/>
      <c r="T118" s="34"/>
      <c r="U118" s="34"/>
      <c r="V118" s="34"/>
      <c r="W118" s="34"/>
      <c r="X118" s="34"/>
      <c r="Y118" s="34"/>
      <c r="Z118" s="34"/>
      <c r="AA118" s="34"/>
      <c r="AB118" s="34"/>
      <c r="AC118" s="34"/>
      <c r="AD118" s="34"/>
      <c r="AE118" s="34"/>
      <c r="AF118" s="34"/>
      <c r="AG118" s="34"/>
      <c r="AH118" s="34"/>
    </row>
    <row r="119">
      <c r="A119" s="21" t="s">
        <v>730</v>
      </c>
      <c r="B119" s="21" t="s">
        <v>42</v>
      </c>
      <c r="C119" s="21" t="s">
        <v>43</v>
      </c>
      <c r="D119" s="21" t="s">
        <v>44</v>
      </c>
      <c r="E119" s="14" t="s">
        <v>276</v>
      </c>
      <c r="F119" s="40">
        <v>46279.0</v>
      </c>
      <c r="G119" s="21" t="s">
        <v>592</v>
      </c>
      <c r="H119" s="21">
        <v>2026.0</v>
      </c>
      <c r="I119" s="40">
        <v>46279.0</v>
      </c>
      <c r="J119" s="100" t="s">
        <v>59</v>
      </c>
      <c r="K119" s="21" t="s">
        <v>705</v>
      </c>
      <c r="L119" s="40">
        <v>46279.0</v>
      </c>
      <c r="M119" s="101" t="s">
        <v>693</v>
      </c>
      <c r="N119" s="21" t="s">
        <v>734</v>
      </c>
      <c r="O119" s="21" t="s">
        <v>54</v>
      </c>
      <c r="P119" s="21" t="s">
        <v>154</v>
      </c>
      <c r="Q119" s="133" t="s">
        <v>735</v>
      </c>
      <c r="R119" s="21"/>
      <c r="S119" s="34"/>
      <c r="T119" s="34"/>
      <c r="U119" s="34"/>
      <c r="V119" s="34"/>
      <c r="W119" s="34"/>
      <c r="X119" s="34"/>
      <c r="Y119" s="34"/>
      <c r="Z119" s="34"/>
      <c r="AA119" s="34"/>
      <c r="AB119" s="34"/>
      <c r="AC119" s="34"/>
      <c r="AD119" s="34"/>
      <c r="AE119" s="34"/>
      <c r="AF119" s="34"/>
      <c r="AG119" s="34"/>
      <c r="AH119" s="34"/>
    </row>
    <row r="120">
      <c r="A120" s="21" t="s">
        <v>635</v>
      </c>
      <c r="B120" s="21" t="s">
        <v>42</v>
      </c>
      <c r="C120" s="21" t="s">
        <v>366</v>
      </c>
      <c r="D120" s="21" t="s">
        <v>366</v>
      </c>
      <c r="E120" s="15" t="s">
        <v>387</v>
      </c>
      <c r="F120" s="40">
        <v>46275.0</v>
      </c>
      <c r="G120" s="21" t="s">
        <v>592</v>
      </c>
      <c r="H120" s="21">
        <v>2026.0</v>
      </c>
      <c r="I120" s="40">
        <v>46275.0</v>
      </c>
      <c r="J120" s="100" t="s">
        <v>743</v>
      </c>
      <c r="K120" s="21" t="s">
        <v>744</v>
      </c>
      <c r="L120" s="40">
        <v>46279.0</v>
      </c>
      <c r="M120" s="101" t="s">
        <v>693</v>
      </c>
      <c r="N120" s="21" t="s">
        <v>745</v>
      </c>
      <c r="O120" s="21" t="s">
        <v>54</v>
      </c>
      <c r="P120" s="21" t="s">
        <v>557</v>
      </c>
      <c r="Q120" s="129" t="s">
        <v>748</v>
      </c>
      <c r="R120" s="21"/>
      <c r="S120" s="34"/>
      <c r="T120" s="34"/>
      <c r="U120" s="34"/>
      <c r="V120" s="34"/>
      <c r="W120" s="34"/>
      <c r="X120" s="34"/>
      <c r="Y120" s="34"/>
      <c r="Z120" s="34"/>
      <c r="AA120" s="34"/>
      <c r="AB120" s="34"/>
      <c r="AC120" s="34"/>
      <c r="AD120" s="34"/>
      <c r="AE120" s="34"/>
      <c r="AF120" s="34"/>
      <c r="AG120" s="34"/>
      <c r="AH120" s="34"/>
    </row>
    <row r="121">
      <c r="A121" s="21" t="s">
        <v>635</v>
      </c>
      <c r="B121" s="21" t="s">
        <v>42</v>
      </c>
      <c r="C121" s="21" t="s">
        <v>43</v>
      </c>
      <c r="D121" s="21" t="s">
        <v>44</v>
      </c>
      <c r="E121" s="14" t="s">
        <v>258</v>
      </c>
      <c r="F121" s="21" t="s">
        <v>755</v>
      </c>
      <c r="G121" s="21" t="s">
        <v>592</v>
      </c>
      <c r="H121" s="21">
        <v>2026.0</v>
      </c>
      <c r="I121" s="40">
        <v>46281.0</v>
      </c>
      <c r="J121" s="100" t="s">
        <v>458</v>
      </c>
      <c r="K121" s="21" t="s">
        <v>720</v>
      </c>
      <c r="L121" s="40"/>
      <c r="M121" s="101" t="s">
        <v>693</v>
      </c>
      <c r="N121" s="136" t="s">
        <v>756</v>
      </c>
      <c r="O121" s="21" t="s">
        <v>62</v>
      </c>
      <c r="P121" s="21" t="s">
        <v>122</v>
      </c>
      <c r="Q121" s="129" t="s">
        <v>759</v>
      </c>
      <c r="R121" s="21"/>
      <c r="S121" s="34"/>
      <c r="T121" s="34"/>
      <c r="U121" s="34"/>
      <c r="V121" s="34"/>
      <c r="W121" s="34"/>
      <c r="X121" s="34"/>
      <c r="Y121" s="34"/>
      <c r="Z121" s="34"/>
      <c r="AA121" s="34"/>
      <c r="AB121" s="34"/>
      <c r="AC121" s="34"/>
      <c r="AD121" s="34"/>
      <c r="AE121" s="34"/>
      <c r="AF121" s="34"/>
      <c r="AG121" s="34"/>
      <c r="AH121" s="123" t="s">
        <v>647</v>
      </c>
    </row>
    <row r="122">
      <c r="A122" s="21" t="s">
        <v>108</v>
      </c>
      <c r="B122" s="21" t="s">
        <v>42</v>
      </c>
      <c r="C122" s="21" t="s">
        <v>366</v>
      </c>
      <c r="D122" s="21" t="s">
        <v>366</v>
      </c>
      <c r="E122" s="14" t="s">
        <v>387</v>
      </c>
      <c r="F122" s="40">
        <v>46281.0</v>
      </c>
      <c r="G122" s="21" t="s">
        <v>592</v>
      </c>
      <c r="H122" s="21">
        <v>2026.0</v>
      </c>
      <c r="I122" s="40">
        <v>46281.0</v>
      </c>
      <c r="J122" s="100" t="s">
        <v>797</v>
      </c>
      <c r="K122" s="21" t="s">
        <v>799</v>
      </c>
      <c r="L122" s="40">
        <v>46281.0</v>
      </c>
      <c r="M122" s="101" t="s">
        <v>693</v>
      </c>
      <c r="N122" s="21" t="s">
        <v>801</v>
      </c>
      <c r="O122" s="21" t="s">
        <v>54</v>
      </c>
      <c r="P122" s="21" t="s">
        <v>557</v>
      </c>
      <c r="Q122" s="133" t="s">
        <v>802</v>
      </c>
      <c r="R122" s="21"/>
      <c r="S122" s="34"/>
      <c r="T122" s="34"/>
      <c r="U122" s="34"/>
      <c r="V122" s="34"/>
      <c r="W122" s="34"/>
      <c r="X122" s="34"/>
      <c r="Y122" s="34"/>
      <c r="Z122" s="34"/>
      <c r="AA122" s="34"/>
      <c r="AB122" s="34"/>
      <c r="AC122" s="34"/>
      <c r="AD122" s="34"/>
      <c r="AE122" s="34"/>
      <c r="AF122" s="34"/>
      <c r="AG122" s="34"/>
      <c r="AH122" s="34"/>
    </row>
    <row r="123">
      <c r="A123" s="21" t="s">
        <v>108</v>
      </c>
      <c r="B123" s="21" t="s">
        <v>42</v>
      </c>
      <c r="C123" s="21" t="s">
        <v>366</v>
      </c>
      <c r="D123" s="21" t="s">
        <v>366</v>
      </c>
      <c r="E123" s="14" t="s">
        <v>387</v>
      </c>
      <c r="F123" s="40">
        <v>46281.0</v>
      </c>
      <c r="G123" s="21" t="s">
        <v>809</v>
      </c>
      <c r="H123" s="21">
        <v>2026.0</v>
      </c>
      <c r="I123" s="40">
        <v>46281.0</v>
      </c>
      <c r="J123" s="100" t="s">
        <v>743</v>
      </c>
      <c r="K123" s="21" t="s">
        <v>432</v>
      </c>
      <c r="L123" s="40">
        <v>46281.0</v>
      </c>
      <c r="M123" s="101" t="s">
        <v>693</v>
      </c>
      <c r="N123" s="21" t="s">
        <v>810</v>
      </c>
      <c r="O123" s="21" t="s">
        <v>54</v>
      </c>
      <c r="P123" s="21" t="s">
        <v>557</v>
      </c>
      <c r="Q123" s="133" t="s">
        <v>813</v>
      </c>
      <c r="R123" s="21"/>
      <c r="S123" s="34"/>
      <c r="T123" s="34"/>
      <c r="U123" s="34"/>
      <c r="V123" s="34"/>
      <c r="W123" s="34"/>
      <c r="X123" s="34"/>
      <c r="Y123" s="34"/>
      <c r="Z123" s="34"/>
      <c r="AA123" s="34"/>
      <c r="AB123" s="34"/>
      <c r="AC123" s="34"/>
      <c r="AD123" s="34"/>
      <c r="AE123" s="34"/>
      <c r="AF123" s="34"/>
      <c r="AG123" s="34"/>
      <c r="AH123" s="123" t="s">
        <v>647</v>
      </c>
    </row>
    <row r="124">
      <c r="A124" s="21" t="s">
        <v>108</v>
      </c>
      <c r="B124" s="21" t="s">
        <v>42</v>
      </c>
      <c r="C124" s="21" t="s">
        <v>636</v>
      </c>
      <c r="D124" s="21" t="s">
        <v>636</v>
      </c>
      <c r="E124" s="14" t="s">
        <v>401</v>
      </c>
      <c r="F124" s="40">
        <v>46281.0</v>
      </c>
      <c r="G124" s="21" t="s">
        <v>592</v>
      </c>
      <c r="H124" s="21">
        <v>2026.0</v>
      </c>
      <c r="I124" s="40">
        <v>46281.0</v>
      </c>
      <c r="J124" s="100" t="s">
        <v>59</v>
      </c>
      <c r="K124" s="21" t="s">
        <v>432</v>
      </c>
      <c r="L124" s="40">
        <v>46281.0</v>
      </c>
      <c r="M124" s="101" t="s">
        <v>693</v>
      </c>
      <c r="N124" s="14" t="s">
        <v>820</v>
      </c>
      <c r="O124" s="21" t="s">
        <v>54</v>
      </c>
      <c r="P124" s="21" t="s">
        <v>557</v>
      </c>
      <c r="Q124" s="129" t="s">
        <v>821</v>
      </c>
      <c r="R124" s="21"/>
      <c r="S124" s="34"/>
      <c r="T124" s="34"/>
      <c r="U124" s="34"/>
      <c r="V124" s="34"/>
      <c r="W124" s="34"/>
      <c r="X124" s="34"/>
      <c r="Y124" s="34"/>
      <c r="Z124" s="34"/>
      <c r="AA124" s="34"/>
      <c r="AB124" s="34"/>
      <c r="AC124" s="34"/>
      <c r="AD124" s="34"/>
      <c r="AE124" s="34"/>
      <c r="AF124" s="34"/>
      <c r="AG124" s="34"/>
      <c r="AH124" s="34"/>
    </row>
    <row r="125">
      <c r="A125" s="21" t="s">
        <v>108</v>
      </c>
      <c r="B125" s="21" t="s">
        <v>42</v>
      </c>
      <c r="C125" s="21" t="s">
        <v>366</v>
      </c>
      <c r="D125" s="21" t="s">
        <v>366</v>
      </c>
      <c r="E125" s="14" t="s">
        <v>387</v>
      </c>
      <c r="F125" s="40">
        <v>46281.0</v>
      </c>
      <c r="G125" s="21" t="s">
        <v>592</v>
      </c>
      <c r="H125" s="21">
        <v>2026.0</v>
      </c>
      <c r="I125" s="40">
        <v>46281.0</v>
      </c>
      <c r="J125" s="100" t="s">
        <v>797</v>
      </c>
      <c r="K125" s="21" t="s">
        <v>693</v>
      </c>
      <c r="L125" s="21" t="s">
        <v>827</v>
      </c>
      <c r="M125" s="101" t="s">
        <v>693</v>
      </c>
      <c r="N125" s="14" t="s">
        <v>829</v>
      </c>
      <c r="O125" s="21" t="s">
        <v>62</v>
      </c>
      <c r="P125" s="21" t="s">
        <v>557</v>
      </c>
      <c r="Q125" s="129" t="s">
        <v>830</v>
      </c>
      <c r="R125" s="21"/>
      <c r="S125" s="34"/>
      <c r="T125" s="34"/>
      <c r="U125" s="34"/>
      <c r="V125" s="34"/>
      <c r="W125" s="34"/>
      <c r="X125" s="34"/>
      <c r="Y125" s="34"/>
      <c r="Z125" s="34"/>
      <c r="AA125" s="34"/>
      <c r="AB125" s="34"/>
      <c r="AC125" s="34"/>
      <c r="AD125" s="34"/>
      <c r="AE125" s="34"/>
      <c r="AF125" s="34"/>
      <c r="AG125" s="34"/>
      <c r="AH125" s="34"/>
    </row>
    <row r="126">
      <c r="A126" s="21" t="s">
        <v>108</v>
      </c>
      <c r="B126" s="21" t="s">
        <v>42</v>
      </c>
      <c r="C126" s="21" t="s">
        <v>366</v>
      </c>
      <c r="D126" s="21" t="s">
        <v>366</v>
      </c>
      <c r="E126" s="14" t="s">
        <v>387</v>
      </c>
      <c r="F126" s="40">
        <v>46282.0</v>
      </c>
      <c r="G126" s="21" t="s">
        <v>809</v>
      </c>
      <c r="H126" s="21">
        <v>2026.0</v>
      </c>
      <c r="I126" s="40">
        <v>46282.0</v>
      </c>
      <c r="J126" s="100" t="s">
        <v>797</v>
      </c>
      <c r="K126" s="21" t="s">
        <v>835</v>
      </c>
      <c r="L126" s="40">
        <v>46282.0</v>
      </c>
      <c r="M126" s="101" t="s">
        <v>693</v>
      </c>
      <c r="N126" s="14" t="s">
        <v>836</v>
      </c>
      <c r="O126" s="21" t="s">
        <v>54</v>
      </c>
      <c r="P126" s="21" t="s">
        <v>557</v>
      </c>
      <c r="Q126" s="129" t="s">
        <v>839</v>
      </c>
      <c r="R126" s="21"/>
      <c r="S126" s="34"/>
      <c r="T126" s="34"/>
      <c r="U126" s="34"/>
      <c r="V126" s="34"/>
      <c r="W126" s="34"/>
      <c r="X126" s="34"/>
      <c r="Y126" s="34"/>
      <c r="Z126" s="34"/>
      <c r="AA126" s="34"/>
      <c r="AB126" s="34"/>
      <c r="AC126" s="34"/>
      <c r="AD126" s="34"/>
      <c r="AE126" s="34"/>
      <c r="AF126" s="34"/>
      <c r="AG126" s="34"/>
      <c r="AH126" s="34"/>
    </row>
    <row r="127">
      <c r="A127" s="21" t="s">
        <v>108</v>
      </c>
      <c r="B127" s="21" t="s">
        <v>42</v>
      </c>
      <c r="C127" s="21" t="s">
        <v>366</v>
      </c>
      <c r="D127" s="21" t="s">
        <v>366</v>
      </c>
      <c r="E127" s="14" t="s">
        <v>387</v>
      </c>
      <c r="F127" s="40">
        <v>46282.0</v>
      </c>
      <c r="G127" s="21" t="s">
        <v>809</v>
      </c>
      <c r="H127" s="21">
        <v>2026.0</v>
      </c>
      <c r="I127" s="40">
        <v>46251.0</v>
      </c>
      <c r="J127" s="100" t="s">
        <v>151</v>
      </c>
      <c r="K127" s="21" t="s">
        <v>842</v>
      </c>
      <c r="L127" s="143" t="s">
        <v>845</v>
      </c>
      <c r="M127" s="101" t="s">
        <v>693</v>
      </c>
      <c r="N127" s="21" t="s">
        <v>846</v>
      </c>
      <c r="O127" s="21" t="s">
        <v>54</v>
      </c>
      <c r="P127" s="21" t="s">
        <v>557</v>
      </c>
      <c r="Q127" s="129" t="s">
        <v>847</v>
      </c>
      <c r="R127" s="21"/>
      <c r="S127" s="34"/>
      <c r="T127" s="34"/>
      <c r="U127" s="34"/>
      <c r="V127" s="34"/>
      <c r="W127" s="34"/>
      <c r="X127" s="34"/>
      <c r="Y127" s="34"/>
      <c r="Z127" s="34"/>
      <c r="AA127" s="34"/>
      <c r="AB127" s="34"/>
      <c r="AC127" s="34"/>
      <c r="AD127" s="34"/>
      <c r="AE127" s="34"/>
      <c r="AF127" s="34"/>
      <c r="AG127" s="34"/>
      <c r="AH127" s="34"/>
    </row>
    <row r="128">
      <c r="A128" s="21"/>
      <c r="B128" s="21" t="s">
        <v>42</v>
      </c>
      <c r="C128" s="21" t="s">
        <v>43</v>
      </c>
      <c r="D128" s="21" t="s">
        <v>44</v>
      </c>
      <c r="E128" s="144" t="s">
        <v>45</v>
      </c>
      <c r="F128" s="40">
        <v>46282.0</v>
      </c>
      <c r="G128" s="21" t="s">
        <v>809</v>
      </c>
      <c r="H128" s="21">
        <v>2026.0</v>
      </c>
      <c r="I128" s="40">
        <v>46282.0</v>
      </c>
      <c r="J128" s="100" t="s">
        <v>611</v>
      </c>
      <c r="K128" s="21" t="s">
        <v>856</v>
      </c>
      <c r="L128" s="40"/>
      <c r="M128" s="101" t="s">
        <v>693</v>
      </c>
      <c r="N128" s="21" t="s">
        <v>859</v>
      </c>
      <c r="O128" s="21" t="s">
        <v>62</v>
      </c>
      <c r="P128" s="21" t="s">
        <v>297</v>
      </c>
      <c r="Q128" s="129" t="s">
        <v>860</v>
      </c>
      <c r="R128" s="21"/>
      <c r="S128" s="34"/>
      <c r="T128" s="34"/>
      <c r="U128" s="34"/>
      <c r="V128" s="34"/>
      <c r="W128" s="34"/>
      <c r="X128" s="34"/>
      <c r="Y128" s="34"/>
      <c r="Z128" s="34"/>
      <c r="AA128" s="34"/>
      <c r="AB128" s="34"/>
      <c r="AC128" s="34"/>
      <c r="AD128" s="34"/>
      <c r="AE128" s="34"/>
      <c r="AF128" s="34"/>
      <c r="AG128" s="34"/>
      <c r="AH128" s="34"/>
    </row>
    <row r="129" ht="15.0" customHeight="1">
      <c r="A129" s="21"/>
      <c r="B129" s="21" t="s">
        <v>42</v>
      </c>
      <c r="C129" s="21" t="s">
        <v>868</v>
      </c>
      <c r="D129" s="21"/>
      <c r="E129" s="21" t="s">
        <v>868</v>
      </c>
      <c r="F129" s="40">
        <v>46282.0</v>
      </c>
      <c r="G129" s="21" t="s">
        <v>809</v>
      </c>
      <c r="H129" s="21">
        <v>2026.0</v>
      </c>
      <c r="I129" s="40">
        <v>46251.0</v>
      </c>
      <c r="J129" s="100" t="s">
        <v>611</v>
      </c>
      <c r="K129" s="21" t="s">
        <v>720</v>
      </c>
      <c r="L129" s="40" t="s">
        <v>871</v>
      </c>
      <c r="M129" s="101" t="s">
        <v>693</v>
      </c>
      <c r="N129" s="21" t="s">
        <v>872</v>
      </c>
      <c r="O129" s="21" t="s">
        <v>54</v>
      </c>
      <c r="P129" s="21" t="s">
        <v>617</v>
      </c>
      <c r="Q129" s="129" t="s">
        <v>873</v>
      </c>
      <c r="R129" s="21"/>
      <c r="S129" s="34"/>
      <c r="T129" s="34"/>
      <c r="U129" s="34"/>
      <c r="V129" s="34"/>
      <c r="W129" s="34"/>
      <c r="X129" s="34"/>
      <c r="Y129" s="34"/>
      <c r="Z129" s="34"/>
      <c r="AA129" s="34"/>
      <c r="AB129" s="34"/>
      <c r="AC129" s="34"/>
      <c r="AD129" s="34"/>
      <c r="AE129" s="34"/>
      <c r="AF129" s="34"/>
      <c r="AG129" s="34"/>
      <c r="AH129" s="34"/>
    </row>
    <row r="130">
      <c r="A130" s="21" t="s">
        <v>94</v>
      </c>
      <c r="B130" s="21" t="s">
        <v>42</v>
      </c>
      <c r="C130" s="21" t="s">
        <v>636</v>
      </c>
      <c r="D130" s="21" t="s">
        <v>636</v>
      </c>
      <c r="E130" s="14" t="s">
        <v>401</v>
      </c>
      <c r="F130" s="40">
        <v>46286.0</v>
      </c>
      <c r="G130" s="21" t="s">
        <v>809</v>
      </c>
      <c r="H130" s="21">
        <v>2026.0</v>
      </c>
      <c r="I130" s="40">
        <v>46286.0</v>
      </c>
      <c r="J130" s="100" t="s">
        <v>451</v>
      </c>
      <c r="K130" s="21" t="s">
        <v>878</v>
      </c>
      <c r="L130" s="40">
        <v>46287.0</v>
      </c>
      <c r="M130" s="101" t="s">
        <v>693</v>
      </c>
      <c r="N130" s="21" t="s">
        <v>879</v>
      </c>
      <c r="O130" s="21" t="s">
        <v>54</v>
      </c>
      <c r="P130" s="21" t="s">
        <v>722</v>
      </c>
      <c r="Q130" s="129" t="s">
        <v>880</v>
      </c>
      <c r="R130" s="21"/>
      <c r="S130" s="34"/>
      <c r="T130" s="34"/>
      <c r="U130" s="34"/>
      <c r="V130" s="34"/>
      <c r="W130" s="34"/>
      <c r="X130" s="34"/>
      <c r="Y130" s="34"/>
      <c r="Z130" s="34"/>
      <c r="AA130" s="34"/>
      <c r="AB130" s="34"/>
      <c r="AC130" s="34"/>
      <c r="AD130" s="34"/>
      <c r="AE130" s="34"/>
      <c r="AF130" s="34"/>
      <c r="AG130" s="34"/>
      <c r="AH130" s="34"/>
    </row>
    <row r="131">
      <c r="A131" s="21" t="s">
        <v>94</v>
      </c>
      <c r="B131" s="21" t="s">
        <v>42</v>
      </c>
      <c r="C131" s="21" t="s">
        <v>366</v>
      </c>
      <c r="D131" s="21" t="s">
        <v>366</v>
      </c>
      <c r="E131" s="21"/>
      <c r="F131" s="40">
        <v>46286.0</v>
      </c>
      <c r="G131" s="21" t="s">
        <v>885</v>
      </c>
      <c r="H131" s="21">
        <v>2026.0</v>
      </c>
      <c r="I131" s="40"/>
      <c r="J131" s="100"/>
      <c r="K131" s="21"/>
      <c r="L131" s="40"/>
      <c r="M131" s="101"/>
      <c r="N131" s="21" t="s">
        <v>886</v>
      </c>
      <c r="O131" s="21" t="s">
        <v>62</v>
      </c>
      <c r="P131" s="21" t="s">
        <v>442</v>
      </c>
      <c r="Q131" s="129" t="s">
        <v>888</v>
      </c>
      <c r="R131" s="21"/>
      <c r="S131" s="34"/>
      <c r="T131" s="34"/>
      <c r="U131" s="34"/>
      <c r="V131" s="34"/>
      <c r="W131" s="34"/>
      <c r="X131" s="34"/>
      <c r="Y131" s="34"/>
      <c r="Z131" s="34"/>
      <c r="AA131" s="34"/>
      <c r="AB131" s="34"/>
      <c r="AC131" s="34"/>
      <c r="AD131" s="34"/>
      <c r="AE131" s="34"/>
      <c r="AF131" s="34"/>
      <c r="AG131" s="34"/>
      <c r="AH131" s="34"/>
    </row>
    <row r="132">
      <c r="A132" s="21"/>
      <c r="B132" s="21" t="s">
        <v>42</v>
      </c>
      <c r="C132" s="21"/>
      <c r="D132" s="21"/>
      <c r="E132" s="21"/>
      <c r="F132" s="40">
        <v>46286.0</v>
      </c>
      <c r="G132" s="21" t="s">
        <v>809</v>
      </c>
      <c r="H132" s="21">
        <v>2026.0</v>
      </c>
      <c r="I132" s="40"/>
      <c r="J132" s="100" t="s">
        <v>59</v>
      </c>
      <c r="K132" s="21"/>
      <c r="L132" s="40"/>
      <c r="M132" s="101"/>
      <c r="N132" s="21" t="s">
        <v>894</v>
      </c>
      <c r="O132" s="21" t="s">
        <v>62</v>
      </c>
      <c r="P132" s="21" t="s">
        <v>454</v>
      </c>
      <c r="Q132" s="129" t="s">
        <v>896</v>
      </c>
      <c r="R132" s="21"/>
      <c r="S132" s="34"/>
      <c r="T132" s="34"/>
      <c r="U132" s="34"/>
      <c r="V132" s="34"/>
      <c r="W132" s="34"/>
      <c r="X132" s="34"/>
      <c r="Y132" s="34"/>
      <c r="Z132" s="34"/>
      <c r="AA132" s="34"/>
      <c r="AB132" s="34"/>
      <c r="AC132" s="34"/>
      <c r="AD132" s="34"/>
      <c r="AE132" s="34"/>
      <c r="AF132" s="34"/>
      <c r="AG132" s="34"/>
      <c r="AH132" s="34"/>
    </row>
    <row r="133">
      <c r="A133" s="21" t="s">
        <v>635</v>
      </c>
      <c r="B133" s="21" t="s">
        <v>42</v>
      </c>
      <c r="C133" s="21" t="s">
        <v>366</v>
      </c>
      <c r="D133" s="21" t="s">
        <v>366</v>
      </c>
      <c r="E133" s="21"/>
      <c r="F133" s="40">
        <v>46286.0</v>
      </c>
      <c r="G133" s="21" t="s">
        <v>592</v>
      </c>
      <c r="H133" s="21">
        <v>2026.0</v>
      </c>
      <c r="I133" s="40"/>
      <c r="J133" s="100" t="s">
        <v>59</v>
      </c>
      <c r="K133" s="21"/>
      <c r="L133" s="40"/>
      <c r="M133" s="101"/>
      <c r="N133" s="21" t="s">
        <v>899</v>
      </c>
      <c r="O133" s="21" t="s">
        <v>62</v>
      </c>
      <c r="P133" s="21" t="s">
        <v>557</v>
      </c>
      <c r="Q133" s="129" t="s">
        <v>900</v>
      </c>
      <c r="R133" s="21"/>
      <c r="S133" s="34"/>
      <c r="T133" s="34"/>
      <c r="U133" s="34"/>
      <c r="V133" s="34"/>
      <c r="W133" s="34"/>
      <c r="X133" s="34"/>
      <c r="Y133" s="34"/>
      <c r="Z133" s="34"/>
      <c r="AA133" s="34"/>
      <c r="AB133" s="34"/>
      <c r="AC133" s="34"/>
      <c r="AD133" s="34"/>
      <c r="AE133" s="34"/>
      <c r="AF133" s="34"/>
      <c r="AG133" s="34"/>
      <c r="AH133" s="34"/>
    </row>
    <row r="134">
      <c r="A134" s="21" t="s">
        <v>635</v>
      </c>
      <c r="B134" s="21" t="s">
        <v>42</v>
      </c>
      <c r="C134" s="21" t="s">
        <v>366</v>
      </c>
      <c r="D134" s="21" t="s">
        <v>366</v>
      </c>
      <c r="E134" s="145"/>
      <c r="F134" s="40">
        <v>46286.0</v>
      </c>
      <c r="G134" s="21" t="s">
        <v>809</v>
      </c>
      <c r="H134" s="21">
        <v>2026.0</v>
      </c>
      <c r="I134" s="40"/>
      <c r="J134" s="100" t="s">
        <v>59</v>
      </c>
      <c r="K134" s="21"/>
      <c r="L134" s="40"/>
      <c r="M134" s="101"/>
      <c r="N134" s="21" t="s">
        <v>904</v>
      </c>
      <c r="O134" s="21" t="s">
        <v>62</v>
      </c>
      <c r="P134" s="21" t="s">
        <v>557</v>
      </c>
      <c r="Q134" s="129" t="s">
        <v>905</v>
      </c>
      <c r="R134" s="21"/>
      <c r="S134" s="34"/>
      <c r="T134" s="34"/>
      <c r="U134" s="34"/>
      <c r="V134" s="34"/>
      <c r="W134" s="34"/>
      <c r="X134" s="34"/>
      <c r="Y134" s="34"/>
      <c r="Z134" s="34"/>
      <c r="AA134" s="34"/>
      <c r="AB134" s="34"/>
      <c r="AC134" s="34"/>
      <c r="AD134" s="34"/>
      <c r="AE134" s="34"/>
      <c r="AF134" s="34"/>
      <c r="AG134" s="34"/>
      <c r="AH134" s="34"/>
    </row>
    <row r="135">
      <c r="A135" s="21" t="s">
        <v>41</v>
      </c>
      <c r="B135" s="21" t="s">
        <v>42</v>
      </c>
      <c r="C135" s="21" t="s">
        <v>908</v>
      </c>
      <c r="D135" s="21" t="s">
        <v>44</v>
      </c>
      <c r="E135" s="146" t="s">
        <v>129</v>
      </c>
      <c r="F135" s="40">
        <v>46277.0</v>
      </c>
      <c r="G135" s="21" t="s">
        <v>809</v>
      </c>
      <c r="H135" s="21">
        <v>2026.0</v>
      </c>
      <c r="I135" s="40"/>
      <c r="J135" s="100" t="s">
        <v>50</v>
      </c>
      <c r="K135" s="21" t="s">
        <v>909</v>
      </c>
      <c r="L135" s="40"/>
      <c r="M135" s="101">
        <v>142250.0</v>
      </c>
      <c r="N135" s="21" t="s">
        <v>910</v>
      </c>
      <c r="O135" s="21" t="s">
        <v>62</v>
      </c>
      <c r="P135" s="21" t="s">
        <v>55</v>
      </c>
      <c r="Q135" s="21"/>
      <c r="R135" s="21"/>
      <c r="S135" s="34"/>
      <c r="T135" s="34"/>
      <c r="U135" s="34"/>
      <c r="V135" s="34"/>
      <c r="W135" s="34"/>
      <c r="X135" s="34"/>
      <c r="Y135" s="34"/>
      <c r="Z135" s="34"/>
      <c r="AA135" s="34"/>
      <c r="AB135" s="34"/>
      <c r="AC135" s="34"/>
      <c r="AD135" s="34"/>
      <c r="AE135" s="34"/>
      <c r="AF135" s="34"/>
      <c r="AG135" s="34"/>
      <c r="AH135" s="34"/>
    </row>
    <row r="136">
      <c r="A136" s="21" t="s">
        <v>41</v>
      </c>
      <c r="B136" s="21" t="s">
        <v>42</v>
      </c>
      <c r="C136" s="21" t="s">
        <v>908</v>
      </c>
      <c r="D136" s="21" t="s">
        <v>44</v>
      </c>
      <c r="E136" s="21"/>
      <c r="F136" s="147">
        <v>46262.0</v>
      </c>
      <c r="G136" s="21" t="s">
        <v>592</v>
      </c>
      <c r="H136" s="21">
        <v>2026.0</v>
      </c>
      <c r="I136" s="40">
        <v>46116.0</v>
      </c>
      <c r="J136" s="100" t="s">
        <v>650</v>
      </c>
      <c r="K136" s="21" t="s">
        <v>913</v>
      </c>
      <c r="L136" s="40">
        <v>46286.0</v>
      </c>
      <c r="M136" s="101">
        <v>266600.0</v>
      </c>
      <c r="N136" s="148" t="s">
        <v>914</v>
      </c>
      <c r="O136" s="21" t="s">
        <v>54</v>
      </c>
      <c r="P136" s="21" t="s">
        <v>154</v>
      </c>
      <c r="Q136" s="149" t="s">
        <v>916</v>
      </c>
      <c r="R136" s="21"/>
      <c r="S136" s="123" t="s">
        <v>917</v>
      </c>
      <c r="T136" s="34"/>
      <c r="U136" s="34"/>
      <c r="V136" s="34"/>
      <c r="W136" s="34"/>
      <c r="X136" s="34"/>
      <c r="Y136" s="34"/>
      <c r="Z136" s="34"/>
      <c r="AA136" s="34"/>
      <c r="AB136" s="34"/>
      <c r="AC136" s="34"/>
      <c r="AD136" s="34"/>
      <c r="AE136" s="34"/>
      <c r="AF136" s="34"/>
      <c r="AG136" s="34"/>
      <c r="AH136" s="34"/>
    </row>
    <row r="137">
      <c r="A137" s="21" t="s">
        <v>41</v>
      </c>
      <c r="B137" s="21" t="s">
        <v>42</v>
      </c>
      <c r="C137" s="21" t="s">
        <v>920</v>
      </c>
      <c r="D137" s="21" t="s">
        <v>44</v>
      </c>
      <c r="E137" s="21"/>
      <c r="F137" s="40">
        <v>46265.0</v>
      </c>
      <c r="G137" s="21" t="s">
        <v>921</v>
      </c>
      <c r="H137" s="21">
        <v>2026.0</v>
      </c>
      <c r="I137" s="40">
        <v>46286.0</v>
      </c>
      <c r="J137" s="100" t="s">
        <v>50</v>
      </c>
      <c r="K137" s="21" t="s">
        <v>909</v>
      </c>
      <c r="L137" s="40"/>
      <c r="M137" s="101">
        <v>1837500.0</v>
      </c>
      <c r="N137" s="21" t="s">
        <v>922</v>
      </c>
      <c r="O137" s="21" t="s">
        <v>62</v>
      </c>
      <c r="P137" s="21" t="s">
        <v>55</v>
      </c>
      <c r="Q137" s="149" t="s">
        <v>924</v>
      </c>
      <c r="R137" s="21"/>
      <c r="S137" s="123" t="s">
        <v>917</v>
      </c>
      <c r="T137" s="34"/>
      <c r="U137" s="34"/>
      <c r="V137" s="34"/>
      <c r="W137" s="34"/>
      <c r="X137" s="34"/>
      <c r="Y137" s="34"/>
      <c r="Z137" s="34"/>
      <c r="AA137" s="34"/>
      <c r="AB137" s="34"/>
      <c r="AC137" s="34"/>
      <c r="AD137" s="34"/>
      <c r="AE137" s="34"/>
      <c r="AF137" s="34"/>
      <c r="AG137" s="34"/>
      <c r="AH137" s="34"/>
    </row>
    <row r="138">
      <c r="A138" s="21" t="s">
        <v>94</v>
      </c>
      <c r="B138" s="21" t="s">
        <v>42</v>
      </c>
      <c r="C138" s="21" t="s">
        <v>928</v>
      </c>
      <c r="D138" s="21" t="s">
        <v>636</v>
      </c>
      <c r="E138" s="21"/>
      <c r="F138" s="40">
        <v>46287.0</v>
      </c>
      <c r="G138" s="21" t="s">
        <v>809</v>
      </c>
      <c r="H138" s="21">
        <v>2026.0</v>
      </c>
      <c r="I138" s="40"/>
      <c r="J138" s="100"/>
      <c r="K138" s="21"/>
      <c r="L138" s="40"/>
      <c r="M138" s="101"/>
      <c r="N138" s="21" t="s">
        <v>931</v>
      </c>
      <c r="O138" s="21" t="s">
        <v>62</v>
      </c>
      <c r="P138" s="21" t="s">
        <v>55</v>
      </c>
      <c r="Q138" s="129" t="s">
        <v>932</v>
      </c>
      <c r="R138" s="21"/>
      <c r="S138" s="34"/>
      <c r="T138" s="34"/>
      <c r="U138" s="34"/>
      <c r="V138" s="34"/>
      <c r="W138" s="34"/>
      <c r="X138" s="34"/>
      <c r="Y138" s="34"/>
      <c r="Z138" s="34"/>
      <c r="AA138" s="34"/>
      <c r="AB138" s="34"/>
      <c r="AC138" s="34"/>
      <c r="AD138" s="34"/>
      <c r="AE138" s="34"/>
      <c r="AF138" s="34"/>
      <c r="AG138" s="34"/>
      <c r="AH138" s="123" t="s">
        <v>647</v>
      </c>
    </row>
    <row r="139">
      <c r="A139" s="21" t="s">
        <v>41</v>
      </c>
      <c r="B139" s="21" t="s">
        <v>42</v>
      </c>
      <c r="C139" s="21" t="s">
        <v>928</v>
      </c>
      <c r="D139" s="21" t="s">
        <v>636</v>
      </c>
      <c r="E139" s="21"/>
      <c r="F139" s="40">
        <v>46287.0</v>
      </c>
      <c r="G139" s="21" t="s">
        <v>809</v>
      </c>
      <c r="H139" s="21">
        <v>2026.0</v>
      </c>
      <c r="I139" s="40">
        <v>46287.0</v>
      </c>
      <c r="J139" s="100" t="s">
        <v>50</v>
      </c>
      <c r="K139" s="21" t="s">
        <v>705</v>
      </c>
      <c r="L139" s="40"/>
      <c r="M139" s="101">
        <v>18600.0</v>
      </c>
      <c r="N139" s="21" t="s">
        <v>940</v>
      </c>
      <c r="O139" s="21" t="s">
        <v>62</v>
      </c>
      <c r="P139" s="21" t="s">
        <v>55</v>
      </c>
      <c r="Q139" s="129" t="s">
        <v>941</v>
      </c>
      <c r="R139" s="21"/>
      <c r="S139" s="34"/>
      <c r="T139" s="34"/>
      <c r="U139" s="34"/>
      <c r="V139" s="34"/>
      <c r="W139" s="34"/>
      <c r="X139" s="34"/>
      <c r="Y139" s="34"/>
      <c r="Z139" s="34"/>
      <c r="AA139" s="34"/>
      <c r="AB139" s="34"/>
      <c r="AC139" s="34"/>
      <c r="AD139" s="34"/>
      <c r="AE139" s="34"/>
      <c r="AF139" s="34"/>
      <c r="AG139" s="34"/>
      <c r="AH139" s="34"/>
    </row>
    <row r="140">
      <c r="A140" s="21" t="s">
        <v>41</v>
      </c>
      <c r="B140" s="21" t="s">
        <v>42</v>
      </c>
      <c r="C140" s="21" t="s">
        <v>43</v>
      </c>
      <c r="D140" s="21" t="s">
        <v>44</v>
      </c>
      <c r="E140" s="146" t="s">
        <v>73</v>
      </c>
      <c r="F140" s="131" t="s">
        <v>946</v>
      </c>
      <c r="G140" s="21" t="s">
        <v>809</v>
      </c>
      <c r="H140" s="21">
        <v>2026.0</v>
      </c>
      <c r="I140" s="40">
        <v>46275.0</v>
      </c>
      <c r="J140" s="100" t="s">
        <v>650</v>
      </c>
      <c r="K140" s="21" t="s">
        <v>913</v>
      </c>
      <c r="L140" s="40">
        <v>46287.0</v>
      </c>
      <c r="M140" s="101">
        <v>154200.0</v>
      </c>
      <c r="N140" s="150" t="s">
        <v>949</v>
      </c>
      <c r="O140" s="21" t="s">
        <v>54</v>
      </c>
      <c r="P140" s="21" t="s">
        <v>55</v>
      </c>
      <c r="Q140" s="149" t="s">
        <v>950</v>
      </c>
      <c r="R140" s="21"/>
      <c r="S140" s="34"/>
      <c r="T140" s="34"/>
      <c r="U140" s="34"/>
      <c r="V140" s="34"/>
      <c r="W140" s="34"/>
      <c r="X140" s="34"/>
      <c r="Y140" s="34"/>
      <c r="Z140" s="34"/>
      <c r="AA140" s="34"/>
      <c r="AB140" s="34"/>
      <c r="AC140" s="34"/>
      <c r="AD140" s="34"/>
      <c r="AE140" s="34"/>
      <c r="AF140" s="34"/>
      <c r="AG140" s="34"/>
      <c r="AH140" s="34"/>
    </row>
    <row r="141">
      <c r="A141" s="21" t="s">
        <v>41</v>
      </c>
      <c r="B141" s="21" t="s">
        <v>42</v>
      </c>
      <c r="C141" s="21" t="s">
        <v>43</v>
      </c>
      <c r="D141" s="21" t="s">
        <v>44</v>
      </c>
      <c r="E141" s="151" t="s">
        <v>155</v>
      </c>
      <c r="F141" s="40">
        <v>46263.0</v>
      </c>
      <c r="G141" s="21" t="s">
        <v>592</v>
      </c>
      <c r="H141" s="21">
        <v>2026.0</v>
      </c>
      <c r="I141" s="40">
        <v>46281.0</v>
      </c>
      <c r="J141" s="100" t="s">
        <v>50</v>
      </c>
      <c r="K141" s="21" t="s">
        <v>953</v>
      </c>
      <c r="L141" s="40"/>
      <c r="M141" s="101">
        <v>1535443.0</v>
      </c>
      <c r="N141" s="21" t="s">
        <v>955</v>
      </c>
      <c r="O141" s="21" t="s">
        <v>62</v>
      </c>
      <c r="P141" s="21" t="s">
        <v>55</v>
      </c>
      <c r="Q141" s="149" t="s">
        <v>956</v>
      </c>
      <c r="R141" s="21"/>
      <c r="S141" s="34"/>
      <c r="T141" s="34"/>
      <c r="U141" s="34"/>
      <c r="V141" s="34"/>
      <c r="W141" s="34"/>
      <c r="X141" s="34"/>
      <c r="Y141" s="34"/>
      <c r="Z141" s="34"/>
      <c r="AA141" s="34"/>
      <c r="AB141" s="34"/>
      <c r="AC141" s="34"/>
      <c r="AD141" s="34"/>
      <c r="AE141" s="34"/>
      <c r="AF141" s="34"/>
      <c r="AG141" s="34"/>
      <c r="AH141" s="34"/>
    </row>
    <row r="142" ht="13.5" customHeight="1">
      <c r="A142" s="21" t="s">
        <v>41</v>
      </c>
      <c r="B142" s="21" t="s">
        <v>42</v>
      </c>
      <c r="C142" s="21" t="s">
        <v>43</v>
      </c>
      <c r="D142" s="21" t="s">
        <v>44</v>
      </c>
      <c r="E142" s="153" t="s">
        <v>73</v>
      </c>
      <c r="F142" s="40">
        <v>46262.0</v>
      </c>
      <c r="G142" s="21" t="s">
        <v>592</v>
      </c>
      <c r="H142" s="21">
        <v>2026.0</v>
      </c>
      <c r="I142" s="121">
        <v>46282.0</v>
      </c>
      <c r="J142" s="100" t="s">
        <v>650</v>
      </c>
      <c r="K142" s="21"/>
      <c r="L142" s="40"/>
      <c r="M142" s="101">
        <v>55000.0</v>
      </c>
      <c r="N142" s="150" t="s">
        <v>959</v>
      </c>
      <c r="O142" s="21" t="s">
        <v>54</v>
      </c>
      <c r="P142" s="21" t="s">
        <v>55</v>
      </c>
      <c r="Q142" s="154" t="s">
        <v>960</v>
      </c>
      <c r="R142" s="21"/>
      <c r="S142" s="34"/>
      <c r="T142" s="34"/>
      <c r="U142" s="34"/>
      <c r="V142" s="34"/>
      <c r="W142" s="34"/>
      <c r="X142" s="34"/>
      <c r="Y142" s="34"/>
      <c r="Z142" s="34"/>
      <c r="AA142" s="34"/>
      <c r="AB142" s="34"/>
      <c r="AC142" s="34"/>
      <c r="AD142" s="34"/>
      <c r="AE142" s="34"/>
      <c r="AF142" s="34"/>
      <c r="AG142" s="34"/>
      <c r="AH142" s="34"/>
    </row>
    <row r="143" ht="13.5" customHeight="1">
      <c r="A143" s="21" t="s">
        <v>41</v>
      </c>
      <c r="B143" s="21" t="s">
        <v>42</v>
      </c>
      <c r="C143" s="21" t="s">
        <v>43</v>
      </c>
      <c r="D143" s="21" t="s">
        <v>44</v>
      </c>
      <c r="E143" s="153" t="s">
        <v>73</v>
      </c>
      <c r="F143" s="40">
        <v>46262.0</v>
      </c>
      <c r="G143" s="21" t="s">
        <v>592</v>
      </c>
      <c r="H143" s="21">
        <v>2026.0</v>
      </c>
      <c r="I143" s="40">
        <v>46273.0</v>
      </c>
      <c r="J143" s="100" t="s">
        <v>650</v>
      </c>
      <c r="K143" s="21" t="s">
        <v>967</v>
      </c>
      <c r="L143" s="40">
        <v>46287.0</v>
      </c>
      <c r="M143" s="101">
        <v>48700.0</v>
      </c>
      <c r="N143" s="21" t="s">
        <v>968</v>
      </c>
      <c r="O143" s="21" t="s">
        <v>54</v>
      </c>
      <c r="P143" s="21" t="s">
        <v>55</v>
      </c>
      <c r="Q143" s="149" t="s">
        <v>950</v>
      </c>
      <c r="R143" s="21"/>
      <c r="S143" s="34"/>
      <c r="T143" s="34"/>
      <c r="U143" s="34"/>
      <c r="V143" s="34"/>
      <c r="W143" s="34"/>
      <c r="X143" s="34"/>
      <c r="Y143" s="34"/>
      <c r="Z143" s="34"/>
      <c r="AA143" s="34"/>
      <c r="AB143" s="34"/>
      <c r="AC143" s="34"/>
      <c r="AD143" s="34"/>
      <c r="AE143" s="34"/>
      <c r="AF143" s="34"/>
      <c r="AG143" s="34"/>
      <c r="AH143" s="34"/>
    </row>
    <row r="144" ht="13.5" customHeight="1">
      <c r="A144" s="21" t="s">
        <v>41</v>
      </c>
      <c r="B144" s="21" t="s">
        <v>42</v>
      </c>
      <c r="C144" s="21" t="s">
        <v>43</v>
      </c>
      <c r="D144" s="21" t="s">
        <v>44</v>
      </c>
      <c r="E144" s="155" t="s">
        <v>123</v>
      </c>
      <c r="F144" s="40">
        <v>46276.0</v>
      </c>
      <c r="G144" s="21" t="s">
        <v>592</v>
      </c>
      <c r="H144" s="21">
        <v>2026.0</v>
      </c>
      <c r="I144" s="21" t="s">
        <v>969</v>
      </c>
      <c r="J144" s="100" t="s">
        <v>59</v>
      </c>
      <c r="K144" s="14" t="s">
        <v>972</v>
      </c>
      <c r="L144" s="40">
        <v>46288.0</v>
      </c>
      <c r="M144" s="101"/>
      <c r="N144" s="21" t="s">
        <v>973</v>
      </c>
      <c r="O144" s="21" t="s">
        <v>54</v>
      </c>
      <c r="P144" s="21" t="s">
        <v>55</v>
      </c>
      <c r="Q144" s="157" t="s">
        <v>974</v>
      </c>
      <c r="R144" s="21"/>
      <c r="S144" s="34"/>
      <c r="T144" s="34"/>
      <c r="U144" s="34"/>
      <c r="V144" s="34"/>
      <c r="W144" s="34"/>
      <c r="X144" s="34"/>
      <c r="Y144" s="34"/>
      <c r="Z144" s="34"/>
      <c r="AA144" s="34"/>
      <c r="AB144" s="34"/>
      <c r="AC144" s="34"/>
      <c r="AD144" s="34"/>
      <c r="AE144" s="34"/>
      <c r="AF144" s="34"/>
      <c r="AG144" s="34"/>
      <c r="AH144" s="34"/>
    </row>
    <row r="145" ht="13.5" customHeight="1">
      <c r="A145" s="158" t="s">
        <v>41</v>
      </c>
      <c r="B145" s="158" t="s">
        <v>42</v>
      </c>
      <c r="C145" s="158" t="s">
        <v>312</v>
      </c>
      <c r="D145" s="158" t="s">
        <v>183</v>
      </c>
      <c r="E145" s="159" t="s">
        <v>979</v>
      </c>
      <c r="F145" s="160">
        <v>46235.0</v>
      </c>
      <c r="G145" s="158" t="s">
        <v>592</v>
      </c>
      <c r="H145" s="158">
        <v>2026.0</v>
      </c>
      <c r="I145" s="161">
        <v>46273.0</v>
      </c>
      <c r="J145" s="162" t="s">
        <v>451</v>
      </c>
      <c r="K145" s="158" t="s">
        <v>984</v>
      </c>
      <c r="L145" s="160">
        <v>46135.0</v>
      </c>
      <c r="M145" s="164" t="s">
        <v>985</v>
      </c>
      <c r="N145" s="165" t="s">
        <v>987</v>
      </c>
      <c r="O145" s="158" t="s">
        <v>54</v>
      </c>
      <c r="P145" s="158" t="s">
        <v>454</v>
      </c>
      <c r="Q145" s="166" t="s">
        <v>988</v>
      </c>
      <c r="R145" s="167" t="s">
        <v>991</v>
      </c>
      <c r="S145" s="168"/>
      <c r="T145" s="168"/>
      <c r="U145" s="168"/>
      <c r="V145" s="168"/>
      <c r="W145" s="168"/>
      <c r="X145" s="168"/>
      <c r="Y145" s="168"/>
      <c r="Z145" s="168"/>
      <c r="AA145" s="168"/>
      <c r="AB145" s="168"/>
      <c r="AC145" s="168"/>
      <c r="AD145" s="168"/>
      <c r="AE145" s="168"/>
      <c r="AF145" s="168"/>
      <c r="AG145" s="168"/>
      <c r="AH145" s="168"/>
    </row>
    <row r="146" ht="13.5" customHeight="1">
      <c r="A146" s="158" t="s">
        <v>41</v>
      </c>
      <c r="B146" s="158" t="s">
        <v>42</v>
      </c>
      <c r="C146" s="158" t="s">
        <v>312</v>
      </c>
      <c r="D146" s="158" t="s">
        <v>183</v>
      </c>
      <c r="E146" s="169" t="s">
        <v>184</v>
      </c>
      <c r="F146" s="160">
        <v>46266.0</v>
      </c>
      <c r="G146" s="158" t="s">
        <v>809</v>
      </c>
      <c r="H146" s="158">
        <v>2026.0</v>
      </c>
      <c r="I146" s="160">
        <v>46276.0</v>
      </c>
      <c r="J146" s="162" t="s">
        <v>59</v>
      </c>
      <c r="K146" s="158" t="s">
        <v>984</v>
      </c>
      <c r="L146" s="160">
        <v>46289.0</v>
      </c>
      <c r="M146" s="170">
        <v>47310.0</v>
      </c>
      <c r="N146" s="165" t="s">
        <v>1000</v>
      </c>
      <c r="O146" s="158" t="s">
        <v>54</v>
      </c>
      <c r="P146" s="158" t="s">
        <v>55</v>
      </c>
      <c r="Q146" s="171" t="s">
        <v>1002</v>
      </c>
      <c r="R146" s="158"/>
      <c r="S146" s="168"/>
      <c r="T146" s="168"/>
      <c r="U146" s="168"/>
      <c r="V146" s="168"/>
      <c r="W146" s="168"/>
      <c r="X146" s="168"/>
      <c r="Y146" s="168"/>
      <c r="Z146" s="168"/>
      <c r="AA146" s="168"/>
      <c r="AB146" s="168"/>
      <c r="AC146" s="168"/>
      <c r="AD146" s="168"/>
      <c r="AE146" s="168"/>
      <c r="AF146" s="168"/>
      <c r="AG146" s="168"/>
      <c r="AH146" s="168"/>
    </row>
    <row r="147" ht="13.5" customHeight="1">
      <c r="A147" s="158" t="s">
        <v>41</v>
      </c>
      <c r="B147" s="158" t="s">
        <v>42</v>
      </c>
      <c r="C147" s="158" t="s">
        <v>312</v>
      </c>
      <c r="D147" s="158" t="s">
        <v>183</v>
      </c>
      <c r="E147" s="47"/>
      <c r="F147" s="160">
        <v>46265.0</v>
      </c>
      <c r="G147" s="158" t="s">
        <v>592</v>
      </c>
      <c r="H147" s="158">
        <v>2026.0</v>
      </c>
      <c r="I147" s="158" t="s">
        <v>969</v>
      </c>
      <c r="J147" s="162" t="s">
        <v>291</v>
      </c>
      <c r="K147" s="158"/>
      <c r="L147" s="160"/>
      <c r="M147" s="170">
        <v>412517.0</v>
      </c>
      <c r="N147" s="172" t="s">
        <v>1011</v>
      </c>
      <c r="O147" s="158" t="s">
        <v>62</v>
      </c>
      <c r="P147" s="158" t="s">
        <v>55</v>
      </c>
      <c r="Q147" s="171" t="s">
        <v>1015</v>
      </c>
      <c r="R147" s="158"/>
      <c r="S147" s="168"/>
      <c r="T147" s="168"/>
      <c r="U147" s="168"/>
      <c r="V147" s="168"/>
      <c r="W147" s="168"/>
      <c r="X147" s="168"/>
      <c r="Y147" s="168"/>
      <c r="Z147" s="168"/>
      <c r="AA147" s="168"/>
      <c r="AB147" s="168"/>
      <c r="AC147" s="168"/>
      <c r="AD147" s="168"/>
      <c r="AE147" s="168"/>
      <c r="AF147" s="168"/>
      <c r="AG147" s="168"/>
      <c r="AH147" s="168"/>
    </row>
    <row r="148" ht="13.5" customHeight="1">
      <c r="A148" s="158" t="s">
        <v>41</v>
      </c>
      <c r="B148" s="158" t="s">
        <v>42</v>
      </c>
      <c r="C148" s="158" t="s">
        <v>312</v>
      </c>
      <c r="D148" s="158" t="s">
        <v>183</v>
      </c>
      <c r="E148" s="173" t="s">
        <v>314</v>
      </c>
      <c r="F148" s="160">
        <v>46281.0</v>
      </c>
      <c r="G148" s="158" t="s">
        <v>809</v>
      </c>
      <c r="H148" s="158">
        <v>2026.0</v>
      </c>
      <c r="I148" s="160"/>
      <c r="J148" s="162" t="s">
        <v>50</v>
      </c>
      <c r="K148" s="158"/>
      <c r="L148" s="160"/>
      <c r="M148" s="170">
        <v>33504.0</v>
      </c>
      <c r="N148" s="174" t="s">
        <v>1028</v>
      </c>
      <c r="O148" s="158" t="s">
        <v>62</v>
      </c>
      <c r="P148" s="158" t="s">
        <v>55</v>
      </c>
      <c r="Q148" s="175" t="s">
        <v>1030</v>
      </c>
      <c r="R148" s="158"/>
      <c r="S148" s="168"/>
      <c r="T148" s="168"/>
      <c r="U148" s="168"/>
      <c r="V148" s="168"/>
      <c r="W148" s="168"/>
      <c r="X148" s="168"/>
      <c r="Y148" s="168"/>
      <c r="Z148" s="168"/>
      <c r="AA148" s="168"/>
      <c r="AB148" s="168"/>
      <c r="AC148" s="168"/>
      <c r="AD148" s="168"/>
      <c r="AE148" s="168"/>
      <c r="AF148" s="168"/>
      <c r="AG148" s="168"/>
      <c r="AH148" s="168"/>
    </row>
    <row r="149" ht="13.5" customHeight="1">
      <c r="A149" s="21"/>
      <c r="B149" s="21" t="s">
        <v>42</v>
      </c>
      <c r="C149" s="21"/>
      <c r="D149" s="21"/>
      <c r="E149" s="122"/>
      <c r="F149" s="40"/>
      <c r="G149" s="21"/>
      <c r="H149" s="21"/>
      <c r="I149" s="40"/>
      <c r="J149" s="100"/>
      <c r="K149" s="21"/>
      <c r="L149" s="40"/>
      <c r="M149" s="101"/>
      <c r="N149" s="21" t="s">
        <v>1041</v>
      </c>
      <c r="O149" s="21" t="s">
        <v>62</v>
      </c>
      <c r="P149" s="21"/>
      <c r="Q149" s="154" t="s">
        <v>1042</v>
      </c>
      <c r="R149" s="21"/>
      <c r="S149" s="34"/>
      <c r="T149" s="34"/>
      <c r="U149" s="34"/>
      <c r="V149" s="34"/>
      <c r="W149" s="34"/>
      <c r="X149" s="34"/>
      <c r="Y149" s="34"/>
      <c r="Z149" s="34"/>
      <c r="AA149" s="34"/>
      <c r="AB149" s="34"/>
      <c r="AC149" s="34"/>
      <c r="AD149" s="34"/>
      <c r="AE149" s="34"/>
      <c r="AF149" s="34"/>
      <c r="AG149" s="34"/>
      <c r="AH149" s="34"/>
    </row>
    <row r="150">
      <c r="A150" s="21"/>
      <c r="B150" s="21" t="s">
        <v>42</v>
      </c>
      <c r="C150" s="21" t="s">
        <v>43</v>
      </c>
      <c r="D150" s="21" t="s">
        <v>44</v>
      </c>
      <c r="E150" s="176" t="s">
        <v>301</v>
      </c>
      <c r="F150" s="40">
        <v>46289.0</v>
      </c>
      <c r="G150" s="21" t="s">
        <v>592</v>
      </c>
      <c r="H150" s="21">
        <v>2026.0</v>
      </c>
      <c r="I150" s="40">
        <v>46290.0</v>
      </c>
      <c r="J150" s="100" t="s">
        <v>109</v>
      </c>
      <c r="K150" s="21" t="s">
        <v>1050</v>
      </c>
      <c r="L150" s="40"/>
      <c r="M150" s="101"/>
      <c r="N150" s="21" t="s">
        <v>1051</v>
      </c>
      <c r="O150" s="21" t="s">
        <v>62</v>
      </c>
      <c r="P150" s="21" t="s">
        <v>122</v>
      </c>
      <c r="Q150" s="133" t="s">
        <v>1052</v>
      </c>
      <c r="R150" s="21"/>
      <c r="S150" s="34"/>
      <c r="T150" s="34"/>
      <c r="U150" s="34"/>
      <c r="V150" s="34"/>
      <c r="W150" s="34"/>
      <c r="X150" s="34"/>
      <c r="Y150" s="34"/>
      <c r="Z150" s="34"/>
      <c r="AA150" s="34"/>
      <c r="AB150" s="34"/>
      <c r="AC150" s="34"/>
      <c r="AD150" s="34"/>
      <c r="AE150" s="34"/>
      <c r="AF150" s="34"/>
      <c r="AG150" s="34"/>
      <c r="AH150" s="34"/>
    </row>
    <row r="151">
      <c r="A151" s="21" t="s">
        <v>94</v>
      </c>
      <c r="B151" s="21" t="s">
        <v>42</v>
      </c>
      <c r="C151" s="21" t="s">
        <v>636</v>
      </c>
      <c r="D151" s="21" t="s">
        <v>636</v>
      </c>
      <c r="E151" s="14" t="s">
        <v>401</v>
      </c>
      <c r="F151" s="40">
        <v>46287.0</v>
      </c>
      <c r="G151" s="21" t="s">
        <v>592</v>
      </c>
      <c r="H151" s="21">
        <v>2026.0</v>
      </c>
      <c r="I151" s="40">
        <v>46288.0</v>
      </c>
      <c r="J151" s="100" t="s">
        <v>100</v>
      </c>
      <c r="K151" s="21"/>
      <c r="L151" s="40"/>
      <c r="M151" s="101"/>
      <c r="N151" s="21" t="s">
        <v>1058</v>
      </c>
      <c r="O151" s="21" t="s">
        <v>62</v>
      </c>
      <c r="P151" s="21" t="s">
        <v>154</v>
      </c>
      <c r="Q151" s="129" t="s">
        <v>1059</v>
      </c>
      <c r="R151" s="21"/>
      <c r="S151" s="34"/>
      <c r="T151" s="34"/>
      <c r="U151" s="34"/>
      <c r="V151" s="34"/>
      <c r="W151" s="34"/>
      <c r="X151" s="34"/>
      <c r="Y151" s="34"/>
      <c r="Z151" s="34"/>
      <c r="AA151" s="34"/>
      <c r="AB151" s="34"/>
      <c r="AC151" s="34"/>
      <c r="AD151" s="34"/>
      <c r="AE151" s="34"/>
      <c r="AF151" s="34"/>
      <c r="AG151" s="34"/>
      <c r="AH151" s="34"/>
    </row>
    <row r="152">
      <c r="A152" s="123" t="s">
        <v>41</v>
      </c>
      <c r="B152" s="123" t="s">
        <v>42</v>
      </c>
      <c r="C152" s="123" t="s">
        <v>636</v>
      </c>
      <c r="D152" s="123" t="s">
        <v>636</v>
      </c>
      <c r="E152" s="14" t="s">
        <v>401</v>
      </c>
      <c r="F152" s="182">
        <v>46287.0</v>
      </c>
      <c r="G152" s="123" t="s">
        <v>592</v>
      </c>
      <c r="H152" s="123">
        <v>2026.0</v>
      </c>
      <c r="I152" s="182">
        <v>46289.0</v>
      </c>
      <c r="J152" s="185" t="s">
        <v>458</v>
      </c>
      <c r="K152" s="123"/>
      <c r="L152" s="182"/>
      <c r="M152" s="186"/>
      <c r="N152" s="123" t="s">
        <v>1082</v>
      </c>
      <c r="O152" s="123" t="s">
        <v>62</v>
      </c>
      <c r="P152" s="123" t="s">
        <v>122</v>
      </c>
      <c r="Q152" s="154" t="s">
        <v>1083</v>
      </c>
      <c r="R152" s="123"/>
      <c r="S152" s="34"/>
      <c r="T152" s="34"/>
      <c r="U152" s="34"/>
      <c r="V152" s="34"/>
      <c r="W152" s="34"/>
      <c r="X152" s="34"/>
      <c r="Y152" s="34"/>
      <c r="Z152" s="34"/>
      <c r="AA152" s="34"/>
      <c r="AB152" s="34"/>
      <c r="AC152" s="34"/>
      <c r="AD152" s="34"/>
      <c r="AE152" s="34"/>
      <c r="AF152" s="34"/>
      <c r="AG152" s="34"/>
      <c r="AH152" s="34"/>
    </row>
    <row r="153">
      <c r="A153" s="123" t="s">
        <v>635</v>
      </c>
      <c r="B153" s="123" t="s">
        <v>42</v>
      </c>
      <c r="C153" s="123" t="s">
        <v>43</v>
      </c>
      <c r="D153" s="123" t="s">
        <v>44</v>
      </c>
      <c r="E153" s="123"/>
      <c r="F153" s="182">
        <v>46289.0</v>
      </c>
      <c r="G153" s="123" t="s">
        <v>809</v>
      </c>
      <c r="H153" s="123">
        <v>2026.0</v>
      </c>
      <c r="I153" s="182">
        <v>46289.0</v>
      </c>
      <c r="J153" s="185" t="s">
        <v>458</v>
      </c>
      <c r="K153" s="123" t="s">
        <v>1099</v>
      </c>
      <c r="L153" s="182"/>
      <c r="M153" s="186"/>
      <c r="N153" s="123" t="s">
        <v>1100</v>
      </c>
      <c r="O153" s="123" t="s">
        <v>62</v>
      </c>
      <c r="P153" s="123" t="s">
        <v>297</v>
      </c>
      <c r="Q153" s="154" t="s">
        <v>1102</v>
      </c>
      <c r="R153" s="123"/>
      <c r="S153" s="34"/>
      <c r="T153" s="34"/>
      <c r="U153" s="34"/>
      <c r="V153" s="34"/>
      <c r="W153" s="34"/>
      <c r="X153" s="34"/>
      <c r="Y153" s="34"/>
      <c r="Z153" s="34"/>
      <c r="AA153" s="34"/>
      <c r="AB153" s="34"/>
      <c r="AC153" s="34"/>
      <c r="AD153" s="34"/>
      <c r="AE153" s="34"/>
      <c r="AF153" s="34"/>
      <c r="AG153" s="34"/>
      <c r="AH153" s="34"/>
    </row>
    <row r="154">
      <c r="A154" s="123" t="s">
        <v>635</v>
      </c>
      <c r="B154" s="123" t="s">
        <v>42</v>
      </c>
      <c r="C154" s="123" t="s">
        <v>636</v>
      </c>
      <c r="D154" s="123" t="s">
        <v>636</v>
      </c>
      <c r="E154" s="14" t="s">
        <v>401</v>
      </c>
      <c r="F154" s="182">
        <v>46287.0</v>
      </c>
      <c r="G154" s="123" t="s">
        <v>592</v>
      </c>
      <c r="H154" s="123">
        <v>2026.0</v>
      </c>
      <c r="I154" s="182">
        <v>46288.0</v>
      </c>
      <c r="J154" s="185" t="s">
        <v>797</v>
      </c>
      <c r="K154" s="123" t="s">
        <v>1117</v>
      </c>
      <c r="L154" s="182">
        <v>46288.0</v>
      </c>
      <c r="M154" s="186"/>
      <c r="N154" s="123" t="s">
        <v>1119</v>
      </c>
      <c r="O154" s="123" t="s">
        <v>54</v>
      </c>
      <c r="P154" s="123" t="s">
        <v>557</v>
      </c>
      <c r="Q154" s="154" t="s">
        <v>1121</v>
      </c>
      <c r="R154" s="123"/>
      <c r="S154" s="34"/>
      <c r="T154" s="34"/>
      <c r="U154" s="34"/>
      <c r="V154" s="34"/>
      <c r="W154" s="34"/>
      <c r="X154" s="34"/>
      <c r="Y154" s="34"/>
      <c r="Z154" s="34"/>
      <c r="AA154" s="34"/>
      <c r="AB154" s="34"/>
      <c r="AC154" s="34"/>
      <c r="AD154" s="34"/>
      <c r="AE154" s="34"/>
      <c r="AF154" s="34"/>
      <c r="AG154" s="34"/>
      <c r="AH154" s="34"/>
    </row>
    <row r="155" ht="16.5" customHeight="1">
      <c r="A155" s="123" t="s">
        <v>94</v>
      </c>
      <c r="B155" s="123" t="s">
        <v>42</v>
      </c>
      <c r="C155" s="123" t="s">
        <v>43</v>
      </c>
      <c r="D155" s="123" t="s">
        <v>44</v>
      </c>
      <c r="E155" s="122" t="s">
        <v>73</v>
      </c>
      <c r="F155" s="182">
        <v>46262.0</v>
      </c>
      <c r="G155" s="123" t="s">
        <v>809</v>
      </c>
      <c r="H155" s="123">
        <v>2026.0</v>
      </c>
      <c r="I155" s="182">
        <v>46282.0</v>
      </c>
      <c r="J155" s="185" t="s">
        <v>650</v>
      </c>
      <c r="K155" s="123" t="s">
        <v>1140</v>
      </c>
      <c r="L155" s="182">
        <v>46273.0</v>
      </c>
      <c r="M155" s="186">
        <v>55000.0</v>
      </c>
      <c r="N155" s="150" t="s">
        <v>1141</v>
      </c>
      <c r="O155" s="123" t="s">
        <v>54</v>
      </c>
      <c r="P155" s="123" t="s">
        <v>55</v>
      </c>
      <c r="Q155" s="123"/>
      <c r="R155" s="123"/>
      <c r="S155" s="34"/>
      <c r="T155" s="34"/>
      <c r="U155" s="34"/>
      <c r="V155" s="34"/>
      <c r="W155" s="34"/>
      <c r="X155" s="34"/>
      <c r="Y155" s="34"/>
      <c r="Z155" s="34"/>
      <c r="AA155" s="34"/>
      <c r="AB155" s="34"/>
      <c r="AC155" s="34"/>
      <c r="AD155" s="34"/>
      <c r="AE155" s="34"/>
      <c r="AF155" s="34"/>
      <c r="AG155" s="34"/>
      <c r="AH155" s="34"/>
    </row>
    <row r="156" ht="16.5" customHeight="1">
      <c r="A156" s="123" t="s">
        <v>41</v>
      </c>
      <c r="B156" s="123" t="s">
        <v>192</v>
      </c>
      <c r="C156" s="123" t="s">
        <v>43</v>
      </c>
      <c r="D156" s="123" t="s">
        <v>44</v>
      </c>
      <c r="E156" s="123" t="s">
        <v>1148</v>
      </c>
      <c r="F156" s="30">
        <v>46269.0</v>
      </c>
      <c r="G156" s="123" t="s">
        <v>592</v>
      </c>
      <c r="H156" s="123">
        <v>2026.0</v>
      </c>
      <c r="I156" s="182">
        <v>46269.0</v>
      </c>
      <c r="J156" s="185" t="s">
        <v>458</v>
      </c>
      <c r="K156" s="123" t="s">
        <v>1150</v>
      </c>
      <c r="L156" s="182">
        <v>46272.0</v>
      </c>
      <c r="M156" s="186" t="s">
        <v>58</v>
      </c>
      <c r="N156" s="123" t="s">
        <v>1152</v>
      </c>
      <c r="O156" s="123" t="s">
        <v>54</v>
      </c>
      <c r="P156" s="123" t="s">
        <v>463</v>
      </c>
      <c r="Q156" s="154" t="s">
        <v>1155</v>
      </c>
      <c r="R156" s="123"/>
      <c r="S156" s="34"/>
      <c r="T156" s="34"/>
      <c r="U156" s="34"/>
      <c r="V156" s="34"/>
      <c r="W156" s="34"/>
      <c r="X156" s="34"/>
      <c r="Y156" s="34"/>
      <c r="Z156" s="34"/>
      <c r="AA156" s="34"/>
      <c r="AB156" s="34"/>
      <c r="AC156" s="34"/>
      <c r="AD156" s="34"/>
      <c r="AE156" s="34"/>
      <c r="AF156" s="34"/>
      <c r="AG156" s="34"/>
      <c r="AH156" s="34"/>
    </row>
    <row r="157" ht="16.5" customHeight="1">
      <c r="A157" s="123" t="s">
        <v>41</v>
      </c>
      <c r="B157" s="123" t="s">
        <v>192</v>
      </c>
      <c r="C157" s="123" t="s">
        <v>43</v>
      </c>
      <c r="D157" s="123" t="s">
        <v>44</v>
      </c>
      <c r="E157" s="123" t="s">
        <v>1164</v>
      </c>
      <c r="F157" s="182">
        <v>46274.0</v>
      </c>
      <c r="G157" s="123" t="s">
        <v>592</v>
      </c>
      <c r="H157" s="123">
        <v>2026.0</v>
      </c>
      <c r="I157" s="182">
        <v>46274.0</v>
      </c>
      <c r="J157" s="185" t="s">
        <v>105</v>
      </c>
      <c r="K157" s="123" t="s">
        <v>1165</v>
      </c>
      <c r="L157" s="182">
        <v>46274.0</v>
      </c>
      <c r="M157" s="186" t="s">
        <v>58</v>
      </c>
      <c r="N157" s="123" t="s">
        <v>1166</v>
      </c>
      <c r="O157" s="123" t="s">
        <v>54</v>
      </c>
      <c r="P157" s="123" t="s">
        <v>524</v>
      </c>
      <c r="Q157" s="154" t="s">
        <v>1155</v>
      </c>
      <c r="R157" s="123"/>
      <c r="S157" s="34"/>
      <c r="T157" s="34"/>
      <c r="U157" s="34"/>
      <c r="V157" s="34"/>
      <c r="W157" s="34"/>
      <c r="X157" s="34"/>
      <c r="Y157" s="34"/>
      <c r="Z157" s="34"/>
      <c r="AA157" s="34"/>
      <c r="AB157" s="34"/>
      <c r="AC157" s="34"/>
      <c r="AD157" s="34"/>
      <c r="AE157" s="34"/>
      <c r="AF157" s="34"/>
      <c r="AG157" s="34"/>
      <c r="AH157" s="34"/>
    </row>
    <row r="158" ht="16.5" customHeight="1">
      <c r="A158" s="123" t="s">
        <v>41</v>
      </c>
      <c r="B158" s="123" t="s">
        <v>192</v>
      </c>
      <c r="C158" s="123" t="s">
        <v>312</v>
      </c>
      <c r="D158" s="123" t="s">
        <v>183</v>
      </c>
      <c r="E158" s="123" t="s">
        <v>1164</v>
      </c>
      <c r="F158" s="182">
        <v>46275.0</v>
      </c>
      <c r="G158" s="123" t="s">
        <v>592</v>
      </c>
      <c r="H158" s="123">
        <v>2026.0</v>
      </c>
      <c r="I158" s="182">
        <v>46275.0</v>
      </c>
      <c r="J158" s="185" t="s">
        <v>59</v>
      </c>
      <c r="K158" s="123" t="s">
        <v>1175</v>
      </c>
      <c r="L158" s="182">
        <v>46275.0</v>
      </c>
      <c r="M158" s="186" t="s">
        <v>58</v>
      </c>
      <c r="N158" s="123" t="s">
        <v>1177</v>
      </c>
      <c r="O158" s="123" t="s">
        <v>54</v>
      </c>
      <c r="P158" s="123" t="s">
        <v>122</v>
      </c>
      <c r="Q158" s="154" t="s">
        <v>1178</v>
      </c>
      <c r="R158" s="123"/>
      <c r="S158" s="34"/>
      <c r="T158" s="34"/>
      <c r="U158" s="34"/>
      <c r="V158" s="34"/>
      <c r="W158" s="34"/>
      <c r="X158" s="34"/>
      <c r="Y158" s="34"/>
      <c r="Z158" s="34"/>
      <c r="AA158" s="34"/>
      <c r="AB158" s="34"/>
      <c r="AC158" s="34"/>
      <c r="AD158" s="34"/>
      <c r="AE158" s="34"/>
      <c r="AF158" s="34"/>
      <c r="AG158" s="34"/>
      <c r="AH158" s="34"/>
    </row>
    <row r="159" ht="16.5" customHeight="1">
      <c r="A159" s="123" t="s">
        <v>41</v>
      </c>
      <c r="B159" s="123" t="s">
        <v>192</v>
      </c>
      <c r="C159" s="123" t="s">
        <v>312</v>
      </c>
      <c r="D159" s="123" t="s">
        <v>183</v>
      </c>
      <c r="E159" s="123" t="s">
        <v>1164</v>
      </c>
      <c r="F159" s="182">
        <v>46277.0</v>
      </c>
      <c r="G159" s="123" t="s">
        <v>592</v>
      </c>
      <c r="H159" s="123">
        <v>2026.0</v>
      </c>
      <c r="I159" s="182">
        <v>46277.0</v>
      </c>
      <c r="J159" s="185" t="s">
        <v>59</v>
      </c>
      <c r="K159" s="123" t="s">
        <v>1175</v>
      </c>
      <c r="L159" s="182">
        <v>46277.0</v>
      </c>
      <c r="M159" s="186" t="s">
        <v>58</v>
      </c>
      <c r="N159" s="14" t="s">
        <v>1196</v>
      </c>
      <c r="O159" s="123" t="s">
        <v>54</v>
      </c>
      <c r="P159" s="123" t="s">
        <v>122</v>
      </c>
      <c r="Q159" s="154" t="s">
        <v>1197</v>
      </c>
      <c r="R159" s="123"/>
      <c r="S159" s="34"/>
      <c r="T159" s="34"/>
      <c r="U159" s="34"/>
      <c r="V159" s="34"/>
      <c r="W159" s="34"/>
      <c r="X159" s="34"/>
      <c r="Y159" s="34"/>
      <c r="Z159" s="34"/>
      <c r="AA159" s="34"/>
      <c r="AB159" s="34"/>
      <c r="AC159" s="34"/>
      <c r="AD159" s="34"/>
      <c r="AE159" s="34"/>
      <c r="AF159" s="34"/>
      <c r="AG159" s="34"/>
      <c r="AH159" s="34"/>
    </row>
    <row r="160" ht="16.5" customHeight="1">
      <c r="A160" s="123" t="s">
        <v>108</v>
      </c>
      <c r="B160" s="123" t="s">
        <v>192</v>
      </c>
      <c r="C160" s="123" t="s">
        <v>312</v>
      </c>
      <c r="D160" s="123" t="s">
        <v>183</v>
      </c>
      <c r="E160" s="123" t="s">
        <v>1220</v>
      </c>
      <c r="F160" s="182">
        <v>46282.0</v>
      </c>
      <c r="G160" s="123" t="s">
        <v>592</v>
      </c>
      <c r="H160" s="123">
        <v>2026.0</v>
      </c>
      <c r="I160" s="182">
        <v>46282.0</v>
      </c>
      <c r="J160" s="185" t="s">
        <v>797</v>
      </c>
      <c r="K160" s="123" t="s">
        <v>1223</v>
      </c>
      <c r="L160" s="182">
        <v>46282.0</v>
      </c>
      <c r="M160" s="186" t="s">
        <v>58</v>
      </c>
      <c r="N160" s="123" t="s">
        <v>1226</v>
      </c>
      <c r="O160" s="123" t="s">
        <v>54</v>
      </c>
      <c r="P160" s="123" t="s">
        <v>557</v>
      </c>
      <c r="Q160" s="154" t="s">
        <v>1229</v>
      </c>
      <c r="R160" s="123"/>
      <c r="S160" s="34"/>
      <c r="T160" s="34"/>
      <c r="U160" s="34"/>
      <c r="V160" s="34"/>
      <c r="W160" s="34"/>
      <c r="X160" s="34"/>
      <c r="Y160" s="34"/>
      <c r="Z160" s="34"/>
      <c r="AA160" s="34"/>
      <c r="AB160" s="34"/>
      <c r="AC160" s="34"/>
      <c r="AD160" s="34"/>
      <c r="AE160" s="34"/>
      <c r="AF160" s="34"/>
      <c r="AG160" s="34"/>
      <c r="AH160" s="34"/>
    </row>
    <row r="161" ht="16.5" customHeight="1">
      <c r="A161" s="123" t="s">
        <v>108</v>
      </c>
      <c r="B161" s="123" t="s">
        <v>192</v>
      </c>
      <c r="C161" s="123" t="s">
        <v>366</v>
      </c>
      <c r="D161" s="123" t="s">
        <v>366</v>
      </c>
      <c r="E161" s="14" t="s">
        <v>387</v>
      </c>
      <c r="F161" s="182">
        <v>46282.0</v>
      </c>
      <c r="G161" s="123" t="s">
        <v>592</v>
      </c>
      <c r="H161" s="123">
        <v>2026.0</v>
      </c>
      <c r="I161" s="182">
        <v>46282.0</v>
      </c>
      <c r="J161" s="185" t="s">
        <v>797</v>
      </c>
      <c r="K161" s="123" t="s">
        <v>432</v>
      </c>
      <c r="L161" s="182">
        <v>46282.0</v>
      </c>
      <c r="M161" s="186" t="s">
        <v>58</v>
      </c>
      <c r="N161" s="123" t="s">
        <v>1249</v>
      </c>
      <c r="O161" s="123" t="s">
        <v>54</v>
      </c>
      <c r="P161" s="123" t="s">
        <v>557</v>
      </c>
      <c r="Q161" s="154" t="s">
        <v>1229</v>
      </c>
      <c r="R161" s="123"/>
      <c r="S161" s="34"/>
      <c r="T161" s="34"/>
      <c r="U161" s="34"/>
      <c r="V161" s="34"/>
      <c r="W161" s="34"/>
      <c r="X161" s="34"/>
      <c r="Y161" s="34"/>
      <c r="Z161" s="34"/>
      <c r="AA161" s="34"/>
      <c r="AB161" s="34"/>
      <c r="AC161" s="34"/>
      <c r="AD161" s="34"/>
      <c r="AE161" s="34"/>
      <c r="AF161" s="34"/>
      <c r="AG161" s="34"/>
      <c r="AH161" s="34"/>
    </row>
    <row r="162" ht="16.5" customHeight="1">
      <c r="A162" s="123" t="s">
        <v>41</v>
      </c>
      <c r="B162" s="123" t="s">
        <v>192</v>
      </c>
      <c r="C162" s="123" t="s">
        <v>312</v>
      </c>
      <c r="D162" s="123" t="s">
        <v>183</v>
      </c>
      <c r="E162" s="123" t="s">
        <v>314</v>
      </c>
      <c r="F162" s="182">
        <v>46282.0</v>
      </c>
      <c r="G162" s="123" t="s">
        <v>592</v>
      </c>
      <c r="H162" s="123">
        <v>2026.0</v>
      </c>
      <c r="I162" s="182">
        <v>46282.0</v>
      </c>
      <c r="J162" s="185" t="s">
        <v>59</v>
      </c>
      <c r="K162" s="123" t="s">
        <v>705</v>
      </c>
      <c r="L162" s="182">
        <v>46282.0</v>
      </c>
      <c r="M162" s="186"/>
      <c r="N162" s="123" t="s">
        <v>1255</v>
      </c>
      <c r="O162" s="123" t="s">
        <v>54</v>
      </c>
      <c r="P162" s="123" t="s">
        <v>297</v>
      </c>
      <c r="Q162" s="154" t="s">
        <v>1257</v>
      </c>
      <c r="R162" s="123"/>
      <c r="S162" s="34"/>
      <c r="T162" s="34"/>
      <c r="U162" s="34"/>
      <c r="V162" s="34"/>
      <c r="W162" s="34"/>
      <c r="X162" s="34"/>
      <c r="Y162" s="34"/>
      <c r="Z162" s="34"/>
      <c r="AA162" s="34"/>
      <c r="AB162" s="34"/>
      <c r="AC162" s="34"/>
      <c r="AD162" s="34"/>
      <c r="AE162" s="34"/>
      <c r="AF162" s="34"/>
      <c r="AG162" s="34"/>
      <c r="AH162" s="34"/>
    </row>
    <row r="163" ht="16.5" customHeight="1">
      <c r="A163" s="123" t="s">
        <v>41</v>
      </c>
      <c r="B163" s="123" t="s">
        <v>42</v>
      </c>
      <c r="C163" s="123" t="s">
        <v>43</v>
      </c>
      <c r="D163" s="123" t="s">
        <v>44</v>
      </c>
      <c r="E163" s="103" t="s">
        <v>45</v>
      </c>
      <c r="F163" s="194">
        <v>46261.0</v>
      </c>
      <c r="G163" s="123" t="s">
        <v>592</v>
      </c>
      <c r="H163" s="123">
        <v>2026.0</v>
      </c>
      <c r="I163" s="194">
        <v>46275.0</v>
      </c>
      <c r="J163" s="185" t="s">
        <v>50</v>
      </c>
      <c r="K163" s="123" t="s">
        <v>1271</v>
      </c>
      <c r="L163" s="194">
        <v>46279.0</v>
      </c>
      <c r="M163" s="186">
        <v>212300.0</v>
      </c>
      <c r="N163" s="103" t="s">
        <v>1272</v>
      </c>
      <c r="O163" s="123" t="s">
        <v>54</v>
      </c>
      <c r="P163" s="123" t="s">
        <v>55</v>
      </c>
      <c r="Q163" s="123" t="s">
        <v>1274</v>
      </c>
      <c r="R163" s="123"/>
      <c r="S163" s="34"/>
      <c r="T163" s="34"/>
      <c r="U163" s="34"/>
      <c r="V163" s="34"/>
      <c r="W163" s="34"/>
      <c r="X163" s="34"/>
      <c r="Y163" s="34"/>
      <c r="Z163" s="34"/>
      <c r="AA163" s="34"/>
      <c r="AB163" s="34"/>
      <c r="AC163" s="34"/>
      <c r="AD163" s="34"/>
      <c r="AE163" s="34"/>
      <c r="AF163" s="34"/>
      <c r="AG163" s="34"/>
      <c r="AH163" s="34"/>
    </row>
    <row r="164" ht="16.5" customHeight="1">
      <c r="A164" s="123" t="s">
        <v>41</v>
      </c>
      <c r="B164" s="123" t="s">
        <v>42</v>
      </c>
      <c r="C164" s="123" t="s">
        <v>43</v>
      </c>
      <c r="D164" s="123" t="s">
        <v>44</v>
      </c>
      <c r="E164" s="103" t="s">
        <v>129</v>
      </c>
      <c r="F164" s="194">
        <v>46262.0</v>
      </c>
      <c r="G164" s="123" t="s">
        <v>592</v>
      </c>
      <c r="H164" s="123">
        <v>2026.0</v>
      </c>
      <c r="I164" s="194">
        <v>46276.0</v>
      </c>
      <c r="J164" s="185" t="s">
        <v>50</v>
      </c>
      <c r="K164" s="123" t="s">
        <v>1271</v>
      </c>
      <c r="L164" s="194">
        <v>46282.0</v>
      </c>
      <c r="M164" s="186">
        <v>781100.0</v>
      </c>
      <c r="N164" s="103" t="s">
        <v>1281</v>
      </c>
      <c r="O164" s="123" t="s">
        <v>54</v>
      </c>
      <c r="P164" s="123" t="s">
        <v>55</v>
      </c>
      <c r="Q164" s="123" t="s">
        <v>1274</v>
      </c>
      <c r="R164" s="123"/>
      <c r="S164" s="34"/>
      <c r="T164" s="34"/>
      <c r="U164" s="34"/>
      <c r="V164" s="34"/>
      <c r="W164" s="34"/>
      <c r="X164" s="34"/>
      <c r="Y164" s="34"/>
      <c r="Z164" s="34"/>
      <c r="AA164" s="34"/>
      <c r="AB164" s="34"/>
      <c r="AC164" s="34"/>
      <c r="AD164" s="34"/>
      <c r="AE164" s="34"/>
      <c r="AF164" s="34"/>
      <c r="AG164" s="34"/>
      <c r="AH164" s="34"/>
    </row>
    <row r="165" ht="16.5" customHeight="1">
      <c r="A165" s="123" t="s">
        <v>41</v>
      </c>
      <c r="B165" s="123" t="s">
        <v>42</v>
      </c>
      <c r="C165" s="123" t="s">
        <v>43</v>
      </c>
      <c r="D165" s="123" t="s">
        <v>44</v>
      </c>
      <c r="E165" s="103" t="s">
        <v>73</v>
      </c>
      <c r="F165" s="194">
        <v>46262.0</v>
      </c>
      <c r="G165" s="123" t="s">
        <v>592</v>
      </c>
      <c r="H165" s="123">
        <v>2026.0</v>
      </c>
      <c r="I165" s="194">
        <v>46276.0</v>
      </c>
      <c r="J165" s="185" t="s">
        <v>50</v>
      </c>
      <c r="K165" s="123" t="s">
        <v>1271</v>
      </c>
      <c r="L165" s="194">
        <v>46282.0</v>
      </c>
      <c r="M165" s="186">
        <v>182450.0</v>
      </c>
      <c r="N165" s="103" t="s">
        <v>1281</v>
      </c>
      <c r="O165" s="123" t="s">
        <v>54</v>
      </c>
      <c r="P165" s="123" t="s">
        <v>55</v>
      </c>
      <c r="Q165" s="123" t="s">
        <v>1274</v>
      </c>
      <c r="R165" s="123"/>
      <c r="S165" s="34"/>
      <c r="T165" s="34"/>
      <c r="U165" s="34"/>
      <c r="V165" s="34"/>
      <c r="W165" s="34"/>
      <c r="X165" s="34"/>
      <c r="Y165" s="34"/>
      <c r="Z165" s="34"/>
      <c r="AA165" s="34"/>
      <c r="AB165" s="34"/>
      <c r="AC165" s="34"/>
      <c r="AD165" s="34"/>
      <c r="AE165" s="34"/>
      <c r="AF165" s="34"/>
      <c r="AG165" s="34"/>
      <c r="AH165" s="34"/>
    </row>
    <row r="166" ht="16.5" customHeight="1">
      <c r="A166" s="123" t="s">
        <v>41</v>
      </c>
      <c r="B166" s="123" t="s">
        <v>42</v>
      </c>
      <c r="C166" s="123" t="s">
        <v>43</v>
      </c>
      <c r="D166" s="123" t="s">
        <v>44</v>
      </c>
      <c r="E166" s="103" t="s">
        <v>73</v>
      </c>
      <c r="F166" s="194">
        <v>46262.0</v>
      </c>
      <c r="G166" s="123" t="s">
        <v>592</v>
      </c>
      <c r="H166" s="123">
        <v>2026.0</v>
      </c>
      <c r="I166" s="194">
        <v>46276.0</v>
      </c>
      <c r="J166" s="185" t="s">
        <v>50</v>
      </c>
      <c r="K166" s="123" t="s">
        <v>1271</v>
      </c>
      <c r="L166" s="194">
        <v>46282.0</v>
      </c>
      <c r="M166" s="186">
        <v>182450.0</v>
      </c>
      <c r="N166" s="103" t="s">
        <v>1295</v>
      </c>
      <c r="O166" s="123" t="s">
        <v>54</v>
      </c>
      <c r="P166" s="123" t="s">
        <v>55</v>
      </c>
      <c r="Q166" s="123" t="s">
        <v>1274</v>
      </c>
      <c r="R166" s="123"/>
      <c r="S166" s="34"/>
      <c r="T166" s="34"/>
      <c r="U166" s="34"/>
      <c r="V166" s="34"/>
      <c r="W166" s="34"/>
      <c r="X166" s="34"/>
      <c r="Y166" s="34"/>
      <c r="Z166" s="34"/>
      <c r="AA166" s="34"/>
      <c r="AB166" s="34"/>
      <c r="AC166" s="34"/>
      <c r="AD166" s="34"/>
      <c r="AE166" s="34"/>
      <c r="AF166" s="34"/>
      <c r="AG166" s="34"/>
      <c r="AH166" s="34"/>
    </row>
    <row r="167" ht="16.5" customHeight="1">
      <c r="A167" s="123" t="s">
        <v>41</v>
      </c>
      <c r="B167" s="123" t="s">
        <v>42</v>
      </c>
      <c r="C167" s="123" t="s">
        <v>43</v>
      </c>
      <c r="D167" s="123" t="s">
        <v>44</v>
      </c>
      <c r="E167" s="103" t="s">
        <v>73</v>
      </c>
      <c r="F167" s="194">
        <v>46262.0</v>
      </c>
      <c r="G167" s="123" t="s">
        <v>592</v>
      </c>
      <c r="H167" s="123">
        <v>2026.0</v>
      </c>
      <c r="I167" s="194">
        <v>46276.0</v>
      </c>
      <c r="J167" s="185" t="s">
        <v>50</v>
      </c>
      <c r="K167" s="123" t="s">
        <v>1271</v>
      </c>
      <c r="L167" s="194">
        <v>46282.0</v>
      </c>
      <c r="M167" s="186">
        <v>182450.0</v>
      </c>
      <c r="N167" s="103" t="s">
        <v>1295</v>
      </c>
      <c r="O167" s="123" t="s">
        <v>54</v>
      </c>
      <c r="P167" s="123" t="s">
        <v>55</v>
      </c>
      <c r="Q167" s="123" t="s">
        <v>1274</v>
      </c>
      <c r="R167" s="123"/>
      <c r="S167" s="34"/>
      <c r="T167" s="34"/>
      <c r="U167" s="34"/>
      <c r="V167" s="34"/>
      <c r="W167" s="34"/>
      <c r="X167" s="34"/>
      <c r="Y167" s="34"/>
      <c r="Z167" s="34"/>
      <c r="AA167" s="34"/>
      <c r="AB167" s="34"/>
      <c r="AC167" s="34"/>
      <c r="AD167" s="34"/>
      <c r="AE167" s="34"/>
      <c r="AF167" s="34"/>
      <c r="AG167" s="34"/>
      <c r="AH167" s="34"/>
    </row>
    <row r="168" ht="16.5" customHeight="1">
      <c r="A168" s="123" t="s">
        <v>41</v>
      </c>
      <c r="B168" s="123" t="s">
        <v>42</v>
      </c>
      <c r="C168" s="123" t="s">
        <v>43</v>
      </c>
      <c r="D168" s="123" t="s">
        <v>44</v>
      </c>
      <c r="E168" s="103" t="s">
        <v>236</v>
      </c>
      <c r="F168" s="194">
        <v>46255.0</v>
      </c>
      <c r="G168" s="123" t="s">
        <v>592</v>
      </c>
      <c r="H168" s="123">
        <v>2026.0</v>
      </c>
      <c r="I168" s="194">
        <v>46276.0</v>
      </c>
      <c r="J168" s="185" t="s">
        <v>50</v>
      </c>
      <c r="K168" s="123" t="s">
        <v>1271</v>
      </c>
      <c r="L168" s="194">
        <v>46255.0</v>
      </c>
      <c r="M168" s="186">
        <v>285300.0</v>
      </c>
      <c r="N168" s="103" t="s">
        <v>211</v>
      </c>
      <c r="O168" s="123" t="s">
        <v>54</v>
      </c>
      <c r="P168" s="123" t="s">
        <v>55</v>
      </c>
      <c r="Q168" s="123" t="s">
        <v>1274</v>
      </c>
      <c r="R168" s="123"/>
      <c r="S168" s="34"/>
      <c r="T168" s="34"/>
      <c r="U168" s="34"/>
      <c r="V168" s="34"/>
      <c r="W168" s="34"/>
      <c r="X168" s="34"/>
      <c r="Y168" s="34"/>
      <c r="Z168" s="34"/>
      <c r="AA168" s="34"/>
      <c r="AB168" s="34"/>
      <c r="AC168" s="34"/>
      <c r="AD168" s="34"/>
      <c r="AE168" s="34"/>
      <c r="AF168" s="34"/>
      <c r="AG168" s="34"/>
      <c r="AH168" s="34"/>
    </row>
    <row r="169" ht="16.5" customHeight="1">
      <c r="A169" s="123" t="s">
        <v>41</v>
      </c>
      <c r="B169" s="123" t="s">
        <v>42</v>
      </c>
      <c r="C169" s="123" t="s">
        <v>43</v>
      </c>
      <c r="D169" s="123" t="s">
        <v>44</v>
      </c>
      <c r="E169" s="103" t="s">
        <v>123</v>
      </c>
      <c r="F169" s="194">
        <v>46275.0</v>
      </c>
      <c r="G169" s="123" t="s">
        <v>592</v>
      </c>
      <c r="H169" s="123">
        <v>2026.0</v>
      </c>
      <c r="I169" s="194">
        <v>46277.0</v>
      </c>
      <c r="J169" s="185" t="s">
        <v>50</v>
      </c>
      <c r="K169" s="123" t="s">
        <v>1271</v>
      </c>
      <c r="L169" s="194">
        <v>46282.0</v>
      </c>
      <c r="M169" s="186">
        <v>120000.0</v>
      </c>
      <c r="N169" s="103" t="s">
        <v>1316</v>
      </c>
      <c r="O169" s="123" t="s">
        <v>275</v>
      </c>
      <c r="P169" s="123" t="s">
        <v>55</v>
      </c>
      <c r="Q169" s="123" t="s">
        <v>1274</v>
      </c>
      <c r="R169" s="123"/>
      <c r="S169" s="34"/>
      <c r="T169" s="34"/>
      <c r="U169" s="34"/>
      <c r="V169" s="34"/>
      <c r="W169" s="34"/>
      <c r="X169" s="34"/>
      <c r="Y169" s="34"/>
      <c r="Z169" s="34"/>
      <c r="AA169" s="34"/>
      <c r="AB169" s="34"/>
      <c r="AC169" s="34"/>
      <c r="AD169" s="34"/>
      <c r="AE169" s="34"/>
      <c r="AF169" s="34"/>
      <c r="AG169" s="34"/>
      <c r="AH169" s="34"/>
    </row>
    <row r="170" ht="16.5" customHeight="1">
      <c r="A170" s="123" t="s">
        <v>41</v>
      </c>
      <c r="B170" s="123" t="s">
        <v>42</v>
      </c>
      <c r="C170" s="123" t="s">
        <v>43</v>
      </c>
      <c r="D170" s="123" t="s">
        <v>44</v>
      </c>
      <c r="E170" s="103" t="s">
        <v>123</v>
      </c>
      <c r="F170" s="194">
        <v>46275.0</v>
      </c>
      <c r="G170" s="123" t="s">
        <v>592</v>
      </c>
      <c r="H170" s="123">
        <v>2026.0</v>
      </c>
      <c r="I170" s="194">
        <v>46277.0</v>
      </c>
      <c r="J170" s="185" t="s">
        <v>50</v>
      </c>
      <c r="K170" s="123" t="s">
        <v>1271</v>
      </c>
      <c r="L170" s="194">
        <v>46282.0</v>
      </c>
      <c r="M170" s="186">
        <v>120000.0</v>
      </c>
      <c r="N170" s="103" t="s">
        <v>1316</v>
      </c>
      <c r="O170" s="123" t="s">
        <v>275</v>
      </c>
      <c r="P170" s="123" t="s">
        <v>55</v>
      </c>
      <c r="Q170" s="123" t="s">
        <v>1274</v>
      </c>
      <c r="R170" s="123"/>
      <c r="S170" s="34"/>
      <c r="T170" s="34"/>
      <c r="U170" s="34"/>
      <c r="V170" s="34"/>
      <c r="W170" s="34"/>
      <c r="X170" s="34"/>
      <c r="Y170" s="34"/>
      <c r="Z170" s="34"/>
      <c r="AA170" s="34"/>
      <c r="AB170" s="34"/>
      <c r="AC170" s="34"/>
      <c r="AD170" s="34"/>
      <c r="AE170" s="34"/>
      <c r="AF170" s="34"/>
      <c r="AG170" s="34"/>
      <c r="AH170" s="34"/>
    </row>
    <row r="171" ht="16.5" customHeight="1">
      <c r="A171" s="123" t="s">
        <v>41</v>
      </c>
      <c r="B171" s="123" t="s">
        <v>42</v>
      </c>
      <c r="C171" s="123" t="s">
        <v>43</v>
      </c>
      <c r="D171" s="123" t="s">
        <v>44</v>
      </c>
      <c r="E171" s="103" t="s">
        <v>123</v>
      </c>
      <c r="F171" s="194">
        <v>46275.0</v>
      </c>
      <c r="G171" s="123" t="s">
        <v>592</v>
      </c>
      <c r="H171" s="123">
        <v>2026.0</v>
      </c>
      <c r="I171" s="194">
        <v>46277.0</v>
      </c>
      <c r="J171" s="185" t="s">
        <v>50</v>
      </c>
      <c r="K171" s="123" t="s">
        <v>1271</v>
      </c>
      <c r="L171" s="194">
        <v>46282.0</v>
      </c>
      <c r="M171" s="186">
        <v>109250.0</v>
      </c>
      <c r="N171" s="103" t="s">
        <v>1316</v>
      </c>
      <c r="O171" s="123" t="s">
        <v>275</v>
      </c>
      <c r="P171" s="123" t="s">
        <v>55</v>
      </c>
      <c r="Q171" s="123" t="s">
        <v>1274</v>
      </c>
      <c r="R171" s="123"/>
      <c r="S171" s="34"/>
      <c r="T171" s="34"/>
      <c r="U171" s="34"/>
      <c r="V171" s="34"/>
      <c r="W171" s="34"/>
      <c r="X171" s="34"/>
      <c r="Y171" s="34"/>
      <c r="Z171" s="34"/>
      <c r="AA171" s="34"/>
      <c r="AB171" s="34"/>
      <c r="AC171" s="34"/>
      <c r="AD171" s="34"/>
      <c r="AE171" s="34"/>
      <c r="AF171" s="34"/>
      <c r="AG171" s="34"/>
      <c r="AH171" s="34"/>
    </row>
    <row r="172" ht="16.5" customHeight="1">
      <c r="A172" s="123" t="s">
        <v>41</v>
      </c>
      <c r="B172" s="123" t="s">
        <v>42</v>
      </c>
      <c r="C172" s="123" t="s">
        <v>43</v>
      </c>
      <c r="D172" s="123" t="s">
        <v>44</v>
      </c>
      <c r="E172" s="103" t="s">
        <v>123</v>
      </c>
      <c r="F172" s="194">
        <v>46275.0</v>
      </c>
      <c r="G172" s="123" t="s">
        <v>592</v>
      </c>
      <c r="H172" s="123">
        <v>2026.0</v>
      </c>
      <c r="I172" s="194">
        <v>46277.0</v>
      </c>
      <c r="J172" s="185" t="s">
        <v>50</v>
      </c>
      <c r="K172" s="123" t="s">
        <v>1271</v>
      </c>
      <c r="L172" s="194">
        <v>46282.0</v>
      </c>
      <c r="M172" s="186">
        <v>109250.0</v>
      </c>
      <c r="N172" s="103" t="s">
        <v>1316</v>
      </c>
      <c r="O172" s="123" t="s">
        <v>275</v>
      </c>
      <c r="P172" s="123" t="s">
        <v>55</v>
      </c>
      <c r="Q172" s="123" t="s">
        <v>1274</v>
      </c>
      <c r="R172" s="123"/>
      <c r="S172" s="34"/>
      <c r="T172" s="34"/>
      <c r="U172" s="34"/>
      <c r="V172" s="34"/>
      <c r="W172" s="34"/>
      <c r="X172" s="34"/>
      <c r="Y172" s="34"/>
      <c r="Z172" s="34"/>
      <c r="AA172" s="34"/>
      <c r="AB172" s="34"/>
      <c r="AC172" s="34"/>
      <c r="AD172" s="34"/>
      <c r="AE172" s="34"/>
      <c r="AF172" s="34"/>
      <c r="AG172" s="34"/>
      <c r="AH172" s="34"/>
    </row>
    <row r="173" ht="16.5" customHeight="1">
      <c r="A173" s="123" t="s">
        <v>41</v>
      </c>
      <c r="B173" s="123" t="s">
        <v>42</v>
      </c>
      <c r="C173" s="123" t="s">
        <v>43</v>
      </c>
      <c r="D173" s="123" t="s">
        <v>44</v>
      </c>
      <c r="E173" s="103" t="s">
        <v>123</v>
      </c>
      <c r="F173" s="194">
        <v>46275.0</v>
      </c>
      <c r="G173" s="123" t="s">
        <v>592</v>
      </c>
      <c r="H173" s="123">
        <v>2026.0</v>
      </c>
      <c r="I173" s="194">
        <v>46277.0</v>
      </c>
      <c r="J173" s="185" t="s">
        <v>50</v>
      </c>
      <c r="K173" s="123" t="s">
        <v>1271</v>
      </c>
      <c r="L173" s="194">
        <v>46282.0</v>
      </c>
      <c r="M173" s="186">
        <v>90000.0</v>
      </c>
      <c r="N173" s="103" t="s">
        <v>1316</v>
      </c>
      <c r="O173" s="123" t="s">
        <v>275</v>
      </c>
      <c r="P173" s="123" t="s">
        <v>55</v>
      </c>
      <c r="Q173" s="123" t="s">
        <v>1274</v>
      </c>
      <c r="R173" s="123"/>
      <c r="S173" s="34"/>
      <c r="T173" s="34"/>
      <c r="U173" s="34"/>
      <c r="V173" s="34"/>
      <c r="W173" s="34"/>
      <c r="X173" s="34"/>
      <c r="Y173" s="34"/>
      <c r="Z173" s="34"/>
      <c r="AA173" s="34"/>
      <c r="AB173" s="34"/>
      <c r="AC173" s="34"/>
      <c r="AD173" s="34"/>
      <c r="AE173" s="34"/>
      <c r="AF173" s="34"/>
      <c r="AG173" s="34"/>
      <c r="AH173" s="34"/>
    </row>
    <row r="174" ht="16.5" customHeight="1">
      <c r="A174" s="123" t="s">
        <v>41</v>
      </c>
      <c r="B174" s="123" t="s">
        <v>42</v>
      </c>
      <c r="C174" s="123" t="s">
        <v>43</v>
      </c>
      <c r="D174" s="123" t="s">
        <v>44</v>
      </c>
      <c r="E174" s="103" t="s">
        <v>123</v>
      </c>
      <c r="F174" s="194">
        <v>46275.0</v>
      </c>
      <c r="G174" s="123" t="s">
        <v>592</v>
      </c>
      <c r="H174" s="123">
        <v>2026.0</v>
      </c>
      <c r="I174" s="194">
        <v>46277.0</v>
      </c>
      <c r="J174" s="185" t="s">
        <v>50</v>
      </c>
      <c r="K174" s="123" t="s">
        <v>1271</v>
      </c>
      <c r="L174" s="194">
        <v>46282.0</v>
      </c>
      <c r="M174" s="186">
        <v>90000.0</v>
      </c>
      <c r="N174" s="103" t="s">
        <v>1316</v>
      </c>
      <c r="O174" s="123" t="s">
        <v>275</v>
      </c>
      <c r="P174" s="123" t="s">
        <v>55</v>
      </c>
      <c r="Q174" s="123" t="s">
        <v>1274</v>
      </c>
      <c r="R174" s="123"/>
      <c r="S174" s="34"/>
      <c r="T174" s="34"/>
      <c r="U174" s="34"/>
      <c r="V174" s="34"/>
      <c r="W174" s="34"/>
      <c r="X174" s="34"/>
      <c r="Y174" s="34"/>
      <c r="Z174" s="34"/>
      <c r="AA174" s="34"/>
      <c r="AB174" s="34"/>
      <c r="AC174" s="34"/>
      <c r="AD174" s="34"/>
      <c r="AE174" s="34"/>
      <c r="AF174" s="34"/>
      <c r="AG174" s="34"/>
      <c r="AH174" s="34"/>
    </row>
    <row r="175" ht="16.5" customHeight="1">
      <c r="A175" s="123" t="s">
        <v>41</v>
      </c>
      <c r="B175" s="123" t="s">
        <v>42</v>
      </c>
      <c r="C175" s="123" t="s">
        <v>43</v>
      </c>
      <c r="D175" s="123" t="s">
        <v>44</v>
      </c>
      <c r="E175" s="103" t="s">
        <v>123</v>
      </c>
      <c r="F175" s="194">
        <v>46275.0</v>
      </c>
      <c r="G175" s="123" t="s">
        <v>592</v>
      </c>
      <c r="H175" s="123">
        <v>2026.0</v>
      </c>
      <c r="I175" s="194">
        <v>46277.0</v>
      </c>
      <c r="J175" s="185" t="s">
        <v>50</v>
      </c>
      <c r="K175" s="123" t="s">
        <v>1271</v>
      </c>
      <c r="L175" s="194">
        <v>46282.0</v>
      </c>
      <c r="M175" s="186">
        <v>32550.0</v>
      </c>
      <c r="N175" s="103" t="s">
        <v>1316</v>
      </c>
      <c r="O175" s="123" t="s">
        <v>275</v>
      </c>
      <c r="P175" s="123" t="s">
        <v>55</v>
      </c>
      <c r="Q175" s="123" t="s">
        <v>1274</v>
      </c>
      <c r="R175" s="123"/>
      <c r="S175" s="34"/>
      <c r="T175" s="34"/>
      <c r="U175" s="34"/>
      <c r="V175" s="34"/>
      <c r="W175" s="34"/>
      <c r="X175" s="34"/>
      <c r="Y175" s="34"/>
      <c r="Z175" s="34"/>
      <c r="AA175" s="34"/>
      <c r="AB175" s="34"/>
      <c r="AC175" s="34"/>
      <c r="AD175" s="34"/>
      <c r="AE175" s="34"/>
      <c r="AF175" s="34"/>
      <c r="AG175" s="34"/>
      <c r="AH175" s="34"/>
    </row>
    <row r="176" ht="16.5" customHeight="1">
      <c r="A176" s="123" t="s">
        <v>41</v>
      </c>
      <c r="B176" s="123" t="s">
        <v>42</v>
      </c>
      <c r="C176" s="123" t="s">
        <v>43</v>
      </c>
      <c r="D176" s="123" t="s">
        <v>44</v>
      </c>
      <c r="E176" s="103" t="s">
        <v>123</v>
      </c>
      <c r="F176" s="194">
        <v>46275.0</v>
      </c>
      <c r="G176" s="123" t="s">
        <v>592</v>
      </c>
      <c r="H176" s="123">
        <v>2026.0</v>
      </c>
      <c r="I176" s="194">
        <v>46277.0</v>
      </c>
      <c r="J176" s="185" t="s">
        <v>50</v>
      </c>
      <c r="K176" s="123" t="s">
        <v>1271</v>
      </c>
      <c r="L176" s="194">
        <v>46282.0</v>
      </c>
      <c r="M176" s="186">
        <v>32550.0</v>
      </c>
      <c r="N176" s="103" t="s">
        <v>1316</v>
      </c>
      <c r="O176" s="123" t="s">
        <v>275</v>
      </c>
      <c r="P176" s="123" t="s">
        <v>55</v>
      </c>
      <c r="Q176" s="123" t="s">
        <v>1274</v>
      </c>
      <c r="R176" s="123"/>
      <c r="S176" s="34"/>
      <c r="T176" s="34"/>
      <c r="U176" s="34"/>
      <c r="V176" s="34"/>
      <c r="W176" s="34"/>
      <c r="X176" s="34"/>
      <c r="Y176" s="34"/>
      <c r="Z176" s="34"/>
      <c r="AA176" s="34"/>
      <c r="AB176" s="34"/>
      <c r="AC176" s="34"/>
      <c r="AD176" s="34"/>
      <c r="AE176" s="34"/>
      <c r="AF176" s="34"/>
      <c r="AG176" s="34"/>
      <c r="AH176" s="34"/>
    </row>
    <row r="177" ht="16.5" customHeight="1">
      <c r="A177" s="123" t="s">
        <v>41</v>
      </c>
      <c r="B177" s="123" t="s">
        <v>42</v>
      </c>
      <c r="C177" s="123" t="s">
        <v>43</v>
      </c>
      <c r="D177" s="123" t="s">
        <v>44</v>
      </c>
      <c r="E177" s="103" t="s">
        <v>123</v>
      </c>
      <c r="F177" s="194">
        <v>46275.0</v>
      </c>
      <c r="G177" s="123" t="s">
        <v>592</v>
      </c>
      <c r="H177" s="123">
        <v>2026.0</v>
      </c>
      <c r="I177" s="194">
        <v>46277.0</v>
      </c>
      <c r="J177" s="185" t="s">
        <v>50</v>
      </c>
      <c r="K177" s="123" t="s">
        <v>1271</v>
      </c>
      <c r="L177" s="194">
        <v>46282.0</v>
      </c>
      <c r="M177" s="186">
        <v>32550.0</v>
      </c>
      <c r="N177" s="103" t="s">
        <v>1316</v>
      </c>
      <c r="O177" s="123" t="s">
        <v>275</v>
      </c>
      <c r="P177" s="123" t="s">
        <v>55</v>
      </c>
      <c r="Q177" s="123" t="s">
        <v>1274</v>
      </c>
      <c r="R177" s="123"/>
      <c r="S177" s="34"/>
      <c r="T177" s="34"/>
      <c r="U177" s="34"/>
      <c r="V177" s="34"/>
      <c r="W177" s="34"/>
      <c r="X177" s="34"/>
      <c r="Y177" s="34"/>
      <c r="Z177" s="34"/>
      <c r="AA177" s="34"/>
      <c r="AB177" s="34"/>
      <c r="AC177" s="34"/>
      <c r="AD177" s="34"/>
      <c r="AE177" s="34"/>
      <c r="AF177" s="34"/>
      <c r="AG177" s="34"/>
      <c r="AH177" s="34"/>
    </row>
    <row r="178" ht="16.5" customHeight="1">
      <c r="A178" s="123" t="s">
        <v>41</v>
      </c>
      <c r="B178" s="123" t="s">
        <v>42</v>
      </c>
      <c r="C178" s="123" t="s">
        <v>43</v>
      </c>
      <c r="D178" s="123" t="s">
        <v>44</v>
      </c>
      <c r="E178" s="103" t="s">
        <v>45</v>
      </c>
      <c r="F178" s="194">
        <v>46286.0</v>
      </c>
      <c r="G178" s="123" t="s">
        <v>592</v>
      </c>
      <c r="H178" s="123">
        <v>2026.0</v>
      </c>
      <c r="I178" s="194">
        <v>46289.0</v>
      </c>
      <c r="J178" s="185" t="s">
        <v>50</v>
      </c>
      <c r="K178" s="123" t="s">
        <v>1271</v>
      </c>
      <c r="L178" s="194">
        <v>46290.0</v>
      </c>
      <c r="M178" s="186">
        <v>1201938.0</v>
      </c>
      <c r="N178" s="103" t="s">
        <v>211</v>
      </c>
      <c r="O178" s="123" t="s">
        <v>54</v>
      </c>
      <c r="P178" s="123" t="s">
        <v>55</v>
      </c>
      <c r="Q178" s="123" t="s">
        <v>1274</v>
      </c>
      <c r="R178" s="123"/>
      <c r="S178" s="34"/>
      <c r="T178" s="34"/>
      <c r="U178" s="34"/>
      <c r="V178" s="34"/>
      <c r="W178" s="34"/>
      <c r="X178" s="34"/>
      <c r="Y178" s="34"/>
      <c r="Z178" s="34"/>
      <c r="AA178" s="34"/>
      <c r="AB178" s="34"/>
      <c r="AC178" s="34"/>
      <c r="AD178" s="34"/>
      <c r="AE178" s="34"/>
      <c r="AF178" s="34"/>
      <c r="AG178" s="34"/>
      <c r="AH178" s="34"/>
    </row>
    <row r="179" ht="16.5" customHeight="1">
      <c r="A179" s="123"/>
      <c r="B179" s="123"/>
      <c r="C179" s="123"/>
      <c r="D179" s="123"/>
      <c r="E179" s="123"/>
      <c r="F179" s="182"/>
      <c r="G179" s="123" t="s">
        <v>592</v>
      </c>
      <c r="H179" s="123">
        <v>2026.0</v>
      </c>
      <c r="I179" s="182"/>
      <c r="J179" s="185"/>
      <c r="K179" s="123"/>
      <c r="L179" s="182"/>
      <c r="M179" s="186"/>
      <c r="N179" s="123"/>
      <c r="O179" s="123"/>
      <c r="P179" s="123"/>
      <c r="Q179" s="123"/>
      <c r="R179" s="123"/>
      <c r="S179" s="34"/>
      <c r="T179" s="34"/>
      <c r="U179" s="34"/>
      <c r="V179" s="34"/>
      <c r="W179" s="34"/>
      <c r="X179" s="34"/>
      <c r="Y179" s="34"/>
      <c r="Z179" s="34"/>
      <c r="AA179" s="34"/>
      <c r="AB179" s="34"/>
      <c r="AC179" s="34"/>
      <c r="AD179" s="34"/>
      <c r="AE179" s="34"/>
      <c r="AF179" s="34"/>
      <c r="AG179" s="34"/>
      <c r="AH179" s="34"/>
    </row>
    <row r="180">
      <c r="A180" s="123"/>
      <c r="B180" s="123"/>
      <c r="C180" s="123"/>
      <c r="D180" s="123"/>
      <c r="E180" s="123"/>
      <c r="F180" s="182"/>
      <c r="G180" s="123" t="s">
        <v>592</v>
      </c>
      <c r="H180" s="123">
        <v>2026.0</v>
      </c>
      <c r="I180" s="182"/>
      <c r="J180" s="185"/>
      <c r="K180" s="123"/>
      <c r="L180" s="182"/>
      <c r="M180" s="186"/>
      <c r="N180" s="123"/>
      <c r="O180" s="123"/>
      <c r="P180" s="123"/>
      <c r="Q180" s="123"/>
      <c r="R180" s="123"/>
      <c r="S180" s="34"/>
      <c r="T180" s="34"/>
      <c r="U180" s="34"/>
      <c r="V180" s="34"/>
      <c r="W180" s="34"/>
      <c r="X180" s="34"/>
      <c r="Y180" s="34"/>
      <c r="Z180" s="34"/>
      <c r="AA180" s="34"/>
      <c r="AB180" s="34"/>
      <c r="AC180" s="34"/>
      <c r="AD180" s="34"/>
      <c r="AE180" s="34"/>
      <c r="AF180" s="34"/>
      <c r="AG180" s="34"/>
      <c r="AH180" s="34"/>
    </row>
    <row r="181">
      <c r="A181" s="123"/>
      <c r="B181" s="123"/>
      <c r="C181" s="123"/>
      <c r="D181" s="123"/>
      <c r="E181" s="123"/>
      <c r="F181" s="182"/>
      <c r="G181" s="123"/>
      <c r="H181" s="123"/>
      <c r="I181" s="182"/>
      <c r="J181" s="185"/>
      <c r="K181" s="123"/>
      <c r="L181" s="182"/>
      <c r="M181" s="186"/>
      <c r="N181" s="123"/>
      <c r="O181" s="123"/>
      <c r="P181" s="123"/>
      <c r="Q181" s="123"/>
      <c r="R181" s="123"/>
      <c r="S181" s="34"/>
      <c r="T181" s="34"/>
      <c r="U181" s="34"/>
      <c r="V181" s="34"/>
      <c r="W181" s="34"/>
      <c r="X181" s="34"/>
      <c r="Y181" s="34"/>
      <c r="Z181" s="34"/>
      <c r="AA181" s="34"/>
      <c r="AB181" s="34"/>
      <c r="AC181" s="34"/>
      <c r="AD181" s="34"/>
      <c r="AE181" s="34"/>
      <c r="AF181" s="34"/>
      <c r="AG181" s="34"/>
      <c r="AH181" s="34"/>
    </row>
    <row r="182">
      <c r="A182" s="123"/>
      <c r="B182" s="123"/>
      <c r="C182" s="123"/>
      <c r="D182" s="123"/>
      <c r="E182" s="123"/>
      <c r="F182" s="182"/>
      <c r="G182" s="123"/>
      <c r="K182" s="123"/>
      <c r="L182" s="182"/>
      <c r="M182" s="186"/>
      <c r="N182" s="123"/>
      <c r="O182" s="123"/>
      <c r="P182" s="123"/>
      <c r="Q182" s="123"/>
      <c r="R182" s="123"/>
      <c r="S182" s="34"/>
      <c r="T182" s="34"/>
      <c r="U182" s="34"/>
      <c r="V182" s="34"/>
      <c r="W182" s="34"/>
      <c r="X182" s="34"/>
      <c r="Y182" s="34"/>
      <c r="Z182" s="34"/>
      <c r="AA182" s="34"/>
      <c r="AB182" s="34"/>
      <c r="AC182" s="34"/>
      <c r="AD182" s="34"/>
      <c r="AE182" s="34"/>
      <c r="AF182" s="34"/>
      <c r="AG182" s="34"/>
      <c r="AH182" s="34"/>
    </row>
    <row r="183">
      <c r="D183" s="31"/>
    </row>
    <row r="184">
      <c r="D184" s="31"/>
    </row>
    <row r="185">
      <c r="D185" s="31"/>
    </row>
    <row r="186">
      <c r="D186" s="31"/>
    </row>
    <row r="187">
      <c r="D187" s="31"/>
    </row>
    <row r="188">
      <c r="D188" s="31"/>
    </row>
    <row r="189">
      <c r="D189" s="31"/>
    </row>
    <row r="190">
      <c r="D190" s="31"/>
    </row>
    <row r="191">
      <c r="D191" s="31"/>
    </row>
    <row r="192">
      <c r="D192" s="31"/>
    </row>
    <row r="193">
      <c r="D193" s="31"/>
    </row>
    <row r="194">
      <c r="D194" s="31"/>
    </row>
    <row r="195">
      <c r="D195" s="31"/>
    </row>
    <row r="196">
      <c r="D196" s="31"/>
    </row>
    <row r="197">
      <c r="D197" s="31"/>
    </row>
    <row r="198">
      <c r="D198" s="31"/>
    </row>
    <row r="199">
      <c r="D199" s="31"/>
    </row>
    <row r="200">
      <c r="D200" s="31"/>
    </row>
    <row r="201">
      <c r="D201" s="31"/>
      <c r="H201" s="123"/>
      <c r="I201" s="182"/>
      <c r="J201" s="185"/>
    </row>
    <row r="202">
      <c r="D202" s="31"/>
    </row>
    <row r="203">
      <c r="D203" s="31"/>
      <c r="H203" s="14">
        <v>98.0</v>
      </c>
      <c r="I203" s="14" t="s">
        <v>1408</v>
      </c>
    </row>
    <row r="204">
      <c r="D204" s="31"/>
      <c r="H204" s="14">
        <v>46.0</v>
      </c>
      <c r="I204" s="14" t="s">
        <v>1409</v>
      </c>
    </row>
    <row r="205">
      <c r="D205" s="31"/>
      <c r="H205" s="14">
        <v>37.0</v>
      </c>
      <c r="I205" s="14" t="s">
        <v>1413</v>
      </c>
    </row>
    <row r="206">
      <c r="D206" s="31"/>
      <c r="H206" s="14">
        <v>35.0</v>
      </c>
      <c r="I206" s="14" t="s">
        <v>1414</v>
      </c>
    </row>
    <row r="207">
      <c r="D207" s="31"/>
      <c r="H207" s="14">
        <v>26.0</v>
      </c>
      <c r="I207" s="14" t="s">
        <v>1416</v>
      </c>
    </row>
    <row r="208">
      <c r="D208" s="31"/>
      <c r="H208" s="14">
        <v>16.0</v>
      </c>
      <c r="I208" s="14" t="s">
        <v>1417</v>
      </c>
    </row>
    <row r="209">
      <c r="D209" s="31"/>
      <c r="H209" s="14">
        <v>14.0</v>
      </c>
      <c r="I209" s="14" t="s">
        <v>1419</v>
      </c>
    </row>
    <row r="210">
      <c r="D210" s="31"/>
      <c r="H210" s="14">
        <v>12.0</v>
      </c>
      <c r="I210" s="14" t="s">
        <v>1420</v>
      </c>
    </row>
    <row r="211">
      <c r="D211" s="31"/>
      <c r="H211" s="14">
        <v>8.0</v>
      </c>
      <c r="I211" s="14" t="s">
        <v>1422</v>
      </c>
    </row>
    <row r="212">
      <c r="D212" s="31"/>
      <c r="H212" s="14">
        <v>3.0</v>
      </c>
      <c r="I212" s="14" t="s">
        <v>1425</v>
      </c>
    </row>
    <row r="213">
      <c r="D213" s="31"/>
      <c r="H213" s="14">
        <v>3.0</v>
      </c>
      <c r="I213" s="14" t="s">
        <v>1427</v>
      </c>
    </row>
    <row r="214">
      <c r="D214" s="31"/>
    </row>
    <row r="215">
      <c r="D215" s="31"/>
    </row>
    <row r="216">
      <c r="D216" s="31"/>
      <c r="H216" s="31">
        <f>SUM(H203:H213)</f>
        <v>298</v>
      </c>
    </row>
    <row r="217">
      <c r="D217" s="31"/>
    </row>
    <row r="218">
      <c r="D218" s="31"/>
    </row>
    <row r="219">
      <c r="D219" s="31"/>
    </row>
    <row r="220">
      <c r="D220" s="31"/>
    </row>
    <row r="221">
      <c r="D221" s="31"/>
    </row>
    <row r="222">
      <c r="D222" s="31"/>
    </row>
    <row r="223">
      <c r="D223" s="31"/>
    </row>
    <row r="224">
      <c r="D224" s="31"/>
    </row>
    <row r="225">
      <c r="D225" s="31"/>
    </row>
    <row r="226">
      <c r="D226" s="31"/>
    </row>
    <row r="227">
      <c r="D227" s="31"/>
    </row>
    <row r="228">
      <c r="D228" s="31"/>
    </row>
    <row r="229">
      <c r="D229" s="31"/>
    </row>
    <row r="230">
      <c r="D230" s="31"/>
    </row>
    <row r="231">
      <c r="D231" s="31"/>
    </row>
    <row r="232">
      <c r="D232" s="31"/>
    </row>
    <row r="233">
      <c r="D233" s="31"/>
    </row>
    <row r="234">
      <c r="D234" s="31"/>
    </row>
    <row r="235">
      <c r="D235" s="31"/>
    </row>
    <row r="236">
      <c r="D236" s="31"/>
    </row>
    <row r="237">
      <c r="D237" s="31"/>
    </row>
    <row r="238">
      <c r="D238" s="31"/>
    </row>
    <row r="239">
      <c r="D239" s="31"/>
    </row>
    <row r="240">
      <c r="D240" s="31"/>
    </row>
    <row r="241">
      <c r="D241" s="31"/>
    </row>
    <row r="242">
      <c r="D242" s="31"/>
    </row>
    <row r="243">
      <c r="D243" s="31"/>
    </row>
    <row r="244">
      <c r="D244" s="31"/>
    </row>
    <row r="245">
      <c r="D245" s="31"/>
    </row>
    <row r="246">
      <c r="D246" s="31"/>
    </row>
    <row r="247">
      <c r="D247" s="31"/>
    </row>
    <row r="248">
      <c r="D248" s="31"/>
    </row>
    <row r="249">
      <c r="D249" s="31"/>
    </row>
    <row r="250">
      <c r="D250" s="31"/>
    </row>
    <row r="251">
      <c r="D251" s="31"/>
    </row>
    <row r="252">
      <c r="D252" s="31"/>
    </row>
    <row r="253">
      <c r="D253" s="31"/>
    </row>
    <row r="254">
      <c r="D254" s="31"/>
    </row>
    <row r="255">
      <c r="D255" s="31"/>
    </row>
    <row r="256">
      <c r="D256" s="31"/>
    </row>
    <row r="257">
      <c r="D257" s="31"/>
    </row>
    <row r="258">
      <c r="D258" s="31"/>
    </row>
    <row r="259">
      <c r="D259" s="31"/>
    </row>
    <row r="260">
      <c r="D260" s="31"/>
    </row>
    <row r="261">
      <c r="D261" s="31"/>
    </row>
    <row r="262">
      <c r="D262" s="31"/>
    </row>
    <row r="263">
      <c r="D263" s="31"/>
    </row>
    <row r="264">
      <c r="D264" s="31"/>
    </row>
    <row r="265">
      <c r="D265" s="31"/>
    </row>
    <row r="266">
      <c r="D266" s="31"/>
    </row>
    <row r="267">
      <c r="D267" s="31"/>
    </row>
    <row r="268">
      <c r="D268" s="31"/>
    </row>
    <row r="269">
      <c r="D269" s="31"/>
    </row>
    <row r="270">
      <c r="D270" s="31"/>
    </row>
    <row r="271">
      <c r="D271" s="31"/>
    </row>
    <row r="272">
      <c r="D272" s="31"/>
    </row>
    <row r="273">
      <c r="D273" s="31"/>
    </row>
    <row r="274">
      <c r="D274" s="31"/>
    </row>
    <row r="275">
      <c r="D275" s="31"/>
    </row>
    <row r="276">
      <c r="D276" s="31"/>
    </row>
    <row r="277">
      <c r="D277" s="31"/>
    </row>
    <row r="278">
      <c r="D278" s="31"/>
    </row>
    <row r="279">
      <c r="D279" s="31"/>
    </row>
    <row r="280">
      <c r="D280" s="31"/>
    </row>
    <row r="281">
      <c r="D281" s="31"/>
    </row>
    <row r="282">
      <c r="D282" s="31"/>
    </row>
    <row r="283">
      <c r="D283" s="31"/>
    </row>
    <row r="284">
      <c r="D284" s="31"/>
    </row>
    <row r="285">
      <c r="D285" s="31"/>
    </row>
    <row r="286">
      <c r="D286" s="31"/>
    </row>
    <row r="287">
      <c r="D287" s="31"/>
    </row>
    <row r="288">
      <c r="D288" s="31"/>
    </row>
    <row r="289">
      <c r="D289" s="31"/>
    </row>
    <row r="290">
      <c r="D290" s="31"/>
    </row>
    <row r="291">
      <c r="D291" s="31"/>
    </row>
    <row r="292">
      <c r="D292" s="31"/>
    </row>
    <row r="293">
      <c r="D293" s="31"/>
    </row>
    <row r="294">
      <c r="D294" s="31"/>
    </row>
    <row r="295">
      <c r="D295" s="31"/>
    </row>
    <row r="296">
      <c r="D296" s="31"/>
    </row>
    <row r="297">
      <c r="D297" s="31"/>
    </row>
    <row r="298">
      <c r="D298" s="31"/>
    </row>
    <row r="299">
      <c r="D299" s="31"/>
    </row>
    <row r="300">
      <c r="D300" s="31"/>
    </row>
    <row r="301">
      <c r="D301" s="31"/>
    </row>
    <row r="302">
      <c r="D302" s="31"/>
    </row>
    <row r="303">
      <c r="D303" s="31"/>
    </row>
    <row r="304">
      <c r="D304" s="31"/>
    </row>
    <row r="305">
      <c r="D305" s="31"/>
    </row>
    <row r="306">
      <c r="D306" s="31"/>
    </row>
    <row r="307">
      <c r="D307" s="31"/>
    </row>
    <row r="308">
      <c r="D308" s="31"/>
    </row>
    <row r="309">
      <c r="D309" s="31"/>
    </row>
    <row r="310">
      <c r="D310" s="31"/>
    </row>
    <row r="311">
      <c r="D311" s="31"/>
    </row>
    <row r="312">
      <c r="D312" s="31"/>
    </row>
    <row r="313">
      <c r="D313" s="31"/>
    </row>
    <row r="314">
      <c r="D314" s="31"/>
    </row>
    <row r="315">
      <c r="D315" s="31"/>
    </row>
    <row r="316">
      <c r="D316" s="31"/>
    </row>
    <row r="317">
      <c r="D317" s="31"/>
    </row>
    <row r="318">
      <c r="D318" s="31"/>
    </row>
    <row r="319">
      <c r="D319" s="31"/>
    </row>
    <row r="320">
      <c r="D320" s="31"/>
    </row>
    <row r="321">
      <c r="D321" s="31"/>
    </row>
    <row r="322">
      <c r="D322" s="31"/>
    </row>
    <row r="323">
      <c r="D323" s="31"/>
    </row>
    <row r="324">
      <c r="D324" s="31"/>
    </row>
    <row r="325">
      <c r="D325" s="31"/>
    </row>
    <row r="326">
      <c r="D326" s="31"/>
    </row>
    <row r="327">
      <c r="D327" s="31"/>
    </row>
    <row r="328">
      <c r="D328" s="31"/>
    </row>
    <row r="329">
      <c r="D329" s="31"/>
    </row>
    <row r="330">
      <c r="D330" s="31"/>
    </row>
    <row r="331">
      <c r="D331" s="31"/>
    </row>
    <row r="332">
      <c r="D332" s="31"/>
    </row>
    <row r="333">
      <c r="D333" s="31"/>
    </row>
    <row r="334">
      <c r="D334" s="31"/>
    </row>
    <row r="335">
      <c r="D335" s="31"/>
    </row>
    <row r="336">
      <c r="D336" s="31"/>
    </row>
    <row r="337">
      <c r="D337" s="31"/>
    </row>
    <row r="338">
      <c r="D338" s="31"/>
    </row>
    <row r="339">
      <c r="D339" s="31"/>
    </row>
    <row r="340">
      <c r="D340" s="31"/>
    </row>
    <row r="341">
      <c r="D341" s="31"/>
    </row>
    <row r="342">
      <c r="D342" s="31"/>
    </row>
    <row r="343">
      <c r="D343" s="31"/>
    </row>
    <row r="344">
      <c r="D344" s="31"/>
    </row>
    <row r="345">
      <c r="D345" s="31"/>
    </row>
    <row r="346">
      <c r="D346" s="31"/>
    </row>
    <row r="347">
      <c r="D347" s="31"/>
    </row>
    <row r="348">
      <c r="D348" s="31"/>
    </row>
    <row r="349">
      <c r="D349" s="31"/>
    </row>
    <row r="350">
      <c r="D350" s="31"/>
    </row>
    <row r="351">
      <c r="D351" s="31"/>
    </row>
    <row r="352">
      <c r="D352" s="31"/>
    </row>
    <row r="353">
      <c r="D353" s="31"/>
    </row>
    <row r="354">
      <c r="D354" s="31"/>
    </row>
    <row r="355">
      <c r="D355" s="31"/>
    </row>
    <row r="356">
      <c r="D356" s="31"/>
    </row>
    <row r="357">
      <c r="D357" s="31"/>
    </row>
    <row r="358">
      <c r="D358" s="31"/>
    </row>
    <row r="359">
      <c r="D359" s="31"/>
    </row>
    <row r="360">
      <c r="D360" s="31"/>
    </row>
    <row r="361">
      <c r="D361" s="31"/>
    </row>
    <row r="362">
      <c r="D362" s="31"/>
    </row>
    <row r="363">
      <c r="D363" s="31"/>
    </row>
    <row r="364">
      <c r="D364" s="31"/>
    </row>
    <row r="365">
      <c r="D365" s="31"/>
    </row>
    <row r="366">
      <c r="D366" s="31"/>
    </row>
    <row r="367">
      <c r="D367" s="31"/>
    </row>
    <row r="368">
      <c r="D368" s="31"/>
    </row>
    <row r="369">
      <c r="D369" s="31"/>
    </row>
    <row r="370">
      <c r="D370" s="31"/>
    </row>
    <row r="371">
      <c r="D371" s="31"/>
    </row>
    <row r="372">
      <c r="D372" s="31"/>
    </row>
    <row r="373">
      <c r="D373" s="31"/>
    </row>
    <row r="374">
      <c r="D374" s="31"/>
    </row>
    <row r="375">
      <c r="D375" s="31"/>
    </row>
    <row r="376">
      <c r="D376" s="31"/>
    </row>
    <row r="377">
      <c r="D377" s="31"/>
    </row>
    <row r="378">
      <c r="D378" s="31"/>
    </row>
    <row r="379">
      <c r="D379" s="31"/>
    </row>
    <row r="380">
      <c r="D380" s="31"/>
    </row>
    <row r="381">
      <c r="D381" s="31"/>
    </row>
    <row r="382">
      <c r="D382" s="31"/>
    </row>
    <row r="383">
      <c r="D383" s="31"/>
    </row>
    <row r="384">
      <c r="D384" s="31"/>
    </row>
    <row r="385">
      <c r="D385" s="31"/>
    </row>
    <row r="386">
      <c r="D386" s="31"/>
    </row>
    <row r="387">
      <c r="D387" s="31"/>
    </row>
    <row r="388">
      <c r="D388" s="31"/>
    </row>
    <row r="389">
      <c r="D389" s="31"/>
    </row>
    <row r="390">
      <c r="D390" s="31"/>
    </row>
    <row r="391">
      <c r="D391" s="31"/>
    </row>
    <row r="392">
      <c r="D392" s="31"/>
    </row>
    <row r="393">
      <c r="D393" s="31"/>
    </row>
    <row r="394">
      <c r="D394" s="31"/>
    </row>
    <row r="395">
      <c r="D395" s="31"/>
    </row>
    <row r="396">
      <c r="D396" s="31"/>
    </row>
    <row r="397">
      <c r="D397" s="31"/>
    </row>
    <row r="398">
      <c r="D398" s="31"/>
    </row>
    <row r="399">
      <c r="D399" s="31"/>
    </row>
    <row r="400">
      <c r="D400" s="31"/>
    </row>
    <row r="401">
      <c r="D401" s="31"/>
    </row>
    <row r="402">
      <c r="D402" s="31"/>
    </row>
    <row r="403">
      <c r="D403" s="31"/>
    </row>
    <row r="404">
      <c r="D404" s="31"/>
    </row>
    <row r="405">
      <c r="D405" s="31"/>
    </row>
    <row r="406">
      <c r="D406" s="31"/>
    </row>
    <row r="407">
      <c r="D407" s="31"/>
    </row>
    <row r="408">
      <c r="D408" s="31"/>
    </row>
    <row r="409">
      <c r="D409" s="31"/>
    </row>
    <row r="410">
      <c r="D410" s="31"/>
    </row>
    <row r="411">
      <c r="D411" s="31"/>
    </row>
    <row r="412">
      <c r="D412" s="31"/>
    </row>
    <row r="413">
      <c r="D413" s="31"/>
    </row>
    <row r="414">
      <c r="D414" s="31"/>
    </row>
    <row r="415">
      <c r="D415" s="31"/>
    </row>
    <row r="416">
      <c r="D416" s="31"/>
    </row>
    <row r="417">
      <c r="D417" s="31"/>
    </row>
    <row r="418">
      <c r="D418" s="31"/>
    </row>
    <row r="419">
      <c r="D419" s="31"/>
    </row>
    <row r="420">
      <c r="D420" s="31"/>
    </row>
    <row r="421">
      <c r="D421" s="31"/>
    </row>
    <row r="422">
      <c r="D422" s="31"/>
    </row>
    <row r="423">
      <c r="D423" s="31"/>
    </row>
    <row r="424">
      <c r="D424" s="31"/>
    </row>
    <row r="425">
      <c r="D425" s="31"/>
    </row>
    <row r="426">
      <c r="D426" s="31"/>
    </row>
    <row r="427">
      <c r="D427" s="31"/>
    </row>
    <row r="428">
      <c r="D428" s="31"/>
    </row>
    <row r="429">
      <c r="D429" s="31"/>
    </row>
    <row r="430">
      <c r="D430" s="31"/>
    </row>
    <row r="431">
      <c r="D431" s="31"/>
    </row>
    <row r="432">
      <c r="D432" s="31"/>
    </row>
    <row r="433">
      <c r="D433" s="31"/>
    </row>
    <row r="434">
      <c r="D434" s="31"/>
    </row>
    <row r="435">
      <c r="D435" s="31"/>
    </row>
    <row r="436">
      <c r="D436" s="31"/>
    </row>
    <row r="437">
      <c r="D437" s="31"/>
    </row>
    <row r="438">
      <c r="D438" s="31"/>
    </row>
    <row r="439">
      <c r="D439" s="31"/>
    </row>
    <row r="440">
      <c r="D440" s="31"/>
    </row>
    <row r="441">
      <c r="D441" s="31"/>
    </row>
    <row r="442">
      <c r="D442" s="31"/>
    </row>
    <row r="443">
      <c r="D443" s="31"/>
    </row>
    <row r="444">
      <c r="D444" s="31"/>
    </row>
    <row r="445">
      <c r="D445" s="31"/>
    </row>
    <row r="446">
      <c r="D446" s="31"/>
    </row>
    <row r="447">
      <c r="D447" s="31"/>
    </row>
    <row r="448">
      <c r="D448" s="31"/>
    </row>
    <row r="449">
      <c r="D449" s="31"/>
    </row>
    <row r="450">
      <c r="D450" s="31"/>
    </row>
    <row r="451">
      <c r="D451" s="31"/>
    </row>
    <row r="452">
      <c r="D452" s="31"/>
    </row>
    <row r="453">
      <c r="D453" s="31"/>
    </row>
    <row r="454">
      <c r="D454" s="31"/>
    </row>
    <row r="455">
      <c r="D455" s="31"/>
    </row>
    <row r="456">
      <c r="D456" s="31"/>
    </row>
    <row r="457">
      <c r="D457" s="31"/>
    </row>
    <row r="458">
      <c r="D458" s="31"/>
    </row>
    <row r="459">
      <c r="D459" s="31"/>
    </row>
    <row r="460">
      <c r="D460" s="31"/>
    </row>
    <row r="461">
      <c r="D461" s="31"/>
    </row>
    <row r="462">
      <c r="D462" s="31"/>
    </row>
    <row r="463">
      <c r="D463" s="31"/>
    </row>
    <row r="464">
      <c r="D464" s="31"/>
    </row>
    <row r="465">
      <c r="D465" s="31"/>
    </row>
    <row r="466">
      <c r="D466" s="31"/>
    </row>
    <row r="467">
      <c r="D467" s="31"/>
    </row>
    <row r="468">
      <c r="D468" s="31"/>
    </row>
    <row r="469">
      <c r="D469" s="31"/>
    </row>
    <row r="470">
      <c r="D470" s="31"/>
    </row>
    <row r="471">
      <c r="D471" s="31"/>
    </row>
    <row r="472">
      <c r="D472" s="31"/>
    </row>
    <row r="473">
      <c r="D473" s="31"/>
    </row>
    <row r="474">
      <c r="D474" s="31"/>
    </row>
    <row r="475">
      <c r="D475" s="31"/>
    </row>
    <row r="476">
      <c r="D476" s="31"/>
    </row>
    <row r="477">
      <c r="D477" s="31"/>
    </row>
    <row r="478">
      <c r="D478" s="31"/>
    </row>
    <row r="479">
      <c r="D479" s="31"/>
    </row>
    <row r="480">
      <c r="D480" s="31"/>
    </row>
    <row r="481">
      <c r="D481" s="31"/>
    </row>
    <row r="482">
      <c r="D482" s="31"/>
    </row>
    <row r="483">
      <c r="D483" s="31"/>
    </row>
    <row r="484">
      <c r="D484" s="31"/>
    </row>
    <row r="485">
      <c r="D485" s="31"/>
    </row>
    <row r="486">
      <c r="D486" s="31"/>
    </row>
    <row r="487">
      <c r="D487" s="31"/>
    </row>
    <row r="488">
      <c r="D488" s="31"/>
    </row>
    <row r="489">
      <c r="D489" s="31"/>
    </row>
    <row r="490">
      <c r="D490" s="31"/>
    </row>
    <row r="491">
      <c r="D491" s="31"/>
    </row>
    <row r="492">
      <c r="D492" s="31"/>
    </row>
    <row r="493">
      <c r="D493" s="31"/>
    </row>
    <row r="494">
      <c r="D494" s="31"/>
    </row>
    <row r="495">
      <c r="D495" s="31"/>
    </row>
    <row r="496">
      <c r="D496" s="31"/>
    </row>
    <row r="497">
      <c r="D497" s="31"/>
    </row>
    <row r="498">
      <c r="D498" s="31"/>
    </row>
    <row r="499">
      <c r="D499" s="31"/>
    </row>
    <row r="500">
      <c r="D500" s="31"/>
    </row>
    <row r="501">
      <c r="D501" s="31"/>
    </row>
    <row r="502">
      <c r="D502" s="31"/>
    </row>
    <row r="503">
      <c r="D503" s="31"/>
    </row>
    <row r="504">
      <c r="D504" s="31"/>
    </row>
    <row r="505">
      <c r="D505" s="31"/>
    </row>
    <row r="506">
      <c r="D506" s="31"/>
    </row>
    <row r="507">
      <c r="D507" s="31"/>
    </row>
    <row r="508">
      <c r="D508" s="31"/>
    </row>
    <row r="509">
      <c r="D509" s="31"/>
    </row>
    <row r="510">
      <c r="D510" s="31"/>
    </row>
    <row r="511">
      <c r="D511" s="31"/>
    </row>
    <row r="512">
      <c r="D512" s="31"/>
    </row>
    <row r="513">
      <c r="D513" s="31"/>
    </row>
    <row r="514">
      <c r="D514" s="31"/>
    </row>
    <row r="515">
      <c r="D515" s="31"/>
    </row>
    <row r="516">
      <c r="D516" s="31"/>
    </row>
    <row r="517">
      <c r="D517" s="31"/>
    </row>
    <row r="518">
      <c r="D518" s="31"/>
    </row>
    <row r="519">
      <c r="D519" s="31"/>
    </row>
    <row r="520">
      <c r="D520" s="31"/>
    </row>
    <row r="521">
      <c r="D521" s="31"/>
    </row>
    <row r="522">
      <c r="D522" s="31"/>
    </row>
    <row r="523">
      <c r="D523" s="31"/>
    </row>
    <row r="524">
      <c r="D524" s="31"/>
    </row>
    <row r="525">
      <c r="D525" s="31"/>
    </row>
    <row r="526">
      <c r="D526" s="31"/>
    </row>
    <row r="527">
      <c r="D527" s="31"/>
    </row>
    <row r="528">
      <c r="D528" s="31"/>
    </row>
    <row r="529">
      <c r="D529" s="31"/>
    </row>
    <row r="530">
      <c r="D530" s="31"/>
    </row>
    <row r="531">
      <c r="D531" s="31"/>
    </row>
    <row r="532">
      <c r="D532" s="31"/>
    </row>
    <row r="533">
      <c r="D533" s="31"/>
    </row>
    <row r="534">
      <c r="D534" s="31"/>
    </row>
    <row r="535">
      <c r="D535" s="31"/>
    </row>
    <row r="536">
      <c r="D536" s="31"/>
    </row>
    <row r="537">
      <c r="D537" s="31"/>
    </row>
    <row r="538">
      <c r="D538" s="31"/>
    </row>
    <row r="539">
      <c r="D539" s="31"/>
    </row>
    <row r="540">
      <c r="D540" s="31"/>
    </row>
    <row r="541">
      <c r="D541" s="31"/>
    </row>
    <row r="542">
      <c r="D542" s="31"/>
    </row>
    <row r="543">
      <c r="D543" s="31"/>
    </row>
    <row r="544">
      <c r="D544" s="31"/>
    </row>
    <row r="545">
      <c r="D545" s="31"/>
    </row>
    <row r="546">
      <c r="D546" s="31"/>
    </row>
    <row r="547">
      <c r="D547" s="31"/>
    </row>
    <row r="548">
      <c r="D548" s="31"/>
    </row>
    <row r="549">
      <c r="D549" s="31"/>
    </row>
    <row r="550">
      <c r="D550" s="31"/>
    </row>
    <row r="551">
      <c r="D551" s="31"/>
    </row>
    <row r="552">
      <c r="D552" s="31"/>
    </row>
    <row r="553">
      <c r="D553" s="31"/>
    </row>
    <row r="554">
      <c r="D554" s="31"/>
    </row>
    <row r="555">
      <c r="D555" s="31"/>
    </row>
    <row r="556">
      <c r="D556" s="31"/>
    </row>
    <row r="557">
      <c r="D557" s="31"/>
    </row>
    <row r="558">
      <c r="D558" s="31"/>
    </row>
    <row r="559">
      <c r="D559" s="31"/>
    </row>
    <row r="560">
      <c r="D560" s="31"/>
    </row>
    <row r="561">
      <c r="D561" s="31"/>
    </row>
    <row r="562">
      <c r="D562" s="31"/>
    </row>
    <row r="563">
      <c r="D563" s="31"/>
    </row>
    <row r="564">
      <c r="D564" s="31"/>
    </row>
    <row r="565">
      <c r="D565" s="31"/>
    </row>
    <row r="566">
      <c r="D566" s="31"/>
    </row>
    <row r="567">
      <c r="D567" s="31"/>
    </row>
    <row r="568">
      <c r="D568" s="31"/>
    </row>
    <row r="569">
      <c r="D569" s="31"/>
    </row>
    <row r="570">
      <c r="D570" s="31"/>
    </row>
    <row r="571">
      <c r="D571" s="31"/>
    </row>
    <row r="572">
      <c r="D572" s="31"/>
    </row>
    <row r="573">
      <c r="D573" s="31"/>
    </row>
    <row r="574">
      <c r="D574" s="31"/>
    </row>
    <row r="575">
      <c r="D575" s="31"/>
    </row>
    <row r="576">
      <c r="D576" s="31"/>
    </row>
    <row r="577">
      <c r="D577" s="31"/>
    </row>
    <row r="578">
      <c r="D578" s="31"/>
    </row>
    <row r="579">
      <c r="D579" s="31"/>
    </row>
    <row r="580">
      <c r="D580" s="31"/>
    </row>
    <row r="581">
      <c r="D581" s="31"/>
    </row>
    <row r="582">
      <c r="D582" s="31"/>
    </row>
    <row r="583">
      <c r="D583" s="31"/>
    </row>
    <row r="584">
      <c r="D584" s="31"/>
    </row>
    <row r="585">
      <c r="D585" s="31"/>
    </row>
    <row r="586">
      <c r="D586" s="31"/>
    </row>
    <row r="587">
      <c r="D587" s="31"/>
    </row>
    <row r="588">
      <c r="D588" s="31"/>
    </row>
    <row r="589">
      <c r="D589" s="31"/>
    </row>
    <row r="590">
      <c r="D590" s="31"/>
    </row>
    <row r="591">
      <c r="D591" s="31"/>
    </row>
    <row r="592">
      <c r="D592" s="31"/>
    </row>
    <row r="593">
      <c r="D593" s="31"/>
    </row>
    <row r="594">
      <c r="D594" s="31"/>
    </row>
    <row r="595">
      <c r="D595" s="31"/>
    </row>
    <row r="596">
      <c r="D596" s="31"/>
    </row>
    <row r="597">
      <c r="D597" s="31"/>
    </row>
    <row r="598">
      <c r="D598" s="31"/>
    </row>
    <row r="599">
      <c r="D599" s="31"/>
    </row>
    <row r="600">
      <c r="D600" s="31"/>
    </row>
    <row r="601">
      <c r="D601" s="31"/>
    </row>
    <row r="602">
      <c r="D602" s="31"/>
    </row>
    <row r="603">
      <c r="D603" s="31"/>
    </row>
    <row r="604">
      <c r="D604" s="31"/>
    </row>
    <row r="605">
      <c r="D605" s="31"/>
    </row>
    <row r="606">
      <c r="D606" s="31"/>
    </row>
    <row r="607">
      <c r="D607" s="31"/>
    </row>
    <row r="608">
      <c r="D608" s="31"/>
    </row>
    <row r="609">
      <c r="D609" s="31"/>
    </row>
    <row r="610">
      <c r="D610" s="31"/>
    </row>
    <row r="611">
      <c r="D611" s="31"/>
    </row>
    <row r="612">
      <c r="D612" s="31"/>
    </row>
    <row r="613">
      <c r="D613" s="31"/>
    </row>
    <row r="614">
      <c r="D614" s="31"/>
    </row>
    <row r="615">
      <c r="D615" s="31"/>
    </row>
    <row r="616">
      <c r="D616" s="31"/>
    </row>
    <row r="617">
      <c r="D617" s="31"/>
    </row>
    <row r="618">
      <c r="D618" s="31"/>
    </row>
    <row r="619">
      <c r="D619" s="31"/>
    </row>
    <row r="620">
      <c r="D620" s="31"/>
    </row>
    <row r="621">
      <c r="D621" s="31"/>
    </row>
    <row r="622">
      <c r="D622" s="31"/>
    </row>
    <row r="623">
      <c r="D623" s="31"/>
    </row>
    <row r="624">
      <c r="D624" s="31"/>
    </row>
    <row r="625">
      <c r="D625" s="31"/>
    </row>
    <row r="626">
      <c r="D626" s="31"/>
    </row>
    <row r="627">
      <c r="D627" s="31"/>
    </row>
    <row r="628">
      <c r="D628" s="31"/>
    </row>
    <row r="629">
      <c r="D629" s="31"/>
    </row>
    <row r="630">
      <c r="D630" s="31"/>
    </row>
    <row r="631">
      <c r="D631" s="31"/>
    </row>
    <row r="632">
      <c r="D632" s="31"/>
    </row>
    <row r="633">
      <c r="D633" s="31"/>
    </row>
    <row r="634">
      <c r="D634" s="31"/>
    </row>
    <row r="635">
      <c r="D635" s="31"/>
    </row>
    <row r="636">
      <c r="D636" s="31"/>
    </row>
    <row r="637">
      <c r="D637" s="31"/>
    </row>
    <row r="638">
      <c r="D638" s="31"/>
    </row>
    <row r="639">
      <c r="D639" s="31"/>
    </row>
    <row r="640">
      <c r="D640" s="31"/>
    </row>
    <row r="641">
      <c r="D641" s="31"/>
    </row>
    <row r="642">
      <c r="D642" s="31"/>
    </row>
    <row r="643">
      <c r="D643" s="31"/>
    </row>
    <row r="644">
      <c r="D644" s="31"/>
    </row>
    <row r="645">
      <c r="D645" s="31"/>
    </row>
    <row r="646">
      <c r="D646" s="31"/>
    </row>
    <row r="647">
      <c r="D647" s="31"/>
    </row>
    <row r="648">
      <c r="D648" s="31"/>
    </row>
    <row r="649">
      <c r="D649" s="31"/>
    </row>
    <row r="650">
      <c r="D650" s="31"/>
    </row>
    <row r="651">
      <c r="D651" s="31"/>
    </row>
    <row r="652">
      <c r="D652" s="31"/>
    </row>
    <row r="653">
      <c r="D653" s="31"/>
    </row>
    <row r="654">
      <c r="D654" s="31"/>
    </row>
    <row r="655">
      <c r="D655" s="31"/>
    </row>
    <row r="656">
      <c r="D656" s="31"/>
    </row>
    <row r="657">
      <c r="D657" s="31"/>
    </row>
    <row r="658">
      <c r="D658" s="31"/>
    </row>
    <row r="659">
      <c r="D659" s="31"/>
    </row>
    <row r="660">
      <c r="D660" s="31"/>
    </row>
    <row r="661">
      <c r="D661" s="31"/>
    </row>
    <row r="662">
      <c r="D662" s="31"/>
    </row>
    <row r="663">
      <c r="D663" s="31"/>
    </row>
    <row r="664">
      <c r="D664" s="31"/>
    </row>
    <row r="665">
      <c r="D665" s="31"/>
    </row>
    <row r="666">
      <c r="D666" s="31"/>
    </row>
    <row r="667">
      <c r="D667" s="31"/>
    </row>
    <row r="668">
      <c r="D668" s="31"/>
    </row>
    <row r="669">
      <c r="D669" s="31"/>
    </row>
    <row r="670">
      <c r="D670" s="31"/>
    </row>
    <row r="671">
      <c r="D671" s="31"/>
    </row>
    <row r="672">
      <c r="D672" s="31"/>
    </row>
    <row r="673">
      <c r="D673" s="31"/>
    </row>
    <row r="674">
      <c r="D674" s="31"/>
    </row>
    <row r="675">
      <c r="D675" s="31"/>
    </row>
    <row r="676">
      <c r="D676" s="31"/>
    </row>
    <row r="677">
      <c r="D677" s="31"/>
    </row>
    <row r="678">
      <c r="D678" s="31"/>
    </row>
    <row r="679">
      <c r="D679" s="31"/>
    </row>
    <row r="680">
      <c r="D680" s="31"/>
    </row>
    <row r="681">
      <c r="D681" s="31"/>
    </row>
    <row r="682">
      <c r="D682" s="31"/>
    </row>
    <row r="683">
      <c r="D683" s="31"/>
    </row>
    <row r="684">
      <c r="D684" s="31"/>
    </row>
    <row r="685">
      <c r="D685" s="31"/>
    </row>
    <row r="686">
      <c r="D686" s="31"/>
    </row>
    <row r="687">
      <c r="D687" s="31"/>
    </row>
    <row r="688">
      <c r="D688" s="31"/>
    </row>
    <row r="689">
      <c r="D689" s="31"/>
    </row>
    <row r="690">
      <c r="D690" s="31"/>
    </row>
    <row r="691">
      <c r="D691" s="31"/>
    </row>
    <row r="692">
      <c r="D692" s="31"/>
    </row>
    <row r="693">
      <c r="D693" s="31"/>
    </row>
    <row r="694">
      <c r="D694" s="31"/>
    </row>
    <row r="695">
      <c r="D695" s="31"/>
    </row>
    <row r="696">
      <c r="D696" s="31"/>
    </row>
    <row r="697">
      <c r="D697" s="31"/>
    </row>
    <row r="698">
      <c r="D698" s="31"/>
    </row>
    <row r="699">
      <c r="D699" s="31"/>
    </row>
    <row r="700">
      <c r="D700" s="31"/>
    </row>
    <row r="701">
      <c r="D701" s="31"/>
    </row>
    <row r="702">
      <c r="D702" s="31"/>
    </row>
    <row r="703">
      <c r="D703" s="31"/>
    </row>
    <row r="704">
      <c r="D704" s="31"/>
    </row>
    <row r="705">
      <c r="D705" s="31"/>
    </row>
    <row r="706">
      <c r="D706" s="31"/>
    </row>
    <row r="707">
      <c r="D707" s="31"/>
    </row>
    <row r="708">
      <c r="D708" s="31"/>
    </row>
    <row r="709">
      <c r="D709" s="31"/>
    </row>
    <row r="710">
      <c r="D710" s="31"/>
    </row>
    <row r="711">
      <c r="D711" s="31"/>
    </row>
    <row r="712">
      <c r="D712" s="31"/>
    </row>
    <row r="713">
      <c r="D713" s="31"/>
    </row>
    <row r="714">
      <c r="D714" s="31"/>
    </row>
    <row r="715">
      <c r="D715" s="31"/>
    </row>
    <row r="716">
      <c r="D716" s="31"/>
    </row>
    <row r="717">
      <c r="D717" s="31"/>
    </row>
    <row r="718">
      <c r="D718" s="31"/>
    </row>
    <row r="719">
      <c r="D719" s="31"/>
    </row>
    <row r="720">
      <c r="D720" s="31"/>
    </row>
    <row r="721">
      <c r="D721" s="31"/>
    </row>
    <row r="722">
      <c r="D722" s="31"/>
    </row>
    <row r="723">
      <c r="D723" s="31"/>
    </row>
    <row r="724">
      <c r="D724" s="31"/>
    </row>
    <row r="725">
      <c r="D725" s="31"/>
    </row>
    <row r="726">
      <c r="D726" s="31"/>
    </row>
    <row r="727">
      <c r="D727" s="31"/>
    </row>
    <row r="728">
      <c r="D728" s="31"/>
    </row>
    <row r="729">
      <c r="D729" s="31"/>
    </row>
    <row r="730">
      <c r="D730" s="31"/>
    </row>
    <row r="731">
      <c r="D731" s="31"/>
    </row>
    <row r="732">
      <c r="D732" s="31"/>
    </row>
    <row r="733">
      <c r="D733" s="31"/>
    </row>
    <row r="734">
      <c r="D734" s="31"/>
    </row>
    <row r="735">
      <c r="D735" s="31"/>
    </row>
    <row r="736">
      <c r="D736" s="31"/>
    </row>
    <row r="737">
      <c r="D737" s="31"/>
    </row>
    <row r="738">
      <c r="D738" s="31"/>
    </row>
    <row r="739">
      <c r="D739" s="31"/>
    </row>
    <row r="740">
      <c r="D740" s="31"/>
    </row>
    <row r="741">
      <c r="D741" s="31"/>
    </row>
    <row r="742">
      <c r="D742" s="31"/>
    </row>
    <row r="743">
      <c r="D743" s="31"/>
    </row>
    <row r="744">
      <c r="D744" s="31"/>
    </row>
    <row r="745">
      <c r="D745" s="31"/>
    </row>
    <row r="746">
      <c r="D746" s="31"/>
    </row>
    <row r="747">
      <c r="D747" s="31"/>
    </row>
    <row r="748">
      <c r="D748" s="31"/>
    </row>
    <row r="749">
      <c r="D749" s="31"/>
    </row>
    <row r="750">
      <c r="D750" s="31"/>
    </row>
    <row r="751">
      <c r="D751" s="31"/>
    </row>
    <row r="752">
      <c r="D752" s="31"/>
    </row>
    <row r="753">
      <c r="D753" s="31"/>
    </row>
    <row r="754">
      <c r="D754" s="31"/>
    </row>
    <row r="755">
      <c r="D755" s="31"/>
    </row>
    <row r="756">
      <c r="D756" s="31"/>
    </row>
    <row r="757">
      <c r="D757" s="31"/>
    </row>
    <row r="758">
      <c r="D758" s="31"/>
    </row>
    <row r="759">
      <c r="D759" s="31"/>
    </row>
    <row r="760">
      <c r="D760" s="31"/>
    </row>
    <row r="761">
      <c r="D761" s="31"/>
    </row>
    <row r="762">
      <c r="D762" s="31"/>
    </row>
    <row r="763">
      <c r="D763" s="31"/>
    </row>
    <row r="764">
      <c r="D764" s="31"/>
    </row>
    <row r="765">
      <c r="D765" s="31"/>
    </row>
    <row r="766">
      <c r="D766" s="31"/>
    </row>
    <row r="767">
      <c r="D767" s="31"/>
    </row>
    <row r="768">
      <c r="D768" s="31"/>
    </row>
    <row r="769">
      <c r="D769" s="31"/>
    </row>
    <row r="770">
      <c r="D770" s="31"/>
    </row>
    <row r="771">
      <c r="D771" s="31"/>
    </row>
    <row r="772">
      <c r="D772" s="31"/>
    </row>
    <row r="773">
      <c r="D773" s="31"/>
    </row>
    <row r="774">
      <c r="D774" s="31"/>
    </row>
    <row r="775">
      <c r="D775" s="31"/>
    </row>
    <row r="776">
      <c r="D776" s="31"/>
    </row>
    <row r="777">
      <c r="D777" s="31"/>
    </row>
    <row r="778">
      <c r="D778" s="31"/>
    </row>
    <row r="779">
      <c r="D779" s="31"/>
    </row>
    <row r="780">
      <c r="D780" s="31"/>
    </row>
    <row r="781">
      <c r="D781" s="31"/>
    </row>
    <row r="782">
      <c r="D782" s="31"/>
    </row>
    <row r="783">
      <c r="D783" s="31"/>
    </row>
    <row r="784">
      <c r="D784" s="31"/>
    </row>
    <row r="785">
      <c r="D785" s="31"/>
    </row>
    <row r="786">
      <c r="D786" s="31"/>
    </row>
    <row r="787">
      <c r="D787" s="31"/>
    </row>
    <row r="788">
      <c r="D788" s="31"/>
    </row>
    <row r="789">
      <c r="D789" s="31"/>
    </row>
    <row r="790">
      <c r="D790" s="31"/>
    </row>
    <row r="791">
      <c r="D791" s="31"/>
    </row>
    <row r="792">
      <c r="D792" s="31"/>
    </row>
    <row r="793">
      <c r="D793" s="31"/>
    </row>
    <row r="794">
      <c r="D794" s="31"/>
    </row>
    <row r="795">
      <c r="D795" s="31"/>
    </row>
    <row r="796">
      <c r="D796" s="31"/>
    </row>
    <row r="797">
      <c r="D797" s="31"/>
    </row>
    <row r="798">
      <c r="D798" s="31"/>
    </row>
    <row r="799">
      <c r="D799" s="31"/>
    </row>
    <row r="800">
      <c r="D800" s="31"/>
    </row>
    <row r="801">
      <c r="D801" s="31"/>
    </row>
    <row r="802">
      <c r="D802" s="31"/>
    </row>
    <row r="803">
      <c r="D803" s="31"/>
    </row>
    <row r="804">
      <c r="D804" s="31"/>
    </row>
    <row r="805">
      <c r="D805" s="31"/>
    </row>
    <row r="806">
      <c r="D806" s="31"/>
    </row>
    <row r="807">
      <c r="D807" s="31"/>
    </row>
    <row r="808">
      <c r="D808" s="31"/>
    </row>
    <row r="809">
      <c r="D809" s="31"/>
    </row>
    <row r="810">
      <c r="D810" s="31"/>
    </row>
    <row r="811">
      <c r="D811" s="31"/>
    </row>
    <row r="812">
      <c r="D812" s="31"/>
    </row>
    <row r="813">
      <c r="D813" s="31"/>
    </row>
    <row r="814">
      <c r="D814" s="31"/>
    </row>
    <row r="815">
      <c r="D815" s="31"/>
    </row>
    <row r="816">
      <c r="D816" s="31"/>
    </row>
    <row r="817">
      <c r="D817" s="31"/>
    </row>
    <row r="818">
      <c r="D818" s="31"/>
    </row>
    <row r="819">
      <c r="D819" s="31"/>
    </row>
    <row r="820">
      <c r="D820" s="31"/>
    </row>
    <row r="821">
      <c r="D821" s="31"/>
    </row>
    <row r="822">
      <c r="D822" s="31"/>
    </row>
    <row r="823">
      <c r="D823" s="31"/>
    </row>
    <row r="824">
      <c r="D824" s="31"/>
    </row>
    <row r="825">
      <c r="D825" s="31"/>
    </row>
    <row r="826">
      <c r="D826" s="31"/>
    </row>
    <row r="827">
      <c r="D827" s="31"/>
    </row>
    <row r="828">
      <c r="D828" s="31"/>
    </row>
    <row r="829">
      <c r="D829" s="31"/>
    </row>
    <row r="830">
      <c r="D830" s="31"/>
    </row>
    <row r="831">
      <c r="D831" s="31"/>
    </row>
    <row r="832">
      <c r="D832" s="31"/>
    </row>
    <row r="833">
      <c r="D833" s="31"/>
    </row>
    <row r="834">
      <c r="D834" s="31"/>
    </row>
    <row r="835">
      <c r="D835" s="31"/>
    </row>
    <row r="836">
      <c r="D836" s="31"/>
    </row>
    <row r="837">
      <c r="D837" s="31"/>
    </row>
    <row r="838">
      <c r="D838" s="31"/>
    </row>
    <row r="839">
      <c r="D839" s="31"/>
    </row>
    <row r="840">
      <c r="D840" s="31"/>
    </row>
    <row r="841">
      <c r="D841" s="31"/>
    </row>
    <row r="842">
      <c r="D842" s="31"/>
    </row>
    <row r="843">
      <c r="D843" s="31"/>
    </row>
    <row r="844">
      <c r="D844" s="31"/>
    </row>
    <row r="845">
      <c r="D845" s="31"/>
    </row>
    <row r="846">
      <c r="D846" s="31"/>
    </row>
    <row r="847">
      <c r="D847" s="31"/>
    </row>
    <row r="848">
      <c r="D848" s="31"/>
    </row>
    <row r="849">
      <c r="D849" s="31"/>
    </row>
    <row r="850">
      <c r="D850" s="31"/>
    </row>
    <row r="851">
      <c r="D851" s="31"/>
    </row>
    <row r="852">
      <c r="D852" s="31"/>
    </row>
    <row r="853">
      <c r="D853" s="31"/>
    </row>
    <row r="854">
      <c r="D854" s="31"/>
    </row>
    <row r="855">
      <c r="D855" s="31"/>
    </row>
    <row r="856">
      <c r="D856" s="31"/>
    </row>
    <row r="857">
      <c r="D857" s="31"/>
    </row>
    <row r="858">
      <c r="D858" s="31"/>
    </row>
    <row r="859">
      <c r="D859" s="31"/>
    </row>
    <row r="860">
      <c r="D860" s="31"/>
    </row>
    <row r="861">
      <c r="D861" s="31"/>
    </row>
    <row r="862">
      <c r="D862" s="31"/>
    </row>
    <row r="863">
      <c r="D863" s="31"/>
    </row>
    <row r="864">
      <c r="D864" s="31"/>
    </row>
    <row r="865">
      <c r="D865" s="31"/>
    </row>
    <row r="866">
      <c r="D866" s="31"/>
    </row>
    <row r="867">
      <c r="D867" s="31"/>
    </row>
    <row r="868">
      <c r="D868" s="31"/>
    </row>
    <row r="869">
      <c r="D869" s="31"/>
    </row>
    <row r="870">
      <c r="D870" s="31"/>
    </row>
    <row r="871">
      <c r="D871" s="31"/>
    </row>
    <row r="872">
      <c r="D872" s="31"/>
    </row>
    <row r="873">
      <c r="D873" s="31"/>
    </row>
    <row r="874">
      <c r="D874" s="31"/>
    </row>
    <row r="875">
      <c r="D875" s="31"/>
    </row>
    <row r="876">
      <c r="D876" s="31"/>
    </row>
    <row r="877">
      <c r="D877" s="31"/>
    </row>
    <row r="878">
      <c r="D878" s="31"/>
    </row>
    <row r="879">
      <c r="D879" s="31"/>
    </row>
    <row r="880">
      <c r="D880" s="31"/>
    </row>
    <row r="881">
      <c r="D881" s="31"/>
    </row>
    <row r="882">
      <c r="D882" s="31"/>
    </row>
    <row r="883">
      <c r="D883" s="31"/>
    </row>
    <row r="884">
      <c r="D884" s="31"/>
    </row>
    <row r="885">
      <c r="D885" s="31"/>
    </row>
    <row r="886">
      <c r="D886" s="31"/>
    </row>
    <row r="887">
      <c r="D887" s="31"/>
    </row>
    <row r="888">
      <c r="D888" s="31"/>
    </row>
    <row r="889">
      <c r="D889" s="31"/>
    </row>
    <row r="890">
      <c r="D890" s="31"/>
    </row>
    <row r="891">
      <c r="D891" s="31"/>
    </row>
    <row r="892">
      <c r="D892" s="31"/>
    </row>
    <row r="893">
      <c r="D893" s="31"/>
    </row>
    <row r="894">
      <c r="D894" s="31"/>
    </row>
    <row r="895">
      <c r="D895" s="31"/>
    </row>
    <row r="896">
      <c r="D896" s="31"/>
    </row>
    <row r="897">
      <c r="D897" s="31"/>
    </row>
    <row r="898">
      <c r="D898" s="31"/>
    </row>
    <row r="899">
      <c r="D899" s="31"/>
    </row>
    <row r="900">
      <c r="D900" s="31"/>
    </row>
    <row r="901">
      <c r="D901" s="31"/>
    </row>
    <row r="902">
      <c r="D902" s="31"/>
    </row>
    <row r="903">
      <c r="D903" s="31"/>
    </row>
    <row r="904">
      <c r="D904" s="31"/>
    </row>
    <row r="905">
      <c r="D905" s="31"/>
    </row>
    <row r="906">
      <c r="D906" s="31"/>
    </row>
    <row r="907">
      <c r="D907" s="31"/>
    </row>
    <row r="908">
      <c r="D908" s="31"/>
    </row>
    <row r="909">
      <c r="D909" s="31"/>
    </row>
    <row r="910">
      <c r="D910" s="31"/>
    </row>
    <row r="911">
      <c r="D911" s="31"/>
    </row>
    <row r="912">
      <c r="D912" s="31"/>
    </row>
    <row r="913">
      <c r="D913" s="31"/>
    </row>
    <row r="914">
      <c r="D914" s="31"/>
    </row>
    <row r="915">
      <c r="D915" s="31"/>
    </row>
    <row r="916">
      <c r="D916" s="31"/>
    </row>
    <row r="917">
      <c r="D917" s="31"/>
    </row>
    <row r="918">
      <c r="D918" s="31"/>
    </row>
    <row r="919">
      <c r="D919" s="31"/>
    </row>
    <row r="920">
      <c r="D920" s="31"/>
    </row>
    <row r="921">
      <c r="D921" s="31"/>
    </row>
    <row r="922">
      <c r="D922" s="31"/>
    </row>
    <row r="923">
      <c r="D923" s="31"/>
    </row>
    <row r="924">
      <c r="D924" s="31"/>
    </row>
    <row r="925">
      <c r="D925" s="31"/>
    </row>
    <row r="926">
      <c r="D926" s="31"/>
    </row>
    <row r="927">
      <c r="D927" s="31"/>
    </row>
    <row r="928">
      <c r="D928" s="31"/>
    </row>
    <row r="929">
      <c r="D929" s="31"/>
    </row>
    <row r="930">
      <c r="D930" s="31"/>
    </row>
    <row r="931">
      <c r="D931" s="31"/>
    </row>
    <row r="932">
      <c r="D932" s="31"/>
    </row>
    <row r="933">
      <c r="D933" s="31"/>
    </row>
    <row r="934">
      <c r="D934" s="31"/>
    </row>
    <row r="935">
      <c r="D935" s="31"/>
    </row>
    <row r="936">
      <c r="D936" s="31"/>
    </row>
    <row r="937">
      <c r="D937" s="31"/>
    </row>
    <row r="938">
      <c r="D938" s="31"/>
    </row>
    <row r="939">
      <c r="D939" s="31"/>
    </row>
    <row r="940">
      <c r="D940" s="31"/>
    </row>
    <row r="941">
      <c r="D941" s="31"/>
    </row>
    <row r="942">
      <c r="D942" s="31"/>
    </row>
    <row r="943">
      <c r="D943" s="31"/>
    </row>
    <row r="944">
      <c r="D944" s="31"/>
    </row>
    <row r="945">
      <c r="D945" s="31"/>
    </row>
    <row r="946">
      <c r="D946" s="31"/>
    </row>
    <row r="947">
      <c r="D947" s="31"/>
    </row>
    <row r="948">
      <c r="D948" s="31"/>
    </row>
    <row r="949">
      <c r="D949" s="31"/>
    </row>
    <row r="950">
      <c r="D950" s="31"/>
    </row>
    <row r="951">
      <c r="D951" s="31"/>
    </row>
    <row r="952">
      <c r="D952" s="31"/>
    </row>
    <row r="953">
      <c r="D953" s="31"/>
    </row>
    <row r="954">
      <c r="D954" s="31"/>
    </row>
    <row r="955">
      <c r="D955" s="31"/>
    </row>
    <row r="956">
      <c r="D956" s="31"/>
    </row>
    <row r="957">
      <c r="D957" s="31"/>
    </row>
    <row r="958">
      <c r="D958" s="31"/>
    </row>
    <row r="959">
      <c r="D959" s="31"/>
    </row>
    <row r="960">
      <c r="D960" s="31"/>
    </row>
    <row r="961">
      <c r="D961" s="31"/>
    </row>
    <row r="962">
      <c r="D962" s="31"/>
    </row>
    <row r="963">
      <c r="D963" s="31"/>
    </row>
    <row r="964">
      <c r="D964" s="31"/>
    </row>
    <row r="965">
      <c r="D965" s="31"/>
    </row>
    <row r="966">
      <c r="D966" s="31"/>
    </row>
    <row r="967">
      <c r="D967" s="31"/>
    </row>
    <row r="968">
      <c r="D968" s="31"/>
    </row>
    <row r="969">
      <c r="D969" s="31"/>
    </row>
    <row r="970">
      <c r="D970" s="31"/>
    </row>
    <row r="971">
      <c r="D971" s="31"/>
    </row>
    <row r="972">
      <c r="D972" s="31"/>
    </row>
    <row r="973">
      <c r="D973" s="31"/>
    </row>
    <row r="974">
      <c r="D974" s="31"/>
    </row>
    <row r="975">
      <c r="D975" s="31"/>
    </row>
    <row r="976">
      <c r="D976" s="31"/>
    </row>
    <row r="977">
      <c r="D977" s="31"/>
    </row>
    <row r="978">
      <c r="D978" s="31"/>
    </row>
    <row r="979">
      <c r="D979" s="31"/>
    </row>
    <row r="980">
      <c r="D980" s="31"/>
    </row>
    <row r="981">
      <c r="D981" s="31"/>
    </row>
    <row r="982">
      <c r="D982" s="31"/>
    </row>
    <row r="983">
      <c r="D983" s="31"/>
    </row>
    <row r="984">
      <c r="D984" s="31"/>
    </row>
    <row r="985">
      <c r="D985" s="31"/>
    </row>
    <row r="986">
      <c r="D986" s="31"/>
    </row>
    <row r="987">
      <c r="D987" s="31"/>
    </row>
    <row r="988">
      <c r="D988" s="31"/>
    </row>
    <row r="989">
      <c r="D989" s="31"/>
    </row>
    <row r="990">
      <c r="D990" s="31"/>
    </row>
    <row r="991">
      <c r="D991" s="31"/>
    </row>
    <row r="992">
      <c r="D992" s="31"/>
    </row>
    <row r="993">
      <c r="D993" s="31"/>
    </row>
    <row r="994">
      <c r="D994" s="31"/>
    </row>
    <row r="995">
      <c r="D995" s="31"/>
    </row>
    <row r="996">
      <c r="D996" s="31"/>
    </row>
    <row r="997">
      <c r="D997" s="31"/>
    </row>
    <row r="998">
      <c r="D998" s="31"/>
    </row>
    <row r="999">
      <c r="D999" s="31"/>
    </row>
    <row r="1000">
      <c r="D1000" s="31"/>
    </row>
    <row r="1001">
      <c r="D1001" s="31"/>
    </row>
    <row r="1002">
      <c r="D1002" s="31"/>
    </row>
    <row r="1003">
      <c r="D1003" s="31"/>
    </row>
    <row r="1004">
      <c r="D1004" s="31"/>
    </row>
    <row r="1005">
      <c r="D1005" s="31"/>
    </row>
    <row r="1006">
      <c r="D1006" s="31"/>
    </row>
    <row r="1007">
      <c r="D1007" s="31"/>
    </row>
    <row r="1008">
      <c r="D1008" s="31"/>
    </row>
    <row r="1009">
      <c r="D1009" s="31"/>
    </row>
    <row r="1010">
      <c r="D1010" s="31"/>
    </row>
    <row r="1011">
      <c r="D1011" s="31"/>
    </row>
    <row r="1012">
      <c r="D1012" s="31"/>
    </row>
    <row r="1013">
      <c r="D1013" s="31"/>
    </row>
    <row r="1014">
      <c r="D1014" s="31"/>
    </row>
    <row r="1015">
      <c r="D1015" s="31"/>
    </row>
    <row r="1016">
      <c r="D1016" s="31"/>
    </row>
    <row r="1017">
      <c r="D1017" s="31"/>
    </row>
    <row r="1018">
      <c r="D1018" s="31"/>
    </row>
    <row r="1019">
      <c r="D1019" s="31"/>
    </row>
    <row r="1020">
      <c r="D1020" s="31"/>
    </row>
    <row r="1021">
      <c r="D1021" s="31"/>
    </row>
    <row r="1022">
      <c r="D1022" s="31"/>
    </row>
    <row r="1023">
      <c r="D1023" s="31"/>
    </row>
    <row r="1024">
      <c r="D1024" s="31"/>
    </row>
    <row r="1025">
      <c r="D1025" s="31"/>
    </row>
    <row r="1026">
      <c r="D1026" s="31"/>
    </row>
    <row r="1027">
      <c r="D1027" s="31"/>
    </row>
    <row r="1028">
      <c r="D1028" s="31"/>
    </row>
    <row r="1029">
      <c r="D1029" s="31"/>
    </row>
    <row r="1030">
      <c r="D1030" s="31"/>
    </row>
    <row r="1031">
      <c r="D1031" s="31"/>
    </row>
    <row r="1032">
      <c r="D1032" s="31"/>
    </row>
    <row r="1033">
      <c r="D1033" s="31"/>
    </row>
    <row r="1034">
      <c r="D1034" s="31"/>
    </row>
    <row r="1035">
      <c r="D1035" s="31"/>
    </row>
    <row r="1036">
      <c r="D1036" s="31"/>
    </row>
    <row r="1037">
      <c r="D1037" s="31"/>
    </row>
    <row r="1038">
      <c r="D1038" s="31"/>
    </row>
    <row r="1039">
      <c r="D1039" s="31"/>
    </row>
    <row r="1040">
      <c r="D1040" s="31"/>
    </row>
    <row r="1041">
      <c r="D1041" s="31"/>
    </row>
    <row r="1042">
      <c r="D1042" s="31"/>
    </row>
    <row r="1043">
      <c r="D1043" s="31"/>
    </row>
    <row r="1044">
      <c r="D1044" s="31"/>
    </row>
    <row r="1045">
      <c r="D1045" s="31"/>
    </row>
    <row r="1046">
      <c r="D1046" s="31"/>
    </row>
    <row r="1047">
      <c r="D1047" s="31"/>
    </row>
    <row r="1048">
      <c r="D1048" s="31"/>
    </row>
    <row r="1049">
      <c r="D1049" s="31"/>
    </row>
  </sheetData>
  <autoFilter ref="$B$1:$B$1049"/>
  <dataValidations>
    <dataValidation type="list" allowBlank="1" showErrorMessage="1" sqref="D1:D104 D106:D109 D111:D1049">
      <formula1>"Postobon,Colanta,TTB,Sulicor,Coopicredito,Pollo Andino,BROT"</formula1>
    </dataValidation>
    <dataValidation type="list" allowBlank="1" showErrorMessage="1" sqref="P1:P182">
      <formula1>"Pagos rechazados/no abonados/descontados,Problemas de plataforma,Errores o Fallas cuenta BOLD,Fallas QR,Solicitudes Certificados/Documentos,Errores tributarios,Errores en Tasa/Comison,Solicitud POP,Solicitud pieza grafica,Errores de facturacion,Queja,Otro"&amp;",Cuenta Bold,Ingreso a plataforma,Payout,Error en reportes,Error de seguridad,Datos - Internet - Conectividad"</formula1>
    </dataValidation>
    <dataValidation type="list" allowBlank="1" showErrorMessage="1" sqref="J87">
      <formula1>"TX rechazadas,TX duplicadas,Payouts no identificados,Facturación,Impuestos,Error ingreso App,Falla QR,Comisiones,Peticion,Cuenta Bold,Solicitudes a Producto,Error en reporteria,Suplantacionde comercios,Onboarding - Registro,Bloqueo ,Conectividad - Datos"</formula1>
    </dataValidation>
    <dataValidation type="list" allowBlank="1" showErrorMessage="1" sqref="A1:A182">
      <formula1>"Legal,MKT,CX,Tecnologia,Producto pagos,Producto cuenta,Logistica,RISK"</formula1>
    </dataValidation>
    <dataValidation type="list" allowBlank="1" showErrorMessage="1" sqref="B1:B26">
      <formula1>"C. Camilo Giraldo,C. Camilo Casas,Juan Camilo Salgado,Luis Corredor,Sergio Londoño,Jeyson Salazar"</formula1>
    </dataValidation>
    <dataValidation type="list" allowBlank="1" showErrorMessage="1" sqref="D105">
      <formula1>"Postobon,Colanta,TTB,Sulicor,Coopicredito,Pollo Andino,BROT"</formula1>
    </dataValidation>
    <dataValidation type="list" allowBlank="1" showErrorMessage="1" sqref="J105">
      <formula1>"TX rechazadas,TX duplicadas,Payouts no identificados,Facturación,Impuestos,Error ingreso App,Falla QR,Comisiones,Peticion,Cuenta Bold,Solicitudes a Producto,Error en reporteria,Suplantacionde comercios,Onboarding - Registro,Bloqueo ,Internet"</formula1>
    </dataValidation>
    <dataValidation type="list" allowBlank="1" showErrorMessage="1" sqref="O1:O182">
      <formula1>"Resuelto,Pendiente,Falta certificado"</formula1>
    </dataValidation>
    <dataValidation type="list" allowBlank="1" showErrorMessage="1" sqref="D110">
      <formula1>"Postobon,Colanta,TTB,Sulicor,Coopicredito,Pollo Andino,BROT"</formula1>
    </dataValidation>
    <dataValidation type="list" allowBlank="1" showErrorMessage="1" sqref="B27:B182">
      <formula1>"C. Camilo Giraldo,C. Camilo Casas,Juan Camilo Salgado,Luis Corredor,Sergio Londoño,Jeyson Salazar"</formula1>
    </dataValidation>
    <dataValidation type="list" allowBlank="1" showErrorMessage="1" sqref="J1:J86 J88:J104 J106:J181 J201">
      <formula1>"TX rechazadas,TX duplicadas,Payouts no identificados,Facturación,Impuestos,Error ingreso App,Falla QR,Comisiones,Peticion,Cuenta Bold,Solicitudes a Producto,Error en reporteria,Suplantacionde comercios,Onboarding - Registro,Bloqueo ,Datos / Internet"</formula1>
    </dataValidation>
  </dataValidations>
  <hyperlinks>
    <hyperlink r:id="rId1" ref="N46"/>
    <hyperlink r:id="rId2" ref="K79"/>
    <hyperlink r:id="rId3" ref="Q115"/>
    <hyperlink r:id="rId4" ref="R115"/>
    <hyperlink r:id="rId5" ref="Q116"/>
    <hyperlink r:id="rId6" ref="Q117"/>
    <hyperlink r:id="rId7" ref="Q118"/>
    <hyperlink r:id="rId8" ref="Q119"/>
    <hyperlink r:id="rId9" ref="Q120"/>
    <hyperlink r:id="rId10" ref="Q121"/>
    <hyperlink r:id="rId11" ref="Q122"/>
    <hyperlink r:id="rId12" ref="Q123"/>
    <hyperlink r:id="rId13" ref="Q124"/>
    <hyperlink r:id="rId14" ref="Q125"/>
    <hyperlink r:id="rId15" ref="Q126"/>
    <hyperlink r:id="rId16" ref="Q127"/>
    <hyperlink r:id="rId17" ref="Q128"/>
    <hyperlink r:id="rId18" ref="Q129"/>
    <hyperlink r:id="rId19" ref="Q130"/>
    <hyperlink r:id="rId20" ref="Q131"/>
    <hyperlink r:id="rId21" ref="Q132"/>
    <hyperlink r:id="rId22" ref="Q133"/>
    <hyperlink r:id="rId23" ref="Q134"/>
    <hyperlink r:id="rId24" ref="Q138"/>
    <hyperlink r:id="rId25" ref="Q139"/>
    <hyperlink r:id="rId26" ref="Q142"/>
    <hyperlink r:id="rId27" ref="Q144"/>
    <hyperlink r:id="rId28" ref="Q145"/>
    <hyperlink r:id="rId29" ref="R145"/>
    <hyperlink r:id="rId30" ref="Q146"/>
    <hyperlink r:id="rId31" ref="Q147"/>
    <hyperlink r:id="rId32" ref="Q148"/>
    <hyperlink r:id="rId33" ref="Q149"/>
    <hyperlink r:id="rId34" ref="Q150"/>
    <hyperlink r:id="rId35" ref="Q151"/>
    <hyperlink r:id="rId36" ref="Q152"/>
    <hyperlink r:id="rId37" ref="Q153"/>
    <hyperlink r:id="rId38" ref="Q154"/>
    <hyperlink r:id="rId39" ref="Q156"/>
    <hyperlink r:id="rId40" ref="Q157"/>
    <hyperlink r:id="rId41" ref="Q158"/>
    <hyperlink r:id="rId42" ref="Q159"/>
    <hyperlink r:id="rId43" ref="Q160"/>
    <hyperlink r:id="rId44" ref="Q161"/>
    <hyperlink r:id="rId45" ref="Q162"/>
  </hyperlinks>
  <drawing r:id="rId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3.88"/>
    <col customWidth="1" min="2" max="2" width="43.75"/>
    <col customWidth="1" min="3" max="3" width="20.5"/>
    <col customWidth="1" min="4" max="6" width="14.5"/>
    <col customWidth="1" min="7" max="7" width="16.38"/>
    <col customWidth="1" min="8" max="8" width="57.25"/>
    <col customWidth="1" min="9" max="9" width="17.5"/>
    <col customWidth="1" min="10" max="10" width="83.88"/>
    <col customWidth="1" min="11" max="11" width="24.0"/>
    <col customWidth="1" min="12" max="12" width="17.0"/>
    <col customWidth="1" min="13" max="13" width="40.0"/>
    <col customWidth="1" min="14" max="14" width="17.5"/>
  </cols>
  <sheetData>
    <row r="1">
      <c r="A1" s="41" t="s">
        <v>159</v>
      </c>
      <c r="B1" s="41" t="s">
        <v>162</v>
      </c>
      <c r="C1" s="42" t="s">
        <v>164</v>
      </c>
      <c r="D1" s="43" t="s">
        <v>166</v>
      </c>
      <c r="E1" s="43" t="s">
        <v>168</v>
      </c>
      <c r="F1" s="43" t="s">
        <v>169</v>
      </c>
      <c r="G1" s="43" t="s">
        <v>170</v>
      </c>
      <c r="H1" s="42" t="s">
        <v>171</v>
      </c>
      <c r="I1" s="42" t="s">
        <v>172</v>
      </c>
      <c r="J1" s="41" t="s">
        <v>173</v>
      </c>
      <c r="K1" s="42" t="s">
        <v>175</v>
      </c>
      <c r="L1" s="42" t="s">
        <v>177</v>
      </c>
      <c r="M1" s="41" t="s">
        <v>179</v>
      </c>
      <c r="N1" s="42" t="s">
        <v>180</v>
      </c>
      <c r="P1" s="42"/>
      <c r="Q1" s="44"/>
      <c r="R1" s="44"/>
      <c r="S1" s="44"/>
      <c r="T1" s="44"/>
      <c r="U1" s="44"/>
      <c r="V1" s="44"/>
      <c r="W1" s="44"/>
      <c r="X1" s="44"/>
      <c r="Y1" s="44"/>
      <c r="Z1" s="44"/>
      <c r="AA1" s="44"/>
      <c r="AB1" s="44"/>
      <c r="AC1" s="44"/>
      <c r="AD1" s="44"/>
      <c r="AE1" s="44"/>
      <c r="AF1" s="44"/>
      <c r="AG1" s="44"/>
      <c r="AH1" s="44"/>
    </row>
    <row r="2">
      <c r="A2" s="14" t="s">
        <v>43</v>
      </c>
      <c r="B2" s="46" t="s">
        <v>185</v>
      </c>
      <c r="C2" s="47" t="s">
        <v>45</v>
      </c>
      <c r="D2" s="48">
        <v>0.0</v>
      </c>
      <c r="E2" s="48" t="s">
        <v>40</v>
      </c>
      <c r="F2" s="48" t="s">
        <v>40</v>
      </c>
      <c r="G2" s="48" t="s">
        <v>193</v>
      </c>
      <c r="I2" s="49">
        <v>8.60001697E8</v>
      </c>
      <c r="J2" s="46" t="s">
        <v>195</v>
      </c>
      <c r="K2" s="46" t="s">
        <v>196</v>
      </c>
      <c r="L2" s="46">
        <v>3.113874244E9</v>
      </c>
      <c r="M2" s="46" t="s">
        <v>198</v>
      </c>
      <c r="N2" s="46" t="s">
        <v>201</v>
      </c>
    </row>
    <row r="3">
      <c r="A3" s="14" t="s">
        <v>43</v>
      </c>
      <c r="B3" s="46" t="s">
        <v>185</v>
      </c>
      <c r="C3" s="47" t="s">
        <v>73</v>
      </c>
      <c r="D3" s="48">
        <v>0.0</v>
      </c>
      <c r="E3" s="48" t="s">
        <v>40</v>
      </c>
      <c r="F3" s="48" t="s">
        <v>40</v>
      </c>
      <c r="G3" s="48" t="s">
        <v>193</v>
      </c>
      <c r="I3" s="49">
        <v>8.60001697E8</v>
      </c>
      <c r="J3" s="46" t="s">
        <v>202</v>
      </c>
      <c r="K3" s="46" t="s">
        <v>196</v>
      </c>
      <c r="L3" s="46">
        <v>3.113874244E9</v>
      </c>
      <c r="M3" s="46" t="s">
        <v>203</v>
      </c>
      <c r="N3" s="46" t="s">
        <v>201</v>
      </c>
    </row>
    <row r="4">
      <c r="A4" s="14" t="s">
        <v>43</v>
      </c>
      <c r="B4" s="46" t="s">
        <v>205</v>
      </c>
      <c r="C4" s="47" t="s">
        <v>129</v>
      </c>
      <c r="D4" s="48">
        <v>0.0</v>
      </c>
      <c r="E4" s="48" t="s">
        <v>40</v>
      </c>
      <c r="F4" s="48" t="s">
        <v>40</v>
      </c>
      <c r="G4" s="48" t="s">
        <v>193</v>
      </c>
      <c r="I4" s="49">
        <v>8.60001697E8</v>
      </c>
      <c r="J4" s="46" t="s">
        <v>206</v>
      </c>
      <c r="K4" s="46" t="s">
        <v>196</v>
      </c>
      <c r="L4" s="46">
        <v>3.113874244E9</v>
      </c>
      <c r="M4" s="46" t="s">
        <v>207</v>
      </c>
      <c r="N4" s="46" t="s">
        <v>201</v>
      </c>
    </row>
    <row r="5">
      <c r="A5" s="14" t="s">
        <v>43</v>
      </c>
      <c r="B5" s="46" t="s">
        <v>205</v>
      </c>
      <c r="C5" s="47" t="s">
        <v>212</v>
      </c>
      <c r="D5" s="48">
        <v>0.0</v>
      </c>
      <c r="E5" s="48" t="s">
        <v>40</v>
      </c>
      <c r="F5" s="48" t="s">
        <v>40</v>
      </c>
      <c r="G5" s="48" t="s">
        <v>193</v>
      </c>
      <c r="I5" s="49">
        <v>8.60001697E8</v>
      </c>
      <c r="J5" s="46" t="s">
        <v>214</v>
      </c>
      <c r="K5" s="46" t="s">
        <v>196</v>
      </c>
      <c r="L5" s="46">
        <v>3.113874244E9</v>
      </c>
      <c r="M5" s="46" t="s">
        <v>198</v>
      </c>
      <c r="N5" s="46" t="s">
        <v>201</v>
      </c>
    </row>
    <row r="6">
      <c r="A6" s="14" t="s">
        <v>43</v>
      </c>
      <c r="B6" s="46" t="s">
        <v>217</v>
      </c>
      <c r="C6" s="47" t="s">
        <v>218</v>
      </c>
      <c r="D6" s="48">
        <v>0.0</v>
      </c>
      <c r="E6" s="48" t="s">
        <v>40</v>
      </c>
      <c r="F6" s="48" t="s">
        <v>40</v>
      </c>
      <c r="G6" s="48" t="s">
        <v>193</v>
      </c>
      <c r="I6" s="52">
        <v>8.90903939E8</v>
      </c>
      <c r="J6" s="46" t="s">
        <v>220</v>
      </c>
      <c r="K6" s="46" t="s">
        <v>196</v>
      </c>
      <c r="L6" s="46">
        <v>3.113874244E9</v>
      </c>
      <c r="M6" s="46" t="s">
        <v>222</v>
      </c>
      <c r="N6" s="46" t="s">
        <v>201</v>
      </c>
    </row>
    <row r="7">
      <c r="A7" s="14" t="s">
        <v>43</v>
      </c>
      <c r="B7" s="46" t="s">
        <v>217</v>
      </c>
      <c r="C7" s="47" t="s">
        <v>223</v>
      </c>
      <c r="D7" s="48">
        <v>0.0</v>
      </c>
      <c r="E7" s="48" t="s">
        <v>40</v>
      </c>
      <c r="F7" s="48" t="s">
        <v>40</v>
      </c>
      <c r="G7" s="48" t="s">
        <v>193</v>
      </c>
      <c r="I7" s="52">
        <v>8.90903939E8</v>
      </c>
      <c r="J7" s="46" t="s">
        <v>227</v>
      </c>
      <c r="K7" s="46" t="s">
        <v>196</v>
      </c>
      <c r="L7" s="46">
        <v>3.113874244E9</v>
      </c>
      <c r="M7" s="46" t="s">
        <v>228</v>
      </c>
      <c r="N7" s="46" t="s">
        <v>201</v>
      </c>
    </row>
    <row r="8">
      <c r="A8" s="14" t="s">
        <v>43</v>
      </c>
      <c r="B8" s="46" t="s">
        <v>217</v>
      </c>
      <c r="C8" s="47" t="s">
        <v>230</v>
      </c>
      <c r="D8" s="48">
        <v>0.0</v>
      </c>
      <c r="E8" s="48" t="s">
        <v>40</v>
      </c>
      <c r="F8" s="48" t="s">
        <v>40</v>
      </c>
      <c r="G8" s="48" t="s">
        <v>193</v>
      </c>
      <c r="H8" s="14" t="s">
        <v>231</v>
      </c>
      <c r="I8" s="52">
        <v>8.90903939E8</v>
      </c>
      <c r="J8" s="46" t="s">
        <v>232</v>
      </c>
      <c r="K8" s="46" t="s">
        <v>196</v>
      </c>
      <c r="L8" s="46">
        <v>3.113874244E9</v>
      </c>
      <c r="M8" s="46" t="s">
        <v>233</v>
      </c>
      <c r="N8" s="46" t="s">
        <v>201</v>
      </c>
    </row>
    <row r="9">
      <c r="A9" s="14" t="s">
        <v>43</v>
      </c>
      <c r="B9" s="56" t="s">
        <v>217</v>
      </c>
      <c r="C9" s="47" t="s">
        <v>155</v>
      </c>
      <c r="D9" s="48">
        <v>0.0</v>
      </c>
      <c r="E9" s="48" t="s">
        <v>40</v>
      </c>
      <c r="F9" s="48" t="s">
        <v>40</v>
      </c>
      <c r="G9" s="48" t="s">
        <v>193</v>
      </c>
      <c r="I9" s="52">
        <v>8.90903939E8</v>
      </c>
      <c r="J9" s="46" t="s">
        <v>234</v>
      </c>
      <c r="K9" s="46" t="s">
        <v>196</v>
      </c>
      <c r="L9" s="46">
        <v>3.113874244E9</v>
      </c>
      <c r="M9" s="46" t="s">
        <v>235</v>
      </c>
      <c r="N9" s="46" t="s">
        <v>201</v>
      </c>
    </row>
    <row r="10">
      <c r="A10" s="14" t="s">
        <v>43</v>
      </c>
      <c r="B10" s="56" t="s">
        <v>217</v>
      </c>
      <c r="C10" s="47" t="s">
        <v>236</v>
      </c>
      <c r="D10" s="48">
        <v>0.0</v>
      </c>
      <c r="E10" s="48" t="s">
        <v>40</v>
      </c>
      <c r="F10" s="48" t="s">
        <v>40</v>
      </c>
      <c r="G10" s="48" t="s">
        <v>193</v>
      </c>
      <c r="I10" s="52">
        <v>8.90903939E8</v>
      </c>
      <c r="J10" s="46" t="s">
        <v>237</v>
      </c>
      <c r="K10" s="46" t="s">
        <v>196</v>
      </c>
      <c r="L10" s="46">
        <v>3.113874244E9</v>
      </c>
      <c r="M10" s="46" t="s">
        <v>239</v>
      </c>
      <c r="N10" s="46" t="s">
        <v>201</v>
      </c>
    </row>
    <row r="11">
      <c r="A11" s="14" t="s">
        <v>43</v>
      </c>
      <c r="B11" s="60" t="s">
        <v>217</v>
      </c>
      <c r="C11" s="47" t="s">
        <v>148</v>
      </c>
      <c r="D11" s="48">
        <v>0.0</v>
      </c>
      <c r="E11" s="48" t="s">
        <v>40</v>
      </c>
      <c r="F11" s="48" t="s">
        <v>40</v>
      </c>
      <c r="G11" s="48" t="s">
        <v>193</v>
      </c>
      <c r="I11" s="64">
        <v>8.60001697E8</v>
      </c>
      <c r="J11" s="46" t="s">
        <v>243</v>
      </c>
      <c r="K11" s="46" t="s">
        <v>196</v>
      </c>
      <c r="L11" s="46">
        <v>3.113874244E9</v>
      </c>
      <c r="M11" s="46" t="s">
        <v>244</v>
      </c>
      <c r="N11" s="46" t="s">
        <v>201</v>
      </c>
    </row>
    <row r="12">
      <c r="A12" s="14" t="s">
        <v>43</v>
      </c>
      <c r="B12" s="60" t="s">
        <v>217</v>
      </c>
      <c r="C12" s="47" t="s">
        <v>143</v>
      </c>
      <c r="D12" s="48">
        <v>0.0</v>
      </c>
      <c r="E12" s="48" t="s">
        <v>40</v>
      </c>
      <c r="F12" s="48" t="s">
        <v>40</v>
      </c>
      <c r="G12" s="48" t="s">
        <v>193</v>
      </c>
      <c r="I12" s="52">
        <v>8.90903939E8</v>
      </c>
      <c r="J12" s="46" t="s">
        <v>246</v>
      </c>
      <c r="K12" s="46" t="s">
        <v>196</v>
      </c>
      <c r="L12" s="46">
        <v>3.113874244E9</v>
      </c>
      <c r="M12" s="46" t="s">
        <v>249</v>
      </c>
      <c r="N12" s="46" t="s">
        <v>201</v>
      </c>
    </row>
    <row r="13">
      <c r="A13" s="14" t="s">
        <v>43</v>
      </c>
      <c r="B13" s="46" t="s">
        <v>217</v>
      </c>
      <c r="C13" s="47" t="s">
        <v>250</v>
      </c>
      <c r="D13" s="48">
        <v>0.0</v>
      </c>
      <c r="E13" s="48" t="s">
        <v>40</v>
      </c>
      <c r="F13" s="48" t="s">
        <v>40</v>
      </c>
      <c r="G13" s="48" t="s">
        <v>193</v>
      </c>
      <c r="I13" s="52">
        <v>8.90903939E8</v>
      </c>
      <c r="J13" s="46" t="s">
        <v>251</v>
      </c>
      <c r="K13" s="46" t="s">
        <v>196</v>
      </c>
      <c r="L13" s="46">
        <v>3.113874244E9</v>
      </c>
      <c r="M13" s="46" t="s">
        <v>252</v>
      </c>
      <c r="N13" s="46" t="s">
        <v>201</v>
      </c>
    </row>
    <row r="14">
      <c r="A14" s="14" t="s">
        <v>43</v>
      </c>
      <c r="B14" s="46" t="s">
        <v>185</v>
      </c>
      <c r="C14" s="47" t="s">
        <v>253</v>
      </c>
      <c r="D14" s="48">
        <v>0.0</v>
      </c>
      <c r="E14" s="48" t="s">
        <v>40</v>
      </c>
      <c r="F14" s="48" t="s">
        <v>40</v>
      </c>
      <c r="G14" s="48" t="s">
        <v>193</v>
      </c>
      <c r="I14" s="64">
        <v>8.60001697E8</v>
      </c>
      <c r="J14" s="46" t="s">
        <v>254</v>
      </c>
      <c r="K14" s="46" t="s">
        <v>196</v>
      </c>
      <c r="L14" s="46">
        <v>3.113874244E9</v>
      </c>
      <c r="M14" s="46" t="s">
        <v>257</v>
      </c>
      <c r="N14" s="46" t="s">
        <v>201</v>
      </c>
    </row>
    <row r="15">
      <c r="A15" s="14" t="s">
        <v>43</v>
      </c>
      <c r="B15" s="46" t="s">
        <v>185</v>
      </c>
      <c r="C15" s="47" t="s">
        <v>258</v>
      </c>
      <c r="D15" s="48">
        <v>0.0</v>
      </c>
      <c r="E15" s="48" t="s">
        <v>40</v>
      </c>
      <c r="F15" s="48" t="s">
        <v>40</v>
      </c>
      <c r="G15" s="48" t="s">
        <v>193</v>
      </c>
      <c r="I15" s="64">
        <v>8.60001697E8</v>
      </c>
      <c r="J15" s="46" t="s">
        <v>261</v>
      </c>
      <c r="K15" s="46" t="s">
        <v>196</v>
      </c>
      <c r="L15" s="46">
        <v>3.113874244E9</v>
      </c>
      <c r="M15" s="46" t="s">
        <v>262</v>
      </c>
      <c r="N15" s="46" t="s">
        <v>201</v>
      </c>
    </row>
    <row r="16">
      <c r="A16" s="14" t="s">
        <v>43</v>
      </c>
      <c r="B16" s="46" t="s">
        <v>185</v>
      </c>
      <c r="C16" s="47" t="s">
        <v>264</v>
      </c>
      <c r="D16" s="48">
        <v>0.0</v>
      </c>
      <c r="E16" s="48" t="s">
        <v>40</v>
      </c>
      <c r="F16" s="48" t="s">
        <v>40</v>
      </c>
      <c r="G16" s="48" t="s">
        <v>193</v>
      </c>
      <c r="I16" s="64">
        <v>8.60001697E8</v>
      </c>
      <c r="J16" s="46" t="s">
        <v>266</v>
      </c>
      <c r="K16" s="46" t="s">
        <v>196</v>
      </c>
      <c r="L16" s="46">
        <v>3.113874244E9</v>
      </c>
      <c r="M16" s="46" t="s">
        <v>267</v>
      </c>
      <c r="N16" s="46" t="s">
        <v>201</v>
      </c>
    </row>
    <row r="17">
      <c r="A17" s="14" t="s">
        <v>43</v>
      </c>
      <c r="B17" s="46" t="s">
        <v>185</v>
      </c>
      <c r="C17" s="47" t="s">
        <v>270</v>
      </c>
      <c r="D17" s="48">
        <v>0.0</v>
      </c>
      <c r="E17" s="48" t="s">
        <v>40</v>
      </c>
      <c r="F17" s="48" t="s">
        <v>40</v>
      </c>
      <c r="G17" s="48" t="s">
        <v>193</v>
      </c>
      <c r="I17" s="64">
        <v>8.60001697E8</v>
      </c>
      <c r="J17" s="46" t="s">
        <v>271</v>
      </c>
      <c r="K17" s="46" t="s">
        <v>196</v>
      </c>
      <c r="L17" s="46">
        <v>3.113874244E9</v>
      </c>
      <c r="M17" s="46"/>
      <c r="N17" s="46" t="s">
        <v>201</v>
      </c>
    </row>
    <row r="18">
      <c r="A18" s="14" t="s">
        <v>43</v>
      </c>
      <c r="B18" s="46" t="s">
        <v>217</v>
      </c>
      <c r="C18" s="47" t="s">
        <v>272</v>
      </c>
      <c r="D18" s="48">
        <v>0.0</v>
      </c>
      <c r="E18" s="48" t="s">
        <v>40</v>
      </c>
      <c r="F18" s="48" t="s">
        <v>40</v>
      </c>
      <c r="G18" s="48" t="s">
        <v>193</v>
      </c>
      <c r="I18" s="52">
        <v>8.90903939E8</v>
      </c>
      <c r="J18" s="46" t="s">
        <v>273</v>
      </c>
      <c r="K18" s="46" t="s">
        <v>196</v>
      </c>
      <c r="L18" s="46">
        <v>3.113874244E9</v>
      </c>
      <c r="M18" s="46"/>
      <c r="N18" s="46" t="s">
        <v>201</v>
      </c>
    </row>
    <row r="19">
      <c r="A19" s="14" t="s">
        <v>43</v>
      </c>
      <c r="B19" s="46" t="s">
        <v>185</v>
      </c>
      <c r="C19" s="47" t="s">
        <v>276</v>
      </c>
      <c r="D19" s="48">
        <v>0.0</v>
      </c>
      <c r="E19" s="48" t="s">
        <v>40</v>
      </c>
      <c r="F19" s="48" t="s">
        <v>40</v>
      </c>
      <c r="G19" s="48" t="s">
        <v>193</v>
      </c>
      <c r="I19" s="64">
        <v>8.60001697E8</v>
      </c>
      <c r="J19" s="46" t="s">
        <v>277</v>
      </c>
      <c r="K19" s="46" t="s">
        <v>196</v>
      </c>
      <c r="L19" s="46">
        <v>3.113874244E9</v>
      </c>
      <c r="M19" s="46"/>
      <c r="N19" s="46" t="s">
        <v>201</v>
      </c>
    </row>
    <row r="20">
      <c r="A20" s="14" t="s">
        <v>43</v>
      </c>
      <c r="B20" s="46" t="s">
        <v>185</v>
      </c>
      <c r="C20" s="47" t="s">
        <v>280</v>
      </c>
      <c r="D20" s="48">
        <v>0.0</v>
      </c>
      <c r="E20" s="48" t="s">
        <v>40</v>
      </c>
      <c r="F20" s="48" t="s">
        <v>40</v>
      </c>
      <c r="G20" s="48" t="s">
        <v>193</v>
      </c>
      <c r="I20" s="64">
        <v>8.60001697E8</v>
      </c>
      <c r="J20" s="46" t="s">
        <v>281</v>
      </c>
      <c r="K20" s="46" t="s">
        <v>196</v>
      </c>
      <c r="L20" s="46">
        <v>3.113874244E9</v>
      </c>
      <c r="M20" s="46"/>
      <c r="N20" s="46" t="s">
        <v>201</v>
      </c>
    </row>
    <row r="21">
      <c r="A21" s="14" t="s">
        <v>43</v>
      </c>
      <c r="B21" s="46" t="s">
        <v>185</v>
      </c>
      <c r="C21" s="47" t="s">
        <v>283</v>
      </c>
      <c r="D21" s="48">
        <v>0.0</v>
      </c>
      <c r="E21" s="48" t="s">
        <v>40</v>
      </c>
      <c r="F21" s="48" t="s">
        <v>40</v>
      </c>
      <c r="G21" s="48" t="s">
        <v>193</v>
      </c>
      <c r="I21" s="64">
        <v>8.60001697E8</v>
      </c>
      <c r="J21" s="46" t="s">
        <v>286</v>
      </c>
      <c r="K21" s="46" t="s">
        <v>196</v>
      </c>
      <c r="L21" s="46">
        <v>3.113874244E9</v>
      </c>
      <c r="M21" s="46"/>
      <c r="N21" s="46" t="s">
        <v>201</v>
      </c>
    </row>
    <row r="22">
      <c r="A22" s="14" t="s">
        <v>43</v>
      </c>
      <c r="B22" s="46" t="s">
        <v>185</v>
      </c>
      <c r="C22" s="47" t="s">
        <v>287</v>
      </c>
      <c r="D22" s="48">
        <v>0.0</v>
      </c>
      <c r="E22" s="48" t="s">
        <v>40</v>
      </c>
      <c r="F22" s="48" t="s">
        <v>40</v>
      </c>
      <c r="G22" s="48" t="s">
        <v>193</v>
      </c>
      <c r="I22" s="64">
        <v>8.60001697E8</v>
      </c>
      <c r="J22" s="46" t="s">
        <v>290</v>
      </c>
      <c r="K22" s="46" t="s">
        <v>196</v>
      </c>
      <c r="L22" s="46">
        <v>3.113874244E9</v>
      </c>
      <c r="M22" s="46"/>
      <c r="N22" s="46" t="s">
        <v>201</v>
      </c>
    </row>
    <row r="23">
      <c r="A23" s="14" t="s">
        <v>43</v>
      </c>
      <c r="B23" s="46" t="s">
        <v>217</v>
      </c>
      <c r="C23" s="80" t="s">
        <v>292</v>
      </c>
      <c r="D23" s="48">
        <v>0.0</v>
      </c>
      <c r="E23" s="48" t="s">
        <v>40</v>
      </c>
      <c r="F23" s="48" t="s">
        <v>40</v>
      </c>
      <c r="G23" s="48" t="s">
        <v>193</v>
      </c>
      <c r="I23" s="52">
        <v>8.90903939E8</v>
      </c>
      <c r="J23" s="46" t="s">
        <v>295</v>
      </c>
      <c r="K23" s="46" t="s">
        <v>196</v>
      </c>
      <c r="L23" s="46">
        <v>3.113874244E9</v>
      </c>
      <c r="M23" s="46"/>
      <c r="N23" s="46" t="s">
        <v>201</v>
      </c>
    </row>
    <row r="24">
      <c r="A24" s="14" t="s">
        <v>43</v>
      </c>
      <c r="B24" s="46" t="s">
        <v>299</v>
      </c>
      <c r="C24" s="80" t="s">
        <v>301</v>
      </c>
      <c r="D24" s="48">
        <v>0.0</v>
      </c>
      <c r="E24" s="14" t="s">
        <v>302</v>
      </c>
      <c r="F24" s="15" t="s">
        <v>40</v>
      </c>
      <c r="G24" s="48" t="s">
        <v>193</v>
      </c>
      <c r="H24" s="14" t="s">
        <v>303</v>
      </c>
      <c r="I24" s="82">
        <v>9.02077218E8</v>
      </c>
      <c r="J24" s="46" t="s">
        <v>305</v>
      </c>
      <c r="K24" s="46" t="s">
        <v>306</v>
      </c>
      <c r="L24" s="46" t="s">
        <v>307</v>
      </c>
      <c r="M24" s="46"/>
      <c r="N24" s="14" t="s">
        <v>308</v>
      </c>
    </row>
    <row r="25">
      <c r="A25" s="31"/>
      <c r="E25" s="31"/>
      <c r="F25" s="31"/>
      <c r="N25" s="31"/>
    </row>
    <row r="26">
      <c r="A26" s="31"/>
      <c r="E26" s="31"/>
      <c r="F26" s="31"/>
      <c r="N26" s="31"/>
    </row>
    <row r="27">
      <c r="A27" s="14" t="s">
        <v>312</v>
      </c>
      <c r="B27" s="14" t="s">
        <v>313</v>
      </c>
      <c r="C27" s="84" t="s">
        <v>314</v>
      </c>
      <c r="D27" s="48">
        <v>0.0</v>
      </c>
      <c r="E27" s="14" t="s">
        <v>302</v>
      </c>
      <c r="F27" s="14" t="s">
        <v>40</v>
      </c>
      <c r="J27" s="14" t="s">
        <v>321</v>
      </c>
      <c r="K27" s="86" t="s">
        <v>322</v>
      </c>
      <c r="L27" s="14">
        <v>3.245298322E9</v>
      </c>
      <c r="M27" s="87" t="s">
        <v>323</v>
      </c>
      <c r="N27" s="14" t="s">
        <v>201</v>
      </c>
    </row>
    <row r="28">
      <c r="A28" s="14" t="s">
        <v>312</v>
      </c>
      <c r="B28" s="14" t="s">
        <v>312</v>
      </c>
      <c r="C28" s="84" t="s">
        <v>325</v>
      </c>
      <c r="D28" s="48">
        <v>0.0</v>
      </c>
      <c r="E28" s="14" t="s">
        <v>40</v>
      </c>
      <c r="F28" s="48" t="s">
        <v>40</v>
      </c>
      <c r="J28" s="14" t="s">
        <v>326</v>
      </c>
      <c r="K28" s="86" t="s">
        <v>327</v>
      </c>
      <c r="L28" s="14">
        <v>3.245298322E9</v>
      </c>
      <c r="M28" s="89" t="s">
        <v>330</v>
      </c>
      <c r="N28" s="14" t="s">
        <v>201</v>
      </c>
    </row>
    <row r="29">
      <c r="A29" s="14" t="s">
        <v>312</v>
      </c>
      <c r="B29" s="14" t="s">
        <v>312</v>
      </c>
      <c r="C29" s="84" t="s">
        <v>331</v>
      </c>
      <c r="D29" s="48">
        <v>0.0</v>
      </c>
      <c r="E29" s="14" t="s">
        <v>40</v>
      </c>
      <c r="F29" s="48" t="s">
        <v>40</v>
      </c>
      <c r="G29" s="14"/>
      <c r="J29" s="14" t="s">
        <v>334</v>
      </c>
      <c r="K29" s="86" t="s">
        <v>336</v>
      </c>
      <c r="L29" s="14">
        <v>3.245298322E9</v>
      </c>
      <c r="M29" s="87" t="s">
        <v>337</v>
      </c>
      <c r="N29" s="14" t="s">
        <v>338</v>
      </c>
    </row>
    <row r="30">
      <c r="A30" s="14" t="s">
        <v>312</v>
      </c>
      <c r="B30" s="14" t="s">
        <v>340</v>
      </c>
      <c r="C30" s="84" t="s">
        <v>341</v>
      </c>
      <c r="D30" s="48">
        <v>0.0</v>
      </c>
      <c r="E30" s="14" t="s">
        <v>40</v>
      </c>
      <c r="F30" s="48" t="s">
        <v>40</v>
      </c>
      <c r="J30" s="14" t="s">
        <v>343</v>
      </c>
      <c r="K30" s="86" t="s">
        <v>344</v>
      </c>
      <c r="L30" s="14">
        <v>3.245298322E9</v>
      </c>
      <c r="M30" s="87" t="s">
        <v>345</v>
      </c>
      <c r="N30" s="14" t="s">
        <v>338</v>
      </c>
    </row>
    <row r="31">
      <c r="A31" s="14" t="s">
        <v>312</v>
      </c>
      <c r="B31" s="14" t="s">
        <v>347</v>
      </c>
      <c r="C31" s="84" t="s">
        <v>184</v>
      </c>
      <c r="D31" s="48">
        <v>0.0</v>
      </c>
      <c r="E31" s="14" t="s">
        <v>40</v>
      </c>
      <c r="F31" s="48" t="s">
        <v>40</v>
      </c>
      <c r="J31" s="14" t="s">
        <v>348</v>
      </c>
      <c r="K31" s="86" t="s">
        <v>349</v>
      </c>
      <c r="L31" s="14">
        <v>3.245298322E9</v>
      </c>
      <c r="M31" s="87" t="s">
        <v>345</v>
      </c>
      <c r="N31" s="14" t="s">
        <v>201</v>
      </c>
    </row>
    <row r="32">
      <c r="A32" s="31"/>
      <c r="E32" s="31"/>
      <c r="F32" s="31"/>
      <c r="N32" s="31"/>
    </row>
    <row r="33">
      <c r="A33" s="91" t="s">
        <v>352</v>
      </c>
      <c r="B33" s="14" t="s">
        <v>352</v>
      </c>
      <c r="C33" s="14" t="s">
        <v>353</v>
      </c>
      <c r="D33" s="14" t="s">
        <v>354</v>
      </c>
      <c r="E33" s="14" t="s">
        <v>40</v>
      </c>
      <c r="F33" s="14" t="s">
        <v>40</v>
      </c>
      <c r="J33" s="14" t="s">
        <v>355</v>
      </c>
      <c r="K33" s="86" t="s">
        <v>356</v>
      </c>
      <c r="L33" s="14">
        <v>3.226013052E9</v>
      </c>
      <c r="M33" s="87" t="s">
        <v>358</v>
      </c>
      <c r="N33" s="14" t="s">
        <v>360</v>
      </c>
    </row>
    <row r="34">
      <c r="A34" s="91" t="s">
        <v>352</v>
      </c>
      <c r="B34" s="14" t="s">
        <v>352</v>
      </c>
      <c r="C34" s="14" t="s">
        <v>353</v>
      </c>
      <c r="E34" s="31"/>
      <c r="F34" s="31"/>
      <c r="J34" s="14" t="s">
        <v>355</v>
      </c>
      <c r="K34" s="86" t="s">
        <v>361</v>
      </c>
      <c r="L34" s="14">
        <v>3.042147377E9</v>
      </c>
      <c r="M34" s="87" t="s">
        <v>358</v>
      </c>
      <c r="N34" s="14" t="s">
        <v>360</v>
      </c>
    </row>
    <row r="35">
      <c r="A35" s="31"/>
      <c r="C35" s="15"/>
      <c r="E35" s="31"/>
      <c r="F35" s="31"/>
      <c r="J35" s="14" t="s">
        <v>355</v>
      </c>
      <c r="K35" s="86" t="s">
        <v>362</v>
      </c>
      <c r="L35" s="14">
        <v>3.152090217E9</v>
      </c>
      <c r="M35" s="87" t="s">
        <v>358</v>
      </c>
      <c r="N35" s="14" t="s">
        <v>360</v>
      </c>
    </row>
    <row r="36">
      <c r="A36" s="31"/>
      <c r="C36" s="15"/>
      <c r="E36" s="31"/>
      <c r="F36" s="31"/>
      <c r="J36" s="14" t="s">
        <v>363</v>
      </c>
      <c r="K36" s="86" t="s">
        <v>364</v>
      </c>
      <c r="L36" s="14">
        <v>3.1788336E9</v>
      </c>
      <c r="M36" s="87" t="s">
        <v>358</v>
      </c>
      <c r="N36" s="14" t="s">
        <v>360</v>
      </c>
    </row>
    <row r="37">
      <c r="A37" s="31"/>
      <c r="E37" s="31"/>
      <c r="F37" s="31"/>
      <c r="N37" s="31"/>
    </row>
    <row r="38">
      <c r="A38" s="91" t="s">
        <v>366</v>
      </c>
      <c r="B38" s="14" t="s">
        <v>367</v>
      </c>
      <c r="C38" s="95" t="s">
        <v>368</v>
      </c>
      <c r="D38" s="14" t="s">
        <v>369</v>
      </c>
      <c r="E38" s="14" t="s">
        <v>302</v>
      </c>
      <c r="F38" s="14" t="s">
        <v>40</v>
      </c>
      <c r="H38" s="14" t="s">
        <v>371</v>
      </c>
      <c r="N38" s="31"/>
    </row>
    <row r="39">
      <c r="A39" s="91" t="s">
        <v>366</v>
      </c>
      <c r="B39" s="14" t="s">
        <v>367</v>
      </c>
      <c r="C39" s="95" t="s">
        <v>373</v>
      </c>
      <c r="D39" s="14" t="s">
        <v>369</v>
      </c>
      <c r="E39" s="14" t="s">
        <v>302</v>
      </c>
      <c r="F39" s="14" t="s">
        <v>40</v>
      </c>
      <c r="H39" s="14" t="s">
        <v>371</v>
      </c>
      <c r="N39" s="14" t="s">
        <v>360</v>
      </c>
    </row>
    <row r="40">
      <c r="A40" s="91" t="s">
        <v>366</v>
      </c>
      <c r="B40" s="14" t="s">
        <v>367</v>
      </c>
      <c r="C40" s="95" t="s">
        <v>374</v>
      </c>
      <c r="D40" s="14" t="s">
        <v>369</v>
      </c>
      <c r="E40" s="14" t="s">
        <v>302</v>
      </c>
      <c r="F40" s="14" t="s">
        <v>40</v>
      </c>
      <c r="H40" s="14" t="s">
        <v>375</v>
      </c>
      <c r="N40" s="14" t="s">
        <v>360</v>
      </c>
    </row>
    <row r="41">
      <c r="A41" s="91" t="s">
        <v>366</v>
      </c>
      <c r="B41" s="14" t="s">
        <v>367</v>
      </c>
      <c r="C41" s="95" t="s">
        <v>377</v>
      </c>
      <c r="D41" s="14" t="s">
        <v>369</v>
      </c>
      <c r="E41" s="14" t="s">
        <v>302</v>
      </c>
      <c r="F41" s="14" t="s">
        <v>40</v>
      </c>
      <c r="H41" s="14" t="s">
        <v>379</v>
      </c>
      <c r="N41" s="14" t="s">
        <v>360</v>
      </c>
    </row>
    <row r="42">
      <c r="A42" s="91" t="s">
        <v>366</v>
      </c>
      <c r="B42" s="14" t="s">
        <v>367</v>
      </c>
      <c r="C42" s="95" t="s">
        <v>380</v>
      </c>
      <c r="D42" s="14" t="s">
        <v>369</v>
      </c>
      <c r="E42" s="14" t="s">
        <v>302</v>
      </c>
      <c r="F42" s="14" t="s">
        <v>40</v>
      </c>
      <c r="H42" s="14" t="s">
        <v>382</v>
      </c>
      <c r="N42" s="14" t="s">
        <v>360</v>
      </c>
    </row>
    <row r="43">
      <c r="A43" s="91" t="s">
        <v>366</v>
      </c>
      <c r="B43" s="14" t="s">
        <v>367</v>
      </c>
      <c r="C43" s="95" t="s">
        <v>383</v>
      </c>
      <c r="D43" s="14" t="s">
        <v>369</v>
      </c>
      <c r="E43" s="14" t="s">
        <v>302</v>
      </c>
      <c r="F43" s="14" t="s">
        <v>40</v>
      </c>
      <c r="H43" s="14" t="s">
        <v>384</v>
      </c>
      <c r="N43" s="31"/>
    </row>
    <row r="44">
      <c r="A44" s="91" t="s">
        <v>366</v>
      </c>
      <c r="B44" s="14" t="s">
        <v>367</v>
      </c>
      <c r="C44" s="14" t="s">
        <v>387</v>
      </c>
      <c r="D44" s="14" t="s">
        <v>369</v>
      </c>
      <c r="E44" s="14" t="s">
        <v>302</v>
      </c>
      <c r="F44" s="14" t="s">
        <v>40</v>
      </c>
      <c r="H44" s="14" t="s">
        <v>388</v>
      </c>
      <c r="N44" s="31"/>
    </row>
    <row r="45">
      <c r="A45" s="91" t="s">
        <v>366</v>
      </c>
      <c r="B45" s="14" t="s">
        <v>367</v>
      </c>
      <c r="C45" s="14" t="s">
        <v>389</v>
      </c>
      <c r="D45" s="14" t="s">
        <v>369</v>
      </c>
      <c r="E45" s="14" t="s">
        <v>302</v>
      </c>
      <c r="F45" s="14" t="s">
        <v>40</v>
      </c>
      <c r="H45" s="14" t="s">
        <v>390</v>
      </c>
      <c r="N45" s="14" t="s">
        <v>360</v>
      </c>
    </row>
    <row r="46">
      <c r="A46" s="91" t="s">
        <v>366</v>
      </c>
      <c r="B46" s="14" t="s">
        <v>367</v>
      </c>
      <c r="C46" s="14" t="s">
        <v>392</v>
      </c>
      <c r="D46" s="14" t="s">
        <v>369</v>
      </c>
      <c r="E46" s="14" t="s">
        <v>302</v>
      </c>
      <c r="F46" s="14" t="s">
        <v>40</v>
      </c>
      <c r="H46" s="14" t="s">
        <v>395</v>
      </c>
      <c r="N46" s="14" t="s">
        <v>360</v>
      </c>
    </row>
    <row r="47">
      <c r="A47" s="31"/>
      <c r="E47" s="31" t="b">
        <v>0</v>
      </c>
      <c r="F47" s="31" t="b">
        <v>0</v>
      </c>
      <c r="N47" s="31"/>
    </row>
    <row r="48">
      <c r="B48" s="14" t="s">
        <v>396</v>
      </c>
      <c r="C48" s="14" t="s">
        <v>397</v>
      </c>
      <c r="D48" s="14" t="s">
        <v>369</v>
      </c>
      <c r="E48" s="14" t="s">
        <v>302</v>
      </c>
      <c r="F48" s="14" t="s">
        <v>133</v>
      </c>
      <c r="N48" s="31"/>
    </row>
    <row r="49">
      <c r="A49" s="31"/>
      <c r="B49" s="14" t="s">
        <v>400</v>
      </c>
      <c r="C49" s="14" t="s">
        <v>401</v>
      </c>
      <c r="D49" s="14" t="s">
        <v>369</v>
      </c>
      <c r="E49" s="14" t="s">
        <v>302</v>
      </c>
      <c r="F49" s="14" t="s">
        <v>133</v>
      </c>
    </row>
    <row r="50">
      <c r="A50" s="31"/>
      <c r="E50" s="31"/>
      <c r="F50" s="31"/>
    </row>
    <row r="51">
      <c r="A51" s="31"/>
      <c r="E51" s="31"/>
      <c r="F51" s="31"/>
    </row>
    <row r="52">
      <c r="A52" s="31"/>
      <c r="E52" s="31"/>
      <c r="F52" s="31"/>
    </row>
    <row r="53">
      <c r="A53" s="31"/>
      <c r="E53" s="31"/>
      <c r="F53" s="31"/>
    </row>
    <row r="54">
      <c r="A54" s="31"/>
      <c r="E54" s="31"/>
      <c r="F54" s="31"/>
    </row>
    <row r="55">
      <c r="A55" s="31"/>
      <c r="E55" s="31"/>
      <c r="F55" s="31"/>
    </row>
    <row r="56">
      <c r="A56" s="31"/>
      <c r="E56" s="31"/>
      <c r="F56" s="31"/>
    </row>
    <row r="57">
      <c r="A57" s="31"/>
      <c r="E57" s="31"/>
      <c r="F57" s="31"/>
    </row>
    <row r="58">
      <c r="A58" s="31"/>
      <c r="E58" s="31"/>
      <c r="F58" s="31"/>
    </row>
    <row r="59">
      <c r="A59" s="31"/>
      <c r="E59" s="31"/>
      <c r="F59" s="31"/>
    </row>
    <row r="60">
      <c r="A60" s="31"/>
      <c r="E60" s="31"/>
      <c r="F60" s="31"/>
    </row>
    <row r="61">
      <c r="A61" s="31"/>
      <c r="E61" s="31"/>
      <c r="F61" s="31"/>
    </row>
    <row r="62">
      <c r="A62" s="31"/>
      <c r="E62" s="31"/>
      <c r="F62" s="31"/>
    </row>
    <row r="63">
      <c r="A63" s="31"/>
      <c r="E63" s="31"/>
      <c r="F63" s="31"/>
    </row>
    <row r="64">
      <c r="A64" s="31"/>
      <c r="E64" s="31"/>
      <c r="F64" s="31"/>
    </row>
    <row r="65">
      <c r="A65" s="31"/>
      <c r="E65" s="31"/>
      <c r="F65" s="31"/>
    </row>
    <row r="66">
      <c r="A66" s="31"/>
      <c r="E66" s="31"/>
      <c r="F66" s="31"/>
    </row>
    <row r="67">
      <c r="A67" s="31"/>
      <c r="E67" s="31"/>
      <c r="F67" s="31"/>
    </row>
    <row r="68">
      <c r="A68" s="31"/>
      <c r="E68" s="31"/>
      <c r="F68" s="31"/>
    </row>
    <row r="69">
      <c r="A69" s="31"/>
      <c r="E69" s="31"/>
      <c r="F69" s="31"/>
    </row>
    <row r="70">
      <c r="A70" s="31"/>
      <c r="E70" s="31"/>
      <c r="F70" s="31"/>
    </row>
    <row r="71">
      <c r="A71" s="31"/>
      <c r="E71" s="31"/>
      <c r="F71" s="31"/>
    </row>
    <row r="72">
      <c r="A72" s="31"/>
      <c r="E72" s="31"/>
      <c r="F72" s="31"/>
    </row>
    <row r="73">
      <c r="A73" s="31"/>
      <c r="E73" s="31"/>
      <c r="F73" s="31"/>
    </row>
    <row r="74">
      <c r="A74" s="31"/>
      <c r="E74" s="31"/>
      <c r="F74" s="31"/>
    </row>
    <row r="75">
      <c r="A75" s="31"/>
      <c r="E75" s="31"/>
      <c r="F75" s="31"/>
    </row>
    <row r="76">
      <c r="A76" s="31"/>
      <c r="E76" s="31"/>
      <c r="F76" s="31"/>
    </row>
    <row r="77">
      <c r="A77" s="31"/>
      <c r="E77" s="31"/>
      <c r="F77" s="31"/>
    </row>
    <row r="78">
      <c r="A78" s="31"/>
      <c r="E78" s="31"/>
      <c r="F78" s="31"/>
    </row>
    <row r="79">
      <c r="A79" s="31"/>
      <c r="E79" s="31"/>
      <c r="F79" s="31"/>
    </row>
    <row r="80">
      <c r="A80" s="31"/>
      <c r="E80" s="31"/>
      <c r="F80" s="31"/>
    </row>
    <row r="81">
      <c r="A81" s="31"/>
      <c r="E81" s="31"/>
      <c r="F81" s="31"/>
    </row>
    <row r="82">
      <c r="A82" s="31"/>
      <c r="E82" s="31"/>
      <c r="F82" s="31"/>
    </row>
    <row r="83">
      <c r="A83" s="31"/>
      <c r="E83" s="31"/>
      <c r="F83" s="31"/>
    </row>
    <row r="84">
      <c r="A84" s="31"/>
      <c r="E84" s="31"/>
      <c r="F84" s="31"/>
    </row>
    <row r="85">
      <c r="A85" s="31"/>
      <c r="E85" s="31"/>
      <c r="F85" s="31"/>
    </row>
    <row r="86">
      <c r="A86" s="31"/>
      <c r="E86" s="31"/>
      <c r="F86" s="31"/>
    </row>
    <row r="87">
      <c r="A87" s="31"/>
      <c r="E87" s="31"/>
      <c r="F87" s="31"/>
    </row>
    <row r="88">
      <c r="A88" s="31"/>
      <c r="E88" s="31"/>
      <c r="F88" s="31"/>
    </row>
    <row r="89">
      <c r="A89" s="31"/>
      <c r="E89" s="31"/>
      <c r="F89" s="31"/>
    </row>
    <row r="90">
      <c r="A90" s="31"/>
      <c r="E90" s="31"/>
      <c r="F90" s="31"/>
    </row>
    <row r="91">
      <c r="E91" s="31"/>
      <c r="F91" s="31"/>
    </row>
    <row r="92">
      <c r="E92" s="31"/>
      <c r="F92" s="31"/>
    </row>
    <row r="93">
      <c r="E93" s="31"/>
      <c r="F93" s="31"/>
    </row>
    <row r="94">
      <c r="E94" s="31"/>
      <c r="F94" s="31"/>
    </row>
    <row r="95">
      <c r="E95" s="31"/>
      <c r="F95" s="31"/>
    </row>
    <row r="96">
      <c r="E96" s="31"/>
      <c r="F96" s="31"/>
    </row>
    <row r="97">
      <c r="E97" s="31"/>
      <c r="F97" s="31"/>
    </row>
    <row r="98">
      <c r="E98" s="31"/>
      <c r="F98" s="31"/>
    </row>
    <row r="99">
      <c r="E99" s="31"/>
      <c r="F99" s="31"/>
    </row>
    <row r="100">
      <c r="E100" s="31"/>
      <c r="F100" s="31"/>
    </row>
    <row r="101">
      <c r="E101" s="31"/>
      <c r="F101" s="31"/>
    </row>
    <row r="102">
      <c r="E102" s="31"/>
      <c r="F102" s="31"/>
    </row>
    <row r="103">
      <c r="E103" s="31"/>
      <c r="F103" s="31"/>
    </row>
    <row r="104">
      <c r="E104" s="31"/>
      <c r="F104" s="31"/>
    </row>
    <row r="105">
      <c r="E105" s="31"/>
      <c r="F105" s="31"/>
    </row>
    <row r="106">
      <c r="E106" s="31"/>
      <c r="F106" s="31"/>
    </row>
    <row r="107">
      <c r="E107" s="31"/>
      <c r="F107" s="31"/>
    </row>
    <row r="108">
      <c r="E108" s="31"/>
      <c r="F108" s="31"/>
    </row>
    <row r="109">
      <c r="E109" s="31"/>
      <c r="F109" s="31"/>
    </row>
    <row r="110">
      <c r="E110" s="31"/>
      <c r="F110" s="31"/>
    </row>
    <row r="111">
      <c r="E111" s="31"/>
      <c r="F111" s="31"/>
    </row>
    <row r="112">
      <c r="E112" s="31"/>
      <c r="F112" s="31"/>
    </row>
    <row r="113">
      <c r="E113" s="31"/>
      <c r="F113" s="31"/>
    </row>
    <row r="114">
      <c r="E114" s="31"/>
      <c r="F114" s="31"/>
    </row>
    <row r="115">
      <c r="E115" s="31"/>
      <c r="F115" s="31"/>
    </row>
    <row r="116">
      <c r="E116" s="31"/>
      <c r="F116" s="31"/>
    </row>
    <row r="117">
      <c r="E117" s="31"/>
      <c r="F117" s="31"/>
    </row>
    <row r="118">
      <c r="E118" s="31"/>
      <c r="F118" s="31"/>
    </row>
    <row r="119">
      <c r="E119" s="31"/>
      <c r="F119" s="31"/>
    </row>
    <row r="120">
      <c r="E120" s="31"/>
      <c r="F120" s="31"/>
    </row>
    <row r="121">
      <c r="E121" s="31"/>
      <c r="F121" s="31"/>
    </row>
    <row r="122">
      <c r="E122" s="31"/>
      <c r="F122" s="31"/>
    </row>
    <row r="123">
      <c r="E123" s="31"/>
      <c r="F123" s="31"/>
    </row>
    <row r="124">
      <c r="E124" s="31"/>
      <c r="F124" s="31"/>
    </row>
    <row r="125">
      <c r="E125" s="31"/>
      <c r="F125" s="31"/>
    </row>
    <row r="126">
      <c r="E126" s="31"/>
      <c r="F126" s="31"/>
    </row>
    <row r="127">
      <c r="E127" s="31"/>
      <c r="F127" s="31"/>
    </row>
    <row r="128">
      <c r="E128" s="31"/>
      <c r="F128" s="31"/>
    </row>
    <row r="129">
      <c r="E129" s="31"/>
      <c r="F129" s="31"/>
    </row>
    <row r="130">
      <c r="E130" s="31"/>
      <c r="F130" s="31"/>
    </row>
    <row r="131">
      <c r="E131" s="31"/>
      <c r="F131" s="31"/>
    </row>
    <row r="132">
      <c r="E132" s="31"/>
      <c r="F132" s="31"/>
    </row>
    <row r="133">
      <c r="E133" s="31"/>
      <c r="F133" s="31"/>
    </row>
    <row r="134">
      <c r="E134" s="31"/>
      <c r="F134" s="31"/>
    </row>
    <row r="135">
      <c r="E135" s="31"/>
      <c r="F135" s="31"/>
    </row>
    <row r="136">
      <c r="E136" s="31"/>
      <c r="F136" s="31"/>
    </row>
    <row r="137">
      <c r="E137" s="31"/>
      <c r="F137" s="31"/>
    </row>
    <row r="138">
      <c r="E138" s="31"/>
      <c r="F138" s="31"/>
    </row>
    <row r="139">
      <c r="E139" s="31"/>
      <c r="F139" s="31"/>
    </row>
    <row r="140">
      <c r="E140" s="31"/>
      <c r="F140" s="31"/>
    </row>
    <row r="141">
      <c r="E141" s="31"/>
      <c r="F141" s="31"/>
    </row>
    <row r="142">
      <c r="E142" s="31"/>
      <c r="F142" s="31"/>
    </row>
    <row r="143">
      <c r="E143" s="31"/>
      <c r="F143" s="31"/>
    </row>
    <row r="144">
      <c r="E144" s="31"/>
      <c r="F144" s="31"/>
    </row>
    <row r="145">
      <c r="E145" s="31"/>
      <c r="F145" s="31"/>
    </row>
    <row r="146">
      <c r="E146" s="31"/>
      <c r="F146" s="31"/>
    </row>
    <row r="147">
      <c r="E147" s="31"/>
      <c r="F147" s="31"/>
    </row>
    <row r="148">
      <c r="E148" s="31"/>
      <c r="F148" s="31"/>
    </row>
    <row r="149">
      <c r="E149" s="31"/>
      <c r="F149" s="31"/>
    </row>
    <row r="150">
      <c r="E150" s="31"/>
      <c r="F150" s="31"/>
    </row>
    <row r="151">
      <c r="E151" s="31"/>
      <c r="F151" s="31"/>
    </row>
    <row r="152">
      <c r="E152" s="31"/>
      <c r="F152" s="31"/>
    </row>
    <row r="153">
      <c r="E153" s="31"/>
      <c r="F153" s="31"/>
    </row>
    <row r="154">
      <c r="E154" s="31"/>
      <c r="F154" s="31"/>
    </row>
    <row r="155">
      <c r="E155" s="31"/>
      <c r="F155" s="31"/>
    </row>
    <row r="156">
      <c r="E156" s="31"/>
      <c r="F156" s="31"/>
    </row>
    <row r="157">
      <c r="E157" s="31"/>
      <c r="F157" s="31"/>
    </row>
    <row r="158">
      <c r="E158" s="31"/>
      <c r="F158" s="31"/>
    </row>
    <row r="159">
      <c r="E159" s="31"/>
      <c r="F159" s="31"/>
    </row>
    <row r="160">
      <c r="E160" s="31"/>
      <c r="F160" s="31"/>
    </row>
    <row r="161">
      <c r="E161" s="31"/>
      <c r="F161" s="31"/>
    </row>
    <row r="162">
      <c r="E162" s="31"/>
      <c r="F162" s="31"/>
    </row>
    <row r="163">
      <c r="E163" s="31"/>
      <c r="F163" s="31"/>
    </row>
    <row r="164">
      <c r="E164" s="31"/>
      <c r="F164" s="31"/>
    </row>
    <row r="165">
      <c r="E165" s="31"/>
      <c r="F165" s="31"/>
    </row>
    <row r="166">
      <c r="E166" s="31"/>
      <c r="F166" s="31"/>
    </row>
    <row r="167">
      <c r="E167" s="31"/>
      <c r="F167" s="31"/>
    </row>
    <row r="168">
      <c r="E168" s="31"/>
      <c r="F168" s="31"/>
    </row>
    <row r="169">
      <c r="E169" s="31"/>
      <c r="F169" s="31"/>
    </row>
    <row r="170">
      <c r="E170" s="31"/>
      <c r="F170" s="31"/>
    </row>
    <row r="171">
      <c r="E171" s="31"/>
      <c r="F171" s="31"/>
    </row>
    <row r="172">
      <c r="E172" s="31"/>
      <c r="F172" s="31"/>
    </row>
    <row r="173">
      <c r="E173" s="31"/>
      <c r="F173" s="31"/>
    </row>
    <row r="174">
      <c r="E174" s="31"/>
      <c r="F174" s="31"/>
    </row>
    <row r="175">
      <c r="E175" s="31"/>
      <c r="F175" s="31"/>
    </row>
    <row r="176">
      <c r="E176" s="31"/>
      <c r="F176" s="31"/>
    </row>
    <row r="177">
      <c r="E177" s="31"/>
      <c r="F177" s="31"/>
    </row>
    <row r="178">
      <c r="E178" s="31"/>
      <c r="F178" s="31"/>
    </row>
    <row r="179">
      <c r="E179" s="31"/>
      <c r="F179" s="31"/>
    </row>
    <row r="180">
      <c r="E180" s="31"/>
      <c r="F180" s="31"/>
    </row>
    <row r="181">
      <c r="E181" s="31"/>
      <c r="F181" s="31"/>
    </row>
    <row r="182">
      <c r="E182" s="31"/>
      <c r="F182" s="31"/>
    </row>
    <row r="183">
      <c r="E183" s="31"/>
      <c r="F183" s="31"/>
    </row>
    <row r="184">
      <c r="E184" s="31"/>
      <c r="F184" s="31"/>
    </row>
    <row r="185">
      <c r="E185" s="31"/>
      <c r="F185" s="31"/>
    </row>
    <row r="186">
      <c r="E186" s="31"/>
      <c r="F186" s="31"/>
    </row>
    <row r="187">
      <c r="E187" s="31"/>
      <c r="F187" s="31"/>
    </row>
    <row r="188">
      <c r="E188" s="31"/>
      <c r="F188" s="31"/>
    </row>
    <row r="189">
      <c r="E189" s="31"/>
      <c r="F189" s="31"/>
    </row>
    <row r="190">
      <c r="E190" s="31"/>
      <c r="F190" s="31"/>
    </row>
    <row r="191">
      <c r="E191" s="31"/>
      <c r="F191" s="31"/>
    </row>
    <row r="192">
      <c r="E192" s="31"/>
      <c r="F192" s="31"/>
    </row>
    <row r="193">
      <c r="E193" s="31"/>
      <c r="F193" s="31"/>
    </row>
    <row r="194">
      <c r="E194" s="31"/>
      <c r="F194" s="31"/>
    </row>
    <row r="195">
      <c r="E195" s="31"/>
      <c r="F195" s="31"/>
    </row>
    <row r="196">
      <c r="E196" s="31"/>
      <c r="F196" s="31"/>
    </row>
    <row r="197">
      <c r="E197" s="31"/>
      <c r="F197" s="31"/>
    </row>
    <row r="198">
      <c r="E198" s="31"/>
      <c r="F198" s="31"/>
    </row>
    <row r="199">
      <c r="E199" s="31"/>
      <c r="F199" s="31"/>
    </row>
    <row r="200">
      <c r="E200" s="31"/>
      <c r="F200" s="31"/>
    </row>
    <row r="201">
      <c r="E201" s="31"/>
      <c r="F201" s="31"/>
    </row>
    <row r="202">
      <c r="E202" s="31"/>
      <c r="F202" s="31"/>
    </row>
    <row r="203">
      <c r="E203" s="31"/>
      <c r="F203" s="31"/>
    </row>
    <row r="204">
      <c r="E204" s="31"/>
      <c r="F204" s="31"/>
    </row>
    <row r="205">
      <c r="E205" s="31"/>
      <c r="F205" s="31"/>
    </row>
    <row r="206">
      <c r="E206" s="31"/>
      <c r="F206" s="31"/>
    </row>
    <row r="207">
      <c r="E207" s="31"/>
      <c r="F207" s="31"/>
    </row>
    <row r="208">
      <c r="E208" s="31"/>
      <c r="F208" s="31"/>
    </row>
    <row r="209">
      <c r="E209" s="31"/>
      <c r="F209" s="31"/>
    </row>
    <row r="210">
      <c r="E210" s="31"/>
      <c r="F210" s="31"/>
    </row>
    <row r="211">
      <c r="E211" s="31"/>
      <c r="F211" s="31"/>
    </row>
    <row r="212">
      <c r="E212" s="31"/>
      <c r="F212" s="31"/>
    </row>
    <row r="213">
      <c r="E213" s="31"/>
      <c r="F213" s="31"/>
    </row>
    <row r="214">
      <c r="E214" s="31"/>
      <c r="F214" s="31"/>
    </row>
    <row r="215">
      <c r="E215" s="31"/>
      <c r="F215" s="31"/>
    </row>
    <row r="216">
      <c r="E216" s="31"/>
      <c r="F216" s="31"/>
    </row>
    <row r="217">
      <c r="E217" s="31"/>
      <c r="F217" s="31"/>
    </row>
    <row r="218">
      <c r="E218" s="31"/>
      <c r="F218" s="31"/>
    </row>
    <row r="219">
      <c r="E219" s="31"/>
      <c r="F219" s="31"/>
    </row>
    <row r="220">
      <c r="E220" s="31"/>
      <c r="F220" s="31"/>
    </row>
    <row r="221">
      <c r="E221" s="31"/>
      <c r="F221" s="31"/>
    </row>
    <row r="222">
      <c r="E222" s="31"/>
      <c r="F222" s="31"/>
    </row>
    <row r="223">
      <c r="E223" s="31"/>
      <c r="F223" s="31"/>
    </row>
    <row r="224">
      <c r="E224" s="31"/>
      <c r="F224" s="31"/>
    </row>
    <row r="225">
      <c r="E225" s="31"/>
      <c r="F225" s="31"/>
    </row>
    <row r="226">
      <c r="E226" s="31"/>
      <c r="F226" s="31"/>
    </row>
    <row r="227">
      <c r="E227" s="31"/>
      <c r="F227" s="31"/>
    </row>
    <row r="228">
      <c r="E228" s="31"/>
      <c r="F228" s="31"/>
    </row>
    <row r="229">
      <c r="E229" s="31"/>
      <c r="F229" s="31"/>
    </row>
    <row r="230">
      <c r="E230" s="31"/>
      <c r="F230" s="31"/>
    </row>
    <row r="231">
      <c r="E231" s="31"/>
      <c r="F231" s="31"/>
    </row>
    <row r="232">
      <c r="E232" s="31"/>
      <c r="F232" s="31"/>
    </row>
    <row r="233">
      <c r="E233" s="31"/>
      <c r="F233" s="31"/>
    </row>
    <row r="234">
      <c r="E234" s="31"/>
      <c r="F234" s="31"/>
    </row>
    <row r="235">
      <c r="E235" s="31"/>
      <c r="F235" s="31"/>
    </row>
    <row r="236">
      <c r="E236" s="31"/>
      <c r="F236" s="31"/>
    </row>
    <row r="237">
      <c r="E237" s="31"/>
      <c r="F237" s="31"/>
    </row>
    <row r="238">
      <c r="E238" s="31"/>
      <c r="F238" s="31"/>
    </row>
    <row r="239">
      <c r="E239" s="31"/>
      <c r="F239" s="31"/>
    </row>
    <row r="240">
      <c r="E240" s="31"/>
      <c r="F240" s="31"/>
    </row>
    <row r="241">
      <c r="E241" s="31"/>
      <c r="F241" s="31"/>
    </row>
    <row r="242">
      <c r="E242" s="31"/>
      <c r="F242" s="31"/>
    </row>
    <row r="243">
      <c r="E243" s="31"/>
      <c r="F243" s="31"/>
    </row>
    <row r="244">
      <c r="E244" s="31"/>
      <c r="F244" s="31"/>
    </row>
    <row r="245">
      <c r="E245" s="31"/>
      <c r="F245" s="31"/>
    </row>
    <row r="246">
      <c r="E246" s="31"/>
      <c r="F246" s="31"/>
    </row>
    <row r="247">
      <c r="E247" s="31"/>
      <c r="F247" s="31"/>
    </row>
    <row r="248">
      <c r="E248" s="31"/>
      <c r="F248" s="31"/>
    </row>
    <row r="249">
      <c r="E249" s="31"/>
      <c r="F249" s="31"/>
    </row>
    <row r="250">
      <c r="E250" s="31"/>
      <c r="F250" s="31"/>
    </row>
    <row r="251">
      <c r="E251" s="31"/>
      <c r="F251" s="31"/>
    </row>
    <row r="252">
      <c r="E252" s="31"/>
      <c r="F252" s="31"/>
    </row>
    <row r="253">
      <c r="E253" s="31"/>
      <c r="F253" s="31"/>
    </row>
    <row r="254">
      <c r="E254" s="31"/>
      <c r="F254" s="31"/>
    </row>
    <row r="255">
      <c r="E255" s="31"/>
      <c r="F255" s="31"/>
    </row>
    <row r="256">
      <c r="E256" s="31"/>
      <c r="F256" s="31"/>
    </row>
    <row r="257">
      <c r="E257" s="31"/>
      <c r="F257" s="31"/>
    </row>
    <row r="258">
      <c r="E258" s="31"/>
      <c r="F258" s="31"/>
    </row>
    <row r="259">
      <c r="E259" s="31"/>
      <c r="F259" s="31"/>
    </row>
    <row r="260">
      <c r="E260" s="31"/>
      <c r="F260" s="31"/>
    </row>
    <row r="261">
      <c r="E261" s="31"/>
      <c r="F261" s="31"/>
    </row>
    <row r="262">
      <c r="E262" s="31"/>
      <c r="F262" s="31"/>
    </row>
    <row r="263">
      <c r="E263" s="31"/>
      <c r="F263" s="31"/>
    </row>
    <row r="264">
      <c r="E264" s="31"/>
      <c r="F264" s="31"/>
    </row>
    <row r="265">
      <c r="E265" s="31"/>
      <c r="F265" s="31"/>
    </row>
    <row r="266">
      <c r="E266" s="31"/>
      <c r="F266" s="31"/>
    </row>
    <row r="267">
      <c r="E267" s="31"/>
      <c r="F267" s="31"/>
    </row>
    <row r="268">
      <c r="E268" s="31"/>
      <c r="F268" s="31"/>
    </row>
    <row r="269">
      <c r="E269" s="31"/>
      <c r="F269" s="31"/>
    </row>
    <row r="270">
      <c r="E270" s="31"/>
      <c r="F270" s="31"/>
    </row>
    <row r="271">
      <c r="E271" s="31"/>
      <c r="F271" s="31"/>
    </row>
    <row r="272">
      <c r="E272" s="31"/>
      <c r="F272" s="31"/>
    </row>
    <row r="273">
      <c r="E273" s="31"/>
      <c r="F273" s="31"/>
    </row>
    <row r="274">
      <c r="E274" s="31"/>
      <c r="F274" s="31"/>
    </row>
    <row r="275">
      <c r="E275" s="31"/>
      <c r="F275" s="31"/>
    </row>
    <row r="276">
      <c r="E276" s="31"/>
      <c r="F276" s="31"/>
    </row>
    <row r="277">
      <c r="E277" s="31"/>
      <c r="F277" s="31"/>
    </row>
    <row r="278">
      <c r="E278" s="31"/>
      <c r="F278" s="31"/>
    </row>
    <row r="279">
      <c r="E279" s="31"/>
      <c r="F279" s="31"/>
    </row>
    <row r="280">
      <c r="E280" s="31"/>
      <c r="F280" s="31"/>
    </row>
    <row r="281">
      <c r="E281" s="31"/>
      <c r="F281" s="31"/>
    </row>
    <row r="282">
      <c r="E282" s="31"/>
      <c r="F282" s="31"/>
    </row>
    <row r="283">
      <c r="E283" s="31"/>
      <c r="F283" s="31"/>
    </row>
    <row r="284">
      <c r="E284" s="31"/>
      <c r="F284" s="31"/>
    </row>
    <row r="285">
      <c r="E285" s="31"/>
      <c r="F285" s="31"/>
    </row>
    <row r="286">
      <c r="E286" s="31"/>
      <c r="F286" s="31"/>
    </row>
    <row r="287">
      <c r="E287" s="31"/>
      <c r="F287" s="31"/>
    </row>
    <row r="288">
      <c r="E288" s="31"/>
      <c r="F288" s="31"/>
    </row>
    <row r="289">
      <c r="E289" s="31"/>
      <c r="F289" s="31"/>
    </row>
    <row r="290">
      <c r="E290" s="31" t="b">
        <v>0</v>
      </c>
      <c r="F290" s="31" t="b">
        <v>0</v>
      </c>
    </row>
    <row r="291">
      <c r="E291" s="31" t="b">
        <v>0</v>
      </c>
      <c r="F291" s="31" t="b">
        <v>0</v>
      </c>
    </row>
    <row r="292">
      <c r="E292" s="31" t="b">
        <v>0</v>
      </c>
      <c r="F292" s="31" t="b">
        <v>0</v>
      </c>
    </row>
    <row r="293">
      <c r="E293" s="31" t="b">
        <v>0</v>
      </c>
      <c r="F293" s="31" t="b">
        <v>0</v>
      </c>
    </row>
    <row r="294">
      <c r="E294" s="31" t="b">
        <v>0</v>
      </c>
      <c r="F294" s="31" t="b">
        <v>0</v>
      </c>
    </row>
    <row r="295">
      <c r="E295" s="31" t="b">
        <v>0</v>
      </c>
      <c r="F295" s="31" t="b">
        <v>0</v>
      </c>
    </row>
    <row r="296">
      <c r="E296" s="31" t="b">
        <v>0</v>
      </c>
      <c r="F296" s="31" t="b">
        <v>0</v>
      </c>
    </row>
    <row r="297">
      <c r="E297" s="31" t="b">
        <v>0</v>
      </c>
      <c r="F297" s="31" t="b">
        <v>0</v>
      </c>
    </row>
    <row r="298">
      <c r="E298" s="31" t="b">
        <v>0</v>
      </c>
      <c r="F298" s="31" t="b">
        <v>0</v>
      </c>
    </row>
    <row r="299">
      <c r="E299" s="31" t="b">
        <v>0</v>
      </c>
      <c r="F299" s="31" t="b">
        <v>0</v>
      </c>
    </row>
    <row r="300">
      <c r="E300" s="31" t="b">
        <v>0</v>
      </c>
      <c r="F300" s="31" t="b">
        <v>0</v>
      </c>
    </row>
    <row r="301">
      <c r="E301" s="31" t="b">
        <v>0</v>
      </c>
      <c r="F301" s="31" t="b">
        <v>0</v>
      </c>
    </row>
    <row r="302">
      <c r="E302" s="31" t="b">
        <v>0</v>
      </c>
      <c r="F302" s="31" t="b">
        <v>0</v>
      </c>
    </row>
    <row r="303">
      <c r="E303" s="31" t="b">
        <v>0</v>
      </c>
      <c r="F303" s="31" t="b">
        <v>0</v>
      </c>
    </row>
    <row r="304">
      <c r="E304" s="31" t="b">
        <v>0</v>
      </c>
      <c r="F304" s="31" t="b">
        <v>0</v>
      </c>
    </row>
    <row r="305">
      <c r="E305" s="31" t="b">
        <v>0</v>
      </c>
      <c r="F305" s="31" t="b">
        <v>0</v>
      </c>
    </row>
    <row r="306">
      <c r="E306" s="31" t="b">
        <v>0</v>
      </c>
      <c r="F306" s="31" t="b">
        <v>0</v>
      </c>
    </row>
    <row r="307">
      <c r="E307" s="31" t="b">
        <v>0</v>
      </c>
      <c r="F307" s="31" t="b">
        <v>0</v>
      </c>
    </row>
    <row r="308">
      <c r="E308" s="31" t="b">
        <v>0</v>
      </c>
      <c r="F308" s="31" t="b">
        <v>0</v>
      </c>
    </row>
    <row r="309">
      <c r="E309" s="31" t="b">
        <v>0</v>
      </c>
      <c r="F309" s="31" t="b">
        <v>0</v>
      </c>
    </row>
    <row r="310">
      <c r="E310" s="31" t="b">
        <v>0</v>
      </c>
      <c r="F310" s="31" t="b">
        <v>0</v>
      </c>
    </row>
    <row r="311">
      <c r="E311" s="31" t="b">
        <v>0</v>
      </c>
      <c r="F311" s="31" t="b">
        <v>0</v>
      </c>
    </row>
    <row r="312">
      <c r="E312" s="31" t="b">
        <v>0</v>
      </c>
      <c r="F312" s="31" t="b">
        <v>0</v>
      </c>
    </row>
    <row r="313">
      <c r="E313" s="31" t="b">
        <v>0</v>
      </c>
      <c r="F313" s="31" t="b">
        <v>0</v>
      </c>
    </row>
    <row r="314">
      <c r="E314" s="31" t="b">
        <v>0</v>
      </c>
      <c r="F314" s="31" t="b">
        <v>0</v>
      </c>
    </row>
    <row r="315">
      <c r="E315" s="31" t="b">
        <v>0</v>
      </c>
      <c r="F315" s="31" t="b">
        <v>0</v>
      </c>
    </row>
    <row r="316">
      <c r="E316" s="31" t="b">
        <v>0</v>
      </c>
      <c r="F316" s="31" t="b">
        <v>0</v>
      </c>
    </row>
    <row r="317">
      <c r="E317" s="31" t="b">
        <v>0</v>
      </c>
      <c r="F317" s="31" t="b">
        <v>0</v>
      </c>
    </row>
    <row r="318">
      <c r="E318" s="31" t="b">
        <v>0</v>
      </c>
      <c r="F318" s="31" t="b">
        <v>0</v>
      </c>
    </row>
    <row r="319">
      <c r="E319" s="31" t="b">
        <v>0</v>
      </c>
      <c r="F319" s="31" t="b">
        <v>0</v>
      </c>
    </row>
    <row r="320">
      <c r="E320" s="31" t="b">
        <v>0</v>
      </c>
      <c r="F320" s="31" t="b">
        <v>0</v>
      </c>
    </row>
    <row r="321">
      <c r="E321" s="31" t="b">
        <v>0</v>
      </c>
      <c r="F321" s="31" t="b">
        <v>0</v>
      </c>
    </row>
    <row r="322">
      <c r="E322" s="31" t="b">
        <v>0</v>
      </c>
      <c r="F322" s="31" t="b">
        <v>0</v>
      </c>
    </row>
    <row r="323">
      <c r="E323" s="31" t="b">
        <v>0</v>
      </c>
      <c r="F323" s="31" t="b">
        <v>0</v>
      </c>
    </row>
    <row r="324">
      <c r="E324" s="31" t="b">
        <v>0</v>
      </c>
      <c r="F324" s="31" t="b">
        <v>0</v>
      </c>
    </row>
    <row r="325">
      <c r="E325" s="31" t="b">
        <v>0</v>
      </c>
      <c r="F325" s="31" t="b">
        <v>0</v>
      </c>
    </row>
    <row r="326">
      <c r="E326" s="31" t="b">
        <v>0</v>
      </c>
      <c r="F326" s="31" t="b">
        <v>0</v>
      </c>
    </row>
    <row r="327">
      <c r="E327" s="31" t="b">
        <v>0</v>
      </c>
      <c r="F327" s="31" t="b">
        <v>0</v>
      </c>
    </row>
    <row r="328">
      <c r="E328" s="31" t="b">
        <v>0</v>
      </c>
      <c r="F328" s="31" t="b">
        <v>0</v>
      </c>
    </row>
    <row r="329">
      <c r="E329" s="31" t="b">
        <v>0</v>
      </c>
      <c r="F329" s="31" t="b">
        <v>0</v>
      </c>
    </row>
    <row r="330">
      <c r="E330" s="31" t="b">
        <v>0</v>
      </c>
      <c r="F330" s="31" t="b">
        <v>0</v>
      </c>
    </row>
    <row r="331">
      <c r="E331" s="31" t="b">
        <v>0</v>
      </c>
      <c r="F331" s="31" t="b">
        <v>0</v>
      </c>
    </row>
    <row r="332">
      <c r="E332" s="31" t="b">
        <v>0</v>
      </c>
      <c r="F332" s="31" t="b">
        <v>0</v>
      </c>
    </row>
    <row r="333">
      <c r="E333" s="31" t="b">
        <v>0</v>
      </c>
      <c r="F333" s="31" t="b">
        <v>0</v>
      </c>
    </row>
    <row r="334">
      <c r="E334" s="31" t="b">
        <v>0</v>
      </c>
      <c r="F334" s="31" t="b">
        <v>0</v>
      </c>
    </row>
    <row r="335">
      <c r="E335" s="31" t="b">
        <v>0</v>
      </c>
      <c r="F335" s="31" t="b">
        <v>0</v>
      </c>
    </row>
    <row r="336">
      <c r="E336" s="31" t="b">
        <v>0</v>
      </c>
      <c r="F336" s="31" t="b">
        <v>0</v>
      </c>
    </row>
    <row r="337">
      <c r="E337" s="31" t="b">
        <v>0</v>
      </c>
      <c r="F337" s="31" t="b">
        <v>0</v>
      </c>
    </row>
    <row r="338">
      <c r="E338" s="31" t="b">
        <v>0</v>
      </c>
      <c r="F338" s="31" t="b">
        <v>0</v>
      </c>
    </row>
    <row r="339">
      <c r="E339" s="31" t="b">
        <v>0</v>
      </c>
      <c r="F339" s="31" t="b">
        <v>0</v>
      </c>
    </row>
    <row r="340">
      <c r="E340" s="31" t="b">
        <v>0</v>
      </c>
      <c r="F340" s="31" t="b">
        <v>0</v>
      </c>
    </row>
    <row r="341">
      <c r="E341" s="31" t="b">
        <v>0</v>
      </c>
      <c r="F341" s="31" t="b">
        <v>0</v>
      </c>
    </row>
    <row r="342">
      <c r="E342" s="31" t="b">
        <v>0</v>
      </c>
      <c r="F342" s="31" t="b">
        <v>0</v>
      </c>
    </row>
    <row r="343">
      <c r="E343" s="31" t="b">
        <v>0</v>
      </c>
      <c r="F343" s="31" t="b">
        <v>0</v>
      </c>
    </row>
    <row r="344">
      <c r="E344" s="31" t="b">
        <v>0</v>
      </c>
      <c r="F344" s="31" t="b">
        <v>0</v>
      </c>
    </row>
    <row r="345">
      <c r="E345" s="31" t="b">
        <v>0</v>
      </c>
      <c r="F345" s="31" t="b">
        <v>0</v>
      </c>
    </row>
    <row r="346">
      <c r="E346" s="31" t="b">
        <v>0</v>
      </c>
      <c r="F346" s="31" t="b">
        <v>0</v>
      </c>
    </row>
    <row r="347">
      <c r="E347" s="31" t="b">
        <v>0</v>
      </c>
      <c r="F347" s="31" t="b">
        <v>0</v>
      </c>
    </row>
    <row r="348">
      <c r="E348" s="31" t="b">
        <v>0</v>
      </c>
      <c r="F348" s="31" t="b">
        <v>0</v>
      </c>
    </row>
    <row r="349">
      <c r="E349" s="31" t="b">
        <v>0</v>
      </c>
      <c r="F349" s="31" t="b">
        <v>0</v>
      </c>
    </row>
    <row r="350">
      <c r="E350" s="31" t="b">
        <v>0</v>
      </c>
      <c r="F350" s="31" t="b">
        <v>0</v>
      </c>
    </row>
    <row r="351">
      <c r="E351" s="31" t="b">
        <v>0</v>
      </c>
      <c r="F351" s="31" t="b">
        <v>0</v>
      </c>
    </row>
    <row r="352">
      <c r="E352" s="31" t="b">
        <v>0</v>
      </c>
      <c r="F352" s="31" t="b">
        <v>0</v>
      </c>
    </row>
    <row r="353">
      <c r="E353" s="31" t="b">
        <v>0</v>
      </c>
      <c r="F353" s="31" t="b">
        <v>0</v>
      </c>
    </row>
    <row r="354">
      <c r="E354" s="31" t="b">
        <v>0</v>
      </c>
      <c r="F354" s="31" t="b">
        <v>0</v>
      </c>
    </row>
    <row r="355">
      <c r="E355" s="31" t="b">
        <v>0</v>
      </c>
      <c r="F355" s="31" t="b">
        <v>0</v>
      </c>
    </row>
    <row r="356">
      <c r="E356" s="31" t="b">
        <v>0</v>
      </c>
      <c r="F356" s="31" t="b">
        <v>0</v>
      </c>
    </row>
    <row r="357">
      <c r="E357" s="31" t="b">
        <v>0</v>
      </c>
      <c r="F357" s="31" t="b">
        <v>0</v>
      </c>
    </row>
    <row r="358">
      <c r="E358" s="31" t="b">
        <v>0</v>
      </c>
      <c r="F358" s="31" t="b">
        <v>0</v>
      </c>
    </row>
    <row r="359">
      <c r="E359" s="31" t="b">
        <v>0</v>
      </c>
      <c r="F359" s="31" t="b">
        <v>0</v>
      </c>
    </row>
    <row r="360">
      <c r="E360" s="31" t="b">
        <v>0</v>
      </c>
      <c r="F360" s="31" t="b">
        <v>0</v>
      </c>
    </row>
    <row r="361">
      <c r="E361" s="31" t="b">
        <v>0</v>
      </c>
      <c r="F361" s="31" t="b">
        <v>0</v>
      </c>
    </row>
    <row r="362">
      <c r="E362" s="31" t="b">
        <v>0</v>
      </c>
      <c r="F362" s="31" t="b">
        <v>0</v>
      </c>
    </row>
    <row r="363">
      <c r="E363" s="31" t="b">
        <v>0</v>
      </c>
      <c r="F363" s="31" t="b">
        <v>0</v>
      </c>
    </row>
    <row r="364">
      <c r="E364" s="31" t="b">
        <v>0</v>
      </c>
      <c r="F364" s="31" t="b">
        <v>0</v>
      </c>
    </row>
    <row r="365">
      <c r="E365" s="31" t="b">
        <v>0</v>
      </c>
      <c r="F365" s="31" t="b">
        <v>0</v>
      </c>
    </row>
    <row r="366">
      <c r="E366" s="31" t="b">
        <v>0</v>
      </c>
      <c r="F366" s="31" t="b">
        <v>0</v>
      </c>
    </row>
    <row r="367">
      <c r="E367" s="31" t="b">
        <v>0</v>
      </c>
      <c r="F367" s="31" t="b">
        <v>0</v>
      </c>
    </row>
    <row r="368">
      <c r="E368" s="31" t="b">
        <v>0</v>
      </c>
      <c r="F368" s="31" t="b">
        <v>0</v>
      </c>
    </row>
    <row r="369">
      <c r="E369" s="31" t="b">
        <v>0</v>
      </c>
      <c r="F369" s="31" t="b">
        <v>0</v>
      </c>
    </row>
    <row r="370">
      <c r="E370" s="31" t="b">
        <v>0</v>
      </c>
      <c r="F370" s="31" t="b">
        <v>0</v>
      </c>
    </row>
    <row r="371">
      <c r="E371" s="31" t="b">
        <v>0</v>
      </c>
      <c r="F371" s="31" t="b">
        <v>0</v>
      </c>
    </row>
    <row r="372">
      <c r="E372" s="31" t="b">
        <v>0</v>
      </c>
      <c r="F372" s="31" t="b">
        <v>0</v>
      </c>
    </row>
    <row r="373">
      <c r="E373" s="31" t="b">
        <v>0</v>
      </c>
      <c r="F373" s="31" t="b">
        <v>0</v>
      </c>
    </row>
    <row r="374">
      <c r="E374" s="31" t="b">
        <v>0</v>
      </c>
      <c r="F374" s="31" t="b">
        <v>0</v>
      </c>
    </row>
    <row r="375">
      <c r="E375" s="31" t="b">
        <v>0</v>
      </c>
      <c r="F375" s="31" t="b">
        <v>0</v>
      </c>
    </row>
    <row r="376">
      <c r="E376" s="31" t="b">
        <v>0</v>
      </c>
      <c r="F376" s="31" t="b">
        <v>0</v>
      </c>
    </row>
    <row r="377">
      <c r="E377" s="31" t="b">
        <v>0</v>
      </c>
      <c r="F377" s="31" t="b">
        <v>0</v>
      </c>
    </row>
    <row r="378">
      <c r="E378" s="31" t="b">
        <v>0</v>
      </c>
      <c r="F378" s="31" t="b">
        <v>0</v>
      </c>
    </row>
    <row r="379">
      <c r="E379" s="31" t="b">
        <v>0</v>
      </c>
      <c r="F379" s="31" t="b">
        <v>0</v>
      </c>
    </row>
    <row r="380">
      <c r="E380" s="31" t="b">
        <v>0</v>
      </c>
      <c r="F380" s="31" t="b">
        <v>0</v>
      </c>
    </row>
    <row r="381">
      <c r="E381" s="31" t="b">
        <v>0</v>
      </c>
      <c r="F381" s="31" t="b">
        <v>0</v>
      </c>
    </row>
    <row r="382">
      <c r="E382" s="31" t="b">
        <v>0</v>
      </c>
      <c r="F382" s="31" t="b">
        <v>0</v>
      </c>
    </row>
    <row r="383">
      <c r="E383" s="31" t="b">
        <v>0</v>
      </c>
      <c r="F383" s="31" t="b">
        <v>0</v>
      </c>
    </row>
    <row r="384">
      <c r="E384" s="31" t="b">
        <v>0</v>
      </c>
      <c r="F384" s="31" t="b">
        <v>0</v>
      </c>
    </row>
    <row r="385">
      <c r="E385" s="31" t="b">
        <v>0</v>
      </c>
      <c r="F385" s="31" t="b">
        <v>0</v>
      </c>
    </row>
    <row r="386">
      <c r="E386" s="31" t="b">
        <v>0</v>
      </c>
      <c r="F386" s="31" t="b">
        <v>0</v>
      </c>
    </row>
    <row r="387">
      <c r="E387" s="31" t="b">
        <v>0</v>
      </c>
      <c r="F387" s="31" t="b">
        <v>0</v>
      </c>
    </row>
    <row r="388">
      <c r="E388" s="31" t="b">
        <v>0</v>
      </c>
      <c r="F388" s="31" t="b">
        <v>0</v>
      </c>
    </row>
    <row r="389">
      <c r="E389" s="31" t="b">
        <v>0</v>
      </c>
      <c r="F389" s="31" t="b">
        <v>0</v>
      </c>
    </row>
    <row r="390">
      <c r="E390" s="31" t="b">
        <v>0</v>
      </c>
      <c r="F390" s="31" t="b">
        <v>0</v>
      </c>
    </row>
    <row r="391">
      <c r="E391" s="31" t="b">
        <v>0</v>
      </c>
      <c r="F391" s="31" t="b">
        <v>0</v>
      </c>
    </row>
    <row r="392">
      <c r="E392" s="31" t="b">
        <v>0</v>
      </c>
      <c r="F392" s="31" t="b">
        <v>0</v>
      </c>
    </row>
    <row r="393">
      <c r="E393" s="31" t="b">
        <v>0</v>
      </c>
      <c r="F393" s="31" t="b">
        <v>0</v>
      </c>
    </row>
    <row r="394">
      <c r="E394" s="31" t="b">
        <v>0</v>
      </c>
      <c r="F394" s="31" t="b">
        <v>0</v>
      </c>
    </row>
    <row r="395">
      <c r="E395" s="31" t="b">
        <v>0</v>
      </c>
      <c r="F395" s="31" t="b">
        <v>0</v>
      </c>
    </row>
    <row r="396">
      <c r="E396" s="31" t="b">
        <v>0</v>
      </c>
      <c r="F396" s="31" t="b">
        <v>0</v>
      </c>
    </row>
    <row r="397">
      <c r="E397" s="31" t="b">
        <v>0</v>
      </c>
      <c r="F397" s="31" t="b">
        <v>0</v>
      </c>
    </row>
    <row r="398">
      <c r="E398" s="31" t="b">
        <v>0</v>
      </c>
      <c r="F398" s="31" t="b">
        <v>0</v>
      </c>
    </row>
    <row r="399">
      <c r="E399" s="31" t="b">
        <v>0</v>
      </c>
      <c r="F399" s="31" t="b">
        <v>0</v>
      </c>
    </row>
    <row r="400">
      <c r="E400" s="31" t="b">
        <v>0</v>
      </c>
      <c r="F400" s="31" t="b">
        <v>0</v>
      </c>
    </row>
    <row r="401">
      <c r="E401" s="31" t="b">
        <v>0</v>
      </c>
      <c r="F401" s="31" t="b">
        <v>0</v>
      </c>
    </row>
    <row r="402">
      <c r="E402" s="31" t="b">
        <v>0</v>
      </c>
      <c r="F402" s="31" t="b">
        <v>0</v>
      </c>
    </row>
    <row r="403">
      <c r="E403" s="31" t="b">
        <v>0</v>
      </c>
      <c r="F403" s="31" t="b">
        <v>0</v>
      </c>
    </row>
    <row r="404">
      <c r="E404" s="31" t="b">
        <v>0</v>
      </c>
      <c r="F404" s="31" t="b">
        <v>0</v>
      </c>
    </row>
    <row r="405">
      <c r="E405" s="31" t="b">
        <v>0</v>
      </c>
      <c r="F405" s="31" t="b">
        <v>0</v>
      </c>
    </row>
    <row r="406">
      <c r="E406" s="31" t="b">
        <v>0</v>
      </c>
      <c r="F406" s="31" t="b">
        <v>0</v>
      </c>
    </row>
    <row r="407">
      <c r="E407" s="31" t="b">
        <v>0</v>
      </c>
      <c r="F407" s="31" t="b">
        <v>0</v>
      </c>
    </row>
    <row r="408">
      <c r="E408" s="31" t="b">
        <v>0</v>
      </c>
      <c r="F408" s="31" t="b">
        <v>0</v>
      </c>
    </row>
    <row r="409">
      <c r="E409" s="31" t="b">
        <v>0</v>
      </c>
      <c r="F409" s="31" t="b">
        <v>0</v>
      </c>
    </row>
    <row r="410">
      <c r="E410" s="31" t="b">
        <v>0</v>
      </c>
      <c r="F410" s="31" t="b">
        <v>0</v>
      </c>
    </row>
    <row r="411">
      <c r="E411" s="31" t="b">
        <v>0</v>
      </c>
      <c r="F411" s="31" t="b">
        <v>0</v>
      </c>
    </row>
    <row r="412">
      <c r="E412" s="31" t="b">
        <v>0</v>
      </c>
      <c r="F412" s="31" t="b">
        <v>0</v>
      </c>
    </row>
    <row r="413">
      <c r="E413" s="31" t="b">
        <v>0</v>
      </c>
      <c r="F413" s="31" t="b">
        <v>0</v>
      </c>
    </row>
    <row r="414">
      <c r="E414" s="31" t="b">
        <v>0</v>
      </c>
      <c r="F414" s="31" t="b">
        <v>0</v>
      </c>
    </row>
    <row r="415">
      <c r="E415" s="31" t="b">
        <v>0</v>
      </c>
      <c r="F415" s="31" t="b">
        <v>0</v>
      </c>
    </row>
    <row r="416">
      <c r="E416" s="31" t="b">
        <v>0</v>
      </c>
      <c r="F416" s="31" t="b">
        <v>0</v>
      </c>
    </row>
    <row r="417">
      <c r="E417" s="31" t="b">
        <v>0</v>
      </c>
      <c r="F417" s="31" t="b">
        <v>0</v>
      </c>
    </row>
    <row r="418">
      <c r="E418" s="31" t="b">
        <v>0</v>
      </c>
      <c r="F418" s="31" t="b">
        <v>0</v>
      </c>
    </row>
    <row r="419">
      <c r="E419" s="31" t="b">
        <v>0</v>
      </c>
      <c r="F419" s="31" t="b">
        <v>0</v>
      </c>
    </row>
    <row r="420">
      <c r="E420" s="31" t="b">
        <v>0</v>
      </c>
      <c r="F420" s="31" t="b">
        <v>0</v>
      </c>
    </row>
    <row r="421">
      <c r="E421" s="31" t="b">
        <v>0</v>
      </c>
      <c r="F421" s="31" t="b">
        <v>0</v>
      </c>
    </row>
    <row r="422">
      <c r="E422" s="31" t="b">
        <v>0</v>
      </c>
      <c r="F422" s="31" t="b">
        <v>0</v>
      </c>
    </row>
    <row r="423">
      <c r="E423" s="31" t="b">
        <v>0</v>
      </c>
      <c r="F423" s="31" t="b">
        <v>0</v>
      </c>
    </row>
    <row r="424">
      <c r="E424" s="31" t="b">
        <v>0</v>
      </c>
      <c r="F424" s="31" t="b">
        <v>0</v>
      </c>
    </row>
    <row r="425">
      <c r="E425" s="31" t="b">
        <v>0</v>
      </c>
      <c r="F425" s="31" t="b">
        <v>0</v>
      </c>
    </row>
    <row r="426">
      <c r="E426" s="31" t="b">
        <v>0</v>
      </c>
      <c r="F426" s="31" t="b">
        <v>0</v>
      </c>
    </row>
    <row r="427">
      <c r="E427" s="31" t="b">
        <v>0</v>
      </c>
      <c r="F427" s="31" t="b">
        <v>0</v>
      </c>
    </row>
    <row r="428">
      <c r="E428" s="31" t="b">
        <v>0</v>
      </c>
      <c r="F428" s="31" t="b">
        <v>0</v>
      </c>
    </row>
    <row r="429">
      <c r="E429" s="31" t="b">
        <v>0</v>
      </c>
      <c r="F429" s="31" t="b">
        <v>0</v>
      </c>
    </row>
    <row r="430">
      <c r="E430" s="31" t="b">
        <v>0</v>
      </c>
      <c r="F430" s="31" t="b">
        <v>0</v>
      </c>
    </row>
    <row r="431">
      <c r="E431" s="31" t="b">
        <v>0</v>
      </c>
      <c r="F431" s="31" t="b">
        <v>0</v>
      </c>
    </row>
    <row r="432">
      <c r="E432" s="31" t="b">
        <v>0</v>
      </c>
      <c r="F432" s="31" t="b">
        <v>0</v>
      </c>
    </row>
    <row r="433">
      <c r="E433" s="31" t="b">
        <v>0</v>
      </c>
      <c r="F433" s="31" t="b">
        <v>0</v>
      </c>
    </row>
    <row r="434">
      <c r="E434" s="31" t="b">
        <v>0</v>
      </c>
      <c r="F434" s="31" t="b">
        <v>0</v>
      </c>
    </row>
    <row r="435">
      <c r="E435" s="31" t="b">
        <v>0</v>
      </c>
      <c r="F435" s="31" t="b">
        <v>0</v>
      </c>
    </row>
    <row r="436">
      <c r="E436" s="31" t="b">
        <v>0</v>
      </c>
      <c r="F436" s="31" t="b">
        <v>0</v>
      </c>
    </row>
    <row r="437">
      <c r="E437" s="31" t="b">
        <v>0</v>
      </c>
      <c r="F437" s="31" t="b">
        <v>0</v>
      </c>
    </row>
    <row r="438">
      <c r="E438" s="31" t="b">
        <v>0</v>
      </c>
      <c r="F438" s="31" t="b">
        <v>0</v>
      </c>
    </row>
    <row r="439">
      <c r="E439" s="31" t="b">
        <v>0</v>
      </c>
      <c r="F439" s="31" t="b">
        <v>0</v>
      </c>
    </row>
    <row r="440">
      <c r="E440" s="31" t="b">
        <v>0</v>
      </c>
      <c r="F440" s="31" t="b">
        <v>0</v>
      </c>
    </row>
    <row r="441">
      <c r="E441" s="31" t="b">
        <v>0</v>
      </c>
      <c r="F441" s="31" t="b">
        <v>0</v>
      </c>
    </row>
    <row r="442">
      <c r="E442" s="31" t="b">
        <v>0</v>
      </c>
      <c r="F442" s="31" t="b">
        <v>0</v>
      </c>
    </row>
    <row r="443">
      <c r="E443" s="31" t="b">
        <v>0</v>
      </c>
      <c r="F443" s="31" t="b">
        <v>0</v>
      </c>
    </row>
    <row r="444">
      <c r="E444" s="31" t="b">
        <v>0</v>
      </c>
      <c r="F444" s="31" t="b">
        <v>0</v>
      </c>
    </row>
    <row r="445">
      <c r="E445" s="31" t="b">
        <v>0</v>
      </c>
      <c r="F445" s="31" t="b">
        <v>0</v>
      </c>
    </row>
    <row r="446">
      <c r="E446" s="31" t="b">
        <v>0</v>
      </c>
      <c r="F446" s="31" t="b">
        <v>0</v>
      </c>
    </row>
    <row r="447">
      <c r="E447" s="31" t="b">
        <v>0</v>
      </c>
      <c r="F447" s="31" t="b">
        <v>0</v>
      </c>
    </row>
    <row r="448">
      <c r="E448" s="31" t="b">
        <v>0</v>
      </c>
      <c r="F448" s="31" t="b">
        <v>0</v>
      </c>
    </row>
    <row r="449">
      <c r="E449" s="31" t="b">
        <v>0</v>
      </c>
      <c r="F449" s="31" t="b">
        <v>0</v>
      </c>
    </row>
    <row r="450">
      <c r="E450" s="31" t="b">
        <v>0</v>
      </c>
      <c r="F450" s="31" t="b">
        <v>0</v>
      </c>
    </row>
    <row r="451">
      <c r="E451" s="31" t="b">
        <v>0</v>
      </c>
      <c r="F451" s="31" t="b">
        <v>0</v>
      </c>
    </row>
    <row r="452">
      <c r="E452" s="31" t="b">
        <v>0</v>
      </c>
      <c r="F452" s="31" t="b">
        <v>0</v>
      </c>
    </row>
    <row r="453">
      <c r="E453" s="31" t="b">
        <v>0</v>
      </c>
      <c r="F453" s="31" t="b">
        <v>0</v>
      </c>
    </row>
    <row r="454">
      <c r="E454" s="31" t="b">
        <v>0</v>
      </c>
      <c r="F454" s="31" t="b">
        <v>0</v>
      </c>
    </row>
    <row r="455">
      <c r="E455" s="31" t="b">
        <v>0</v>
      </c>
      <c r="F455" s="31" t="b">
        <v>0</v>
      </c>
    </row>
    <row r="456">
      <c r="E456" s="31" t="b">
        <v>0</v>
      </c>
      <c r="F456" s="31" t="b">
        <v>0</v>
      </c>
    </row>
    <row r="457">
      <c r="E457" s="31" t="b">
        <v>0</v>
      </c>
      <c r="F457" s="31" t="b">
        <v>0</v>
      </c>
    </row>
    <row r="458">
      <c r="E458" s="31" t="b">
        <v>0</v>
      </c>
      <c r="F458" s="31" t="b">
        <v>0</v>
      </c>
    </row>
    <row r="459">
      <c r="E459" s="31" t="b">
        <v>0</v>
      </c>
      <c r="F459" s="31" t="b">
        <v>0</v>
      </c>
    </row>
    <row r="460">
      <c r="E460" s="31" t="b">
        <v>0</v>
      </c>
      <c r="F460" s="31" t="b">
        <v>0</v>
      </c>
    </row>
    <row r="461">
      <c r="E461" s="31" t="b">
        <v>0</v>
      </c>
      <c r="F461" s="31" t="b">
        <v>0</v>
      </c>
    </row>
    <row r="462">
      <c r="E462" s="31" t="b">
        <v>0</v>
      </c>
      <c r="F462" s="31" t="b">
        <v>0</v>
      </c>
    </row>
    <row r="463">
      <c r="E463" s="31" t="b">
        <v>0</v>
      </c>
      <c r="F463" s="31" t="b">
        <v>0</v>
      </c>
    </row>
    <row r="464">
      <c r="E464" s="31" t="b">
        <v>0</v>
      </c>
      <c r="F464" s="31" t="b">
        <v>0</v>
      </c>
    </row>
    <row r="465">
      <c r="E465" s="31" t="b">
        <v>0</v>
      </c>
      <c r="F465" s="31" t="b">
        <v>0</v>
      </c>
    </row>
    <row r="466">
      <c r="E466" s="31" t="b">
        <v>0</v>
      </c>
      <c r="F466" s="31" t="b">
        <v>0</v>
      </c>
    </row>
    <row r="467">
      <c r="E467" s="31" t="b">
        <v>0</v>
      </c>
      <c r="F467" s="31" t="b">
        <v>0</v>
      </c>
    </row>
    <row r="468">
      <c r="E468" s="31" t="b">
        <v>0</v>
      </c>
      <c r="F468" s="31" t="b">
        <v>0</v>
      </c>
    </row>
    <row r="469">
      <c r="E469" s="31" t="b">
        <v>0</v>
      </c>
      <c r="F469" s="31" t="b">
        <v>0</v>
      </c>
    </row>
    <row r="470">
      <c r="E470" s="31" t="b">
        <v>0</v>
      </c>
      <c r="F470" s="31" t="b">
        <v>0</v>
      </c>
    </row>
    <row r="471">
      <c r="E471" s="31" t="b">
        <v>0</v>
      </c>
      <c r="F471" s="31" t="b">
        <v>0</v>
      </c>
    </row>
    <row r="472">
      <c r="E472" s="31" t="b">
        <v>0</v>
      </c>
      <c r="F472" s="31" t="b">
        <v>0</v>
      </c>
    </row>
    <row r="473">
      <c r="E473" s="31" t="b">
        <v>0</v>
      </c>
      <c r="F473" s="31" t="b">
        <v>0</v>
      </c>
    </row>
    <row r="474">
      <c r="E474" s="31" t="b">
        <v>0</v>
      </c>
      <c r="F474" s="31" t="b">
        <v>0</v>
      </c>
    </row>
    <row r="475">
      <c r="E475" s="31" t="b">
        <v>0</v>
      </c>
      <c r="F475" s="31" t="b">
        <v>0</v>
      </c>
    </row>
    <row r="476">
      <c r="E476" s="31" t="b">
        <v>0</v>
      </c>
      <c r="F476" s="31" t="b">
        <v>0</v>
      </c>
    </row>
    <row r="477">
      <c r="E477" s="31" t="b">
        <v>0</v>
      </c>
      <c r="F477" s="31" t="b">
        <v>0</v>
      </c>
    </row>
    <row r="478">
      <c r="E478" s="31" t="b">
        <v>0</v>
      </c>
      <c r="F478" s="31" t="b">
        <v>0</v>
      </c>
    </row>
    <row r="479">
      <c r="E479" s="31" t="b">
        <v>0</v>
      </c>
      <c r="F479" s="31" t="b">
        <v>0</v>
      </c>
    </row>
    <row r="480">
      <c r="E480" s="31" t="b">
        <v>0</v>
      </c>
      <c r="F480" s="31" t="b">
        <v>0</v>
      </c>
    </row>
    <row r="481">
      <c r="E481" s="31" t="b">
        <v>0</v>
      </c>
      <c r="F481" s="31" t="b">
        <v>0</v>
      </c>
    </row>
    <row r="482">
      <c r="E482" s="31" t="b">
        <v>0</v>
      </c>
      <c r="F482" s="31" t="b">
        <v>0</v>
      </c>
    </row>
    <row r="483">
      <c r="E483" s="31" t="b">
        <v>0</v>
      </c>
      <c r="F483" s="31" t="b">
        <v>0</v>
      </c>
    </row>
    <row r="484">
      <c r="E484" s="31" t="b">
        <v>0</v>
      </c>
      <c r="F484" s="31" t="b">
        <v>0</v>
      </c>
    </row>
    <row r="485">
      <c r="E485" s="31" t="b">
        <v>0</v>
      </c>
      <c r="F485" s="31" t="b">
        <v>0</v>
      </c>
    </row>
    <row r="486">
      <c r="E486" s="31" t="b">
        <v>0</v>
      </c>
      <c r="F486" s="31" t="b">
        <v>0</v>
      </c>
    </row>
    <row r="487">
      <c r="E487" s="31" t="b">
        <v>0</v>
      </c>
      <c r="F487" s="31" t="b">
        <v>0</v>
      </c>
    </row>
    <row r="488">
      <c r="E488" s="31" t="b">
        <v>0</v>
      </c>
      <c r="F488" s="31" t="b">
        <v>0</v>
      </c>
    </row>
    <row r="489">
      <c r="E489" s="31" t="b">
        <v>0</v>
      </c>
      <c r="F489" s="31" t="b">
        <v>0</v>
      </c>
    </row>
    <row r="490">
      <c r="E490" s="31" t="b">
        <v>0</v>
      </c>
      <c r="F490" s="31" t="b">
        <v>0</v>
      </c>
    </row>
    <row r="491">
      <c r="E491" s="31" t="b">
        <v>0</v>
      </c>
      <c r="F491" s="31" t="b">
        <v>0</v>
      </c>
    </row>
    <row r="492">
      <c r="E492" s="31" t="b">
        <v>0</v>
      </c>
      <c r="F492" s="31" t="b">
        <v>0</v>
      </c>
    </row>
    <row r="493">
      <c r="E493" s="31" t="b">
        <v>0</v>
      </c>
      <c r="F493" s="31" t="b">
        <v>0</v>
      </c>
    </row>
    <row r="494">
      <c r="E494" s="31" t="b">
        <v>0</v>
      </c>
      <c r="F494" s="31" t="b">
        <v>0</v>
      </c>
    </row>
    <row r="495">
      <c r="E495" s="31" t="b">
        <v>0</v>
      </c>
      <c r="F495" s="31" t="b">
        <v>0</v>
      </c>
    </row>
    <row r="496">
      <c r="E496" s="31" t="b">
        <v>0</v>
      </c>
      <c r="F496" s="31" t="b">
        <v>0</v>
      </c>
    </row>
    <row r="497">
      <c r="E497" s="31" t="b">
        <v>0</v>
      </c>
      <c r="F497" s="31" t="b">
        <v>0</v>
      </c>
    </row>
    <row r="498">
      <c r="E498" s="31" t="b">
        <v>0</v>
      </c>
      <c r="F498" s="31" t="b">
        <v>0</v>
      </c>
    </row>
    <row r="499">
      <c r="E499" s="31" t="b">
        <v>0</v>
      </c>
      <c r="F499" s="31" t="b">
        <v>0</v>
      </c>
    </row>
    <row r="500">
      <c r="E500" s="31" t="b">
        <v>0</v>
      </c>
      <c r="F500" s="31" t="b">
        <v>0</v>
      </c>
    </row>
    <row r="501">
      <c r="E501" s="31" t="b">
        <v>0</v>
      </c>
      <c r="F501" s="31" t="b">
        <v>0</v>
      </c>
    </row>
    <row r="502">
      <c r="E502" s="31" t="b">
        <v>0</v>
      </c>
      <c r="F502" s="31" t="b">
        <v>0</v>
      </c>
    </row>
    <row r="503">
      <c r="E503" s="31" t="b">
        <v>0</v>
      </c>
      <c r="F503" s="31" t="b">
        <v>0</v>
      </c>
    </row>
    <row r="504">
      <c r="E504" s="31" t="b">
        <v>0</v>
      </c>
      <c r="F504" s="31" t="b">
        <v>0</v>
      </c>
    </row>
    <row r="505">
      <c r="E505" s="31" t="b">
        <v>0</v>
      </c>
      <c r="F505" s="31" t="b">
        <v>0</v>
      </c>
    </row>
    <row r="506">
      <c r="E506" s="31" t="b">
        <v>0</v>
      </c>
      <c r="F506" s="31" t="b">
        <v>0</v>
      </c>
    </row>
    <row r="507">
      <c r="E507" s="31" t="b">
        <v>0</v>
      </c>
      <c r="F507" s="31" t="b">
        <v>0</v>
      </c>
    </row>
    <row r="508">
      <c r="E508" s="31" t="b">
        <v>0</v>
      </c>
      <c r="F508" s="31" t="b">
        <v>0</v>
      </c>
    </row>
    <row r="509">
      <c r="E509" s="31" t="b">
        <v>0</v>
      </c>
      <c r="F509" s="31" t="b">
        <v>0</v>
      </c>
    </row>
    <row r="510">
      <c r="E510" s="31" t="b">
        <v>0</v>
      </c>
      <c r="F510" s="31" t="b">
        <v>0</v>
      </c>
    </row>
    <row r="511">
      <c r="E511" s="31" t="b">
        <v>0</v>
      </c>
      <c r="F511" s="31" t="b">
        <v>0</v>
      </c>
    </row>
    <row r="512">
      <c r="E512" s="31" t="b">
        <v>0</v>
      </c>
      <c r="F512" s="31" t="b">
        <v>0</v>
      </c>
    </row>
    <row r="513">
      <c r="E513" s="31" t="b">
        <v>0</v>
      </c>
      <c r="F513" s="31" t="b">
        <v>0</v>
      </c>
    </row>
    <row r="514">
      <c r="E514" s="31" t="b">
        <v>0</v>
      </c>
      <c r="F514" s="31" t="b">
        <v>0</v>
      </c>
    </row>
    <row r="515">
      <c r="E515" s="31" t="b">
        <v>0</v>
      </c>
      <c r="F515" s="31" t="b">
        <v>0</v>
      </c>
    </row>
    <row r="516">
      <c r="E516" s="31" t="b">
        <v>0</v>
      </c>
      <c r="F516" s="31" t="b">
        <v>0</v>
      </c>
    </row>
    <row r="517">
      <c r="E517" s="31" t="b">
        <v>0</v>
      </c>
      <c r="F517" s="31" t="b">
        <v>0</v>
      </c>
    </row>
    <row r="518">
      <c r="E518" s="31" t="b">
        <v>0</v>
      </c>
      <c r="F518" s="31" t="b">
        <v>0</v>
      </c>
    </row>
    <row r="519">
      <c r="E519" s="31" t="b">
        <v>0</v>
      </c>
      <c r="F519" s="31" t="b">
        <v>0</v>
      </c>
    </row>
    <row r="520">
      <c r="E520" s="31" t="b">
        <v>0</v>
      </c>
      <c r="F520" s="31" t="b">
        <v>0</v>
      </c>
    </row>
    <row r="521">
      <c r="E521" s="31" t="b">
        <v>0</v>
      </c>
      <c r="F521" s="31" t="b">
        <v>0</v>
      </c>
    </row>
    <row r="522">
      <c r="E522" s="31" t="b">
        <v>0</v>
      </c>
      <c r="F522" s="31" t="b">
        <v>0</v>
      </c>
    </row>
    <row r="523">
      <c r="E523" s="31" t="b">
        <v>0</v>
      </c>
      <c r="F523" s="31" t="b">
        <v>0</v>
      </c>
    </row>
    <row r="524">
      <c r="E524" s="31" t="b">
        <v>0</v>
      </c>
      <c r="F524" s="31" t="b">
        <v>0</v>
      </c>
    </row>
    <row r="525">
      <c r="E525" s="31" t="b">
        <v>0</v>
      </c>
      <c r="F525" s="31" t="b">
        <v>0</v>
      </c>
    </row>
    <row r="526">
      <c r="E526" s="31" t="b">
        <v>0</v>
      </c>
      <c r="F526" s="31" t="b">
        <v>0</v>
      </c>
    </row>
    <row r="527">
      <c r="E527" s="31" t="b">
        <v>0</v>
      </c>
      <c r="F527" s="31" t="b">
        <v>0</v>
      </c>
    </row>
    <row r="528">
      <c r="E528" s="31" t="b">
        <v>0</v>
      </c>
      <c r="F528" s="31" t="b">
        <v>0</v>
      </c>
    </row>
    <row r="529">
      <c r="E529" s="31" t="b">
        <v>0</v>
      </c>
      <c r="F529" s="31" t="b">
        <v>0</v>
      </c>
    </row>
    <row r="530">
      <c r="E530" s="31" t="b">
        <v>0</v>
      </c>
      <c r="F530" s="31" t="b">
        <v>0</v>
      </c>
    </row>
    <row r="531">
      <c r="E531" s="31" t="b">
        <v>0</v>
      </c>
      <c r="F531" s="31" t="b">
        <v>0</v>
      </c>
    </row>
    <row r="532">
      <c r="E532" s="31" t="b">
        <v>0</v>
      </c>
      <c r="F532" s="31" t="b">
        <v>0</v>
      </c>
    </row>
    <row r="533">
      <c r="E533" s="31" t="b">
        <v>0</v>
      </c>
      <c r="F533" s="31" t="b">
        <v>0</v>
      </c>
    </row>
    <row r="534">
      <c r="E534" s="31" t="b">
        <v>0</v>
      </c>
      <c r="F534" s="31" t="b">
        <v>0</v>
      </c>
    </row>
    <row r="535">
      <c r="E535" s="31" t="b">
        <v>0</v>
      </c>
      <c r="F535" s="31" t="b">
        <v>0</v>
      </c>
    </row>
    <row r="536">
      <c r="E536" s="31" t="b">
        <v>0</v>
      </c>
      <c r="F536" s="31" t="b">
        <v>0</v>
      </c>
    </row>
    <row r="537">
      <c r="E537" s="31" t="b">
        <v>0</v>
      </c>
      <c r="F537" s="31" t="b">
        <v>0</v>
      </c>
    </row>
    <row r="538">
      <c r="E538" s="31" t="b">
        <v>0</v>
      </c>
      <c r="F538" s="31" t="b">
        <v>0</v>
      </c>
    </row>
    <row r="539">
      <c r="E539" s="31" t="b">
        <v>0</v>
      </c>
      <c r="F539" s="31" t="b">
        <v>0</v>
      </c>
    </row>
    <row r="540">
      <c r="E540" s="31" t="b">
        <v>0</v>
      </c>
      <c r="F540" s="31" t="b">
        <v>0</v>
      </c>
    </row>
    <row r="541">
      <c r="E541" s="31" t="b">
        <v>0</v>
      </c>
      <c r="F541" s="31" t="b">
        <v>0</v>
      </c>
    </row>
    <row r="542">
      <c r="E542" s="31" t="b">
        <v>0</v>
      </c>
      <c r="F542" s="31" t="b">
        <v>0</v>
      </c>
    </row>
    <row r="543">
      <c r="E543" s="31" t="b">
        <v>0</v>
      </c>
      <c r="F543" s="31" t="b">
        <v>0</v>
      </c>
    </row>
    <row r="544">
      <c r="E544" s="31" t="b">
        <v>0</v>
      </c>
      <c r="F544" s="31" t="b">
        <v>0</v>
      </c>
    </row>
    <row r="545">
      <c r="E545" s="31" t="b">
        <v>0</v>
      </c>
      <c r="F545" s="31" t="b">
        <v>0</v>
      </c>
    </row>
    <row r="546">
      <c r="E546" s="31" t="b">
        <v>0</v>
      </c>
      <c r="F546" s="31" t="b">
        <v>0</v>
      </c>
    </row>
    <row r="547">
      <c r="E547" s="31" t="b">
        <v>0</v>
      </c>
      <c r="F547" s="31" t="b">
        <v>0</v>
      </c>
    </row>
    <row r="548">
      <c r="E548" s="31" t="b">
        <v>0</v>
      </c>
      <c r="F548" s="31" t="b">
        <v>0</v>
      </c>
    </row>
    <row r="549">
      <c r="E549" s="31" t="b">
        <v>0</v>
      </c>
      <c r="F549" s="31" t="b">
        <v>0</v>
      </c>
    </row>
    <row r="550">
      <c r="E550" s="31" t="b">
        <v>0</v>
      </c>
      <c r="F550" s="31" t="b">
        <v>0</v>
      </c>
    </row>
    <row r="551">
      <c r="E551" s="31" t="b">
        <v>0</v>
      </c>
      <c r="F551" s="31" t="b">
        <v>0</v>
      </c>
    </row>
    <row r="552">
      <c r="E552" s="31" t="b">
        <v>0</v>
      </c>
      <c r="F552" s="31" t="b">
        <v>0</v>
      </c>
    </row>
    <row r="553">
      <c r="E553" s="31" t="b">
        <v>0</v>
      </c>
      <c r="F553" s="31" t="b">
        <v>0</v>
      </c>
    </row>
    <row r="554">
      <c r="E554" s="31" t="b">
        <v>0</v>
      </c>
      <c r="F554" s="31" t="b">
        <v>0</v>
      </c>
    </row>
    <row r="555">
      <c r="E555" s="31" t="b">
        <v>0</v>
      </c>
      <c r="F555" s="31" t="b">
        <v>0</v>
      </c>
    </row>
    <row r="556">
      <c r="E556" s="31" t="b">
        <v>0</v>
      </c>
      <c r="F556" s="31" t="b">
        <v>0</v>
      </c>
    </row>
    <row r="557">
      <c r="E557" s="31" t="b">
        <v>0</v>
      </c>
      <c r="F557" s="31" t="b">
        <v>0</v>
      </c>
    </row>
    <row r="558">
      <c r="E558" s="31" t="b">
        <v>0</v>
      </c>
      <c r="F558" s="31" t="b">
        <v>0</v>
      </c>
    </row>
    <row r="559">
      <c r="E559" s="31" t="b">
        <v>0</v>
      </c>
      <c r="F559" s="31" t="b">
        <v>0</v>
      </c>
    </row>
    <row r="560">
      <c r="E560" s="31" t="b">
        <v>0</v>
      </c>
      <c r="F560" s="31" t="b">
        <v>0</v>
      </c>
    </row>
    <row r="561">
      <c r="E561" s="31" t="b">
        <v>0</v>
      </c>
      <c r="F561" s="31" t="b">
        <v>0</v>
      </c>
    </row>
    <row r="562">
      <c r="E562" s="31" t="b">
        <v>0</v>
      </c>
      <c r="F562" s="31" t="b">
        <v>0</v>
      </c>
    </row>
    <row r="563">
      <c r="E563" s="31" t="b">
        <v>0</v>
      </c>
      <c r="F563" s="31" t="b">
        <v>0</v>
      </c>
    </row>
    <row r="564">
      <c r="E564" s="31" t="b">
        <v>0</v>
      </c>
      <c r="F564" s="31" t="b">
        <v>0</v>
      </c>
    </row>
    <row r="565">
      <c r="E565" s="31" t="b">
        <v>0</v>
      </c>
      <c r="F565" s="31" t="b">
        <v>0</v>
      </c>
    </row>
    <row r="566">
      <c r="E566" s="31" t="b">
        <v>0</v>
      </c>
      <c r="F566" s="31" t="b">
        <v>0</v>
      </c>
    </row>
    <row r="567">
      <c r="E567" s="31" t="b">
        <v>0</v>
      </c>
      <c r="F567" s="31" t="b">
        <v>0</v>
      </c>
    </row>
    <row r="568">
      <c r="E568" s="31" t="b">
        <v>0</v>
      </c>
      <c r="F568" s="31" t="b">
        <v>0</v>
      </c>
    </row>
    <row r="569">
      <c r="E569" s="31" t="b">
        <v>0</v>
      </c>
      <c r="F569" s="31" t="b">
        <v>0</v>
      </c>
    </row>
    <row r="570">
      <c r="E570" s="31" t="b">
        <v>0</v>
      </c>
      <c r="F570" s="31" t="b">
        <v>0</v>
      </c>
    </row>
    <row r="571">
      <c r="E571" s="31" t="b">
        <v>0</v>
      </c>
      <c r="F571" s="31" t="b">
        <v>0</v>
      </c>
    </row>
    <row r="572">
      <c r="E572" s="31" t="b">
        <v>0</v>
      </c>
      <c r="F572" s="31" t="b">
        <v>0</v>
      </c>
    </row>
    <row r="573">
      <c r="E573" s="31" t="b">
        <v>0</v>
      </c>
      <c r="F573" s="31" t="b">
        <v>0</v>
      </c>
    </row>
    <row r="574">
      <c r="E574" s="31" t="b">
        <v>0</v>
      </c>
      <c r="F574" s="31" t="b">
        <v>0</v>
      </c>
    </row>
    <row r="575">
      <c r="E575" s="31" t="b">
        <v>0</v>
      </c>
      <c r="F575" s="31" t="b">
        <v>0</v>
      </c>
    </row>
    <row r="576">
      <c r="E576" s="31" t="b">
        <v>0</v>
      </c>
      <c r="F576" s="31" t="b">
        <v>0</v>
      </c>
    </row>
    <row r="577">
      <c r="E577" s="31" t="b">
        <v>0</v>
      </c>
      <c r="F577" s="31" t="b">
        <v>0</v>
      </c>
    </row>
    <row r="578">
      <c r="E578" s="31" t="b">
        <v>0</v>
      </c>
      <c r="F578" s="31" t="b">
        <v>0</v>
      </c>
    </row>
    <row r="579">
      <c r="E579" s="31" t="b">
        <v>0</v>
      </c>
      <c r="F579" s="31" t="b">
        <v>0</v>
      </c>
    </row>
    <row r="580">
      <c r="E580" s="31" t="b">
        <v>0</v>
      </c>
      <c r="F580" s="31" t="b">
        <v>0</v>
      </c>
    </row>
    <row r="581">
      <c r="E581" s="31" t="b">
        <v>0</v>
      </c>
      <c r="F581" s="31" t="b">
        <v>0</v>
      </c>
    </row>
    <row r="582">
      <c r="E582" s="31" t="b">
        <v>0</v>
      </c>
      <c r="F582" s="31" t="b">
        <v>0</v>
      </c>
    </row>
    <row r="583">
      <c r="E583" s="31" t="b">
        <v>0</v>
      </c>
      <c r="F583" s="31" t="b">
        <v>0</v>
      </c>
    </row>
    <row r="584">
      <c r="E584" s="31" t="b">
        <v>0</v>
      </c>
      <c r="F584" s="31" t="b">
        <v>0</v>
      </c>
    </row>
    <row r="585">
      <c r="E585" s="31" t="b">
        <v>0</v>
      </c>
      <c r="F585" s="31" t="b">
        <v>0</v>
      </c>
    </row>
    <row r="586">
      <c r="E586" s="31" t="b">
        <v>0</v>
      </c>
      <c r="F586" s="31" t="b">
        <v>0</v>
      </c>
    </row>
    <row r="587">
      <c r="E587" s="31" t="b">
        <v>0</v>
      </c>
      <c r="F587" s="31" t="b">
        <v>0</v>
      </c>
    </row>
    <row r="588">
      <c r="E588" s="31" t="b">
        <v>0</v>
      </c>
      <c r="F588" s="31" t="b">
        <v>0</v>
      </c>
    </row>
    <row r="589">
      <c r="E589" s="31" t="b">
        <v>0</v>
      </c>
      <c r="F589" s="31" t="b">
        <v>0</v>
      </c>
    </row>
    <row r="590">
      <c r="E590" s="31" t="b">
        <v>0</v>
      </c>
      <c r="F590" s="31" t="b">
        <v>0</v>
      </c>
    </row>
    <row r="591">
      <c r="E591" s="31" t="b">
        <v>0</v>
      </c>
      <c r="F591" s="31" t="b">
        <v>0</v>
      </c>
    </row>
    <row r="592">
      <c r="E592" s="31" t="b">
        <v>0</v>
      </c>
      <c r="F592" s="31" t="b">
        <v>0</v>
      </c>
    </row>
    <row r="593">
      <c r="E593" s="31" t="b">
        <v>0</v>
      </c>
      <c r="F593" s="31" t="b">
        <v>0</v>
      </c>
    </row>
    <row r="594">
      <c r="E594" s="31" t="b">
        <v>0</v>
      </c>
      <c r="F594" s="31" t="b">
        <v>0</v>
      </c>
    </row>
    <row r="595">
      <c r="E595" s="31" t="b">
        <v>0</v>
      </c>
      <c r="F595" s="31" t="b">
        <v>0</v>
      </c>
    </row>
    <row r="596">
      <c r="E596" s="31" t="b">
        <v>0</v>
      </c>
      <c r="F596" s="31" t="b">
        <v>0</v>
      </c>
    </row>
    <row r="597">
      <c r="E597" s="31" t="b">
        <v>0</v>
      </c>
      <c r="F597" s="31" t="b">
        <v>0</v>
      </c>
    </row>
    <row r="598">
      <c r="E598" s="31" t="b">
        <v>0</v>
      </c>
      <c r="F598" s="31" t="b">
        <v>0</v>
      </c>
    </row>
    <row r="599">
      <c r="E599" s="31" t="b">
        <v>0</v>
      </c>
      <c r="F599" s="31" t="b">
        <v>0</v>
      </c>
    </row>
    <row r="600">
      <c r="E600" s="31" t="b">
        <v>0</v>
      </c>
      <c r="F600" s="31" t="b">
        <v>0</v>
      </c>
    </row>
    <row r="601">
      <c r="E601" s="31" t="b">
        <v>0</v>
      </c>
      <c r="F601" s="31" t="b">
        <v>0</v>
      </c>
    </row>
    <row r="602">
      <c r="E602" s="31" t="b">
        <v>0</v>
      </c>
      <c r="F602" s="31" t="b">
        <v>0</v>
      </c>
    </row>
    <row r="603">
      <c r="E603" s="31" t="b">
        <v>0</v>
      </c>
      <c r="F603" s="31" t="b">
        <v>0</v>
      </c>
    </row>
    <row r="604">
      <c r="E604" s="31" t="b">
        <v>0</v>
      </c>
      <c r="F604" s="31" t="b">
        <v>0</v>
      </c>
    </row>
    <row r="605">
      <c r="E605" s="31" t="b">
        <v>0</v>
      </c>
      <c r="F605" s="31" t="b">
        <v>0</v>
      </c>
    </row>
    <row r="606">
      <c r="E606" s="31" t="b">
        <v>0</v>
      </c>
      <c r="F606" s="31" t="b">
        <v>0</v>
      </c>
    </row>
    <row r="607">
      <c r="E607" s="31" t="b">
        <v>0</v>
      </c>
      <c r="F607" s="31" t="b">
        <v>0</v>
      </c>
    </row>
    <row r="608">
      <c r="E608" s="31" t="b">
        <v>0</v>
      </c>
      <c r="F608" s="31" t="b">
        <v>0</v>
      </c>
    </row>
    <row r="609">
      <c r="E609" s="31" t="b">
        <v>0</v>
      </c>
      <c r="F609" s="31" t="b">
        <v>0</v>
      </c>
    </row>
    <row r="610">
      <c r="E610" s="31" t="b">
        <v>0</v>
      </c>
      <c r="F610" s="31" t="b">
        <v>0</v>
      </c>
    </row>
    <row r="611">
      <c r="E611" s="31" t="b">
        <v>0</v>
      </c>
      <c r="F611" s="31" t="b">
        <v>0</v>
      </c>
    </row>
    <row r="612">
      <c r="E612" s="31" t="b">
        <v>0</v>
      </c>
      <c r="F612" s="31" t="b">
        <v>0</v>
      </c>
    </row>
    <row r="613">
      <c r="E613" s="31" t="b">
        <v>0</v>
      </c>
      <c r="F613" s="31" t="b">
        <v>0</v>
      </c>
    </row>
    <row r="614">
      <c r="E614" s="31" t="b">
        <v>0</v>
      </c>
      <c r="F614" s="31" t="b">
        <v>0</v>
      </c>
    </row>
    <row r="615">
      <c r="E615" s="31" t="b">
        <v>0</v>
      </c>
      <c r="F615" s="31" t="b">
        <v>0</v>
      </c>
    </row>
    <row r="616">
      <c r="E616" s="31" t="b">
        <v>0</v>
      </c>
      <c r="F616" s="31" t="b">
        <v>0</v>
      </c>
    </row>
    <row r="617">
      <c r="E617" s="31" t="b">
        <v>0</v>
      </c>
      <c r="F617" s="31" t="b">
        <v>0</v>
      </c>
    </row>
    <row r="618">
      <c r="E618" s="31" t="b">
        <v>0</v>
      </c>
      <c r="F618" s="31" t="b">
        <v>0</v>
      </c>
    </row>
    <row r="619">
      <c r="E619" s="31" t="b">
        <v>0</v>
      </c>
      <c r="F619" s="31" t="b">
        <v>0</v>
      </c>
    </row>
    <row r="620">
      <c r="E620" s="31" t="b">
        <v>0</v>
      </c>
      <c r="F620" s="31" t="b">
        <v>0</v>
      </c>
    </row>
    <row r="621">
      <c r="E621" s="31" t="b">
        <v>0</v>
      </c>
      <c r="F621" s="31" t="b">
        <v>0</v>
      </c>
    </row>
    <row r="622">
      <c r="E622" s="31" t="b">
        <v>0</v>
      </c>
      <c r="F622" s="31" t="b">
        <v>0</v>
      </c>
    </row>
    <row r="623">
      <c r="E623" s="31" t="b">
        <v>0</v>
      </c>
      <c r="F623" s="31" t="b">
        <v>0</v>
      </c>
    </row>
    <row r="624">
      <c r="E624" s="31" t="b">
        <v>0</v>
      </c>
      <c r="F624" s="31" t="b">
        <v>0</v>
      </c>
    </row>
    <row r="625">
      <c r="E625" s="31" t="b">
        <v>0</v>
      </c>
      <c r="F625" s="31" t="b">
        <v>0</v>
      </c>
    </row>
    <row r="626">
      <c r="E626" s="31" t="b">
        <v>0</v>
      </c>
      <c r="F626" s="31" t="b">
        <v>0</v>
      </c>
    </row>
    <row r="627">
      <c r="E627" s="31" t="b">
        <v>0</v>
      </c>
      <c r="F627" s="31" t="b">
        <v>0</v>
      </c>
    </row>
    <row r="628">
      <c r="E628" s="31" t="b">
        <v>0</v>
      </c>
      <c r="F628" s="31" t="b">
        <v>0</v>
      </c>
    </row>
    <row r="629">
      <c r="E629" s="31" t="b">
        <v>0</v>
      </c>
      <c r="F629" s="31" t="b">
        <v>0</v>
      </c>
    </row>
    <row r="630">
      <c r="E630" s="31" t="b">
        <v>0</v>
      </c>
      <c r="F630" s="31" t="b">
        <v>0</v>
      </c>
    </row>
    <row r="631">
      <c r="E631" s="31" t="b">
        <v>0</v>
      </c>
      <c r="F631" s="31" t="b">
        <v>0</v>
      </c>
    </row>
    <row r="632">
      <c r="E632" s="31" t="b">
        <v>0</v>
      </c>
      <c r="F632" s="31" t="b">
        <v>0</v>
      </c>
    </row>
    <row r="633">
      <c r="E633" s="31" t="b">
        <v>0</v>
      </c>
      <c r="F633" s="31" t="b">
        <v>0</v>
      </c>
    </row>
    <row r="634">
      <c r="E634" s="31" t="b">
        <v>0</v>
      </c>
      <c r="F634" s="31" t="b">
        <v>0</v>
      </c>
    </row>
    <row r="635">
      <c r="E635" s="31" t="b">
        <v>0</v>
      </c>
      <c r="F635" s="31" t="b">
        <v>0</v>
      </c>
    </row>
    <row r="636">
      <c r="E636" s="31" t="b">
        <v>0</v>
      </c>
      <c r="F636" s="31" t="b">
        <v>0</v>
      </c>
    </row>
    <row r="637">
      <c r="E637" s="31" t="b">
        <v>0</v>
      </c>
      <c r="F637" s="31" t="b">
        <v>0</v>
      </c>
    </row>
    <row r="638">
      <c r="E638" s="31" t="b">
        <v>0</v>
      </c>
      <c r="F638" s="31" t="b">
        <v>0</v>
      </c>
    </row>
    <row r="639">
      <c r="E639" s="31" t="b">
        <v>0</v>
      </c>
      <c r="F639" s="31" t="b">
        <v>0</v>
      </c>
    </row>
    <row r="640">
      <c r="E640" s="31" t="b">
        <v>0</v>
      </c>
      <c r="F640" s="31" t="b">
        <v>0</v>
      </c>
    </row>
    <row r="641">
      <c r="E641" s="31" t="b">
        <v>0</v>
      </c>
      <c r="F641" s="31" t="b">
        <v>0</v>
      </c>
    </row>
    <row r="642">
      <c r="E642" s="31" t="b">
        <v>0</v>
      </c>
      <c r="F642" s="31" t="b">
        <v>0</v>
      </c>
    </row>
    <row r="643">
      <c r="E643" s="31" t="b">
        <v>0</v>
      </c>
      <c r="F643" s="31" t="b">
        <v>0</v>
      </c>
    </row>
    <row r="644">
      <c r="E644" s="31" t="b">
        <v>0</v>
      </c>
      <c r="F644" s="31" t="b">
        <v>0</v>
      </c>
    </row>
    <row r="645">
      <c r="E645" s="31" t="b">
        <v>0</v>
      </c>
      <c r="F645" s="31" t="b">
        <v>0</v>
      </c>
    </row>
    <row r="646">
      <c r="E646" s="31" t="b">
        <v>0</v>
      </c>
      <c r="F646" s="31" t="b">
        <v>0</v>
      </c>
    </row>
    <row r="647">
      <c r="E647" s="31" t="b">
        <v>0</v>
      </c>
      <c r="F647" s="31" t="b">
        <v>0</v>
      </c>
    </row>
    <row r="648">
      <c r="E648" s="31" t="b">
        <v>0</v>
      </c>
      <c r="F648" s="31" t="b">
        <v>0</v>
      </c>
    </row>
    <row r="649">
      <c r="E649" s="31" t="b">
        <v>0</v>
      </c>
      <c r="F649" s="31" t="b">
        <v>0</v>
      </c>
    </row>
    <row r="650">
      <c r="E650" s="31" t="b">
        <v>0</v>
      </c>
      <c r="F650" s="31" t="b">
        <v>0</v>
      </c>
    </row>
    <row r="651">
      <c r="E651" s="31" t="b">
        <v>0</v>
      </c>
      <c r="F651" s="31" t="b">
        <v>0</v>
      </c>
    </row>
    <row r="652">
      <c r="E652" s="31" t="b">
        <v>0</v>
      </c>
      <c r="F652" s="31" t="b">
        <v>0</v>
      </c>
    </row>
    <row r="653">
      <c r="E653" s="31" t="b">
        <v>0</v>
      </c>
      <c r="F653" s="31" t="b">
        <v>0</v>
      </c>
    </row>
    <row r="654">
      <c r="E654" s="31" t="b">
        <v>0</v>
      </c>
      <c r="F654" s="31" t="b">
        <v>0</v>
      </c>
    </row>
    <row r="655">
      <c r="E655" s="31" t="b">
        <v>0</v>
      </c>
      <c r="F655" s="31" t="b">
        <v>0</v>
      </c>
    </row>
    <row r="656">
      <c r="E656" s="31" t="b">
        <v>0</v>
      </c>
      <c r="F656" s="31" t="b">
        <v>0</v>
      </c>
    </row>
    <row r="657">
      <c r="E657" s="31" t="b">
        <v>0</v>
      </c>
      <c r="F657" s="31" t="b">
        <v>0</v>
      </c>
    </row>
    <row r="658">
      <c r="E658" s="31" t="b">
        <v>0</v>
      </c>
      <c r="F658" s="31" t="b">
        <v>0</v>
      </c>
    </row>
    <row r="659">
      <c r="E659" s="31" t="b">
        <v>0</v>
      </c>
      <c r="F659" s="31" t="b">
        <v>0</v>
      </c>
    </row>
    <row r="660">
      <c r="E660" s="31" t="b">
        <v>0</v>
      </c>
      <c r="F660" s="31" t="b">
        <v>0</v>
      </c>
    </row>
    <row r="661">
      <c r="E661" s="31" t="b">
        <v>0</v>
      </c>
      <c r="F661" s="31" t="b">
        <v>0</v>
      </c>
    </row>
    <row r="662">
      <c r="E662" s="31" t="b">
        <v>0</v>
      </c>
      <c r="F662" s="31" t="b">
        <v>0</v>
      </c>
    </row>
    <row r="663">
      <c r="E663" s="31" t="b">
        <v>0</v>
      </c>
      <c r="F663" s="31" t="b">
        <v>0</v>
      </c>
    </row>
    <row r="664">
      <c r="E664" s="31" t="b">
        <v>0</v>
      </c>
      <c r="F664" s="31" t="b">
        <v>0</v>
      </c>
    </row>
    <row r="665">
      <c r="E665" s="31" t="b">
        <v>0</v>
      </c>
      <c r="F665" s="31" t="b">
        <v>0</v>
      </c>
    </row>
    <row r="666">
      <c r="E666" s="31" t="b">
        <v>0</v>
      </c>
      <c r="F666" s="31" t="b">
        <v>0</v>
      </c>
    </row>
    <row r="667">
      <c r="E667" s="31" t="b">
        <v>0</v>
      </c>
      <c r="F667" s="31" t="b">
        <v>0</v>
      </c>
    </row>
    <row r="668">
      <c r="E668" s="31" t="b">
        <v>0</v>
      </c>
      <c r="F668" s="31" t="b">
        <v>0</v>
      </c>
    </row>
    <row r="669">
      <c r="E669" s="31" t="b">
        <v>0</v>
      </c>
      <c r="F669" s="31" t="b">
        <v>0</v>
      </c>
    </row>
    <row r="670">
      <c r="E670" s="31" t="b">
        <v>0</v>
      </c>
      <c r="F670" s="31" t="b">
        <v>0</v>
      </c>
    </row>
    <row r="671">
      <c r="E671" s="31" t="b">
        <v>0</v>
      </c>
      <c r="F671" s="31" t="b">
        <v>0</v>
      </c>
    </row>
    <row r="672">
      <c r="E672" s="31" t="b">
        <v>0</v>
      </c>
      <c r="F672" s="31" t="b">
        <v>0</v>
      </c>
    </row>
    <row r="673">
      <c r="E673" s="31" t="b">
        <v>0</v>
      </c>
      <c r="F673" s="31" t="b">
        <v>0</v>
      </c>
    </row>
    <row r="674">
      <c r="E674" s="31" t="b">
        <v>0</v>
      </c>
      <c r="F674" s="31" t="b">
        <v>0</v>
      </c>
    </row>
    <row r="675">
      <c r="E675" s="31" t="b">
        <v>0</v>
      </c>
      <c r="F675" s="31" t="b">
        <v>0</v>
      </c>
    </row>
    <row r="676">
      <c r="E676" s="31" t="b">
        <v>0</v>
      </c>
      <c r="F676" s="31" t="b">
        <v>0</v>
      </c>
    </row>
    <row r="677">
      <c r="E677" s="31" t="b">
        <v>0</v>
      </c>
      <c r="F677" s="31" t="b">
        <v>0</v>
      </c>
    </row>
    <row r="678">
      <c r="E678" s="31" t="b">
        <v>0</v>
      </c>
      <c r="F678" s="31" t="b">
        <v>0</v>
      </c>
    </row>
    <row r="679">
      <c r="E679" s="31" t="b">
        <v>0</v>
      </c>
      <c r="F679" s="31" t="b">
        <v>0</v>
      </c>
    </row>
    <row r="680">
      <c r="E680" s="31" t="b">
        <v>0</v>
      </c>
      <c r="F680" s="31" t="b">
        <v>0</v>
      </c>
    </row>
    <row r="681">
      <c r="E681" s="31" t="b">
        <v>0</v>
      </c>
      <c r="F681" s="31" t="b">
        <v>0</v>
      </c>
    </row>
    <row r="682">
      <c r="E682" s="31" t="b">
        <v>0</v>
      </c>
      <c r="F682" s="31" t="b">
        <v>0</v>
      </c>
    </row>
    <row r="683">
      <c r="E683" s="31" t="b">
        <v>0</v>
      </c>
      <c r="F683" s="31" t="b">
        <v>0</v>
      </c>
    </row>
    <row r="684">
      <c r="E684" s="31" t="b">
        <v>0</v>
      </c>
      <c r="F684" s="31" t="b">
        <v>0</v>
      </c>
    </row>
    <row r="685">
      <c r="E685" s="31" t="b">
        <v>0</v>
      </c>
      <c r="F685" s="31" t="b">
        <v>0</v>
      </c>
    </row>
    <row r="686">
      <c r="E686" s="31" t="b">
        <v>0</v>
      </c>
      <c r="F686" s="31" t="b">
        <v>0</v>
      </c>
    </row>
    <row r="687">
      <c r="E687" s="31" t="b">
        <v>0</v>
      </c>
      <c r="F687" s="31" t="b">
        <v>0</v>
      </c>
    </row>
    <row r="688">
      <c r="E688" s="31" t="b">
        <v>0</v>
      </c>
      <c r="F688" s="31" t="b">
        <v>0</v>
      </c>
    </row>
    <row r="689">
      <c r="E689" s="31" t="b">
        <v>0</v>
      </c>
      <c r="F689" s="31" t="b">
        <v>0</v>
      </c>
    </row>
    <row r="690">
      <c r="E690" s="31" t="b">
        <v>0</v>
      </c>
      <c r="F690" s="31" t="b">
        <v>0</v>
      </c>
    </row>
    <row r="691">
      <c r="E691" s="31" t="b">
        <v>0</v>
      </c>
      <c r="F691" s="31" t="b">
        <v>0</v>
      </c>
    </row>
    <row r="692">
      <c r="E692" s="31" t="b">
        <v>0</v>
      </c>
      <c r="F692" s="31" t="b">
        <v>0</v>
      </c>
    </row>
    <row r="693">
      <c r="E693" s="31" t="b">
        <v>0</v>
      </c>
      <c r="F693" s="31" t="b">
        <v>0</v>
      </c>
    </row>
    <row r="694">
      <c r="E694" s="31" t="b">
        <v>0</v>
      </c>
      <c r="F694" s="31" t="b">
        <v>0</v>
      </c>
    </row>
    <row r="695">
      <c r="E695" s="31" t="b">
        <v>0</v>
      </c>
      <c r="F695" s="31" t="b">
        <v>0</v>
      </c>
    </row>
    <row r="696">
      <c r="E696" s="31" t="b">
        <v>0</v>
      </c>
      <c r="F696" s="31" t="b">
        <v>0</v>
      </c>
    </row>
    <row r="697">
      <c r="E697" s="31" t="b">
        <v>0</v>
      </c>
      <c r="F697" s="31" t="b">
        <v>0</v>
      </c>
    </row>
    <row r="698">
      <c r="E698" s="31" t="b">
        <v>0</v>
      </c>
      <c r="F698" s="31" t="b">
        <v>0</v>
      </c>
    </row>
    <row r="699">
      <c r="E699" s="31" t="b">
        <v>0</v>
      </c>
      <c r="F699" s="31" t="b">
        <v>0</v>
      </c>
    </row>
    <row r="700">
      <c r="E700" s="31" t="b">
        <v>0</v>
      </c>
      <c r="F700" s="31" t="b">
        <v>0</v>
      </c>
    </row>
    <row r="701">
      <c r="E701" s="31" t="b">
        <v>0</v>
      </c>
      <c r="F701" s="31" t="b">
        <v>0</v>
      </c>
    </row>
    <row r="702">
      <c r="E702" s="31" t="b">
        <v>0</v>
      </c>
      <c r="F702" s="31" t="b">
        <v>0</v>
      </c>
    </row>
    <row r="703">
      <c r="E703" s="31" t="b">
        <v>0</v>
      </c>
      <c r="F703" s="31" t="b">
        <v>0</v>
      </c>
    </row>
    <row r="704">
      <c r="E704" s="31" t="b">
        <v>0</v>
      </c>
      <c r="F704" s="31" t="b">
        <v>0</v>
      </c>
    </row>
    <row r="705">
      <c r="E705" s="31" t="b">
        <v>0</v>
      </c>
      <c r="F705" s="31" t="b">
        <v>0</v>
      </c>
    </row>
    <row r="706">
      <c r="E706" s="31" t="b">
        <v>0</v>
      </c>
      <c r="F706" s="31" t="b">
        <v>0</v>
      </c>
    </row>
    <row r="707">
      <c r="E707" s="31" t="b">
        <v>0</v>
      </c>
      <c r="F707" s="31" t="b">
        <v>0</v>
      </c>
    </row>
    <row r="708">
      <c r="E708" s="31" t="b">
        <v>0</v>
      </c>
      <c r="F708" s="31" t="b">
        <v>0</v>
      </c>
    </row>
    <row r="709">
      <c r="E709" s="31" t="b">
        <v>0</v>
      </c>
      <c r="F709" s="31" t="b">
        <v>0</v>
      </c>
    </row>
    <row r="710">
      <c r="E710" s="31" t="b">
        <v>0</v>
      </c>
      <c r="F710" s="31" t="b">
        <v>0</v>
      </c>
    </row>
    <row r="711">
      <c r="E711" s="31" t="b">
        <v>0</v>
      </c>
      <c r="F711" s="31" t="b">
        <v>0</v>
      </c>
    </row>
    <row r="712">
      <c r="E712" s="31" t="b">
        <v>0</v>
      </c>
      <c r="F712" s="31" t="b">
        <v>0</v>
      </c>
    </row>
    <row r="713">
      <c r="E713" s="31" t="b">
        <v>0</v>
      </c>
      <c r="F713" s="31" t="b">
        <v>0</v>
      </c>
    </row>
    <row r="714">
      <c r="E714" s="31" t="b">
        <v>0</v>
      </c>
      <c r="F714" s="31" t="b">
        <v>0</v>
      </c>
    </row>
    <row r="715">
      <c r="E715" s="31" t="b">
        <v>0</v>
      </c>
      <c r="F715" s="31" t="b">
        <v>0</v>
      </c>
    </row>
    <row r="716">
      <c r="E716" s="31" t="b">
        <v>0</v>
      </c>
      <c r="F716" s="31" t="b">
        <v>0</v>
      </c>
    </row>
    <row r="717">
      <c r="E717" s="31" t="b">
        <v>0</v>
      </c>
      <c r="F717" s="31" t="b">
        <v>0</v>
      </c>
    </row>
    <row r="718">
      <c r="E718" s="31" t="b">
        <v>0</v>
      </c>
      <c r="F718" s="31" t="b">
        <v>0</v>
      </c>
    </row>
    <row r="719">
      <c r="E719" s="31" t="b">
        <v>0</v>
      </c>
      <c r="F719" s="31" t="b">
        <v>0</v>
      </c>
    </row>
    <row r="720">
      <c r="E720" s="31" t="b">
        <v>0</v>
      </c>
      <c r="F720" s="31" t="b">
        <v>0</v>
      </c>
    </row>
    <row r="721">
      <c r="E721" s="31" t="b">
        <v>0</v>
      </c>
      <c r="F721" s="31" t="b">
        <v>0</v>
      </c>
    </row>
    <row r="722">
      <c r="E722" s="31" t="b">
        <v>0</v>
      </c>
      <c r="F722" s="31" t="b">
        <v>0</v>
      </c>
    </row>
    <row r="723">
      <c r="E723" s="31" t="b">
        <v>0</v>
      </c>
      <c r="F723" s="31" t="b">
        <v>0</v>
      </c>
    </row>
    <row r="724">
      <c r="E724" s="31" t="b">
        <v>0</v>
      </c>
      <c r="F724" s="31" t="b">
        <v>0</v>
      </c>
    </row>
    <row r="725">
      <c r="E725" s="31" t="b">
        <v>0</v>
      </c>
      <c r="F725" s="31" t="b">
        <v>0</v>
      </c>
    </row>
    <row r="726">
      <c r="E726" s="31" t="b">
        <v>0</v>
      </c>
      <c r="F726" s="31" t="b">
        <v>0</v>
      </c>
    </row>
    <row r="727">
      <c r="E727" s="31" t="b">
        <v>0</v>
      </c>
      <c r="F727" s="31" t="b">
        <v>0</v>
      </c>
    </row>
    <row r="728">
      <c r="E728" s="31" t="b">
        <v>0</v>
      </c>
      <c r="F728" s="31" t="b">
        <v>0</v>
      </c>
    </row>
    <row r="729">
      <c r="E729" s="31" t="b">
        <v>0</v>
      </c>
      <c r="F729" s="31" t="b">
        <v>0</v>
      </c>
    </row>
    <row r="730">
      <c r="E730" s="31" t="b">
        <v>0</v>
      </c>
      <c r="F730" s="31" t="b">
        <v>0</v>
      </c>
    </row>
    <row r="731">
      <c r="E731" s="31" t="b">
        <v>0</v>
      </c>
      <c r="F731" s="31" t="b">
        <v>0</v>
      </c>
    </row>
    <row r="732">
      <c r="E732" s="31" t="b">
        <v>0</v>
      </c>
      <c r="F732" s="31" t="b">
        <v>0</v>
      </c>
    </row>
    <row r="733">
      <c r="E733" s="31" t="b">
        <v>0</v>
      </c>
      <c r="F733" s="31" t="b">
        <v>0</v>
      </c>
    </row>
    <row r="734">
      <c r="E734" s="31" t="b">
        <v>0</v>
      </c>
      <c r="F734" s="31" t="b">
        <v>0</v>
      </c>
    </row>
    <row r="735">
      <c r="E735" s="31" t="b">
        <v>0</v>
      </c>
      <c r="F735" s="31" t="b">
        <v>0</v>
      </c>
    </row>
    <row r="736">
      <c r="E736" s="31" t="b">
        <v>0</v>
      </c>
      <c r="F736" s="31" t="b">
        <v>0</v>
      </c>
    </row>
    <row r="737">
      <c r="E737" s="31" t="b">
        <v>0</v>
      </c>
      <c r="F737" s="31" t="b">
        <v>0</v>
      </c>
    </row>
    <row r="738">
      <c r="E738" s="31" t="b">
        <v>0</v>
      </c>
      <c r="F738" s="31" t="b">
        <v>0</v>
      </c>
    </row>
    <row r="739">
      <c r="E739" s="31" t="b">
        <v>0</v>
      </c>
      <c r="F739" s="31" t="b">
        <v>0</v>
      </c>
    </row>
    <row r="740">
      <c r="E740" s="31" t="b">
        <v>0</v>
      </c>
      <c r="F740" s="31" t="b">
        <v>0</v>
      </c>
    </row>
    <row r="741">
      <c r="E741" s="31" t="b">
        <v>0</v>
      </c>
      <c r="F741" s="31" t="b">
        <v>0</v>
      </c>
    </row>
    <row r="742">
      <c r="E742" s="31" t="b">
        <v>0</v>
      </c>
      <c r="F742" s="31" t="b">
        <v>0</v>
      </c>
    </row>
    <row r="743">
      <c r="E743" s="31" t="b">
        <v>0</v>
      </c>
      <c r="F743" s="31" t="b">
        <v>0</v>
      </c>
    </row>
    <row r="744">
      <c r="E744" s="31" t="b">
        <v>0</v>
      </c>
      <c r="F744" s="31" t="b">
        <v>0</v>
      </c>
    </row>
    <row r="745">
      <c r="E745" s="31" t="b">
        <v>0</v>
      </c>
      <c r="F745" s="31" t="b">
        <v>0</v>
      </c>
    </row>
    <row r="746">
      <c r="E746" s="31" t="b">
        <v>0</v>
      </c>
      <c r="F746" s="31" t="b">
        <v>0</v>
      </c>
    </row>
    <row r="747">
      <c r="E747" s="31" t="b">
        <v>0</v>
      </c>
      <c r="F747" s="31" t="b">
        <v>0</v>
      </c>
    </row>
    <row r="748">
      <c r="E748" s="31" t="b">
        <v>0</v>
      </c>
      <c r="F748" s="31" t="b">
        <v>0</v>
      </c>
    </row>
    <row r="749">
      <c r="E749" s="31" t="b">
        <v>0</v>
      </c>
      <c r="F749" s="31" t="b">
        <v>0</v>
      </c>
    </row>
    <row r="750">
      <c r="E750" s="31" t="b">
        <v>0</v>
      </c>
      <c r="F750" s="31" t="b">
        <v>0</v>
      </c>
    </row>
    <row r="751">
      <c r="E751" s="31" t="b">
        <v>0</v>
      </c>
      <c r="F751" s="31" t="b">
        <v>0</v>
      </c>
    </row>
    <row r="752">
      <c r="E752" s="31" t="b">
        <v>0</v>
      </c>
      <c r="F752" s="31" t="b">
        <v>0</v>
      </c>
    </row>
    <row r="753">
      <c r="E753" s="31" t="b">
        <v>0</v>
      </c>
      <c r="F753" s="31" t="b">
        <v>0</v>
      </c>
    </row>
    <row r="754">
      <c r="E754" s="31" t="b">
        <v>0</v>
      </c>
      <c r="F754" s="31" t="b">
        <v>0</v>
      </c>
    </row>
    <row r="755">
      <c r="E755" s="31" t="b">
        <v>0</v>
      </c>
      <c r="F755" s="31" t="b">
        <v>0</v>
      </c>
    </row>
    <row r="756">
      <c r="E756" s="31" t="b">
        <v>0</v>
      </c>
      <c r="F756" s="31" t="b">
        <v>0</v>
      </c>
    </row>
    <row r="757">
      <c r="E757" s="31" t="b">
        <v>0</v>
      </c>
      <c r="F757" s="31" t="b">
        <v>0</v>
      </c>
    </row>
    <row r="758">
      <c r="E758" s="31" t="b">
        <v>0</v>
      </c>
      <c r="F758" s="31" t="b">
        <v>0</v>
      </c>
    </row>
    <row r="759">
      <c r="E759" s="31" t="b">
        <v>0</v>
      </c>
      <c r="F759" s="31" t="b">
        <v>0</v>
      </c>
    </row>
    <row r="760">
      <c r="E760" s="31" t="b">
        <v>0</v>
      </c>
      <c r="F760" s="31" t="b">
        <v>0</v>
      </c>
    </row>
    <row r="761">
      <c r="E761" s="31" t="b">
        <v>0</v>
      </c>
      <c r="F761" s="31" t="b">
        <v>0</v>
      </c>
    </row>
    <row r="762">
      <c r="E762" s="31" t="b">
        <v>0</v>
      </c>
      <c r="F762" s="31" t="b">
        <v>0</v>
      </c>
    </row>
    <row r="763">
      <c r="E763" s="31" t="b">
        <v>0</v>
      </c>
      <c r="F763" s="31" t="b">
        <v>0</v>
      </c>
    </row>
    <row r="764">
      <c r="E764" s="31" t="b">
        <v>0</v>
      </c>
      <c r="F764" s="31" t="b">
        <v>0</v>
      </c>
    </row>
    <row r="765">
      <c r="E765" s="31" t="b">
        <v>0</v>
      </c>
      <c r="F765" s="31" t="b">
        <v>0</v>
      </c>
    </row>
    <row r="766">
      <c r="E766" s="31" t="b">
        <v>0</v>
      </c>
      <c r="F766" s="31" t="b">
        <v>0</v>
      </c>
    </row>
    <row r="767">
      <c r="E767" s="31" t="b">
        <v>0</v>
      </c>
      <c r="F767" s="31" t="b">
        <v>0</v>
      </c>
    </row>
    <row r="768">
      <c r="E768" s="31" t="b">
        <v>0</v>
      </c>
      <c r="F768" s="31" t="b">
        <v>0</v>
      </c>
    </row>
    <row r="769">
      <c r="E769" s="31" t="b">
        <v>0</v>
      </c>
      <c r="F769" s="31" t="b">
        <v>0</v>
      </c>
    </row>
    <row r="770">
      <c r="E770" s="31" t="b">
        <v>0</v>
      </c>
      <c r="F770" s="31" t="b">
        <v>0</v>
      </c>
    </row>
    <row r="771">
      <c r="E771" s="31" t="b">
        <v>0</v>
      </c>
      <c r="F771" s="31" t="b">
        <v>0</v>
      </c>
    </row>
    <row r="772">
      <c r="E772" s="31" t="b">
        <v>0</v>
      </c>
      <c r="F772" s="31" t="b">
        <v>0</v>
      </c>
    </row>
    <row r="773">
      <c r="E773" s="31" t="b">
        <v>0</v>
      </c>
      <c r="F773" s="31" t="b">
        <v>0</v>
      </c>
    </row>
    <row r="774">
      <c r="E774" s="31" t="b">
        <v>0</v>
      </c>
      <c r="F774" s="31" t="b">
        <v>0</v>
      </c>
    </row>
    <row r="775">
      <c r="E775" s="31" t="b">
        <v>0</v>
      </c>
      <c r="F775" s="31" t="b">
        <v>0</v>
      </c>
    </row>
    <row r="776">
      <c r="E776" s="31" t="b">
        <v>0</v>
      </c>
      <c r="F776" s="31" t="b">
        <v>0</v>
      </c>
    </row>
    <row r="777">
      <c r="E777" s="31" t="b">
        <v>0</v>
      </c>
      <c r="F777" s="31" t="b">
        <v>0</v>
      </c>
    </row>
    <row r="778">
      <c r="E778" s="31" t="b">
        <v>0</v>
      </c>
      <c r="F778" s="31" t="b">
        <v>0</v>
      </c>
    </row>
    <row r="779">
      <c r="E779" s="31" t="b">
        <v>0</v>
      </c>
      <c r="F779" s="31" t="b">
        <v>0</v>
      </c>
    </row>
    <row r="780">
      <c r="E780" s="31" t="b">
        <v>0</v>
      </c>
      <c r="F780" s="31" t="b">
        <v>0</v>
      </c>
    </row>
    <row r="781">
      <c r="E781" s="31" t="b">
        <v>0</v>
      </c>
      <c r="F781" s="31" t="b">
        <v>0</v>
      </c>
    </row>
    <row r="782">
      <c r="E782" s="31" t="b">
        <v>0</v>
      </c>
      <c r="F782" s="31" t="b">
        <v>0</v>
      </c>
    </row>
    <row r="783">
      <c r="E783" s="31" t="b">
        <v>0</v>
      </c>
      <c r="F783" s="31" t="b">
        <v>0</v>
      </c>
    </row>
    <row r="784">
      <c r="E784" s="31" t="b">
        <v>0</v>
      </c>
      <c r="F784" s="31" t="b">
        <v>0</v>
      </c>
    </row>
    <row r="785">
      <c r="E785" s="31" t="b">
        <v>0</v>
      </c>
      <c r="F785" s="31" t="b">
        <v>0</v>
      </c>
    </row>
    <row r="786">
      <c r="E786" s="31" t="b">
        <v>0</v>
      </c>
      <c r="F786" s="31" t="b">
        <v>0</v>
      </c>
    </row>
    <row r="787">
      <c r="E787" s="31" t="b">
        <v>0</v>
      </c>
      <c r="F787" s="31" t="b">
        <v>0</v>
      </c>
    </row>
    <row r="788">
      <c r="E788" s="31" t="b">
        <v>0</v>
      </c>
      <c r="F788" s="31" t="b">
        <v>0</v>
      </c>
    </row>
    <row r="789">
      <c r="E789" s="31" t="b">
        <v>0</v>
      </c>
      <c r="F789" s="31" t="b">
        <v>0</v>
      </c>
    </row>
    <row r="790">
      <c r="E790" s="31" t="b">
        <v>0</v>
      </c>
      <c r="F790" s="31" t="b">
        <v>0</v>
      </c>
    </row>
    <row r="791">
      <c r="E791" s="31" t="b">
        <v>0</v>
      </c>
      <c r="F791" s="31" t="b">
        <v>0</v>
      </c>
    </row>
    <row r="792">
      <c r="E792" s="31" t="b">
        <v>0</v>
      </c>
      <c r="F792" s="31" t="b">
        <v>0</v>
      </c>
    </row>
    <row r="793">
      <c r="E793" s="31" t="b">
        <v>0</v>
      </c>
      <c r="F793" s="31" t="b">
        <v>0</v>
      </c>
    </row>
    <row r="794">
      <c r="E794" s="31" t="b">
        <v>0</v>
      </c>
      <c r="F794" s="31" t="b">
        <v>0</v>
      </c>
    </row>
    <row r="795">
      <c r="E795" s="31" t="b">
        <v>0</v>
      </c>
      <c r="F795" s="31" t="b">
        <v>0</v>
      </c>
    </row>
    <row r="796">
      <c r="E796" s="31" t="b">
        <v>0</v>
      </c>
      <c r="F796" s="31" t="b">
        <v>0</v>
      </c>
    </row>
    <row r="797">
      <c r="E797" s="31" t="b">
        <v>0</v>
      </c>
      <c r="F797" s="31" t="b">
        <v>0</v>
      </c>
    </row>
    <row r="798">
      <c r="E798" s="31" t="b">
        <v>0</v>
      </c>
      <c r="F798" s="31" t="b">
        <v>0</v>
      </c>
    </row>
    <row r="799">
      <c r="E799" s="31" t="b">
        <v>0</v>
      </c>
      <c r="F799" s="31" t="b">
        <v>0</v>
      </c>
    </row>
    <row r="800">
      <c r="E800" s="31" t="b">
        <v>0</v>
      </c>
      <c r="F800" s="31" t="b">
        <v>0</v>
      </c>
    </row>
    <row r="801">
      <c r="E801" s="31" t="b">
        <v>0</v>
      </c>
      <c r="F801" s="31" t="b">
        <v>0</v>
      </c>
    </row>
    <row r="802">
      <c r="E802" s="31" t="b">
        <v>0</v>
      </c>
      <c r="F802" s="31" t="b">
        <v>0</v>
      </c>
    </row>
    <row r="803">
      <c r="E803" s="31" t="b">
        <v>0</v>
      </c>
      <c r="F803" s="31" t="b">
        <v>0</v>
      </c>
    </row>
    <row r="804">
      <c r="E804" s="31" t="b">
        <v>0</v>
      </c>
      <c r="F804" s="31" t="b">
        <v>0</v>
      </c>
    </row>
    <row r="805">
      <c r="E805" s="31" t="b">
        <v>0</v>
      </c>
      <c r="F805" s="31" t="b">
        <v>0</v>
      </c>
    </row>
    <row r="806">
      <c r="E806" s="31" t="b">
        <v>0</v>
      </c>
      <c r="F806" s="31" t="b">
        <v>0</v>
      </c>
    </row>
    <row r="807">
      <c r="E807" s="31" t="b">
        <v>0</v>
      </c>
      <c r="F807" s="31" t="b">
        <v>0</v>
      </c>
    </row>
    <row r="808">
      <c r="E808" s="31" t="b">
        <v>0</v>
      </c>
      <c r="F808" s="31" t="b">
        <v>0</v>
      </c>
    </row>
    <row r="809">
      <c r="E809" s="31" t="b">
        <v>0</v>
      </c>
      <c r="F809" s="31" t="b">
        <v>0</v>
      </c>
    </row>
    <row r="810">
      <c r="E810" s="31" t="b">
        <v>0</v>
      </c>
      <c r="F810" s="31" t="b">
        <v>0</v>
      </c>
    </row>
    <row r="811">
      <c r="E811" s="31" t="b">
        <v>0</v>
      </c>
      <c r="F811" s="31" t="b">
        <v>0</v>
      </c>
    </row>
    <row r="812">
      <c r="E812" s="31" t="b">
        <v>0</v>
      </c>
      <c r="F812" s="31" t="b">
        <v>0</v>
      </c>
    </row>
    <row r="813">
      <c r="E813" s="31" t="b">
        <v>0</v>
      </c>
      <c r="F813" s="31" t="b">
        <v>0</v>
      </c>
    </row>
    <row r="814">
      <c r="E814" s="31" t="b">
        <v>0</v>
      </c>
      <c r="F814" s="31" t="b">
        <v>0</v>
      </c>
    </row>
    <row r="815">
      <c r="E815" s="31" t="b">
        <v>0</v>
      </c>
      <c r="F815" s="31" t="b">
        <v>0</v>
      </c>
    </row>
    <row r="816">
      <c r="E816" s="31" t="b">
        <v>0</v>
      </c>
      <c r="F816" s="31" t="b">
        <v>0</v>
      </c>
    </row>
    <row r="817">
      <c r="E817" s="31" t="b">
        <v>0</v>
      </c>
      <c r="F817" s="31" t="b">
        <v>0</v>
      </c>
    </row>
    <row r="818">
      <c r="E818" s="31" t="b">
        <v>0</v>
      </c>
      <c r="F818" s="31" t="b">
        <v>0</v>
      </c>
    </row>
    <row r="819">
      <c r="E819" s="31" t="b">
        <v>0</v>
      </c>
      <c r="F819" s="31" t="b">
        <v>0</v>
      </c>
    </row>
    <row r="820">
      <c r="E820" s="31" t="b">
        <v>0</v>
      </c>
      <c r="F820" s="31" t="b">
        <v>0</v>
      </c>
    </row>
    <row r="821">
      <c r="E821" s="31" t="b">
        <v>0</v>
      </c>
      <c r="F821" s="31" t="b">
        <v>0</v>
      </c>
    </row>
    <row r="822">
      <c r="E822" s="31" t="b">
        <v>0</v>
      </c>
      <c r="F822" s="31" t="b">
        <v>0</v>
      </c>
    </row>
    <row r="823">
      <c r="E823" s="31" t="b">
        <v>0</v>
      </c>
      <c r="F823" s="31" t="b">
        <v>0</v>
      </c>
    </row>
    <row r="824">
      <c r="E824" s="31" t="b">
        <v>0</v>
      </c>
      <c r="F824" s="31" t="b">
        <v>0</v>
      </c>
    </row>
    <row r="825">
      <c r="E825" s="31" t="b">
        <v>0</v>
      </c>
      <c r="F825" s="31" t="b">
        <v>0</v>
      </c>
    </row>
    <row r="826">
      <c r="E826" s="31" t="b">
        <v>0</v>
      </c>
      <c r="F826" s="31" t="b">
        <v>0</v>
      </c>
    </row>
    <row r="827">
      <c r="E827" s="31" t="b">
        <v>0</v>
      </c>
      <c r="F827" s="31" t="b">
        <v>0</v>
      </c>
    </row>
    <row r="828">
      <c r="E828" s="31" t="b">
        <v>0</v>
      </c>
      <c r="F828" s="31" t="b">
        <v>0</v>
      </c>
    </row>
    <row r="829">
      <c r="E829" s="31" t="b">
        <v>0</v>
      </c>
      <c r="F829" s="31" t="b">
        <v>0</v>
      </c>
    </row>
    <row r="830">
      <c r="E830" s="31" t="b">
        <v>0</v>
      </c>
      <c r="F830" s="31" t="b">
        <v>0</v>
      </c>
    </row>
    <row r="831">
      <c r="E831" s="31" t="b">
        <v>0</v>
      </c>
      <c r="F831" s="31" t="b">
        <v>0</v>
      </c>
    </row>
    <row r="832">
      <c r="E832" s="31" t="b">
        <v>0</v>
      </c>
      <c r="F832" s="31" t="b">
        <v>0</v>
      </c>
    </row>
    <row r="833">
      <c r="E833" s="31" t="b">
        <v>0</v>
      </c>
      <c r="F833" s="31" t="b">
        <v>0</v>
      </c>
    </row>
    <row r="834">
      <c r="E834" s="31" t="b">
        <v>0</v>
      </c>
      <c r="F834" s="31" t="b">
        <v>0</v>
      </c>
    </row>
    <row r="835">
      <c r="E835" s="31" t="b">
        <v>0</v>
      </c>
      <c r="F835" s="31" t="b">
        <v>0</v>
      </c>
    </row>
    <row r="836">
      <c r="E836" s="31" t="b">
        <v>0</v>
      </c>
      <c r="F836" s="31" t="b">
        <v>0</v>
      </c>
    </row>
    <row r="837">
      <c r="E837" s="31" t="b">
        <v>0</v>
      </c>
      <c r="F837" s="31" t="b">
        <v>0</v>
      </c>
    </row>
    <row r="838">
      <c r="E838" s="31" t="b">
        <v>0</v>
      </c>
      <c r="F838" s="31" t="b">
        <v>0</v>
      </c>
    </row>
    <row r="839">
      <c r="E839" s="31" t="b">
        <v>0</v>
      </c>
      <c r="F839" s="31" t="b">
        <v>0</v>
      </c>
    </row>
    <row r="840">
      <c r="E840" s="31" t="b">
        <v>0</v>
      </c>
      <c r="F840" s="31" t="b">
        <v>0</v>
      </c>
    </row>
    <row r="841">
      <c r="E841" s="31" t="b">
        <v>0</v>
      </c>
      <c r="F841" s="31" t="b">
        <v>0</v>
      </c>
    </row>
    <row r="842">
      <c r="E842" s="31" t="b">
        <v>0</v>
      </c>
      <c r="F842" s="31" t="b">
        <v>0</v>
      </c>
    </row>
    <row r="843">
      <c r="E843" s="31" t="b">
        <v>0</v>
      </c>
      <c r="F843" s="31" t="b">
        <v>0</v>
      </c>
    </row>
    <row r="844">
      <c r="E844" s="31" t="b">
        <v>0</v>
      </c>
      <c r="F844" s="31" t="b">
        <v>0</v>
      </c>
    </row>
    <row r="845">
      <c r="E845" s="31" t="b">
        <v>0</v>
      </c>
      <c r="F845" s="31" t="b">
        <v>0</v>
      </c>
    </row>
    <row r="846">
      <c r="E846" s="31" t="b">
        <v>0</v>
      </c>
      <c r="F846" s="31" t="b">
        <v>0</v>
      </c>
    </row>
    <row r="847">
      <c r="E847" s="31" t="b">
        <v>0</v>
      </c>
      <c r="F847" s="31" t="b">
        <v>0</v>
      </c>
    </row>
    <row r="848">
      <c r="E848" s="31" t="b">
        <v>0</v>
      </c>
      <c r="F848" s="31" t="b">
        <v>0</v>
      </c>
    </row>
    <row r="849">
      <c r="E849" s="31" t="b">
        <v>0</v>
      </c>
      <c r="F849" s="31" t="b">
        <v>0</v>
      </c>
    </row>
    <row r="850">
      <c r="E850" s="31" t="b">
        <v>0</v>
      </c>
      <c r="F850" s="31" t="b">
        <v>0</v>
      </c>
    </row>
    <row r="851">
      <c r="E851" s="31" t="b">
        <v>0</v>
      </c>
      <c r="F851" s="31" t="b">
        <v>0</v>
      </c>
    </row>
    <row r="852">
      <c r="E852" s="31" t="b">
        <v>0</v>
      </c>
      <c r="F852" s="31" t="b">
        <v>0</v>
      </c>
    </row>
    <row r="853">
      <c r="E853" s="31" t="b">
        <v>0</v>
      </c>
      <c r="F853" s="31" t="b">
        <v>0</v>
      </c>
    </row>
    <row r="854">
      <c r="E854" s="31" t="b">
        <v>0</v>
      </c>
      <c r="F854" s="31" t="b">
        <v>0</v>
      </c>
    </row>
    <row r="855">
      <c r="E855" s="31" t="b">
        <v>0</v>
      </c>
      <c r="F855" s="31" t="b">
        <v>0</v>
      </c>
    </row>
    <row r="856">
      <c r="E856" s="31" t="b">
        <v>0</v>
      </c>
      <c r="F856" s="31" t="b">
        <v>0</v>
      </c>
    </row>
    <row r="857">
      <c r="E857" s="31" t="b">
        <v>0</v>
      </c>
      <c r="F857" s="31" t="b">
        <v>0</v>
      </c>
    </row>
    <row r="858">
      <c r="E858" s="31" t="b">
        <v>0</v>
      </c>
      <c r="F858" s="31" t="b">
        <v>0</v>
      </c>
    </row>
    <row r="859">
      <c r="E859" s="31" t="b">
        <v>0</v>
      </c>
      <c r="F859" s="31" t="b">
        <v>0</v>
      </c>
    </row>
    <row r="860">
      <c r="E860" s="31" t="b">
        <v>0</v>
      </c>
      <c r="F860" s="31" t="b">
        <v>0</v>
      </c>
    </row>
    <row r="861">
      <c r="E861" s="31" t="b">
        <v>0</v>
      </c>
      <c r="F861" s="31" t="b">
        <v>0</v>
      </c>
    </row>
    <row r="862">
      <c r="E862" s="31" t="b">
        <v>0</v>
      </c>
      <c r="F862" s="31" t="b">
        <v>0</v>
      </c>
    </row>
    <row r="863">
      <c r="E863" s="31" t="b">
        <v>0</v>
      </c>
      <c r="F863" s="31" t="b">
        <v>0</v>
      </c>
    </row>
    <row r="864">
      <c r="E864" s="31" t="b">
        <v>0</v>
      </c>
      <c r="F864" s="31" t="b">
        <v>0</v>
      </c>
    </row>
    <row r="865">
      <c r="E865" s="31" t="b">
        <v>0</v>
      </c>
      <c r="F865" s="31" t="b">
        <v>0</v>
      </c>
    </row>
    <row r="866">
      <c r="E866" s="31" t="b">
        <v>0</v>
      </c>
      <c r="F866" s="31" t="b">
        <v>0</v>
      </c>
    </row>
    <row r="867">
      <c r="E867" s="31" t="b">
        <v>0</v>
      </c>
      <c r="F867" s="31" t="b">
        <v>0</v>
      </c>
    </row>
    <row r="868">
      <c r="E868" s="31" t="b">
        <v>0</v>
      </c>
      <c r="F868" s="31" t="b">
        <v>0</v>
      </c>
    </row>
    <row r="869">
      <c r="E869" s="31" t="b">
        <v>0</v>
      </c>
      <c r="F869" s="31" t="b">
        <v>0</v>
      </c>
    </row>
    <row r="870">
      <c r="E870" s="31" t="b">
        <v>0</v>
      </c>
      <c r="F870" s="31" t="b">
        <v>0</v>
      </c>
    </row>
    <row r="871">
      <c r="E871" s="31" t="b">
        <v>0</v>
      </c>
      <c r="F871" s="31" t="b">
        <v>0</v>
      </c>
    </row>
    <row r="872">
      <c r="E872" s="31" t="b">
        <v>0</v>
      </c>
      <c r="F872" s="31" t="b">
        <v>0</v>
      </c>
    </row>
    <row r="873">
      <c r="E873" s="31" t="b">
        <v>0</v>
      </c>
      <c r="F873" s="31" t="b">
        <v>0</v>
      </c>
    </row>
    <row r="874">
      <c r="E874" s="31" t="b">
        <v>0</v>
      </c>
      <c r="F874" s="31" t="b">
        <v>0</v>
      </c>
    </row>
    <row r="875">
      <c r="E875" s="31" t="b">
        <v>0</v>
      </c>
      <c r="F875" s="31" t="b">
        <v>0</v>
      </c>
    </row>
    <row r="876">
      <c r="E876" s="31" t="b">
        <v>0</v>
      </c>
      <c r="F876" s="31" t="b">
        <v>0</v>
      </c>
    </row>
    <row r="877">
      <c r="E877" s="31" t="b">
        <v>0</v>
      </c>
      <c r="F877" s="31" t="b">
        <v>0</v>
      </c>
    </row>
    <row r="878">
      <c r="E878" s="31" t="b">
        <v>0</v>
      </c>
      <c r="F878" s="31" t="b">
        <v>0</v>
      </c>
    </row>
    <row r="879">
      <c r="E879" s="31" t="b">
        <v>0</v>
      </c>
      <c r="F879" s="31" t="b">
        <v>0</v>
      </c>
    </row>
    <row r="880">
      <c r="E880" s="31" t="b">
        <v>0</v>
      </c>
      <c r="F880" s="31" t="b">
        <v>0</v>
      </c>
    </row>
    <row r="881">
      <c r="E881" s="31" t="b">
        <v>0</v>
      </c>
      <c r="F881" s="31" t="b">
        <v>0</v>
      </c>
    </row>
    <row r="882">
      <c r="E882" s="31" t="b">
        <v>0</v>
      </c>
      <c r="F882" s="31" t="b">
        <v>0</v>
      </c>
    </row>
    <row r="883">
      <c r="E883" s="31" t="b">
        <v>0</v>
      </c>
      <c r="F883" s="31" t="b">
        <v>0</v>
      </c>
    </row>
    <row r="884">
      <c r="E884" s="31" t="b">
        <v>0</v>
      </c>
      <c r="F884" s="31" t="b">
        <v>0</v>
      </c>
    </row>
    <row r="885">
      <c r="E885" s="31" t="b">
        <v>0</v>
      </c>
      <c r="F885" s="31" t="b">
        <v>0</v>
      </c>
    </row>
    <row r="886">
      <c r="E886" s="31" t="b">
        <v>0</v>
      </c>
      <c r="F886" s="31" t="b">
        <v>0</v>
      </c>
    </row>
    <row r="887">
      <c r="E887" s="31" t="b">
        <v>0</v>
      </c>
      <c r="F887" s="31" t="b">
        <v>0</v>
      </c>
    </row>
    <row r="888">
      <c r="E888" s="31" t="b">
        <v>0</v>
      </c>
      <c r="F888" s="31" t="b">
        <v>0</v>
      </c>
    </row>
    <row r="889">
      <c r="E889" s="31" t="b">
        <v>0</v>
      </c>
      <c r="F889" s="31" t="b">
        <v>0</v>
      </c>
    </row>
    <row r="890">
      <c r="E890" s="31" t="b">
        <v>0</v>
      </c>
      <c r="F890" s="31" t="b">
        <v>0</v>
      </c>
    </row>
    <row r="891">
      <c r="E891" s="31" t="b">
        <v>0</v>
      </c>
      <c r="F891" s="31" t="b">
        <v>0</v>
      </c>
    </row>
    <row r="892">
      <c r="E892" s="31" t="b">
        <v>0</v>
      </c>
      <c r="F892" s="31" t="b">
        <v>0</v>
      </c>
    </row>
    <row r="893">
      <c r="E893" s="31" t="b">
        <v>0</v>
      </c>
      <c r="F893" s="31" t="b">
        <v>0</v>
      </c>
    </row>
    <row r="894">
      <c r="E894" s="31" t="b">
        <v>0</v>
      </c>
      <c r="F894" s="31" t="b">
        <v>0</v>
      </c>
    </row>
    <row r="895">
      <c r="E895" s="31" t="b">
        <v>0</v>
      </c>
      <c r="F895" s="31" t="b">
        <v>0</v>
      </c>
    </row>
    <row r="896">
      <c r="E896" s="31" t="b">
        <v>0</v>
      </c>
      <c r="F896" s="31" t="b">
        <v>0</v>
      </c>
    </row>
    <row r="897">
      <c r="E897" s="31" t="b">
        <v>0</v>
      </c>
      <c r="F897" s="31" t="b">
        <v>0</v>
      </c>
    </row>
    <row r="898">
      <c r="E898" s="31" t="b">
        <v>0</v>
      </c>
      <c r="F898" s="31" t="b">
        <v>0</v>
      </c>
    </row>
    <row r="899">
      <c r="E899" s="31" t="b">
        <v>0</v>
      </c>
      <c r="F899" s="31" t="b">
        <v>0</v>
      </c>
    </row>
    <row r="900">
      <c r="E900" s="31" t="b">
        <v>0</v>
      </c>
      <c r="F900" s="31" t="b">
        <v>0</v>
      </c>
    </row>
    <row r="901">
      <c r="E901" s="31" t="b">
        <v>0</v>
      </c>
      <c r="F901" s="31" t="b">
        <v>0</v>
      </c>
    </row>
    <row r="902">
      <c r="E902" s="31" t="b">
        <v>0</v>
      </c>
      <c r="F902" s="31" t="b">
        <v>0</v>
      </c>
    </row>
    <row r="903">
      <c r="E903" s="31" t="b">
        <v>0</v>
      </c>
      <c r="F903" s="31" t="b">
        <v>0</v>
      </c>
    </row>
    <row r="904">
      <c r="E904" s="31" t="b">
        <v>0</v>
      </c>
      <c r="F904" s="31" t="b">
        <v>0</v>
      </c>
    </row>
    <row r="905">
      <c r="E905" s="31" t="b">
        <v>0</v>
      </c>
      <c r="F905" s="31" t="b">
        <v>0</v>
      </c>
    </row>
    <row r="906">
      <c r="E906" s="31" t="b">
        <v>0</v>
      </c>
      <c r="F906" s="31" t="b">
        <v>0</v>
      </c>
    </row>
    <row r="907">
      <c r="E907" s="31" t="b">
        <v>0</v>
      </c>
      <c r="F907" s="31" t="b">
        <v>0</v>
      </c>
    </row>
    <row r="908">
      <c r="E908" s="31" t="b">
        <v>0</v>
      </c>
      <c r="F908" s="31" t="b">
        <v>0</v>
      </c>
    </row>
    <row r="909">
      <c r="E909" s="31" t="b">
        <v>0</v>
      </c>
      <c r="F909" s="31" t="b">
        <v>0</v>
      </c>
    </row>
    <row r="910">
      <c r="E910" s="31" t="b">
        <v>0</v>
      </c>
      <c r="F910" s="31" t="b">
        <v>0</v>
      </c>
    </row>
    <row r="911">
      <c r="E911" s="31" t="b">
        <v>0</v>
      </c>
      <c r="F911" s="31" t="b">
        <v>0</v>
      </c>
    </row>
    <row r="912">
      <c r="E912" s="31" t="b">
        <v>0</v>
      </c>
      <c r="F912" s="31" t="b">
        <v>0</v>
      </c>
    </row>
    <row r="913">
      <c r="E913" s="31" t="b">
        <v>0</v>
      </c>
      <c r="F913" s="31" t="b">
        <v>0</v>
      </c>
    </row>
    <row r="914">
      <c r="E914" s="31" t="b">
        <v>0</v>
      </c>
      <c r="F914" s="31" t="b">
        <v>0</v>
      </c>
    </row>
    <row r="915">
      <c r="E915" s="31" t="b">
        <v>0</v>
      </c>
      <c r="F915" s="31" t="b">
        <v>0</v>
      </c>
    </row>
    <row r="916">
      <c r="E916" s="31" t="b">
        <v>0</v>
      </c>
      <c r="F916" s="31" t="b">
        <v>0</v>
      </c>
    </row>
    <row r="917">
      <c r="E917" s="31" t="b">
        <v>0</v>
      </c>
      <c r="F917" s="31" t="b">
        <v>0</v>
      </c>
    </row>
    <row r="918">
      <c r="E918" s="31" t="b">
        <v>0</v>
      </c>
      <c r="F918" s="31" t="b">
        <v>0</v>
      </c>
    </row>
    <row r="919">
      <c r="E919" s="31" t="b">
        <v>0</v>
      </c>
      <c r="F919" s="31" t="b">
        <v>0</v>
      </c>
    </row>
    <row r="920">
      <c r="E920" s="31" t="b">
        <v>0</v>
      </c>
      <c r="F920" s="31" t="b">
        <v>0</v>
      </c>
    </row>
    <row r="921">
      <c r="E921" s="31" t="b">
        <v>0</v>
      </c>
      <c r="F921" s="31" t="b">
        <v>0</v>
      </c>
    </row>
    <row r="922">
      <c r="E922" s="31" t="b">
        <v>0</v>
      </c>
      <c r="F922" s="31" t="b">
        <v>0</v>
      </c>
    </row>
    <row r="923">
      <c r="E923" s="31" t="b">
        <v>0</v>
      </c>
      <c r="F923" s="31" t="b">
        <v>0</v>
      </c>
    </row>
    <row r="924">
      <c r="E924" s="31" t="b">
        <v>0</v>
      </c>
      <c r="F924" s="31" t="b">
        <v>0</v>
      </c>
    </row>
    <row r="925">
      <c r="E925" s="31" t="b">
        <v>0</v>
      </c>
      <c r="F925" s="31" t="b">
        <v>0</v>
      </c>
    </row>
    <row r="926">
      <c r="E926" s="31" t="b">
        <v>0</v>
      </c>
      <c r="F926" s="31" t="b">
        <v>0</v>
      </c>
    </row>
    <row r="927">
      <c r="E927" s="31" t="b">
        <v>0</v>
      </c>
      <c r="F927" s="31" t="b">
        <v>0</v>
      </c>
    </row>
    <row r="928">
      <c r="E928" s="31" t="b">
        <v>0</v>
      </c>
      <c r="F928" s="31" t="b">
        <v>0</v>
      </c>
    </row>
    <row r="929">
      <c r="E929" s="31" t="b">
        <v>0</v>
      </c>
      <c r="F929" s="31" t="b">
        <v>0</v>
      </c>
    </row>
    <row r="930">
      <c r="E930" s="31" t="b">
        <v>0</v>
      </c>
      <c r="F930" s="31" t="b">
        <v>0</v>
      </c>
    </row>
    <row r="931">
      <c r="E931" s="31" t="b">
        <v>0</v>
      </c>
      <c r="F931" s="31" t="b">
        <v>0</v>
      </c>
    </row>
    <row r="932">
      <c r="E932" s="31" t="b">
        <v>0</v>
      </c>
      <c r="F932" s="31" t="b">
        <v>0</v>
      </c>
    </row>
    <row r="933">
      <c r="E933" s="31" t="b">
        <v>0</v>
      </c>
      <c r="F933" s="31" t="b">
        <v>0</v>
      </c>
    </row>
    <row r="934">
      <c r="E934" s="31" t="b">
        <v>0</v>
      </c>
      <c r="F934" s="31" t="b">
        <v>0</v>
      </c>
    </row>
    <row r="935">
      <c r="E935" s="31" t="b">
        <v>0</v>
      </c>
      <c r="F935" s="31" t="b">
        <v>0</v>
      </c>
    </row>
    <row r="936">
      <c r="E936" s="31" t="b">
        <v>0</v>
      </c>
      <c r="F936" s="31" t="b">
        <v>0</v>
      </c>
    </row>
    <row r="937">
      <c r="E937" s="31" t="b">
        <v>0</v>
      </c>
      <c r="F937" s="31" t="b">
        <v>0</v>
      </c>
    </row>
    <row r="938">
      <c r="E938" s="31" t="b">
        <v>0</v>
      </c>
      <c r="F938" s="31" t="b">
        <v>0</v>
      </c>
    </row>
    <row r="939">
      <c r="E939" s="31" t="b">
        <v>0</v>
      </c>
      <c r="F939" s="31" t="b">
        <v>0</v>
      </c>
    </row>
    <row r="940">
      <c r="E940" s="31" t="b">
        <v>0</v>
      </c>
      <c r="F940" s="31" t="b">
        <v>0</v>
      </c>
    </row>
    <row r="941">
      <c r="E941" s="31" t="b">
        <v>0</v>
      </c>
      <c r="F941" s="31" t="b">
        <v>0</v>
      </c>
    </row>
    <row r="942">
      <c r="E942" s="31" t="b">
        <v>0</v>
      </c>
      <c r="F942" s="31" t="b">
        <v>0</v>
      </c>
    </row>
    <row r="943">
      <c r="E943" s="31" t="b">
        <v>0</v>
      </c>
      <c r="F943" s="31" t="b">
        <v>0</v>
      </c>
    </row>
    <row r="944">
      <c r="E944" s="31" t="b">
        <v>0</v>
      </c>
      <c r="F944" s="31" t="b">
        <v>0</v>
      </c>
    </row>
    <row r="945">
      <c r="E945" s="31" t="b">
        <v>0</v>
      </c>
      <c r="F945" s="31" t="b">
        <v>0</v>
      </c>
    </row>
    <row r="946">
      <c r="E946" s="31" t="b">
        <v>0</v>
      </c>
      <c r="F946" s="31" t="b">
        <v>0</v>
      </c>
    </row>
    <row r="947">
      <c r="E947" s="31" t="b">
        <v>0</v>
      </c>
      <c r="F947" s="31" t="b">
        <v>0</v>
      </c>
    </row>
    <row r="948">
      <c r="E948" s="31" t="b">
        <v>0</v>
      </c>
      <c r="F948" s="31" t="b">
        <v>0</v>
      </c>
    </row>
    <row r="949">
      <c r="E949" s="31" t="b">
        <v>0</v>
      </c>
      <c r="F949" s="31" t="b">
        <v>0</v>
      </c>
    </row>
    <row r="950">
      <c r="E950" s="31" t="b">
        <v>0</v>
      </c>
      <c r="F950" s="31" t="b">
        <v>0</v>
      </c>
    </row>
    <row r="951">
      <c r="E951" s="31" t="b">
        <v>0</v>
      </c>
      <c r="F951" s="31" t="b">
        <v>0</v>
      </c>
    </row>
    <row r="952">
      <c r="E952" s="31" t="b">
        <v>0</v>
      </c>
      <c r="F952" s="31" t="b">
        <v>0</v>
      </c>
    </row>
    <row r="953">
      <c r="E953" s="31" t="b">
        <v>0</v>
      </c>
      <c r="F953" s="31" t="b">
        <v>0</v>
      </c>
    </row>
    <row r="954">
      <c r="E954" s="31" t="b">
        <v>0</v>
      </c>
      <c r="F954" s="31" t="b">
        <v>0</v>
      </c>
    </row>
    <row r="955">
      <c r="E955" s="31" t="b">
        <v>0</v>
      </c>
      <c r="F955" s="31" t="b">
        <v>0</v>
      </c>
    </row>
    <row r="956">
      <c r="E956" s="31" t="b">
        <v>0</v>
      </c>
      <c r="F956" s="31" t="b">
        <v>0</v>
      </c>
    </row>
    <row r="957">
      <c r="E957" s="31" t="b">
        <v>0</v>
      </c>
      <c r="F957" s="31" t="b">
        <v>0</v>
      </c>
    </row>
    <row r="958">
      <c r="E958" s="31" t="b">
        <v>0</v>
      </c>
      <c r="F958" s="31" t="b">
        <v>0</v>
      </c>
    </row>
    <row r="959">
      <c r="E959" s="31" t="b">
        <v>0</v>
      </c>
      <c r="F959" s="31" t="b">
        <v>0</v>
      </c>
    </row>
    <row r="960">
      <c r="E960" s="31" t="b">
        <v>0</v>
      </c>
      <c r="F960" s="31" t="b">
        <v>0</v>
      </c>
    </row>
    <row r="961">
      <c r="E961" s="31" t="b">
        <v>0</v>
      </c>
      <c r="F961" s="31" t="b">
        <v>0</v>
      </c>
    </row>
    <row r="962">
      <c r="E962" s="31" t="b">
        <v>0</v>
      </c>
      <c r="F962" s="31" t="b">
        <v>0</v>
      </c>
    </row>
    <row r="963">
      <c r="E963" s="31" t="b">
        <v>0</v>
      </c>
      <c r="F963" s="31" t="b">
        <v>0</v>
      </c>
    </row>
    <row r="964">
      <c r="E964" s="31" t="b">
        <v>0</v>
      </c>
      <c r="F964" s="31" t="b">
        <v>0</v>
      </c>
    </row>
    <row r="965">
      <c r="E965" s="31" t="b">
        <v>0</v>
      </c>
      <c r="F965" s="31" t="b">
        <v>0</v>
      </c>
    </row>
    <row r="966">
      <c r="E966" s="31" t="b">
        <v>0</v>
      </c>
      <c r="F966" s="31" t="b">
        <v>0</v>
      </c>
    </row>
    <row r="967">
      <c r="E967" s="31" t="b">
        <v>0</v>
      </c>
      <c r="F967" s="31" t="b">
        <v>0</v>
      </c>
    </row>
    <row r="968">
      <c r="E968" s="31" t="b">
        <v>0</v>
      </c>
      <c r="F968" s="31" t="b">
        <v>0</v>
      </c>
    </row>
    <row r="969">
      <c r="E969" s="31" t="b">
        <v>0</v>
      </c>
      <c r="F969" s="31" t="b">
        <v>0</v>
      </c>
    </row>
    <row r="970">
      <c r="E970" s="31" t="b">
        <v>0</v>
      </c>
      <c r="F970" s="31" t="b">
        <v>0</v>
      </c>
    </row>
    <row r="971">
      <c r="E971" s="31" t="b">
        <v>0</v>
      </c>
      <c r="F971" s="31" t="b">
        <v>0</v>
      </c>
    </row>
    <row r="972">
      <c r="E972" s="31" t="b">
        <v>0</v>
      </c>
      <c r="F972" s="31" t="b">
        <v>0</v>
      </c>
    </row>
    <row r="973">
      <c r="E973" s="31" t="b">
        <v>0</v>
      </c>
      <c r="F973" s="31" t="b">
        <v>0</v>
      </c>
    </row>
    <row r="974">
      <c r="E974" s="31" t="b">
        <v>0</v>
      </c>
      <c r="F974" s="31" t="b">
        <v>0</v>
      </c>
    </row>
    <row r="975">
      <c r="E975" s="31" t="b">
        <v>0</v>
      </c>
      <c r="F975" s="31" t="b">
        <v>0</v>
      </c>
    </row>
    <row r="976">
      <c r="E976" s="31" t="b">
        <v>0</v>
      </c>
      <c r="F976" s="31" t="b">
        <v>0</v>
      </c>
    </row>
    <row r="977">
      <c r="E977" s="31" t="b">
        <v>0</v>
      </c>
      <c r="F977" s="31" t="b">
        <v>0</v>
      </c>
    </row>
    <row r="978">
      <c r="E978" s="31" t="b">
        <v>0</v>
      </c>
      <c r="F978" s="31" t="b">
        <v>0</v>
      </c>
    </row>
    <row r="979">
      <c r="E979" s="31" t="b">
        <v>0</v>
      </c>
      <c r="F979" s="31" t="b">
        <v>0</v>
      </c>
    </row>
    <row r="980">
      <c r="E980" s="31" t="b">
        <v>0</v>
      </c>
      <c r="F980" s="31" t="b">
        <v>0</v>
      </c>
    </row>
    <row r="981">
      <c r="E981" s="31" t="b">
        <v>0</v>
      </c>
      <c r="F981" s="31" t="b">
        <v>0</v>
      </c>
    </row>
    <row r="982">
      <c r="E982" s="31" t="b">
        <v>0</v>
      </c>
      <c r="F982" s="31" t="b">
        <v>0</v>
      </c>
    </row>
    <row r="983">
      <c r="E983" s="31" t="b">
        <v>0</v>
      </c>
      <c r="F983" s="31" t="b">
        <v>0</v>
      </c>
    </row>
    <row r="984">
      <c r="E984" s="31" t="b">
        <v>0</v>
      </c>
      <c r="F984" s="31" t="b">
        <v>0</v>
      </c>
    </row>
    <row r="985">
      <c r="E985" s="31" t="b">
        <v>0</v>
      </c>
      <c r="F985" s="31" t="b">
        <v>0</v>
      </c>
    </row>
    <row r="986">
      <c r="E986" s="31" t="b">
        <v>0</v>
      </c>
      <c r="F986" s="31" t="b">
        <v>0</v>
      </c>
    </row>
    <row r="987">
      <c r="E987" s="31" t="b">
        <v>0</v>
      </c>
      <c r="F987" s="31" t="b">
        <v>0</v>
      </c>
    </row>
    <row r="988">
      <c r="E988" s="31" t="b">
        <v>0</v>
      </c>
      <c r="F988" s="31" t="b">
        <v>0</v>
      </c>
    </row>
    <row r="989">
      <c r="E989" s="31" t="b">
        <v>0</v>
      </c>
      <c r="F989" s="31" t="b">
        <v>0</v>
      </c>
    </row>
    <row r="990">
      <c r="E990" s="31" t="b">
        <v>0</v>
      </c>
      <c r="F990" s="31" t="b">
        <v>0</v>
      </c>
    </row>
    <row r="991">
      <c r="E991" s="31" t="b">
        <v>0</v>
      </c>
      <c r="F991" s="31" t="b">
        <v>0</v>
      </c>
    </row>
    <row r="992">
      <c r="E992" s="31" t="b">
        <v>0</v>
      </c>
      <c r="F992" s="31" t="b">
        <v>0</v>
      </c>
    </row>
    <row r="993">
      <c r="E993" s="31" t="b">
        <v>0</v>
      </c>
      <c r="F993" s="31" t="b">
        <v>0</v>
      </c>
    </row>
    <row r="994">
      <c r="E994" s="31" t="b">
        <v>0</v>
      </c>
      <c r="F994" s="31" t="b">
        <v>0</v>
      </c>
    </row>
    <row r="995">
      <c r="E995" s="31" t="b">
        <v>0</v>
      </c>
      <c r="F995" s="31" t="b">
        <v>0</v>
      </c>
    </row>
    <row r="996">
      <c r="E996" s="31" t="b">
        <v>0</v>
      </c>
      <c r="F996" s="31" t="b">
        <v>0</v>
      </c>
    </row>
    <row r="997">
      <c r="E997" s="31" t="b">
        <v>0</v>
      </c>
      <c r="F997" s="31" t="b">
        <v>0</v>
      </c>
    </row>
    <row r="998">
      <c r="E998" s="31" t="b">
        <v>0</v>
      </c>
      <c r="F998" s="31" t="b">
        <v>0</v>
      </c>
    </row>
    <row r="999">
      <c r="E999" s="31" t="b">
        <v>0</v>
      </c>
      <c r="F999" s="31" t="b">
        <v>0</v>
      </c>
    </row>
    <row r="1000">
      <c r="E1000" s="31" t="b">
        <v>0</v>
      </c>
      <c r="F1000" s="31" t="b">
        <v>0</v>
      </c>
    </row>
    <row r="1001">
      <c r="E1001" s="31" t="b">
        <v>0</v>
      </c>
      <c r="F1001" s="31" t="b">
        <v>0</v>
      </c>
    </row>
    <row r="1002">
      <c r="E1002" s="31" t="b">
        <v>0</v>
      </c>
      <c r="F1002" s="31" t="b">
        <v>0</v>
      </c>
    </row>
    <row r="1003">
      <c r="E1003" s="31" t="b">
        <v>0</v>
      </c>
      <c r="F1003" s="31" t="b">
        <v>0</v>
      </c>
    </row>
    <row r="1004">
      <c r="E1004" s="31" t="b">
        <v>0</v>
      </c>
      <c r="F1004" s="31" t="b">
        <v>0</v>
      </c>
    </row>
    <row r="1005">
      <c r="E1005" s="31" t="b">
        <v>0</v>
      </c>
      <c r="F1005" s="31" t="b">
        <v>0</v>
      </c>
    </row>
  </sheetData>
  <dataValidations>
    <dataValidation type="list" allowBlank="1" showErrorMessage="1" sqref="E2:F1005">
      <formula1>"Si,No,No aplica"</formula1>
    </dataValidation>
    <dataValidation type="list" allowBlank="1" showErrorMessage="1" sqref="N2:N48">
      <formula1>"QR,LINK,DATAFONO,CREDITO,LINK-QR,DATAFONO - LINK,DATAFONO - QR,COMPLETO"</formula1>
    </dataValidation>
    <dataValidation type="list" allowBlank="1" showErrorMessage="1" sqref="A2:A47 A49:A90">
      <formula1>"POSTOBON,COPIDROGAS,COLANTA,SULICOR,TTB"</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8" t="s">
        <v>2</v>
      </c>
      <c r="B1" s="31" t="s">
        <v>1064</v>
      </c>
      <c r="C1" s="179" t="s">
        <v>1065</v>
      </c>
      <c r="D1" s="31" t="s">
        <v>1066</v>
      </c>
      <c r="E1" s="31" t="s">
        <v>1067</v>
      </c>
      <c r="F1" s="31" t="s">
        <v>1068</v>
      </c>
      <c r="G1" s="31" t="s">
        <v>7</v>
      </c>
    </row>
    <row r="2">
      <c r="A2" s="180" t="s">
        <v>1069</v>
      </c>
      <c r="B2" s="179">
        <v>1.0</v>
      </c>
      <c r="C2" s="179" t="s">
        <v>1070</v>
      </c>
      <c r="D2" s="179">
        <v>5.2272434E7</v>
      </c>
      <c r="E2" s="180" t="s">
        <v>736</v>
      </c>
      <c r="F2" s="181">
        <v>46018.0</v>
      </c>
      <c r="G2" s="183">
        <v>46018.0</v>
      </c>
    </row>
    <row r="3">
      <c r="A3" s="180" t="s">
        <v>1076</v>
      </c>
      <c r="B3" s="179">
        <v>2.0</v>
      </c>
      <c r="C3" s="179" t="s">
        <v>1070</v>
      </c>
      <c r="D3" s="179">
        <v>2.3965716E7</v>
      </c>
      <c r="E3" s="180" t="s">
        <v>736</v>
      </c>
      <c r="F3" s="181">
        <v>46018.0</v>
      </c>
      <c r="G3" s="183">
        <v>46018.0</v>
      </c>
    </row>
    <row r="4">
      <c r="A4" s="180" t="s">
        <v>1079</v>
      </c>
      <c r="B4" s="179">
        <v>3.0</v>
      </c>
      <c r="C4" s="179" t="s">
        <v>1070</v>
      </c>
      <c r="D4" s="179">
        <v>7.9944143E7</v>
      </c>
      <c r="E4" s="180" t="s">
        <v>736</v>
      </c>
      <c r="F4" s="181">
        <v>46071.0</v>
      </c>
      <c r="G4" s="183">
        <v>46071.0</v>
      </c>
    </row>
    <row r="5">
      <c r="A5" s="180" t="s">
        <v>1080</v>
      </c>
      <c r="B5" s="179">
        <v>4.0</v>
      </c>
      <c r="C5" s="179" t="s">
        <v>172</v>
      </c>
      <c r="D5" s="179">
        <v>8.30000897E8</v>
      </c>
      <c r="E5" s="180" t="s">
        <v>736</v>
      </c>
      <c r="F5" s="181">
        <v>46071.0</v>
      </c>
      <c r="G5" s="183">
        <v>46071.0</v>
      </c>
    </row>
    <row r="6">
      <c r="A6" s="180" t="s">
        <v>1081</v>
      </c>
      <c r="B6" s="179">
        <v>5.0</v>
      </c>
      <c r="C6" s="179" t="s">
        <v>1070</v>
      </c>
      <c r="D6" s="179">
        <v>1.9265207E7</v>
      </c>
      <c r="E6" s="180" t="s">
        <v>736</v>
      </c>
      <c r="F6" s="181">
        <v>46071.0</v>
      </c>
      <c r="G6" s="183">
        <v>46071.0</v>
      </c>
    </row>
    <row r="7">
      <c r="A7" s="180" t="s">
        <v>1084</v>
      </c>
      <c r="B7" s="179">
        <v>6.0</v>
      </c>
      <c r="C7" s="179" t="s">
        <v>172</v>
      </c>
      <c r="D7" s="179">
        <v>9.01404715E8</v>
      </c>
      <c r="E7" s="180" t="s">
        <v>736</v>
      </c>
      <c r="F7" s="181">
        <v>46071.0</v>
      </c>
      <c r="G7" s="183">
        <v>46071.0</v>
      </c>
    </row>
    <row r="8">
      <c r="A8" s="180" t="s">
        <v>1085</v>
      </c>
      <c r="B8" s="179">
        <v>7.0</v>
      </c>
      <c r="C8" s="179" t="s">
        <v>172</v>
      </c>
      <c r="D8" s="179">
        <v>9.01356768E8</v>
      </c>
      <c r="E8" s="180" t="s">
        <v>736</v>
      </c>
      <c r="F8" s="181">
        <v>46082.0</v>
      </c>
      <c r="G8" s="183">
        <v>46082.0</v>
      </c>
    </row>
    <row r="9">
      <c r="A9" s="180" t="s">
        <v>1086</v>
      </c>
      <c r="B9" s="179">
        <v>8.0</v>
      </c>
      <c r="C9" s="179" t="s">
        <v>1070</v>
      </c>
      <c r="D9" s="179">
        <v>8.817771E7</v>
      </c>
      <c r="E9" s="180" t="s">
        <v>736</v>
      </c>
      <c r="F9" s="181">
        <v>46085.0</v>
      </c>
      <c r="G9" s="183">
        <v>46085.0</v>
      </c>
    </row>
    <row r="10">
      <c r="A10" s="180" t="s">
        <v>1087</v>
      </c>
      <c r="B10" s="179">
        <v>9.0</v>
      </c>
      <c r="C10" s="179" t="s">
        <v>1070</v>
      </c>
      <c r="D10" s="179">
        <v>4.5495943E7</v>
      </c>
      <c r="E10" s="180" t="s">
        <v>736</v>
      </c>
      <c r="F10" s="181">
        <v>46105.0</v>
      </c>
      <c r="G10" s="183">
        <v>46105.0</v>
      </c>
    </row>
    <row r="11">
      <c r="A11" s="180" t="s">
        <v>1088</v>
      </c>
      <c r="B11" s="179">
        <v>10.0</v>
      </c>
      <c r="C11" s="179" t="s">
        <v>172</v>
      </c>
      <c r="D11" s="179">
        <v>9.00364915E8</v>
      </c>
      <c r="E11" s="180" t="s">
        <v>736</v>
      </c>
      <c r="F11" s="181">
        <v>46083.0</v>
      </c>
      <c r="G11" s="183">
        <v>46083.0</v>
      </c>
    </row>
    <row r="12">
      <c r="A12" s="180" t="s">
        <v>1091</v>
      </c>
      <c r="B12" s="179">
        <v>11.0</v>
      </c>
      <c r="C12" s="179" t="s">
        <v>1070</v>
      </c>
      <c r="D12" s="179">
        <v>5.2586347E7</v>
      </c>
      <c r="E12" s="180" t="s">
        <v>736</v>
      </c>
      <c r="F12" s="181">
        <v>46085.0</v>
      </c>
      <c r="G12" s="183">
        <v>46085.0</v>
      </c>
    </row>
    <row r="13">
      <c r="A13" s="180" t="s">
        <v>1092</v>
      </c>
      <c r="B13" s="179">
        <v>12.0</v>
      </c>
      <c r="C13" s="179" t="s">
        <v>1070</v>
      </c>
      <c r="D13" s="179">
        <v>1.9190461E7</v>
      </c>
      <c r="E13" s="180" t="s">
        <v>736</v>
      </c>
      <c r="F13" s="181">
        <v>46087.0</v>
      </c>
      <c r="G13" s="183">
        <v>46087.0</v>
      </c>
    </row>
    <row r="14">
      <c r="A14" s="180" t="s">
        <v>1093</v>
      </c>
      <c r="B14" s="179">
        <v>13.0</v>
      </c>
      <c r="C14" s="179" t="s">
        <v>172</v>
      </c>
      <c r="D14" s="179">
        <v>8.6040209E8</v>
      </c>
      <c r="E14" s="180" t="s">
        <v>736</v>
      </c>
      <c r="F14" s="181">
        <v>46088.0</v>
      </c>
      <c r="G14" s="183">
        <v>46088.0</v>
      </c>
    </row>
    <row r="15">
      <c r="A15" s="180" t="s">
        <v>1094</v>
      </c>
      <c r="B15" s="179">
        <v>14.0</v>
      </c>
      <c r="C15" s="179" t="s">
        <v>1070</v>
      </c>
      <c r="D15" s="179">
        <v>5.2052172E7</v>
      </c>
      <c r="E15" s="180" t="s">
        <v>736</v>
      </c>
      <c r="F15" s="181">
        <v>46109.0</v>
      </c>
      <c r="G15" s="183">
        <v>46109.0</v>
      </c>
    </row>
    <row r="16">
      <c r="A16" s="180" t="s">
        <v>1096</v>
      </c>
      <c r="B16" s="179">
        <v>15.0</v>
      </c>
      <c r="C16" s="179" t="s">
        <v>172</v>
      </c>
      <c r="D16" s="179">
        <v>9.01074611E8</v>
      </c>
      <c r="E16" s="180" t="s">
        <v>736</v>
      </c>
      <c r="F16" s="181">
        <v>46121.0</v>
      </c>
      <c r="G16" s="183">
        <v>46121.0</v>
      </c>
    </row>
    <row r="17">
      <c r="A17" s="180" t="s">
        <v>1098</v>
      </c>
      <c r="B17" s="179">
        <v>16.0</v>
      </c>
      <c r="C17" s="179" t="s">
        <v>172</v>
      </c>
      <c r="D17" s="179">
        <v>9.01074611E8</v>
      </c>
      <c r="E17" s="180" t="s">
        <v>736</v>
      </c>
      <c r="F17" s="181">
        <v>46122.0</v>
      </c>
      <c r="G17" s="183">
        <v>46122.0</v>
      </c>
    </row>
    <row r="18">
      <c r="A18" s="180" t="s">
        <v>1101</v>
      </c>
      <c r="B18" s="179">
        <v>17.0</v>
      </c>
      <c r="C18" s="179" t="s">
        <v>172</v>
      </c>
      <c r="D18" s="179">
        <v>9.01074611E8</v>
      </c>
      <c r="E18" s="180" t="s">
        <v>736</v>
      </c>
      <c r="F18" s="181">
        <v>46122.0</v>
      </c>
      <c r="G18" s="183">
        <v>46122.0</v>
      </c>
    </row>
    <row r="19">
      <c r="A19" s="180" t="s">
        <v>1103</v>
      </c>
      <c r="B19" s="179">
        <v>18.0</v>
      </c>
      <c r="C19" s="179" t="s">
        <v>172</v>
      </c>
      <c r="D19" s="179">
        <v>9.00364915E8</v>
      </c>
      <c r="E19" s="180" t="s">
        <v>736</v>
      </c>
      <c r="F19" s="181">
        <v>46121.0</v>
      </c>
      <c r="G19" s="183">
        <v>46121.0</v>
      </c>
    </row>
    <row r="20">
      <c r="A20" s="180" t="s">
        <v>1104</v>
      </c>
      <c r="B20" s="179">
        <v>19.0</v>
      </c>
      <c r="C20" s="179" t="s">
        <v>172</v>
      </c>
      <c r="D20" s="179">
        <v>9.00364915E8</v>
      </c>
      <c r="E20" s="180" t="s">
        <v>736</v>
      </c>
      <c r="F20" s="181">
        <v>46121.0</v>
      </c>
      <c r="G20" s="183">
        <v>46121.0</v>
      </c>
    </row>
    <row r="21">
      <c r="A21" s="180" t="s">
        <v>1106</v>
      </c>
      <c r="B21" s="179">
        <v>20.0</v>
      </c>
      <c r="C21" s="179" t="s">
        <v>172</v>
      </c>
      <c r="D21" s="179">
        <v>9.00364915E8</v>
      </c>
      <c r="E21" s="180" t="s">
        <v>736</v>
      </c>
      <c r="F21" s="181">
        <v>46121.0</v>
      </c>
      <c r="G21" s="183">
        <v>46121.0</v>
      </c>
    </row>
    <row r="22">
      <c r="A22" s="180" t="s">
        <v>1108</v>
      </c>
      <c r="B22" s="179">
        <v>21.0</v>
      </c>
      <c r="C22" s="179" t="s">
        <v>172</v>
      </c>
      <c r="D22" s="179">
        <v>9.01585762E8</v>
      </c>
      <c r="E22" s="180" t="s">
        <v>736</v>
      </c>
      <c r="F22" s="181">
        <v>46122.0</v>
      </c>
      <c r="G22" s="183">
        <v>46122.0</v>
      </c>
    </row>
    <row r="23">
      <c r="A23" s="180" t="s">
        <v>1109</v>
      </c>
      <c r="B23" s="179">
        <v>22.0</v>
      </c>
      <c r="C23" s="179" t="s">
        <v>172</v>
      </c>
      <c r="D23" s="179">
        <v>9.0151333E8</v>
      </c>
      <c r="E23" s="180" t="s">
        <v>736</v>
      </c>
      <c r="F23" s="181">
        <v>46128.0</v>
      </c>
      <c r="G23" s="183">
        <v>46128.0</v>
      </c>
    </row>
    <row r="24">
      <c r="A24" s="180" t="s">
        <v>1110</v>
      </c>
      <c r="B24" s="179">
        <v>23.0</v>
      </c>
      <c r="C24" s="179" t="s">
        <v>172</v>
      </c>
      <c r="D24" s="179">
        <v>9.0151333E8</v>
      </c>
      <c r="E24" s="180" t="s">
        <v>736</v>
      </c>
      <c r="F24" s="181">
        <v>46128.0</v>
      </c>
      <c r="G24" s="183">
        <v>46128.0</v>
      </c>
    </row>
    <row r="25">
      <c r="A25" s="179" t="s">
        <v>1111</v>
      </c>
      <c r="B25" s="179">
        <v>24.0</v>
      </c>
      <c r="C25" s="179" t="s">
        <v>1070</v>
      </c>
      <c r="D25" s="179">
        <v>8.0199353E7</v>
      </c>
      <c r="E25" s="180" t="s">
        <v>736</v>
      </c>
      <c r="F25" s="181">
        <v>46129.0</v>
      </c>
      <c r="G25" s="183">
        <v>46129.0</v>
      </c>
    </row>
    <row r="26">
      <c r="A26" s="179" t="s">
        <v>1112</v>
      </c>
      <c r="B26" s="179">
        <v>25.0</v>
      </c>
      <c r="C26" s="179" t="s">
        <v>1070</v>
      </c>
      <c r="D26" s="179">
        <v>8.0199353E7</v>
      </c>
      <c r="E26" s="180" t="s">
        <v>736</v>
      </c>
      <c r="F26" s="181">
        <v>46129.0</v>
      </c>
      <c r="G26" s="183">
        <v>46129.0</v>
      </c>
    </row>
    <row r="27">
      <c r="A27" s="179" t="s">
        <v>1115</v>
      </c>
      <c r="B27" s="179">
        <v>26.0</v>
      </c>
      <c r="C27" s="179" t="s">
        <v>1070</v>
      </c>
      <c r="D27" s="179">
        <v>8.0199353E7</v>
      </c>
      <c r="E27" s="180" t="s">
        <v>736</v>
      </c>
      <c r="F27" s="181">
        <v>46129.0</v>
      </c>
      <c r="G27" s="183">
        <v>46129.0</v>
      </c>
    </row>
    <row r="28">
      <c r="A28" s="179" t="s">
        <v>1116</v>
      </c>
      <c r="B28" s="179">
        <v>27.0</v>
      </c>
      <c r="C28" s="179" t="s">
        <v>1070</v>
      </c>
      <c r="D28" s="179">
        <v>6.0350989E7</v>
      </c>
      <c r="E28" s="180" t="s">
        <v>736</v>
      </c>
      <c r="F28" s="181">
        <v>46133.0</v>
      </c>
      <c r="G28" s="183">
        <v>46133.0</v>
      </c>
    </row>
    <row r="29">
      <c r="A29" s="179" t="s">
        <v>1118</v>
      </c>
      <c r="B29" s="179">
        <v>28.0</v>
      </c>
      <c r="C29" s="179" t="s">
        <v>172</v>
      </c>
      <c r="D29" s="179">
        <v>9.0084376E8</v>
      </c>
      <c r="E29" s="180" t="s">
        <v>736</v>
      </c>
      <c r="F29" s="181">
        <v>46129.0</v>
      </c>
      <c r="G29" s="183">
        <v>46129.0</v>
      </c>
    </row>
    <row r="30">
      <c r="A30" s="179" t="s">
        <v>1120</v>
      </c>
      <c r="B30" s="179">
        <v>29.0</v>
      </c>
      <c r="C30" s="179" t="s">
        <v>172</v>
      </c>
      <c r="D30" s="179">
        <v>9.0084376E8</v>
      </c>
      <c r="E30" s="180" t="s">
        <v>736</v>
      </c>
      <c r="F30" s="181">
        <v>46129.0</v>
      </c>
      <c r="G30" s="183">
        <v>46129.0</v>
      </c>
    </row>
    <row r="31">
      <c r="A31" s="179" t="s">
        <v>1124</v>
      </c>
      <c r="B31" s="179">
        <v>30.0</v>
      </c>
      <c r="C31" s="179" t="s">
        <v>172</v>
      </c>
      <c r="D31" s="179">
        <v>9.0084376E8</v>
      </c>
      <c r="E31" s="180" t="s">
        <v>736</v>
      </c>
      <c r="F31" s="181">
        <v>46129.0</v>
      </c>
      <c r="G31" s="183">
        <v>46129.0</v>
      </c>
    </row>
    <row r="32">
      <c r="A32" s="179" t="s">
        <v>1125</v>
      </c>
      <c r="B32" s="179">
        <v>31.0</v>
      </c>
      <c r="C32" s="179" t="s">
        <v>1070</v>
      </c>
      <c r="D32" s="179">
        <v>3.1526641E7</v>
      </c>
      <c r="E32" s="180" t="s">
        <v>736</v>
      </c>
      <c r="F32" s="181">
        <v>46133.0</v>
      </c>
      <c r="G32" s="183">
        <v>46133.0</v>
      </c>
    </row>
    <row r="33">
      <c r="A33" s="179" t="s">
        <v>1126</v>
      </c>
      <c r="B33" s="179">
        <v>32.0</v>
      </c>
      <c r="C33" s="179" t="s">
        <v>1070</v>
      </c>
      <c r="D33" s="179">
        <v>3.540941E7</v>
      </c>
      <c r="E33" s="180" t="s">
        <v>736</v>
      </c>
      <c r="F33" s="181">
        <v>46141.0</v>
      </c>
      <c r="G33" s="183">
        <v>46141.0</v>
      </c>
    </row>
    <row r="34">
      <c r="A34" s="179" t="s">
        <v>1127</v>
      </c>
      <c r="B34" s="179">
        <v>33.0</v>
      </c>
      <c r="C34" s="179" t="s">
        <v>1070</v>
      </c>
      <c r="D34" s="179">
        <v>3.540941E7</v>
      </c>
      <c r="E34" s="180" t="s">
        <v>736</v>
      </c>
      <c r="F34" s="181">
        <v>46129.0</v>
      </c>
      <c r="G34" s="183">
        <v>46129.0</v>
      </c>
    </row>
    <row r="35">
      <c r="A35" s="179" t="s">
        <v>1128</v>
      </c>
      <c r="B35" s="179">
        <v>34.0</v>
      </c>
      <c r="C35" s="179" t="s">
        <v>1070</v>
      </c>
      <c r="D35" s="179">
        <v>1.033711934E9</v>
      </c>
      <c r="E35" s="180" t="s">
        <v>736</v>
      </c>
      <c r="F35" s="181">
        <v>46130.0</v>
      </c>
      <c r="G35" s="183">
        <v>46130.0</v>
      </c>
    </row>
    <row r="36">
      <c r="A36" s="180" t="s">
        <v>1131</v>
      </c>
      <c r="B36" s="179">
        <v>35.0</v>
      </c>
      <c r="C36" s="179" t="s">
        <v>1070</v>
      </c>
      <c r="D36" s="179">
        <v>1.9265207E7</v>
      </c>
      <c r="E36" s="180" t="s">
        <v>736</v>
      </c>
      <c r="F36" s="181">
        <v>46134.0</v>
      </c>
      <c r="G36" s="183">
        <v>46134.0</v>
      </c>
    </row>
    <row r="37">
      <c r="A37" s="180" t="s">
        <v>1132</v>
      </c>
      <c r="B37" s="179">
        <v>36.0</v>
      </c>
      <c r="C37" s="179" t="s">
        <v>1070</v>
      </c>
      <c r="D37" s="179">
        <v>1.9265207E7</v>
      </c>
      <c r="E37" s="180" t="s">
        <v>736</v>
      </c>
      <c r="F37" s="181">
        <v>46134.0</v>
      </c>
      <c r="G37" s="183">
        <v>46134.0</v>
      </c>
    </row>
    <row r="38">
      <c r="A38" s="180" t="s">
        <v>1133</v>
      </c>
      <c r="B38" s="179">
        <v>37.0</v>
      </c>
      <c r="C38" s="179" t="s">
        <v>1070</v>
      </c>
      <c r="D38" s="179">
        <v>1.9265207E7</v>
      </c>
      <c r="E38" s="180" t="s">
        <v>736</v>
      </c>
      <c r="F38" s="181">
        <v>46134.0</v>
      </c>
      <c r="G38" s="183">
        <v>46134.0</v>
      </c>
    </row>
    <row r="39">
      <c r="A39" s="180" t="s">
        <v>1135</v>
      </c>
      <c r="B39" s="179">
        <v>38.0</v>
      </c>
      <c r="C39" s="179" t="s">
        <v>1070</v>
      </c>
      <c r="D39" s="179">
        <v>7.3271052E7</v>
      </c>
      <c r="E39" s="180" t="s">
        <v>736</v>
      </c>
      <c r="F39" s="181">
        <v>46158.0</v>
      </c>
      <c r="G39" s="183">
        <v>46158.0</v>
      </c>
    </row>
    <row r="40">
      <c r="A40" s="179" t="s">
        <v>1138</v>
      </c>
      <c r="B40" s="179">
        <v>39.0</v>
      </c>
      <c r="C40" s="179" t="s">
        <v>172</v>
      </c>
      <c r="D40" s="179">
        <v>8.6040209E8</v>
      </c>
      <c r="E40" s="180" t="s">
        <v>736</v>
      </c>
      <c r="F40" s="181">
        <v>46134.0</v>
      </c>
      <c r="G40" s="183">
        <v>46134.0</v>
      </c>
    </row>
    <row r="41">
      <c r="A41" s="179" t="s">
        <v>1139</v>
      </c>
      <c r="B41" s="179">
        <v>40.0</v>
      </c>
      <c r="C41" s="179" t="s">
        <v>172</v>
      </c>
      <c r="D41" s="179">
        <v>8.6040209E8</v>
      </c>
      <c r="E41" s="180" t="s">
        <v>736</v>
      </c>
      <c r="F41" s="181">
        <v>46134.0</v>
      </c>
      <c r="G41" s="183">
        <v>46134.0</v>
      </c>
    </row>
    <row r="42">
      <c r="A42" s="179" t="s">
        <v>1142</v>
      </c>
      <c r="B42" s="179">
        <v>41.0</v>
      </c>
      <c r="C42" s="179" t="s">
        <v>172</v>
      </c>
      <c r="D42" s="179">
        <v>8.6040209E8</v>
      </c>
      <c r="E42" s="180" t="s">
        <v>736</v>
      </c>
      <c r="F42" s="181">
        <v>46134.0</v>
      </c>
      <c r="G42" s="183">
        <v>46134.0</v>
      </c>
    </row>
    <row r="43">
      <c r="A43" s="179" t="s">
        <v>1144</v>
      </c>
      <c r="B43" s="179">
        <v>42.0</v>
      </c>
      <c r="C43" s="179" t="s">
        <v>1070</v>
      </c>
      <c r="D43" s="179">
        <v>1.024568758E9</v>
      </c>
      <c r="E43" s="180" t="s">
        <v>736</v>
      </c>
      <c r="F43" s="181">
        <v>46148.0</v>
      </c>
      <c r="G43" s="183">
        <v>46148.0</v>
      </c>
    </row>
    <row r="44">
      <c r="A44" s="179" t="s">
        <v>1147</v>
      </c>
      <c r="B44" s="179">
        <v>43.0</v>
      </c>
      <c r="C44" s="179" t="s">
        <v>1070</v>
      </c>
      <c r="D44" s="179">
        <v>5.2744969E7</v>
      </c>
      <c r="E44" s="180" t="s">
        <v>736</v>
      </c>
      <c r="F44" s="181">
        <v>46149.0</v>
      </c>
      <c r="G44" s="183">
        <v>46149.0</v>
      </c>
    </row>
    <row r="45">
      <c r="A45" s="179" t="s">
        <v>1149</v>
      </c>
      <c r="B45" s="179">
        <v>44.0</v>
      </c>
      <c r="C45" s="179" t="s">
        <v>1070</v>
      </c>
      <c r="D45" s="179">
        <v>5.2744969E7</v>
      </c>
      <c r="E45" s="180" t="s">
        <v>736</v>
      </c>
      <c r="F45" s="181">
        <v>46149.0</v>
      </c>
      <c r="G45" s="183">
        <v>46149.0</v>
      </c>
    </row>
    <row r="46">
      <c r="A46" s="179" t="s">
        <v>1151</v>
      </c>
      <c r="B46" s="179">
        <v>45.0</v>
      </c>
      <c r="C46" s="179" t="s">
        <v>1070</v>
      </c>
      <c r="D46" s="179">
        <v>5.2744969E7</v>
      </c>
      <c r="E46" s="180" t="s">
        <v>736</v>
      </c>
      <c r="F46" s="181">
        <v>46148.0</v>
      </c>
      <c r="G46" s="183">
        <v>46148.0</v>
      </c>
    </row>
    <row r="47">
      <c r="A47" s="179" t="s">
        <v>1154</v>
      </c>
      <c r="B47" s="179">
        <v>46.0</v>
      </c>
      <c r="C47" s="179" t="s">
        <v>172</v>
      </c>
      <c r="D47" s="179">
        <v>9.01483708E8</v>
      </c>
      <c r="E47" s="180" t="s">
        <v>736</v>
      </c>
      <c r="F47" s="181">
        <v>46148.0</v>
      </c>
      <c r="G47" s="183">
        <v>46148.0</v>
      </c>
    </row>
    <row r="48">
      <c r="A48" s="179" t="s">
        <v>1156</v>
      </c>
      <c r="B48" s="179">
        <v>47.0</v>
      </c>
      <c r="C48" s="179" t="s">
        <v>172</v>
      </c>
      <c r="D48" s="179">
        <v>9.01483708E8</v>
      </c>
      <c r="E48" s="180" t="s">
        <v>736</v>
      </c>
      <c r="F48" s="181">
        <v>46148.0</v>
      </c>
      <c r="G48" s="183">
        <v>46148.0</v>
      </c>
    </row>
    <row r="49">
      <c r="A49" s="179" t="s">
        <v>1159</v>
      </c>
      <c r="B49" s="179">
        <v>48.0</v>
      </c>
      <c r="C49" s="179" t="s">
        <v>172</v>
      </c>
      <c r="D49" s="179">
        <v>9.01483708E8</v>
      </c>
      <c r="E49" s="180" t="s">
        <v>736</v>
      </c>
      <c r="F49" s="181">
        <v>46148.0</v>
      </c>
      <c r="G49" s="183">
        <v>46148.0</v>
      </c>
    </row>
    <row r="50">
      <c r="A50" s="179" t="s">
        <v>1160</v>
      </c>
      <c r="B50" s="179">
        <v>49.0</v>
      </c>
      <c r="C50" s="179" t="s">
        <v>172</v>
      </c>
      <c r="D50" s="179">
        <v>9.02014329E8</v>
      </c>
      <c r="E50" s="180" t="s">
        <v>736</v>
      </c>
      <c r="F50" s="181">
        <v>46150.0</v>
      </c>
      <c r="G50" s="183">
        <v>46150.0</v>
      </c>
    </row>
    <row r="51">
      <c r="A51" s="179" t="s">
        <v>1161</v>
      </c>
      <c r="B51" s="179">
        <v>50.0</v>
      </c>
      <c r="C51" s="179" t="s">
        <v>172</v>
      </c>
      <c r="D51" s="179">
        <v>9.02014329E8</v>
      </c>
      <c r="E51" s="180" t="s">
        <v>736</v>
      </c>
      <c r="F51" s="181">
        <v>46150.0</v>
      </c>
      <c r="G51" s="183">
        <v>46150.0</v>
      </c>
    </row>
    <row r="52">
      <c r="A52" s="179" t="s">
        <v>1167</v>
      </c>
      <c r="B52" s="179">
        <v>51.0</v>
      </c>
      <c r="C52" s="179" t="s">
        <v>1070</v>
      </c>
      <c r="D52" s="179">
        <v>1.015420352E9</v>
      </c>
      <c r="E52" s="180" t="s">
        <v>1168</v>
      </c>
      <c r="F52" s="181">
        <v>46153.0</v>
      </c>
      <c r="G52" s="183">
        <v>46153.0</v>
      </c>
    </row>
    <row r="53">
      <c r="A53" s="179" t="s">
        <v>1171</v>
      </c>
      <c r="B53" s="179">
        <v>52.0</v>
      </c>
      <c r="C53" s="179" t="s">
        <v>1070</v>
      </c>
      <c r="D53" s="179">
        <v>1.015420352E9</v>
      </c>
      <c r="E53" s="180" t="s">
        <v>1168</v>
      </c>
      <c r="F53" s="181">
        <v>46153.0</v>
      </c>
      <c r="G53" s="183">
        <v>46153.0</v>
      </c>
    </row>
    <row r="54">
      <c r="A54" s="179" t="s">
        <v>1172</v>
      </c>
      <c r="B54" s="179">
        <v>53.0</v>
      </c>
      <c r="C54" s="179" t="s">
        <v>1070</v>
      </c>
      <c r="D54" s="179">
        <v>5.3050362E7</v>
      </c>
      <c r="E54" s="180" t="s">
        <v>1168</v>
      </c>
      <c r="F54" s="181">
        <v>46155.0</v>
      </c>
      <c r="G54" s="183">
        <v>46155.0</v>
      </c>
    </row>
    <row r="55">
      <c r="A55" s="179" t="s">
        <v>1173</v>
      </c>
      <c r="B55" s="179">
        <v>54.0</v>
      </c>
      <c r="C55" s="179" t="s">
        <v>1070</v>
      </c>
      <c r="D55" s="179">
        <v>5.3050362E7</v>
      </c>
      <c r="E55" s="180" t="s">
        <v>1168</v>
      </c>
      <c r="F55" s="181">
        <v>46155.0</v>
      </c>
      <c r="G55" s="183">
        <v>46155.0</v>
      </c>
    </row>
    <row r="56">
      <c r="A56" s="179" t="s">
        <v>1176</v>
      </c>
      <c r="B56" s="179">
        <v>55.0</v>
      </c>
      <c r="C56" s="179" t="s">
        <v>1070</v>
      </c>
      <c r="D56" s="179">
        <v>5.3050362E7</v>
      </c>
      <c r="E56" s="180" t="s">
        <v>1168</v>
      </c>
      <c r="F56" s="181">
        <v>46155.0</v>
      </c>
      <c r="G56" s="183">
        <v>46155.0</v>
      </c>
    </row>
    <row r="57">
      <c r="A57" s="179" t="s">
        <v>1179</v>
      </c>
      <c r="B57" s="179">
        <v>56.0</v>
      </c>
      <c r="C57" s="179" t="s">
        <v>172</v>
      </c>
      <c r="D57" s="179">
        <v>9.01596477E8</v>
      </c>
      <c r="E57" s="180" t="s">
        <v>1182</v>
      </c>
      <c r="F57" s="181">
        <v>46190.0</v>
      </c>
      <c r="G57" s="183">
        <v>46190.0</v>
      </c>
    </row>
    <row r="58">
      <c r="A58" s="179" t="s">
        <v>1183</v>
      </c>
      <c r="B58" s="179">
        <v>57.0</v>
      </c>
      <c r="C58" s="179" t="s">
        <v>172</v>
      </c>
      <c r="D58" s="179">
        <v>9.00173761E8</v>
      </c>
      <c r="E58" s="180" t="s">
        <v>1184</v>
      </c>
      <c r="F58" s="181">
        <v>46185.0</v>
      </c>
      <c r="G58" s="183">
        <v>46185.0</v>
      </c>
    </row>
    <row r="59">
      <c r="A59" s="179" t="s">
        <v>1185</v>
      </c>
      <c r="B59" s="179">
        <v>58.0</v>
      </c>
      <c r="C59" s="179" t="s">
        <v>1070</v>
      </c>
      <c r="D59" s="179">
        <v>1.026258295E9</v>
      </c>
      <c r="E59" s="180" t="s">
        <v>1168</v>
      </c>
      <c r="F59" s="181">
        <v>46155.0</v>
      </c>
      <c r="G59" s="183">
        <v>46155.0</v>
      </c>
    </row>
    <row r="60">
      <c r="A60" s="179" t="s">
        <v>1186</v>
      </c>
      <c r="B60" s="179">
        <v>59.0</v>
      </c>
      <c r="C60" s="179" t="s">
        <v>1070</v>
      </c>
      <c r="D60" s="179">
        <v>1.026258295E9</v>
      </c>
      <c r="E60" s="180" t="s">
        <v>1168</v>
      </c>
      <c r="F60" s="181">
        <v>46164.0</v>
      </c>
      <c r="G60" s="183">
        <v>46164.0</v>
      </c>
    </row>
    <row r="61">
      <c r="A61" s="179" t="s">
        <v>1187</v>
      </c>
      <c r="B61" s="179">
        <v>60.0</v>
      </c>
      <c r="C61" s="179" t="s">
        <v>1070</v>
      </c>
      <c r="D61" s="179">
        <v>1.026258295E9</v>
      </c>
      <c r="E61" s="180" t="s">
        <v>1168</v>
      </c>
      <c r="F61" s="181">
        <v>46155.0</v>
      </c>
      <c r="G61" s="183">
        <v>46155.0</v>
      </c>
    </row>
    <row r="62">
      <c r="A62" s="179" t="s">
        <v>1188</v>
      </c>
      <c r="B62" s="179">
        <v>61.0</v>
      </c>
      <c r="C62" s="179" t="s">
        <v>1070</v>
      </c>
      <c r="D62" s="179">
        <v>1.026258295E9</v>
      </c>
      <c r="E62" s="180" t="s">
        <v>1168</v>
      </c>
      <c r="F62" s="181">
        <v>46155.0</v>
      </c>
      <c r="G62" s="183">
        <v>46155.0</v>
      </c>
    </row>
    <row r="63">
      <c r="A63" s="179" t="s">
        <v>1189</v>
      </c>
      <c r="B63" s="179">
        <v>62.0</v>
      </c>
      <c r="C63" s="179" t="s">
        <v>1070</v>
      </c>
      <c r="D63" s="179">
        <v>1.026258295E9</v>
      </c>
      <c r="E63" s="180" t="s">
        <v>1168</v>
      </c>
      <c r="F63" s="181">
        <v>46155.0</v>
      </c>
      <c r="G63" s="183">
        <v>46155.0</v>
      </c>
    </row>
    <row r="64">
      <c r="A64" s="179" t="s">
        <v>1192</v>
      </c>
      <c r="B64" s="179">
        <v>63.0</v>
      </c>
      <c r="C64" s="179" t="s">
        <v>1070</v>
      </c>
      <c r="D64" s="179">
        <v>6.6877045E7</v>
      </c>
      <c r="E64" s="180" t="s">
        <v>1193</v>
      </c>
      <c r="F64" s="181">
        <v>46171.0</v>
      </c>
      <c r="G64" s="183">
        <v>46171.0</v>
      </c>
    </row>
    <row r="65">
      <c r="A65" s="179" t="s">
        <v>1194</v>
      </c>
      <c r="B65" s="179">
        <v>64.0</v>
      </c>
      <c r="C65" s="179" t="s">
        <v>1070</v>
      </c>
      <c r="D65" s="179">
        <v>1.3515395E7</v>
      </c>
      <c r="E65" s="180" t="s">
        <v>1200</v>
      </c>
      <c r="F65" s="181">
        <v>46185.0</v>
      </c>
      <c r="G65" s="183">
        <v>46185.0</v>
      </c>
    </row>
    <row r="66">
      <c r="A66" s="179" t="s">
        <v>1201</v>
      </c>
      <c r="B66" s="179">
        <v>65.0</v>
      </c>
      <c r="C66" s="179" t="s">
        <v>172</v>
      </c>
      <c r="D66" s="179">
        <v>9.01404715E8</v>
      </c>
      <c r="E66" s="180" t="s">
        <v>736</v>
      </c>
      <c r="F66" s="181">
        <v>46158.0</v>
      </c>
      <c r="G66" s="183">
        <v>46158.0</v>
      </c>
    </row>
    <row r="67">
      <c r="A67" s="179" t="s">
        <v>1202</v>
      </c>
      <c r="B67" s="179">
        <v>66.0</v>
      </c>
      <c r="C67" s="179" t="s">
        <v>172</v>
      </c>
      <c r="D67" s="179">
        <v>9.01404715E8</v>
      </c>
      <c r="E67" s="180" t="s">
        <v>736</v>
      </c>
      <c r="F67" s="181">
        <v>46158.0</v>
      </c>
      <c r="G67" s="183">
        <v>46158.0</v>
      </c>
    </row>
    <row r="68">
      <c r="A68" s="179" t="s">
        <v>1204</v>
      </c>
      <c r="B68" s="179">
        <v>67.0</v>
      </c>
      <c r="C68" s="179" t="s">
        <v>172</v>
      </c>
      <c r="D68" s="179">
        <v>9.01404715E8</v>
      </c>
      <c r="E68" s="180" t="s">
        <v>736</v>
      </c>
      <c r="F68" s="181">
        <v>46158.0</v>
      </c>
      <c r="G68" s="183">
        <v>46158.0</v>
      </c>
    </row>
    <row r="69">
      <c r="A69" s="179" t="s">
        <v>1206</v>
      </c>
      <c r="B69" s="179">
        <v>68.0</v>
      </c>
      <c r="C69" s="179" t="s">
        <v>172</v>
      </c>
      <c r="D69" s="179">
        <v>9.01404715E8</v>
      </c>
      <c r="E69" s="180" t="s">
        <v>736</v>
      </c>
      <c r="F69" s="181">
        <v>46158.0</v>
      </c>
      <c r="G69" s="183">
        <v>46158.0</v>
      </c>
    </row>
    <row r="70">
      <c r="A70" s="179" t="s">
        <v>1208</v>
      </c>
      <c r="B70" s="179">
        <v>69.0</v>
      </c>
      <c r="C70" s="179" t="s">
        <v>172</v>
      </c>
      <c r="D70" s="179">
        <v>9.01404715E8</v>
      </c>
      <c r="E70" s="180" t="s">
        <v>736</v>
      </c>
      <c r="F70" s="181">
        <v>46159.0</v>
      </c>
      <c r="G70" s="183">
        <v>46159.0</v>
      </c>
    </row>
    <row r="71">
      <c r="A71" s="179" t="s">
        <v>1209</v>
      </c>
      <c r="B71" s="179">
        <v>70.0</v>
      </c>
      <c r="C71" s="179" t="s">
        <v>172</v>
      </c>
      <c r="D71" s="179">
        <v>9.01404715E8</v>
      </c>
      <c r="E71" s="180" t="s">
        <v>736</v>
      </c>
      <c r="F71" s="181">
        <v>46158.0</v>
      </c>
      <c r="G71" s="183">
        <v>46158.0</v>
      </c>
    </row>
    <row r="72">
      <c r="A72" s="179" t="s">
        <v>1211</v>
      </c>
      <c r="B72" s="179">
        <v>71.0</v>
      </c>
      <c r="C72" s="179" t="s">
        <v>172</v>
      </c>
      <c r="D72" s="179">
        <v>9.01404715E8</v>
      </c>
      <c r="E72" s="180" t="s">
        <v>736</v>
      </c>
      <c r="F72" s="181">
        <v>46158.0</v>
      </c>
      <c r="G72" s="183">
        <v>46158.0</v>
      </c>
    </row>
    <row r="73">
      <c r="A73" s="179" t="s">
        <v>1212</v>
      </c>
      <c r="B73" s="179">
        <v>72.0</v>
      </c>
      <c r="C73" s="179" t="s">
        <v>1070</v>
      </c>
      <c r="D73" s="179">
        <v>1.2981984E7</v>
      </c>
      <c r="E73" s="180" t="s">
        <v>1215</v>
      </c>
      <c r="F73" s="181">
        <v>46170.0</v>
      </c>
      <c r="G73" s="183">
        <v>46170.0</v>
      </c>
    </row>
    <row r="74">
      <c r="A74" s="179" t="s">
        <v>1216</v>
      </c>
      <c r="B74" s="179">
        <v>73.0</v>
      </c>
      <c r="C74" s="179" t="s">
        <v>172</v>
      </c>
      <c r="D74" s="179">
        <v>9.00816777E8</v>
      </c>
      <c r="E74" s="180" t="s">
        <v>1217</v>
      </c>
      <c r="F74" s="181">
        <v>46199.0</v>
      </c>
      <c r="G74" s="183">
        <v>46199.0</v>
      </c>
    </row>
    <row r="75">
      <c r="A75" s="179" t="s">
        <v>1218</v>
      </c>
      <c r="B75" s="179">
        <v>74.0</v>
      </c>
      <c r="C75" s="179" t="s">
        <v>1070</v>
      </c>
      <c r="D75" s="179">
        <v>9.01819299E8</v>
      </c>
      <c r="E75" s="180" t="s">
        <v>1219</v>
      </c>
      <c r="F75" s="181">
        <v>46191.0</v>
      </c>
      <c r="G75" s="183">
        <v>46191.0</v>
      </c>
    </row>
    <row r="76">
      <c r="A76" s="179" t="s">
        <v>1221</v>
      </c>
      <c r="B76" s="179">
        <v>75.0</v>
      </c>
      <c r="C76" s="179" t="s">
        <v>1070</v>
      </c>
      <c r="D76" s="179">
        <v>9.01819299E8</v>
      </c>
      <c r="E76" s="180" t="s">
        <v>1219</v>
      </c>
      <c r="F76" s="181">
        <v>46191.0</v>
      </c>
      <c r="G76" s="183">
        <v>46191.0</v>
      </c>
    </row>
    <row r="77">
      <c r="A77" s="179" t="s">
        <v>1225</v>
      </c>
      <c r="B77" s="179">
        <v>76.0</v>
      </c>
      <c r="C77" s="179" t="s">
        <v>1070</v>
      </c>
      <c r="D77" s="179">
        <v>2.8548653E7</v>
      </c>
      <c r="E77" s="180" t="s">
        <v>1227</v>
      </c>
      <c r="F77" s="181">
        <v>46174.0</v>
      </c>
      <c r="G77" s="183">
        <v>46174.0</v>
      </c>
    </row>
    <row r="78">
      <c r="A78" s="179" t="s">
        <v>1228</v>
      </c>
      <c r="B78" s="179">
        <v>77.0</v>
      </c>
      <c r="C78" s="179" t="s">
        <v>1070</v>
      </c>
      <c r="D78" s="179">
        <v>1.6795215E7</v>
      </c>
      <c r="E78" s="180" t="s">
        <v>1230</v>
      </c>
      <c r="F78" s="181">
        <v>46185.0</v>
      </c>
      <c r="G78" s="183">
        <v>46185.0</v>
      </c>
    </row>
    <row r="79">
      <c r="A79" s="179" t="s">
        <v>1231</v>
      </c>
      <c r="B79" s="179">
        <v>78.0</v>
      </c>
      <c r="C79" s="179" t="s">
        <v>1070</v>
      </c>
      <c r="D79" s="179">
        <v>1.130681087E9</v>
      </c>
      <c r="E79" s="180" t="s">
        <v>1232</v>
      </c>
      <c r="F79" s="181">
        <v>46172.0</v>
      </c>
      <c r="G79" s="183">
        <v>46172.0</v>
      </c>
    </row>
    <row r="80">
      <c r="A80" s="179" t="s">
        <v>1233</v>
      </c>
      <c r="B80" s="179">
        <v>79.0</v>
      </c>
      <c r="C80" s="179" t="s">
        <v>1070</v>
      </c>
      <c r="D80" s="179">
        <v>1.130681087E9</v>
      </c>
      <c r="E80" s="180" t="s">
        <v>1234</v>
      </c>
      <c r="F80" s="181">
        <v>46185.0</v>
      </c>
      <c r="G80" s="183">
        <v>46185.0</v>
      </c>
    </row>
    <row r="81">
      <c r="A81" s="179" t="s">
        <v>1237</v>
      </c>
      <c r="B81" s="179">
        <v>80.0</v>
      </c>
      <c r="C81" s="179" t="s">
        <v>1070</v>
      </c>
      <c r="D81" s="179">
        <v>3.3140114E7</v>
      </c>
      <c r="E81" s="180" t="s">
        <v>1238</v>
      </c>
      <c r="F81" s="181">
        <v>46170.0</v>
      </c>
      <c r="G81" s="183">
        <v>46170.0</v>
      </c>
    </row>
    <row r="82">
      <c r="A82" s="179" t="s">
        <v>1239</v>
      </c>
      <c r="B82" s="179">
        <v>81.0</v>
      </c>
      <c r="C82" s="179" t="s">
        <v>1070</v>
      </c>
      <c r="D82" s="179">
        <v>7.2202687E7</v>
      </c>
      <c r="E82" s="180" t="s">
        <v>1240</v>
      </c>
      <c r="F82" s="181">
        <v>46164.0</v>
      </c>
      <c r="G82" s="183">
        <v>46164.0</v>
      </c>
    </row>
    <row r="83">
      <c r="A83" s="179" t="s">
        <v>1241</v>
      </c>
      <c r="B83" s="179">
        <v>82.0</v>
      </c>
      <c r="C83" s="179" t="s">
        <v>1070</v>
      </c>
      <c r="D83" s="179">
        <v>1.061713356E9</v>
      </c>
      <c r="E83" s="180" t="s">
        <v>1242</v>
      </c>
      <c r="F83" s="181">
        <v>46172.0</v>
      </c>
      <c r="G83" s="183">
        <v>46172.0</v>
      </c>
    </row>
    <row r="84">
      <c r="A84" s="179" t="s">
        <v>1243</v>
      </c>
      <c r="B84" s="179">
        <v>83.0</v>
      </c>
      <c r="C84" s="179" t="s">
        <v>1070</v>
      </c>
      <c r="D84" s="179">
        <v>2.3084872E7</v>
      </c>
      <c r="E84" s="180" t="s">
        <v>1240</v>
      </c>
      <c r="F84" s="181">
        <v>46213.0</v>
      </c>
      <c r="G84" s="183">
        <v>46213.0</v>
      </c>
    </row>
    <row r="85">
      <c r="A85" s="179" t="s">
        <v>1246</v>
      </c>
      <c r="B85" s="179">
        <v>84.0</v>
      </c>
      <c r="C85" s="179" t="s">
        <v>1070</v>
      </c>
      <c r="D85" s="179">
        <v>4.5439188E7</v>
      </c>
      <c r="E85" s="180"/>
      <c r="F85" s="181"/>
      <c r="G85" s="183"/>
    </row>
    <row r="86">
      <c r="A86" s="179" t="s">
        <v>1247</v>
      </c>
      <c r="B86" s="179">
        <v>85.0</v>
      </c>
      <c r="C86" s="179" t="s">
        <v>1070</v>
      </c>
      <c r="D86" s="179">
        <v>1.143154446E9</v>
      </c>
      <c r="E86" s="180" t="s">
        <v>1240</v>
      </c>
      <c r="F86" s="181">
        <v>46170.0</v>
      </c>
      <c r="G86" s="183">
        <v>46170.0</v>
      </c>
    </row>
    <row r="87">
      <c r="A87" s="179" t="s">
        <v>1248</v>
      </c>
      <c r="B87" s="179">
        <v>86.0</v>
      </c>
      <c r="C87" s="179" t="s">
        <v>1070</v>
      </c>
      <c r="D87" s="179">
        <v>4.0383825E7</v>
      </c>
      <c r="E87" s="180"/>
      <c r="F87" s="181">
        <v>46189.0</v>
      </c>
      <c r="G87" s="183">
        <v>46189.0</v>
      </c>
    </row>
    <row r="88">
      <c r="A88" s="179" t="s">
        <v>1250</v>
      </c>
      <c r="B88" s="179">
        <v>87.0</v>
      </c>
      <c r="C88" s="179" t="s">
        <v>172</v>
      </c>
      <c r="D88" s="179">
        <v>9.01698718E8</v>
      </c>
      <c r="E88" s="180" t="s">
        <v>1240</v>
      </c>
      <c r="F88" s="181">
        <v>46168.0</v>
      </c>
      <c r="G88" s="183">
        <v>46168.0</v>
      </c>
    </row>
    <row r="89">
      <c r="A89" s="179" t="s">
        <v>1251</v>
      </c>
      <c r="B89" s="179">
        <v>88.0</v>
      </c>
      <c r="C89" s="179" t="s">
        <v>172</v>
      </c>
      <c r="D89" s="179">
        <v>9.01698718E8</v>
      </c>
      <c r="E89" s="180" t="s">
        <v>1240</v>
      </c>
      <c r="F89" s="181">
        <v>46167.0</v>
      </c>
      <c r="G89" s="183">
        <v>46167.0</v>
      </c>
    </row>
    <row r="90">
      <c r="A90" s="179" t="s">
        <v>1252</v>
      </c>
      <c r="B90" s="179">
        <v>89.0</v>
      </c>
      <c r="C90" s="179" t="s">
        <v>172</v>
      </c>
      <c r="D90" s="179">
        <v>9.01698718E8</v>
      </c>
      <c r="E90" s="180" t="s">
        <v>1240</v>
      </c>
      <c r="F90" s="181">
        <v>46167.0</v>
      </c>
      <c r="G90" s="183">
        <v>46167.0</v>
      </c>
    </row>
    <row r="91">
      <c r="A91" s="179" t="s">
        <v>1256</v>
      </c>
      <c r="B91" s="179">
        <v>90.0</v>
      </c>
      <c r="C91" s="179" t="s">
        <v>1070</v>
      </c>
      <c r="D91" s="179">
        <v>2.2590279E7</v>
      </c>
      <c r="E91" s="180" t="s">
        <v>1240</v>
      </c>
      <c r="F91" s="181">
        <v>46164.0</v>
      </c>
      <c r="G91" s="183">
        <v>46164.0</v>
      </c>
    </row>
    <row r="92">
      <c r="A92" s="179" t="s">
        <v>1258</v>
      </c>
      <c r="B92" s="179">
        <v>91.0</v>
      </c>
      <c r="C92" s="179" t="s">
        <v>1070</v>
      </c>
      <c r="D92" s="179">
        <v>7.9992955E7</v>
      </c>
      <c r="E92" s="180" t="s">
        <v>1259</v>
      </c>
      <c r="F92" s="181">
        <v>46167.0</v>
      </c>
      <c r="G92" s="183">
        <v>46167.0</v>
      </c>
    </row>
    <row r="93">
      <c r="A93" s="179" t="s">
        <v>1260</v>
      </c>
      <c r="B93" s="179">
        <v>92.0</v>
      </c>
      <c r="C93" s="179" t="s">
        <v>1070</v>
      </c>
      <c r="D93" s="179">
        <v>7.9992955E7</v>
      </c>
      <c r="E93" s="180" t="s">
        <v>1259</v>
      </c>
      <c r="F93" s="181">
        <v>46167.0</v>
      </c>
      <c r="G93" s="183">
        <v>46167.0</v>
      </c>
    </row>
    <row r="94">
      <c r="A94" s="179" t="s">
        <v>1261</v>
      </c>
      <c r="B94" s="179">
        <v>93.0</v>
      </c>
      <c r="C94" s="179" t="s">
        <v>1070</v>
      </c>
      <c r="D94" s="179">
        <v>7.9992955E7</v>
      </c>
      <c r="E94" s="180" t="s">
        <v>1259</v>
      </c>
      <c r="F94" s="181">
        <v>46178.0</v>
      </c>
      <c r="G94" s="183">
        <v>46178.0</v>
      </c>
    </row>
    <row r="95">
      <c r="A95" s="179" t="s">
        <v>1262</v>
      </c>
      <c r="B95" s="179">
        <v>94.0</v>
      </c>
      <c r="C95" s="179" t="s">
        <v>1070</v>
      </c>
      <c r="D95" s="179">
        <v>4.3813759E7</v>
      </c>
      <c r="E95" s="180" t="s">
        <v>1263</v>
      </c>
      <c r="F95" s="181">
        <v>46168.0</v>
      </c>
      <c r="G95" s="183">
        <v>46168.0</v>
      </c>
    </row>
    <row r="96">
      <c r="A96" s="179" t="s">
        <v>1264</v>
      </c>
      <c r="B96" s="179">
        <v>95.0</v>
      </c>
      <c r="C96" s="179" t="s">
        <v>1070</v>
      </c>
      <c r="D96" s="179">
        <v>7.8021697E7</v>
      </c>
      <c r="E96" s="180" t="s">
        <v>1219</v>
      </c>
      <c r="F96" s="181">
        <v>46206.0</v>
      </c>
      <c r="G96" s="183">
        <v>46206.0</v>
      </c>
    </row>
    <row r="97">
      <c r="A97" s="179" t="s">
        <v>1265</v>
      </c>
      <c r="B97" s="179">
        <v>96.0</v>
      </c>
      <c r="C97" s="179" t="s">
        <v>1070</v>
      </c>
      <c r="D97" s="179">
        <v>3.2715571E7</v>
      </c>
      <c r="E97" s="180" t="s">
        <v>1240</v>
      </c>
      <c r="F97" s="181">
        <v>46168.0</v>
      </c>
      <c r="G97" s="183">
        <v>46168.0</v>
      </c>
    </row>
    <row r="98">
      <c r="A98" s="179" t="s">
        <v>1268</v>
      </c>
      <c r="B98" s="179">
        <v>97.0</v>
      </c>
      <c r="C98" s="179" t="s">
        <v>1070</v>
      </c>
      <c r="D98" s="179">
        <v>1.062288729E9</v>
      </c>
      <c r="E98" s="180"/>
      <c r="F98" s="181">
        <v>46188.0</v>
      </c>
      <c r="G98" s="183">
        <v>46188.0</v>
      </c>
    </row>
    <row r="99">
      <c r="A99" s="179" t="s">
        <v>1269</v>
      </c>
      <c r="B99" s="179">
        <v>98.0</v>
      </c>
      <c r="C99" s="179" t="s">
        <v>1070</v>
      </c>
      <c r="D99" s="179">
        <v>1.5425093E7</v>
      </c>
      <c r="E99" s="180" t="s">
        <v>1217</v>
      </c>
      <c r="F99" s="181">
        <v>46191.0</v>
      </c>
      <c r="G99" s="183">
        <v>46191.0</v>
      </c>
    </row>
    <row r="100">
      <c r="A100" s="179" t="s">
        <v>1270</v>
      </c>
      <c r="B100" s="179">
        <v>99.0</v>
      </c>
      <c r="C100" s="179" t="s">
        <v>1070</v>
      </c>
      <c r="D100" s="179">
        <v>1.152471202E9</v>
      </c>
      <c r="E100" s="180" t="s">
        <v>1219</v>
      </c>
      <c r="F100" s="181">
        <v>46195.0</v>
      </c>
      <c r="G100" s="183">
        <v>46195.0</v>
      </c>
    </row>
    <row r="101">
      <c r="A101" s="179" t="s">
        <v>1273</v>
      </c>
      <c r="B101" s="179">
        <v>100.0</v>
      </c>
      <c r="C101" s="179" t="s">
        <v>1070</v>
      </c>
      <c r="D101" s="179" t="s">
        <v>1275</v>
      </c>
      <c r="E101" s="180" t="s">
        <v>1276</v>
      </c>
      <c r="F101" s="181">
        <v>46167.0</v>
      </c>
      <c r="G101" s="183">
        <v>46167.0</v>
      </c>
    </row>
    <row r="102">
      <c r="A102" s="179" t="s">
        <v>1278</v>
      </c>
      <c r="B102" s="179">
        <v>101.0</v>
      </c>
      <c r="C102" s="179" t="s">
        <v>1070</v>
      </c>
      <c r="D102" s="179">
        <v>1.023872148E9</v>
      </c>
      <c r="E102" s="180" t="s">
        <v>1259</v>
      </c>
      <c r="F102" s="181">
        <v>46167.0</v>
      </c>
      <c r="G102" s="183">
        <v>46167.0</v>
      </c>
    </row>
    <row r="103">
      <c r="A103" s="179" t="s">
        <v>1280</v>
      </c>
      <c r="B103" s="179">
        <v>102.0</v>
      </c>
      <c r="C103" s="179" t="s">
        <v>1070</v>
      </c>
      <c r="D103" s="179">
        <v>1.023872148E9</v>
      </c>
      <c r="E103" s="180" t="s">
        <v>1259</v>
      </c>
      <c r="F103" s="181">
        <v>46167.0</v>
      </c>
      <c r="G103" s="183">
        <v>46167.0</v>
      </c>
    </row>
    <row r="104">
      <c r="A104" s="179" t="s">
        <v>1282</v>
      </c>
      <c r="B104" s="179">
        <v>103.0</v>
      </c>
      <c r="C104" s="179" t="s">
        <v>1070</v>
      </c>
      <c r="D104" s="179" t="s">
        <v>1283</v>
      </c>
      <c r="E104" s="180" t="s">
        <v>1259</v>
      </c>
      <c r="F104" s="181">
        <v>46167.0</v>
      </c>
      <c r="G104" s="183">
        <v>46167.0</v>
      </c>
    </row>
    <row r="105">
      <c r="A105" s="179" t="s">
        <v>1284</v>
      </c>
      <c r="B105" s="179">
        <v>104.0</v>
      </c>
      <c r="C105" s="179" t="s">
        <v>1070</v>
      </c>
      <c r="D105" s="179" t="s">
        <v>1285</v>
      </c>
      <c r="E105" s="180" t="s">
        <v>1259</v>
      </c>
      <c r="F105" s="181">
        <v>46167.0</v>
      </c>
      <c r="G105" s="183">
        <v>46167.0</v>
      </c>
    </row>
    <row r="106">
      <c r="A106" s="179" t="s">
        <v>1288</v>
      </c>
      <c r="B106" s="179">
        <v>105.0</v>
      </c>
      <c r="C106" s="179" t="s">
        <v>1070</v>
      </c>
      <c r="D106" s="179" t="s">
        <v>1289</v>
      </c>
      <c r="E106" s="180" t="s">
        <v>1240</v>
      </c>
      <c r="F106" s="181">
        <v>46170.0</v>
      </c>
      <c r="G106" s="183">
        <v>46170.0</v>
      </c>
    </row>
    <row r="107">
      <c r="A107" s="179" t="s">
        <v>1290</v>
      </c>
      <c r="B107" s="179">
        <v>106.0</v>
      </c>
      <c r="C107" s="179" t="s">
        <v>1070</v>
      </c>
      <c r="D107" s="179" t="s">
        <v>1291</v>
      </c>
      <c r="E107" s="180" t="s">
        <v>1217</v>
      </c>
      <c r="F107" s="181">
        <v>46191.0</v>
      </c>
      <c r="G107" s="183">
        <v>46191.0</v>
      </c>
    </row>
    <row r="108">
      <c r="A108" s="179" t="s">
        <v>1292</v>
      </c>
      <c r="B108" s="179">
        <v>107.0</v>
      </c>
      <c r="C108" s="179" t="s">
        <v>1070</v>
      </c>
      <c r="D108" s="179" t="s">
        <v>1293</v>
      </c>
      <c r="E108" s="180" t="s">
        <v>1242</v>
      </c>
      <c r="F108" s="181">
        <v>46172.0</v>
      </c>
      <c r="G108" s="183">
        <v>46172.0</v>
      </c>
    </row>
    <row r="109">
      <c r="A109" s="179" t="s">
        <v>1294</v>
      </c>
      <c r="B109" s="179">
        <v>108.0</v>
      </c>
      <c r="C109" s="179" t="s">
        <v>1070</v>
      </c>
      <c r="D109" s="179" t="s">
        <v>1296</v>
      </c>
      <c r="E109" s="179" t="s">
        <v>241</v>
      </c>
      <c r="F109" s="181">
        <v>46225.0</v>
      </c>
      <c r="G109" s="183">
        <v>46225.0</v>
      </c>
    </row>
    <row r="110">
      <c r="A110" s="179" t="s">
        <v>1299</v>
      </c>
      <c r="B110" s="179">
        <v>109.0</v>
      </c>
      <c r="C110" s="179" t="s">
        <v>1070</v>
      </c>
      <c r="D110" s="179" t="s">
        <v>1296</v>
      </c>
      <c r="E110" s="179" t="s">
        <v>241</v>
      </c>
      <c r="F110" s="181">
        <v>46225.0</v>
      </c>
      <c r="G110" s="183">
        <v>46225.0</v>
      </c>
    </row>
    <row r="111">
      <c r="A111" s="179" t="s">
        <v>1300</v>
      </c>
      <c r="B111" s="179">
        <v>110.0</v>
      </c>
      <c r="C111" s="179" t="s">
        <v>1070</v>
      </c>
      <c r="D111" s="179" t="s">
        <v>1301</v>
      </c>
      <c r="E111" s="180" t="s">
        <v>1276</v>
      </c>
      <c r="F111" s="181">
        <v>46167.0</v>
      </c>
      <c r="G111" s="183">
        <v>46167.0</v>
      </c>
    </row>
    <row r="112">
      <c r="A112" s="179" t="s">
        <v>1302</v>
      </c>
      <c r="B112" s="179">
        <v>111.0</v>
      </c>
      <c r="C112" s="179" t="s">
        <v>1070</v>
      </c>
      <c r="D112" s="179">
        <v>7.9490174E7</v>
      </c>
      <c r="E112" s="180" t="s">
        <v>736</v>
      </c>
      <c r="F112" s="181">
        <v>46170.0</v>
      </c>
      <c r="G112" s="183">
        <v>46170.0</v>
      </c>
    </row>
    <row r="113">
      <c r="A113" s="179" t="s">
        <v>1303</v>
      </c>
      <c r="B113" s="179">
        <v>112.0</v>
      </c>
      <c r="C113" s="179" t="s">
        <v>1070</v>
      </c>
      <c r="D113" s="179">
        <v>7.9490174E7</v>
      </c>
      <c r="E113" s="180" t="s">
        <v>1304</v>
      </c>
      <c r="F113" s="181">
        <v>46161.0</v>
      </c>
      <c r="G113" s="183">
        <v>46161.0</v>
      </c>
    </row>
    <row r="114">
      <c r="A114" s="179" t="s">
        <v>1305</v>
      </c>
      <c r="B114" s="179">
        <v>113.0</v>
      </c>
      <c r="C114" s="179" t="s">
        <v>1070</v>
      </c>
      <c r="D114" s="179">
        <v>8.0761836E7</v>
      </c>
      <c r="E114" s="180" t="s">
        <v>1306</v>
      </c>
      <c r="F114" s="181">
        <v>46165.0</v>
      </c>
      <c r="G114" s="183">
        <v>46165.0</v>
      </c>
    </row>
    <row r="115">
      <c r="A115" s="179" t="s">
        <v>1307</v>
      </c>
      <c r="B115" s="179">
        <v>114.0</v>
      </c>
      <c r="C115" s="179" t="s">
        <v>1070</v>
      </c>
      <c r="D115" s="179">
        <v>9.01616093E8</v>
      </c>
      <c r="E115" s="180" t="s">
        <v>36</v>
      </c>
      <c r="F115" s="181">
        <v>46165.0</v>
      </c>
      <c r="G115" s="183">
        <v>46165.0</v>
      </c>
    </row>
    <row r="116">
      <c r="A116" s="179" t="s">
        <v>1310</v>
      </c>
      <c r="B116" s="179">
        <v>115.0</v>
      </c>
      <c r="C116" s="179" t="s">
        <v>1070</v>
      </c>
      <c r="D116" s="179">
        <v>9.01616093E8</v>
      </c>
      <c r="E116" s="180" t="s">
        <v>36</v>
      </c>
      <c r="F116" s="181">
        <v>46165.0</v>
      </c>
      <c r="G116" s="183">
        <v>46165.0</v>
      </c>
    </row>
    <row r="117">
      <c r="A117" s="179" t="s">
        <v>1311</v>
      </c>
      <c r="B117" s="179">
        <v>116.0</v>
      </c>
      <c r="C117" s="179" t="s">
        <v>1070</v>
      </c>
      <c r="D117" s="179">
        <v>1.1349116E7</v>
      </c>
      <c r="E117" s="180" t="s">
        <v>36</v>
      </c>
      <c r="F117" s="181">
        <v>46167.0</v>
      </c>
      <c r="G117" s="183">
        <v>46167.0</v>
      </c>
    </row>
    <row r="118">
      <c r="A118" s="179" t="s">
        <v>1312</v>
      </c>
      <c r="B118" s="179">
        <v>117.0</v>
      </c>
      <c r="C118" s="179" t="s">
        <v>1070</v>
      </c>
      <c r="D118" s="179">
        <v>1.049622911E9</v>
      </c>
      <c r="E118" s="180"/>
      <c r="F118" s="181">
        <v>46187.0</v>
      </c>
      <c r="G118" s="183">
        <v>46187.0</v>
      </c>
    </row>
    <row r="119">
      <c r="A119" s="179" t="s">
        <v>1314</v>
      </c>
      <c r="B119" s="179">
        <v>118.0</v>
      </c>
      <c r="C119" s="179" t="s">
        <v>1070</v>
      </c>
      <c r="D119" s="179">
        <v>4104664.0</v>
      </c>
      <c r="E119" s="180" t="s">
        <v>1306</v>
      </c>
      <c r="F119" s="181">
        <v>46168.0</v>
      </c>
      <c r="G119" s="183">
        <v>46168.0</v>
      </c>
    </row>
    <row r="120">
      <c r="A120" s="179" t="s">
        <v>1317</v>
      </c>
      <c r="B120" s="179">
        <v>119.0</v>
      </c>
      <c r="C120" s="179" t="s">
        <v>1070</v>
      </c>
      <c r="D120" s="179">
        <v>8.0469631E7</v>
      </c>
      <c r="E120" s="180" t="s">
        <v>736</v>
      </c>
      <c r="F120" s="181">
        <v>46169.0</v>
      </c>
      <c r="G120" s="183">
        <v>46169.0</v>
      </c>
    </row>
    <row r="121">
      <c r="A121" s="179" t="s">
        <v>1318</v>
      </c>
      <c r="B121" s="179">
        <v>120.0</v>
      </c>
      <c r="C121" s="179" t="s">
        <v>1070</v>
      </c>
      <c r="D121" s="179">
        <v>7.9443701E7</v>
      </c>
      <c r="E121" s="179" t="s">
        <v>241</v>
      </c>
      <c r="F121" s="181"/>
      <c r="G121" s="183"/>
    </row>
    <row r="122">
      <c r="A122" s="179" t="s">
        <v>1319</v>
      </c>
      <c r="B122" s="179">
        <v>121.0</v>
      </c>
      <c r="C122" s="179" t="s">
        <v>1070</v>
      </c>
      <c r="D122" s="179">
        <v>7.9443701E7</v>
      </c>
      <c r="E122" s="179" t="s">
        <v>241</v>
      </c>
      <c r="F122" s="181"/>
      <c r="G122" s="183"/>
    </row>
    <row r="123">
      <c r="A123" s="179" t="s">
        <v>1322</v>
      </c>
      <c r="B123" s="179">
        <v>122.0</v>
      </c>
      <c r="C123" s="179" t="s">
        <v>1070</v>
      </c>
      <c r="D123" s="179">
        <v>1.233893309E9</v>
      </c>
      <c r="E123" s="180" t="s">
        <v>1304</v>
      </c>
      <c r="F123" s="181">
        <v>46182.0</v>
      </c>
      <c r="G123" s="183">
        <v>46182.0</v>
      </c>
    </row>
    <row r="124">
      <c r="A124" s="179" t="s">
        <v>1323</v>
      </c>
      <c r="B124" s="179">
        <v>123.0</v>
      </c>
      <c r="C124" s="179" t="s">
        <v>1070</v>
      </c>
      <c r="D124" s="179">
        <v>1.233893309E9</v>
      </c>
      <c r="E124" s="180" t="s">
        <v>1304</v>
      </c>
      <c r="F124" s="181">
        <v>46182.0</v>
      </c>
      <c r="G124" s="183">
        <v>46182.0</v>
      </c>
    </row>
    <row r="125">
      <c r="A125" s="179" t="s">
        <v>1324</v>
      </c>
      <c r="B125" s="179">
        <v>124.0</v>
      </c>
      <c r="C125" s="179" t="s">
        <v>1070</v>
      </c>
      <c r="D125" s="179">
        <v>3.6160992E7</v>
      </c>
      <c r="E125" s="180" t="s">
        <v>1234</v>
      </c>
      <c r="F125" s="181">
        <v>46185.0</v>
      </c>
      <c r="G125" s="183">
        <v>46185.0</v>
      </c>
    </row>
    <row r="126">
      <c r="A126" s="179" t="s">
        <v>1326</v>
      </c>
      <c r="B126" s="179">
        <v>125.0</v>
      </c>
      <c r="C126" s="179" t="s">
        <v>1070</v>
      </c>
      <c r="D126" s="179">
        <v>3.6160992E7</v>
      </c>
      <c r="E126" s="180" t="s">
        <v>1234</v>
      </c>
      <c r="F126" s="181">
        <v>46185.0</v>
      </c>
      <c r="G126" s="183">
        <v>46185.0</v>
      </c>
    </row>
    <row r="127">
      <c r="A127" s="179" t="s">
        <v>1328</v>
      </c>
      <c r="B127" s="179">
        <v>126.0</v>
      </c>
      <c r="C127" s="179" t="s">
        <v>1070</v>
      </c>
      <c r="D127" s="179">
        <v>1.088730875E9</v>
      </c>
      <c r="E127" s="180"/>
      <c r="F127" s="181">
        <v>46188.0</v>
      </c>
      <c r="G127" s="183">
        <v>46188.0</v>
      </c>
    </row>
    <row r="128">
      <c r="A128" s="179" t="s">
        <v>1329</v>
      </c>
      <c r="B128" s="179">
        <v>127.0</v>
      </c>
      <c r="C128" s="179" t="s">
        <v>1070</v>
      </c>
      <c r="D128" s="179">
        <v>1.043024064E9</v>
      </c>
      <c r="E128" s="180" t="s">
        <v>1240</v>
      </c>
      <c r="F128" s="181">
        <v>46169.0</v>
      </c>
      <c r="G128" s="183">
        <v>46169.0</v>
      </c>
    </row>
    <row r="129">
      <c r="A129" s="179" t="s">
        <v>1330</v>
      </c>
      <c r="B129" s="179">
        <v>128.0</v>
      </c>
      <c r="C129" s="179" t="s">
        <v>1070</v>
      </c>
      <c r="D129" s="179">
        <v>1.2265989E7</v>
      </c>
      <c r="E129" s="180" t="s">
        <v>1168</v>
      </c>
      <c r="F129" s="181">
        <v>46170.0</v>
      </c>
      <c r="G129" s="183">
        <v>46170.0</v>
      </c>
    </row>
    <row r="130">
      <c r="A130" s="179" t="s">
        <v>1333</v>
      </c>
      <c r="B130" s="179">
        <v>129.0</v>
      </c>
      <c r="C130" s="179" t="s">
        <v>1070</v>
      </c>
      <c r="D130" s="179">
        <v>1.013659364E9</v>
      </c>
      <c r="E130" s="180" t="s">
        <v>1168</v>
      </c>
      <c r="F130" s="181">
        <v>46170.0</v>
      </c>
      <c r="G130" s="183">
        <v>46170.0</v>
      </c>
    </row>
    <row r="131">
      <c r="A131" s="179" t="s">
        <v>1334</v>
      </c>
      <c r="B131" s="179">
        <v>130.0</v>
      </c>
      <c r="C131" s="179" t="s">
        <v>1070</v>
      </c>
      <c r="D131" s="179">
        <v>3.0396573E7</v>
      </c>
      <c r="E131" s="180" t="s">
        <v>1335</v>
      </c>
      <c r="F131" s="181">
        <v>46171.0</v>
      </c>
      <c r="G131" s="183">
        <v>46171.0</v>
      </c>
    </row>
    <row r="132">
      <c r="A132" s="179" t="s">
        <v>1336</v>
      </c>
      <c r="B132" s="179">
        <v>131.0</v>
      </c>
      <c r="C132" s="179" t="s">
        <v>1070</v>
      </c>
      <c r="D132" s="179">
        <v>3.0396573E7</v>
      </c>
      <c r="E132" s="180" t="s">
        <v>1335</v>
      </c>
      <c r="F132" s="181">
        <v>46171.0</v>
      </c>
      <c r="G132" s="183">
        <v>46171.0</v>
      </c>
    </row>
    <row r="133">
      <c r="A133" s="179" t="s">
        <v>1337</v>
      </c>
      <c r="B133" s="179">
        <v>132.0</v>
      </c>
      <c r="C133" s="179" t="s">
        <v>1070</v>
      </c>
      <c r="D133" s="179">
        <v>3.0396573E7</v>
      </c>
      <c r="E133" s="180" t="s">
        <v>1335</v>
      </c>
      <c r="F133" s="181">
        <v>46171.0</v>
      </c>
      <c r="G133" s="183">
        <v>46171.0</v>
      </c>
    </row>
    <row r="134">
      <c r="A134" s="179" t="s">
        <v>1340</v>
      </c>
      <c r="B134" s="179">
        <v>133.0</v>
      </c>
      <c r="C134" s="179" t="s">
        <v>1070</v>
      </c>
      <c r="D134" s="179">
        <v>4104664.0</v>
      </c>
      <c r="E134" s="179" t="s">
        <v>1306</v>
      </c>
      <c r="F134" s="181"/>
      <c r="G134" s="183"/>
    </row>
    <row r="135">
      <c r="A135" s="179" t="s">
        <v>1341</v>
      </c>
      <c r="B135" s="179">
        <v>134.0</v>
      </c>
      <c r="C135" s="179" t="s">
        <v>172</v>
      </c>
      <c r="D135" s="179">
        <v>9.01695801E8</v>
      </c>
      <c r="E135" s="180" t="s">
        <v>1168</v>
      </c>
      <c r="F135" s="181">
        <v>46170.0</v>
      </c>
      <c r="G135" s="183">
        <v>46170.0</v>
      </c>
    </row>
    <row r="136">
      <c r="A136" s="179" t="s">
        <v>1342</v>
      </c>
      <c r="B136" s="179">
        <v>135.0</v>
      </c>
      <c r="C136" s="179" t="s">
        <v>1070</v>
      </c>
      <c r="D136" s="179">
        <v>2.2669019E7</v>
      </c>
      <c r="E136" s="180" t="s">
        <v>1343</v>
      </c>
      <c r="F136" s="181">
        <v>46189.0</v>
      </c>
      <c r="G136" s="183">
        <v>46189.0</v>
      </c>
    </row>
    <row r="137">
      <c r="A137" s="179" t="s">
        <v>1344</v>
      </c>
      <c r="B137" s="179">
        <v>136.0</v>
      </c>
      <c r="C137" s="179" t="s">
        <v>1070</v>
      </c>
      <c r="D137" s="179">
        <v>1.140821685E9</v>
      </c>
      <c r="E137" s="180" t="s">
        <v>1200</v>
      </c>
      <c r="F137" s="181">
        <v>46185.0</v>
      </c>
      <c r="G137" s="183">
        <v>46185.0</v>
      </c>
    </row>
    <row r="138">
      <c r="A138" s="179" t="s">
        <v>1347</v>
      </c>
      <c r="B138" s="179">
        <v>137.0</v>
      </c>
      <c r="C138" s="179" t="s">
        <v>172</v>
      </c>
      <c r="D138" s="179">
        <v>9.01621886E8</v>
      </c>
      <c r="E138" s="180" t="s">
        <v>1259</v>
      </c>
      <c r="F138" s="181">
        <v>46175.0</v>
      </c>
      <c r="G138" s="183">
        <v>46175.0</v>
      </c>
    </row>
    <row r="139">
      <c r="A139" s="179" t="s">
        <v>1348</v>
      </c>
      <c r="B139" s="179">
        <v>138.0</v>
      </c>
      <c r="C139" s="179" t="s">
        <v>172</v>
      </c>
      <c r="D139" s="179">
        <v>9.01621886E8</v>
      </c>
      <c r="E139" s="180" t="s">
        <v>1259</v>
      </c>
      <c r="F139" s="181">
        <v>46175.0</v>
      </c>
      <c r="G139" s="183">
        <v>46175.0</v>
      </c>
    </row>
    <row r="140">
      <c r="A140" s="179" t="s">
        <v>1349</v>
      </c>
      <c r="B140" s="179">
        <v>139.0</v>
      </c>
      <c r="C140" s="179" t="s">
        <v>1070</v>
      </c>
      <c r="D140" s="179">
        <v>1.9190461E7</v>
      </c>
      <c r="E140" s="180" t="s">
        <v>736</v>
      </c>
      <c r="F140" s="181">
        <v>46175.0</v>
      </c>
      <c r="G140" s="183">
        <v>46175.0</v>
      </c>
    </row>
    <row r="141">
      <c r="A141" s="179" t="s">
        <v>1350</v>
      </c>
      <c r="B141" s="179">
        <v>140.0</v>
      </c>
      <c r="C141" s="179" t="s">
        <v>1070</v>
      </c>
      <c r="D141" s="179">
        <v>1.926876E7</v>
      </c>
      <c r="E141" s="180" t="s">
        <v>1168</v>
      </c>
      <c r="F141" s="181">
        <v>46171.0</v>
      </c>
      <c r="G141" s="183">
        <v>46171.0</v>
      </c>
    </row>
    <row r="142">
      <c r="A142" s="179" t="s">
        <v>1353</v>
      </c>
      <c r="B142" s="179">
        <v>141.0</v>
      </c>
      <c r="C142" s="179" t="s">
        <v>1070</v>
      </c>
      <c r="D142" s="179">
        <v>1.926876E7</v>
      </c>
      <c r="E142" s="180" t="s">
        <v>1168</v>
      </c>
      <c r="F142" s="181">
        <v>46171.0</v>
      </c>
      <c r="G142" s="183">
        <v>46171.0</v>
      </c>
    </row>
    <row r="143">
      <c r="A143" s="179" t="s">
        <v>1354</v>
      </c>
      <c r="B143" s="179">
        <v>142.0</v>
      </c>
      <c r="C143" s="179" t="s">
        <v>1070</v>
      </c>
      <c r="D143" s="179">
        <v>1.9190461E7</v>
      </c>
      <c r="E143" s="180" t="s">
        <v>736</v>
      </c>
      <c r="F143" s="181">
        <v>46175.0</v>
      </c>
      <c r="G143" s="183">
        <v>46175.0</v>
      </c>
    </row>
    <row r="144">
      <c r="A144" s="179" t="s">
        <v>1355</v>
      </c>
      <c r="B144" s="179">
        <v>143.0</v>
      </c>
      <c r="C144" s="179" t="s">
        <v>1070</v>
      </c>
      <c r="D144" s="179">
        <v>1.9190461E7</v>
      </c>
      <c r="E144" s="180" t="s">
        <v>736</v>
      </c>
      <c r="F144" s="181">
        <v>46175.0</v>
      </c>
      <c r="G144" s="183">
        <v>46175.0</v>
      </c>
    </row>
    <row r="145">
      <c r="A145" s="179" t="s">
        <v>1356</v>
      </c>
      <c r="B145" s="179">
        <v>144.0</v>
      </c>
      <c r="C145" s="179" t="s">
        <v>1070</v>
      </c>
      <c r="D145" s="179">
        <v>1.9190461E7</v>
      </c>
      <c r="E145" s="180" t="s">
        <v>736</v>
      </c>
      <c r="F145" s="181">
        <v>46175.0</v>
      </c>
      <c r="G145" s="183">
        <v>46175.0</v>
      </c>
    </row>
    <row r="146">
      <c r="A146" s="179" t="s">
        <v>1359</v>
      </c>
      <c r="B146" s="179">
        <v>145.0</v>
      </c>
      <c r="C146" s="179" t="s">
        <v>1070</v>
      </c>
      <c r="D146" s="179">
        <v>1.9190461E7</v>
      </c>
      <c r="E146" s="180" t="s">
        <v>736</v>
      </c>
      <c r="F146" s="181">
        <v>46175.0</v>
      </c>
      <c r="G146" s="183">
        <v>46175.0</v>
      </c>
    </row>
    <row r="147">
      <c r="A147" s="179" t="s">
        <v>1360</v>
      </c>
      <c r="B147" s="179">
        <v>146.0</v>
      </c>
      <c r="C147" s="179" t="s">
        <v>172</v>
      </c>
      <c r="D147" s="179">
        <v>9.01676894E8</v>
      </c>
      <c r="E147" s="179" t="s">
        <v>1234</v>
      </c>
      <c r="F147" s="181">
        <v>46206.0</v>
      </c>
      <c r="G147" s="183">
        <v>46206.0</v>
      </c>
    </row>
    <row r="148">
      <c r="A148" s="179" t="s">
        <v>1361</v>
      </c>
      <c r="B148" s="179">
        <v>147.0</v>
      </c>
      <c r="C148" s="179" t="s">
        <v>1070</v>
      </c>
      <c r="D148" s="179">
        <v>6.701433E7</v>
      </c>
      <c r="E148" s="181" t="s">
        <v>1362</v>
      </c>
      <c r="F148" s="181">
        <v>46179.0</v>
      </c>
      <c r="G148" s="183">
        <v>46179.0</v>
      </c>
    </row>
    <row r="149">
      <c r="A149" s="179" t="s">
        <v>1365</v>
      </c>
      <c r="B149" s="179">
        <v>148.0</v>
      </c>
      <c r="C149" s="179" t="s">
        <v>1070</v>
      </c>
      <c r="D149" s="179">
        <v>5.1979019E7</v>
      </c>
      <c r="E149" s="180" t="s">
        <v>1259</v>
      </c>
      <c r="F149" s="181">
        <v>46175.0</v>
      </c>
      <c r="G149" s="183">
        <v>46175.0</v>
      </c>
    </row>
    <row r="150">
      <c r="A150" s="179" t="s">
        <v>1366</v>
      </c>
      <c r="B150" s="179">
        <v>149.0</v>
      </c>
      <c r="C150" s="179" t="s">
        <v>1070</v>
      </c>
      <c r="D150" s="179">
        <v>8.0254328E7</v>
      </c>
      <c r="E150" s="180" t="s">
        <v>1367</v>
      </c>
      <c r="F150" s="181">
        <v>46185.0</v>
      </c>
      <c r="G150" s="183">
        <v>46185.0</v>
      </c>
    </row>
    <row r="151">
      <c r="A151" s="179" t="s">
        <v>1368</v>
      </c>
      <c r="B151" s="179">
        <v>150.0</v>
      </c>
      <c r="C151" s="179" t="s">
        <v>1070</v>
      </c>
      <c r="D151" s="179">
        <v>8.0254328E7</v>
      </c>
      <c r="E151" s="180" t="s">
        <v>1367</v>
      </c>
      <c r="F151" s="181">
        <v>46185.0</v>
      </c>
      <c r="G151" s="183">
        <v>46185.0</v>
      </c>
    </row>
    <row r="152">
      <c r="A152" s="179" t="s">
        <v>1369</v>
      </c>
      <c r="B152" s="179">
        <v>151.0</v>
      </c>
      <c r="C152" s="179" t="s">
        <v>1070</v>
      </c>
      <c r="D152" s="179">
        <v>7.9604317E7</v>
      </c>
      <c r="E152" s="180" t="s">
        <v>1370</v>
      </c>
      <c r="F152" s="181">
        <v>46184.0</v>
      </c>
      <c r="G152" s="183">
        <v>46184.0</v>
      </c>
    </row>
    <row r="153">
      <c r="A153" s="179" t="s">
        <v>1371</v>
      </c>
      <c r="B153" s="179">
        <v>152.0</v>
      </c>
      <c r="C153" s="179" t="s">
        <v>1070</v>
      </c>
      <c r="D153" s="179">
        <v>7.9604317E7</v>
      </c>
      <c r="E153" s="180" t="s">
        <v>1370</v>
      </c>
      <c r="F153" s="181">
        <v>46184.0</v>
      </c>
      <c r="G153" s="183">
        <v>46184.0</v>
      </c>
    </row>
    <row r="154">
      <c r="A154" s="179" t="s">
        <v>1372</v>
      </c>
      <c r="B154" s="179">
        <v>153.0</v>
      </c>
      <c r="C154" s="179" t="s">
        <v>1070</v>
      </c>
      <c r="D154" s="179">
        <v>5.3103609E7</v>
      </c>
      <c r="E154" s="180" t="s">
        <v>1168</v>
      </c>
      <c r="F154" s="181">
        <v>46186.0</v>
      </c>
      <c r="G154" s="183">
        <v>46186.0</v>
      </c>
    </row>
    <row r="155">
      <c r="A155" s="179" t="s">
        <v>1375</v>
      </c>
      <c r="B155" s="179">
        <v>154.0</v>
      </c>
      <c r="C155" s="179" t="s">
        <v>1070</v>
      </c>
      <c r="D155" s="179">
        <v>5.3103609E7</v>
      </c>
      <c r="E155" s="180" t="s">
        <v>1168</v>
      </c>
      <c r="F155" s="181">
        <v>46186.0</v>
      </c>
      <c r="G155" s="183">
        <v>46186.0</v>
      </c>
    </row>
    <row r="156">
      <c r="A156" s="179" t="s">
        <v>1376</v>
      </c>
      <c r="B156" s="179">
        <v>155.0</v>
      </c>
      <c r="C156" s="179" t="s">
        <v>1070</v>
      </c>
      <c r="D156" s="179">
        <v>5.3103609E7</v>
      </c>
      <c r="E156" s="180" t="s">
        <v>1168</v>
      </c>
      <c r="F156" s="181">
        <v>46186.0</v>
      </c>
      <c r="G156" s="183">
        <v>46186.0</v>
      </c>
    </row>
    <row r="157">
      <c r="A157" s="179" t="s">
        <v>1377</v>
      </c>
      <c r="B157" s="179">
        <v>156.0</v>
      </c>
      <c r="C157" s="179" t="s">
        <v>1070</v>
      </c>
      <c r="D157" s="179">
        <v>5.3103609E7</v>
      </c>
      <c r="E157" s="180" t="s">
        <v>1168</v>
      </c>
      <c r="F157" s="181">
        <v>46186.0</v>
      </c>
      <c r="G157" s="183">
        <v>46186.0</v>
      </c>
    </row>
    <row r="158">
      <c r="A158" s="179" t="s">
        <v>1380</v>
      </c>
      <c r="B158" s="179">
        <v>157.0</v>
      </c>
      <c r="C158" s="179" t="s">
        <v>1070</v>
      </c>
      <c r="D158" s="179">
        <v>4276831.0</v>
      </c>
      <c r="E158" s="180" t="s">
        <v>1259</v>
      </c>
      <c r="F158" s="181">
        <v>46175.0</v>
      </c>
      <c r="G158" s="183">
        <v>46175.0</v>
      </c>
    </row>
    <row r="159">
      <c r="A159" s="179" t="s">
        <v>1381</v>
      </c>
      <c r="B159" s="179">
        <v>158.0</v>
      </c>
      <c r="C159" s="179" t="s">
        <v>1070</v>
      </c>
      <c r="D159" s="179">
        <v>1.112474853E9</v>
      </c>
      <c r="E159" s="179" t="s">
        <v>1382</v>
      </c>
      <c r="F159" s="181">
        <v>46182.0</v>
      </c>
      <c r="G159" s="183">
        <v>46182.0</v>
      </c>
    </row>
    <row r="160">
      <c r="A160" s="179" t="s">
        <v>1383</v>
      </c>
      <c r="B160" s="179">
        <v>159.0</v>
      </c>
      <c r="C160" s="179" t="s">
        <v>1070</v>
      </c>
      <c r="D160" s="179">
        <v>7.6331143E7</v>
      </c>
      <c r="E160" s="181" t="s">
        <v>1362</v>
      </c>
      <c r="F160" s="181">
        <v>46179.0</v>
      </c>
      <c r="G160" s="183">
        <v>46179.0</v>
      </c>
    </row>
    <row r="161">
      <c r="A161" s="179" t="s">
        <v>1385</v>
      </c>
      <c r="B161" s="179">
        <v>160.0</v>
      </c>
      <c r="C161" s="179" t="s">
        <v>1070</v>
      </c>
      <c r="D161" s="179">
        <v>7.6331143E7</v>
      </c>
      <c r="E161" s="181" t="s">
        <v>1362</v>
      </c>
      <c r="F161" s="181">
        <v>46179.0</v>
      </c>
      <c r="G161" s="183">
        <v>46179.0</v>
      </c>
    </row>
    <row r="162">
      <c r="A162" s="179" t="s">
        <v>1387</v>
      </c>
      <c r="B162" s="179">
        <v>161.0</v>
      </c>
      <c r="C162" s="179" t="s">
        <v>1070</v>
      </c>
      <c r="D162" s="179">
        <v>7.6331143E7</v>
      </c>
      <c r="E162" s="181" t="s">
        <v>1362</v>
      </c>
      <c r="F162" s="181">
        <v>46179.0</v>
      </c>
      <c r="G162" s="183">
        <v>46179.0</v>
      </c>
    </row>
    <row r="163">
      <c r="A163" s="179" t="s">
        <v>1389</v>
      </c>
      <c r="B163" s="179">
        <v>162.0</v>
      </c>
      <c r="C163" s="179" t="s">
        <v>172</v>
      </c>
      <c r="D163" s="179">
        <v>9.02021317E8</v>
      </c>
      <c r="E163" s="179" t="s">
        <v>1219</v>
      </c>
      <c r="F163" s="181">
        <v>46212.0</v>
      </c>
      <c r="G163" s="183">
        <v>46212.0</v>
      </c>
    </row>
    <row r="164">
      <c r="A164" s="179" t="s">
        <v>1390</v>
      </c>
      <c r="B164" s="179">
        <v>163.0</v>
      </c>
      <c r="C164" s="179" t="s">
        <v>172</v>
      </c>
      <c r="D164" s="179">
        <v>9.02021317E8</v>
      </c>
      <c r="E164" s="179" t="s">
        <v>1219</v>
      </c>
      <c r="F164" s="181">
        <v>46212.0</v>
      </c>
      <c r="G164" s="183">
        <v>46212.0</v>
      </c>
    </row>
    <row r="165">
      <c r="A165" s="179" t="s">
        <v>1391</v>
      </c>
      <c r="B165" s="179">
        <v>164.0</v>
      </c>
      <c r="C165" s="179" t="s">
        <v>172</v>
      </c>
      <c r="D165" s="179">
        <v>9.02021317E8</v>
      </c>
      <c r="E165" s="179" t="s">
        <v>1219</v>
      </c>
      <c r="F165" s="181">
        <v>46218.0</v>
      </c>
      <c r="G165" s="183">
        <v>46218.0</v>
      </c>
    </row>
    <row r="166">
      <c r="A166" s="179" t="s">
        <v>1392</v>
      </c>
      <c r="B166" s="179">
        <v>165.0</v>
      </c>
      <c r="C166" s="179" t="s">
        <v>1070</v>
      </c>
      <c r="D166" s="179">
        <v>6.701433E7</v>
      </c>
      <c r="E166" s="181" t="s">
        <v>1362</v>
      </c>
      <c r="F166" s="181">
        <v>46179.0</v>
      </c>
      <c r="G166" s="183">
        <v>46179.0</v>
      </c>
    </row>
    <row r="167">
      <c r="A167" s="179" t="s">
        <v>1394</v>
      </c>
      <c r="B167" s="179">
        <v>166.0</v>
      </c>
      <c r="C167" s="179" t="s">
        <v>1070</v>
      </c>
      <c r="D167" s="179">
        <v>5.2772231E7</v>
      </c>
      <c r="E167" s="179" t="s">
        <v>1168</v>
      </c>
      <c r="F167" s="181">
        <v>46182.0</v>
      </c>
      <c r="G167" s="183">
        <v>46182.0</v>
      </c>
    </row>
    <row r="168">
      <c r="A168" s="179" t="s">
        <v>1396</v>
      </c>
      <c r="B168" s="179">
        <v>167.0</v>
      </c>
      <c r="C168" s="179" t="s">
        <v>1070</v>
      </c>
      <c r="D168" s="179">
        <v>5.2772231E7</v>
      </c>
      <c r="E168" s="179" t="s">
        <v>1168</v>
      </c>
      <c r="F168" s="181">
        <v>46182.0</v>
      </c>
      <c r="G168" s="183">
        <v>46182.0</v>
      </c>
    </row>
    <row r="169">
      <c r="A169" s="179" t="s">
        <v>1397</v>
      </c>
      <c r="B169" s="179">
        <v>168.0</v>
      </c>
      <c r="C169" s="179" t="s">
        <v>1070</v>
      </c>
      <c r="D169" s="179">
        <v>1.6762593E7</v>
      </c>
      <c r="E169" s="179" t="s">
        <v>1230</v>
      </c>
      <c r="F169" s="181">
        <v>46199.0</v>
      </c>
      <c r="G169" s="183">
        <v>46199.0</v>
      </c>
    </row>
    <row r="170">
      <c r="A170" s="180" t="s">
        <v>1398</v>
      </c>
      <c r="B170" s="179">
        <v>169.0</v>
      </c>
      <c r="C170" s="179" t="s">
        <v>1070</v>
      </c>
      <c r="D170" s="179">
        <v>4.152852E7</v>
      </c>
      <c r="E170" s="179"/>
      <c r="F170" s="181"/>
      <c r="G170" s="183"/>
    </row>
    <row r="171">
      <c r="A171" s="180" t="s">
        <v>1400</v>
      </c>
      <c r="B171" s="179">
        <v>170.0</v>
      </c>
      <c r="C171" s="179" t="s">
        <v>1070</v>
      </c>
      <c r="D171" s="179">
        <v>1.088242137E9</v>
      </c>
      <c r="E171" s="181" t="s">
        <v>1401</v>
      </c>
      <c r="F171" s="181">
        <v>46179.0</v>
      </c>
      <c r="G171" s="183">
        <v>46179.0</v>
      </c>
    </row>
    <row r="172">
      <c r="A172" s="180" t="s">
        <v>1404</v>
      </c>
      <c r="B172" s="179">
        <v>171.0</v>
      </c>
      <c r="C172" s="179" t="s">
        <v>1070</v>
      </c>
      <c r="D172" s="179">
        <v>1.054801253E9</v>
      </c>
      <c r="E172" s="181" t="s">
        <v>1259</v>
      </c>
      <c r="F172" s="181">
        <v>46186.0</v>
      </c>
      <c r="G172" s="183">
        <v>46186.0</v>
      </c>
    </row>
    <row r="173">
      <c r="A173" s="180" t="s">
        <v>1405</v>
      </c>
      <c r="B173" s="179">
        <v>172.0</v>
      </c>
      <c r="C173" s="179" t="s">
        <v>1070</v>
      </c>
      <c r="D173" s="179">
        <v>1.054801253E9</v>
      </c>
      <c r="E173" s="181" t="s">
        <v>1259</v>
      </c>
      <c r="F173" s="181">
        <v>46186.0</v>
      </c>
      <c r="G173" s="183">
        <v>46186.0</v>
      </c>
    </row>
    <row r="174">
      <c r="A174" s="180" t="s">
        <v>1406</v>
      </c>
      <c r="B174" s="179">
        <v>173.0</v>
      </c>
      <c r="C174" s="179" t="s">
        <v>1070</v>
      </c>
      <c r="D174" s="179">
        <v>1.012009E7</v>
      </c>
      <c r="E174" s="179" t="s">
        <v>1401</v>
      </c>
      <c r="F174" s="181">
        <v>46184.0</v>
      </c>
      <c r="G174" s="183">
        <v>46184.0</v>
      </c>
    </row>
    <row r="175">
      <c r="A175" s="180" t="s">
        <v>1407</v>
      </c>
      <c r="B175" s="179">
        <v>174.0</v>
      </c>
      <c r="C175" s="179" t="s">
        <v>1070</v>
      </c>
      <c r="D175" s="179">
        <v>1.012009E7</v>
      </c>
      <c r="E175" s="179" t="s">
        <v>1401</v>
      </c>
      <c r="F175" s="181">
        <v>46184.0</v>
      </c>
      <c r="G175" s="183">
        <v>46184.0</v>
      </c>
    </row>
    <row r="176">
      <c r="A176" s="180" t="s">
        <v>1412</v>
      </c>
      <c r="B176" s="179">
        <v>175.0</v>
      </c>
      <c r="C176" s="179" t="s">
        <v>1070</v>
      </c>
      <c r="D176" s="179">
        <v>1.846315E7</v>
      </c>
      <c r="E176" s="179" t="s">
        <v>1242</v>
      </c>
      <c r="F176" s="181">
        <v>46184.0</v>
      </c>
      <c r="G176" s="183">
        <v>46184.0</v>
      </c>
    </row>
    <row r="177">
      <c r="A177" s="180" t="s">
        <v>1415</v>
      </c>
      <c r="B177" s="179">
        <v>176.0</v>
      </c>
      <c r="C177" s="179" t="s">
        <v>172</v>
      </c>
      <c r="D177" s="179">
        <v>9.01388604E8</v>
      </c>
      <c r="E177" s="179" t="s">
        <v>1045</v>
      </c>
      <c r="F177" s="181">
        <v>46184.0</v>
      </c>
      <c r="G177" s="183">
        <v>46184.0</v>
      </c>
    </row>
    <row r="178">
      <c r="A178" s="180" t="s">
        <v>1418</v>
      </c>
      <c r="B178" s="179">
        <v>177.0</v>
      </c>
      <c r="C178" s="179" t="s">
        <v>172</v>
      </c>
      <c r="D178" s="179">
        <v>9.01388604E8</v>
      </c>
      <c r="E178" s="179" t="s">
        <v>1045</v>
      </c>
      <c r="F178" s="181">
        <v>46185.0</v>
      </c>
      <c r="G178" s="183">
        <v>46185.0</v>
      </c>
    </row>
    <row r="179">
      <c r="A179" s="180" t="s">
        <v>1421</v>
      </c>
      <c r="B179" s="179">
        <v>178.0</v>
      </c>
      <c r="C179" s="179" t="s">
        <v>172</v>
      </c>
      <c r="D179" s="179">
        <v>9.01388604E8</v>
      </c>
      <c r="E179" s="179" t="s">
        <v>1045</v>
      </c>
      <c r="F179" s="181">
        <v>46185.0</v>
      </c>
      <c r="G179" s="183">
        <v>46185.0</v>
      </c>
    </row>
    <row r="180">
      <c r="A180" s="180" t="s">
        <v>1426</v>
      </c>
      <c r="B180" s="179">
        <v>179.0</v>
      </c>
      <c r="C180" s="179" t="s">
        <v>1070</v>
      </c>
      <c r="D180" s="179">
        <v>5.2987088E7</v>
      </c>
      <c r="E180" s="179" t="s">
        <v>1168</v>
      </c>
      <c r="F180" s="181">
        <v>46183.0</v>
      </c>
      <c r="G180" s="183">
        <v>46183.0</v>
      </c>
    </row>
    <row r="181">
      <c r="A181" s="180" t="s">
        <v>1428</v>
      </c>
      <c r="B181" s="179">
        <v>180.0</v>
      </c>
      <c r="C181" s="179" t="s">
        <v>1070</v>
      </c>
      <c r="D181" s="179">
        <v>5.2987088E7</v>
      </c>
      <c r="E181" s="179" t="s">
        <v>1168</v>
      </c>
      <c r="F181" s="181">
        <v>46183.0</v>
      </c>
      <c r="G181" s="183">
        <v>46183.0</v>
      </c>
    </row>
    <row r="182">
      <c r="A182" s="180" t="s">
        <v>1430</v>
      </c>
      <c r="B182" s="179">
        <v>181.0</v>
      </c>
      <c r="C182" s="179" t="s">
        <v>1070</v>
      </c>
      <c r="D182" s="179">
        <v>5.2987088E7</v>
      </c>
      <c r="E182" s="179" t="s">
        <v>1168</v>
      </c>
      <c r="F182" s="181">
        <v>46183.0</v>
      </c>
      <c r="G182" s="183">
        <v>46183.0</v>
      </c>
    </row>
    <row r="183">
      <c r="A183" s="180" t="s">
        <v>1431</v>
      </c>
      <c r="B183" s="179">
        <v>182.0</v>
      </c>
      <c r="C183" s="179" t="s">
        <v>1070</v>
      </c>
      <c r="D183" s="179">
        <v>1.026258295E9</v>
      </c>
      <c r="E183" s="181" t="s">
        <v>1168</v>
      </c>
      <c r="F183" s="181">
        <v>46186.0</v>
      </c>
      <c r="G183" s="183">
        <v>46186.0</v>
      </c>
    </row>
    <row r="184">
      <c r="A184" s="179" t="s">
        <v>1434</v>
      </c>
      <c r="B184" s="179">
        <v>183.0</v>
      </c>
      <c r="C184" s="179" t="s">
        <v>1070</v>
      </c>
      <c r="D184" s="179">
        <v>7.1660921E7</v>
      </c>
      <c r="E184" s="179" t="s">
        <v>679</v>
      </c>
      <c r="F184" s="181">
        <v>46196.0</v>
      </c>
      <c r="G184" s="183">
        <v>46196.0</v>
      </c>
    </row>
    <row r="185">
      <c r="A185" s="180" t="s">
        <v>1435</v>
      </c>
      <c r="B185" s="179">
        <v>184.0</v>
      </c>
      <c r="C185" s="179" t="s">
        <v>172</v>
      </c>
      <c r="D185" s="179">
        <v>9.00633019E8</v>
      </c>
      <c r="E185" s="181" t="s">
        <v>1045</v>
      </c>
      <c r="F185" s="181">
        <v>46188.0</v>
      </c>
      <c r="G185" s="183">
        <v>46188.0</v>
      </c>
    </row>
    <row r="186">
      <c r="A186" s="180" t="s">
        <v>1436</v>
      </c>
      <c r="B186" s="179">
        <v>185.0</v>
      </c>
      <c r="C186" s="179" t="s">
        <v>172</v>
      </c>
      <c r="D186" s="179">
        <v>9.01417113E8</v>
      </c>
      <c r="E186" s="181" t="s">
        <v>736</v>
      </c>
      <c r="F186" s="181">
        <v>46186.0</v>
      </c>
      <c r="G186" s="183">
        <v>46186.0</v>
      </c>
    </row>
    <row r="187">
      <c r="A187" s="180" t="s">
        <v>1437</v>
      </c>
      <c r="B187" s="179">
        <v>186.0</v>
      </c>
      <c r="C187" s="179" t="s">
        <v>1070</v>
      </c>
      <c r="D187" s="179">
        <v>7.9517779E7</v>
      </c>
      <c r="E187" s="181" t="s">
        <v>1168</v>
      </c>
      <c r="F187" s="181">
        <v>46189.0</v>
      </c>
      <c r="G187" s="183">
        <v>46189.0</v>
      </c>
    </row>
    <row r="188">
      <c r="A188" s="180" t="s">
        <v>1438</v>
      </c>
      <c r="B188" s="179">
        <v>187.0</v>
      </c>
      <c r="C188" s="179" t="s">
        <v>1070</v>
      </c>
      <c r="D188" s="179">
        <v>8.0820644E7</v>
      </c>
      <c r="E188" s="180" t="s">
        <v>736</v>
      </c>
      <c r="F188" s="181">
        <v>46185.0</v>
      </c>
      <c r="G188" s="183">
        <v>46185.0</v>
      </c>
    </row>
    <row r="189">
      <c r="A189" s="180" t="s">
        <v>1441</v>
      </c>
      <c r="B189" s="179">
        <v>188.0</v>
      </c>
      <c r="C189" s="179" t="s">
        <v>1070</v>
      </c>
      <c r="D189" s="179">
        <v>8.0820644E7</v>
      </c>
      <c r="E189" s="180" t="s">
        <v>736</v>
      </c>
      <c r="F189" s="181">
        <v>46185.0</v>
      </c>
      <c r="G189" s="183">
        <v>46185.0</v>
      </c>
    </row>
    <row r="190">
      <c r="A190" s="180" t="s">
        <v>1442</v>
      </c>
      <c r="B190" s="179">
        <v>189.0</v>
      </c>
      <c r="C190" s="179" t="s">
        <v>1070</v>
      </c>
      <c r="D190" s="179">
        <v>8.0820644E7</v>
      </c>
      <c r="E190" s="180" t="s">
        <v>736</v>
      </c>
      <c r="F190" s="181">
        <v>46185.0</v>
      </c>
      <c r="G190" s="183">
        <v>46185.0</v>
      </c>
    </row>
    <row r="191">
      <c r="A191" s="180" t="s">
        <v>1444</v>
      </c>
      <c r="B191" s="179">
        <v>190.0</v>
      </c>
      <c r="C191" s="179" t="s">
        <v>1070</v>
      </c>
      <c r="D191" s="179">
        <v>8.0820644E7</v>
      </c>
      <c r="E191" s="180" t="s">
        <v>736</v>
      </c>
      <c r="F191" s="181">
        <v>46185.0</v>
      </c>
      <c r="G191" s="183">
        <v>46185.0</v>
      </c>
    </row>
    <row r="192">
      <c r="A192" s="180" t="s">
        <v>1447</v>
      </c>
      <c r="B192" s="179">
        <v>191.0</v>
      </c>
      <c r="C192" s="179" t="s">
        <v>1070</v>
      </c>
      <c r="D192" s="179">
        <v>8.0820644E7</v>
      </c>
      <c r="E192" s="180" t="s">
        <v>736</v>
      </c>
      <c r="F192" s="181">
        <v>46185.0</v>
      </c>
      <c r="G192" s="183">
        <v>46185.0</v>
      </c>
    </row>
    <row r="193">
      <c r="A193" s="180" t="s">
        <v>1448</v>
      </c>
      <c r="B193" s="179">
        <v>192.0</v>
      </c>
      <c r="C193" s="179" t="s">
        <v>1070</v>
      </c>
      <c r="D193" s="179">
        <v>8.0820644E7</v>
      </c>
      <c r="E193" s="180" t="s">
        <v>736</v>
      </c>
      <c r="F193" s="181">
        <v>46185.0</v>
      </c>
      <c r="G193" s="183">
        <v>46185.0</v>
      </c>
    </row>
    <row r="194">
      <c r="A194" s="180" t="s">
        <v>1449</v>
      </c>
      <c r="B194" s="179">
        <v>193.0</v>
      </c>
      <c r="C194" s="179" t="s">
        <v>1070</v>
      </c>
      <c r="D194" s="179">
        <v>7.9403571E7</v>
      </c>
      <c r="E194" s="180" t="s">
        <v>1259</v>
      </c>
      <c r="F194" s="181">
        <v>46186.0</v>
      </c>
      <c r="G194" s="183">
        <v>46186.0</v>
      </c>
    </row>
    <row r="195">
      <c r="A195" s="180" t="s">
        <v>1450</v>
      </c>
      <c r="B195" s="179">
        <v>194.0</v>
      </c>
      <c r="C195" s="179" t="s">
        <v>1070</v>
      </c>
      <c r="D195" s="179">
        <v>7.9403571E7</v>
      </c>
      <c r="E195" s="180" t="s">
        <v>1259</v>
      </c>
      <c r="F195" s="181">
        <v>46192.0</v>
      </c>
      <c r="G195" s="183">
        <v>46192.0</v>
      </c>
    </row>
    <row r="196">
      <c r="A196" s="180" t="s">
        <v>1453</v>
      </c>
      <c r="B196" s="179">
        <v>195.0</v>
      </c>
      <c r="C196" s="179" t="s">
        <v>1070</v>
      </c>
      <c r="D196" s="179">
        <v>7.9403571E7</v>
      </c>
      <c r="E196" s="180" t="s">
        <v>1259</v>
      </c>
      <c r="F196" s="181">
        <v>46186.0</v>
      </c>
      <c r="G196" s="183">
        <v>46186.0</v>
      </c>
    </row>
    <row r="197">
      <c r="A197" s="180" t="s">
        <v>1454</v>
      </c>
      <c r="B197" s="179">
        <v>196.0</v>
      </c>
      <c r="C197" s="179" t="s">
        <v>1070</v>
      </c>
      <c r="D197" s="179">
        <v>7.9403571E7</v>
      </c>
      <c r="E197" s="180" t="s">
        <v>1259</v>
      </c>
      <c r="F197" s="181">
        <v>46186.0</v>
      </c>
      <c r="G197" s="183">
        <v>46186.0</v>
      </c>
    </row>
    <row r="198">
      <c r="A198" s="180" t="s">
        <v>1455</v>
      </c>
      <c r="B198" s="179">
        <v>197.0</v>
      </c>
      <c r="C198" s="179" t="s">
        <v>1070</v>
      </c>
      <c r="D198" s="179">
        <v>7.9403571E7</v>
      </c>
      <c r="E198" s="180" t="s">
        <v>1259</v>
      </c>
      <c r="F198" s="181">
        <v>46186.0</v>
      </c>
      <c r="G198" s="183">
        <v>46186.0</v>
      </c>
    </row>
    <row r="199">
      <c r="A199" s="180" t="s">
        <v>1456</v>
      </c>
      <c r="B199" s="179">
        <v>198.0</v>
      </c>
      <c r="C199" s="179" t="s">
        <v>1070</v>
      </c>
      <c r="D199" s="179">
        <v>1.03238881E9</v>
      </c>
      <c r="E199" s="180" t="s">
        <v>736</v>
      </c>
      <c r="F199" s="181">
        <v>46185.0</v>
      </c>
      <c r="G199" s="183">
        <v>46185.0</v>
      </c>
    </row>
    <row r="200">
      <c r="A200" s="180" t="s">
        <v>1458</v>
      </c>
      <c r="B200" s="179">
        <v>199.0</v>
      </c>
      <c r="C200" s="179" t="s">
        <v>1070</v>
      </c>
      <c r="D200" s="179">
        <v>1.03238881E9</v>
      </c>
      <c r="E200" s="180" t="s">
        <v>736</v>
      </c>
      <c r="F200" s="181">
        <v>46185.0</v>
      </c>
      <c r="G200" s="183">
        <v>46185.0</v>
      </c>
    </row>
    <row r="201">
      <c r="A201" s="180" t="s">
        <v>1460</v>
      </c>
      <c r="B201" s="179">
        <v>200.0</v>
      </c>
      <c r="C201" s="179" t="s">
        <v>172</v>
      </c>
      <c r="D201" s="179">
        <v>9.01157702E8</v>
      </c>
      <c r="E201" s="179" t="s">
        <v>1461</v>
      </c>
      <c r="F201" s="181">
        <v>46190.0</v>
      </c>
      <c r="G201" s="183">
        <v>46190.0</v>
      </c>
    </row>
    <row r="202">
      <c r="A202" s="180" t="s">
        <v>1462</v>
      </c>
      <c r="B202" s="179">
        <v>201.0</v>
      </c>
      <c r="C202" s="179" t="s">
        <v>1070</v>
      </c>
      <c r="D202" s="179">
        <v>1.105785628E9</v>
      </c>
      <c r="E202" s="179" t="s">
        <v>1168</v>
      </c>
      <c r="F202" s="181">
        <v>46199.0</v>
      </c>
      <c r="G202" s="183">
        <v>46199.0</v>
      </c>
    </row>
    <row r="203">
      <c r="A203" s="180" t="s">
        <v>1463</v>
      </c>
      <c r="B203" s="179">
        <v>202.0</v>
      </c>
      <c r="C203" s="179" t="s">
        <v>1070</v>
      </c>
      <c r="D203" s="179">
        <v>1.099543116E9</v>
      </c>
      <c r="E203" s="179"/>
      <c r="F203" s="181"/>
      <c r="G203" s="183"/>
    </row>
    <row r="204">
      <c r="A204" s="180" t="s">
        <v>1466</v>
      </c>
      <c r="B204" s="179">
        <v>203.0</v>
      </c>
      <c r="C204" s="179" t="s">
        <v>1070</v>
      </c>
      <c r="D204" s="179">
        <v>7.916259E7</v>
      </c>
      <c r="E204" s="179" t="s">
        <v>736</v>
      </c>
      <c r="F204" s="181">
        <v>46193.0</v>
      </c>
      <c r="G204" s="183">
        <v>46193.0</v>
      </c>
    </row>
    <row r="205">
      <c r="A205" s="180" t="s">
        <v>1468</v>
      </c>
      <c r="B205" s="179">
        <v>204.0</v>
      </c>
      <c r="C205" s="179" t="s">
        <v>1070</v>
      </c>
      <c r="D205" s="179">
        <v>1.095511178E9</v>
      </c>
      <c r="E205" s="179" t="s">
        <v>1219</v>
      </c>
      <c r="F205" s="181">
        <v>46190.0</v>
      </c>
      <c r="G205" s="183">
        <v>46190.0</v>
      </c>
    </row>
    <row r="206">
      <c r="A206" s="180" t="s">
        <v>1469</v>
      </c>
      <c r="B206" s="179">
        <v>205.0</v>
      </c>
      <c r="C206" s="179" t="s">
        <v>1070</v>
      </c>
      <c r="D206" s="179">
        <v>1.095511178E9</v>
      </c>
      <c r="E206" s="179" t="s">
        <v>1219</v>
      </c>
      <c r="F206" s="181">
        <v>46190.0</v>
      </c>
      <c r="G206" s="183">
        <v>46190.0</v>
      </c>
    </row>
    <row r="207">
      <c r="A207" s="180" t="s">
        <v>1470</v>
      </c>
      <c r="B207" s="179">
        <v>206.0</v>
      </c>
      <c r="C207" s="179" t="s">
        <v>1070</v>
      </c>
      <c r="D207" s="179">
        <v>6.0373383E7</v>
      </c>
      <c r="E207" s="179" t="s">
        <v>1471</v>
      </c>
      <c r="F207" s="181">
        <v>46190.0</v>
      </c>
      <c r="G207" s="183">
        <v>46190.0</v>
      </c>
    </row>
    <row r="208">
      <c r="A208" s="180" t="s">
        <v>1472</v>
      </c>
      <c r="B208" s="179">
        <v>207.0</v>
      </c>
      <c r="C208" s="179" t="s">
        <v>1070</v>
      </c>
      <c r="D208" s="179">
        <v>6.0373383E7</v>
      </c>
      <c r="E208" s="179" t="s">
        <v>1471</v>
      </c>
      <c r="F208" s="181">
        <v>46190.0</v>
      </c>
      <c r="G208" s="183">
        <v>46190.0</v>
      </c>
    </row>
    <row r="209">
      <c r="A209" s="180" t="s">
        <v>1475</v>
      </c>
      <c r="B209" s="179">
        <v>208.0</v>
      </c>
      <c r="C209" s="179" t="s">
        <v>1070</v>
      </c>
      <c r="D209" s="179">
        <v>1.098769132E9</v>
      </c>
      <c r="E209" s="179" t="s">
        <v>1184</v>
      </c>
      <c r="F209" s="181">
        <v>46190.0</v>
      </c>
      <c r="G209" s="183">
        <v>46190.0</v>
      </c>
    </row>
    <row r="210">
      <c r="A210" s="180" t="s">
        <v>1476</v>
      </c>
      <c r="B210" s="179">
        <v>209.0</v>
      </c>
      <c r="C210" s="179" t="s">
        <v>172</v>
      </c>
      <c r="D210" s="179">
        <v>9.01356373E8</v>
      </c>
      <c r="E210" s="179" t="s">
        <v>36</v>
      </c>
      <c r="F210" s="181">
        <v>46211.0</v>
      </c>
      <c r="G210" s="183">
        <v>46211.0</v>
      </c>
    </row>
    <row r="211">
      <c r="A211" s="180" t="s">
        <v>1478</v>
      </c>
      <c r="B211" s="179">
        <v>210.0</v>
      </c>
      <c r="C211" s="179" t="s">
        <v>172</v>
      </c>
      <c r="D211" s="179">
        <v>9.01356373E8</v>
      </c>
      <c r="E211" s="179" t="s">
        <v>36</v>
      </c>
      <c r="F211" s="181">
        <v>46211.0</v>
      </c>
      <c r="G211" s="183">
        <v>46211.0</v>
      </c>
    </row>
    <row r="212">
      <c r="A212" s="180" t="s">
        <v>1481</v>
      </c>
      <c r="B212" s="179">
        <v>211.0</v>
      </c>
      <c r="C212" s="179" t="s">
        <v>1070</v>
      </c>
      <c r="D212" s="179">
        <v>1.09864706E9</v>
      </c>
      <c r="E212" s="179"/>
      <c r="F212" s="181">
        <v>46191.0</v>
      </c>
      <c r="G212" s="183">
        <v>46191.0</v>
      </c>
    </row>
    <row r="213">
      <c r="A213" s="180" t="s">
        <v>1482</v>
      </c>
      <c r="B213" s="179">
        <v>212.0</v>
      </c>
      <c r="C213" s="179" t="s">
        <v>1070</v>
      </c>
      <c r="D213" s="179">
        <v>1.2624306E7</v>
      </c>
      <c r="E213" s="179" t="s">
        <v>1461</v>
      </c>
      <c r="F213" s="181">
        <v>46193.0</v>
      </c>
      <c r="G213" s="183">
        <v>46193.0</v>
      </c>
    </row>
    <row r="214">
      <c r="A214" s="180" t="s">
        <v>1483</v>
      </c>
      <c r="B214" s="179">
        <v>213.0</v>
      </c>
      <c r="C214" s="179" t="s">
        <v>1070</v>
      </c>
      <c r="D214" s="179">
        <v>1.000381909E9</v>
      </c>
      <c r="E214" s="179" t="s">
        <v>36</v>
      </c>
      <c r="F214" s="181">
        <v>46191.0</v>
      </c>
      <c r="G214" s="183">
        <v>46191.0</v>
      </c>
    </row>
    <row r="215">
      <c r="A215" s="180" t="s">
        <v>1484</v>
      </c>
      <c r="B215" s="179">
        <v>214.0</v>
      </c>
      <c r="C215" s="179" t="s">
        <v>1070</v>
      </c>
      <c r="D215" s="179">
        <v>2.1849691E7</v>
      </c>
      <c r="E215" s="179" t="s">
        <v>1219</v>
      </c>
      <c r="F215" s="181">
        <v>46219.0</v>
      </c>
      <c r="G215" s="183">
        <v>46219.0</v>
      </c>
    </row>
    <row r="216">
      <c r="A216" s="180" t="s">
        <v>1487</v>
      </c>
      <c r="B216" s="179">
        <v>215.0</v>
      </c>
      <c r="C216" s="179" t="s">
        <v>1070</v>
      </c>
      <c r="D216" s="179">
        <v>2.1849691E7</v>
      </c>
      <c r="E216" s="179" t="s">
        <v>1219</v>
      </c>
      <c r="F216" s="181">
        <v>46206.0</v>
      </c>
      <c r="G216" s="183">
        <v>46206.0</v>
      </c>
    </row>
    <row r="217">
      <c r="A217" s="180" t="s">
        <v>1488</v>
      </c>
      <c r="B217" s="179">
        <v>216.0</v>
      </c>
      <c r="C217" s="179" t="s">
        <v>1070</v>
      </c>
      <c r="D217" s="179">
        <v>1.014231775E9</v>
      </c>
      <c r="E217" s="179" t="s">
        <v>36</v>
      </c>
      <c r="F217" s="181">
        <v>46189.0</v>
      </c>
      <c r="G217" s="183">
        <v>46189.0</v>
      </c>
    </row>
    <row r="218">
      <c r="A218" s="180" t="s">
        <v>1489</v>
      </c>
      <c r="B218" s="179">
        <v>217.0</v>
      </c>
      <c r="C218" s="179" t="s">
        <v>1070</v>
      </c>
      <c r="D218" s="179">
        <v>1.014231775E9</v>
      </c>
      <c r="E218" s="179" t="s">
        <v>36</v>
      </c>
      <c r="F218" s="181">
        <v>46189.0</v>
      </c>
      <c r="G218" s="183">
        <v>46189.0</v>
      </c>
    </row>
    <row r="219">
      <c r="A219" s="180" t="s">
        <v>1490</v>
      </c>
      <c r="B219" s="179">
        <v>218.0</v>
      </c>
      <c r="C219" s="179" t="s">
        <v>1070</v>
      </c>
      <c r="D219" s="179">
        <v>1.088269517E9</v>
      </c>
      <c r="E219" s="179" t="s">
        <v>1401</v>
      </c>
      <c r="F219" s="181">
        <v>46190.0</v>
      </c>
      <c r="G219" s="183">
        <v>46190.0</v>
      </c>
    </row>
    <row r="220">
      <c r="A220" s="180" t="s">
        <v>1491</v>
      </c>
      <c r="B220" s="179">
        <v>219.0</v>
      </c>
      <c r="C220" s="179" t="s">
        <v>172</v>
      </c>
      <c r="D220" s="179">
        <v>9.01772425E8</v>
      </c>
      <c r="E220" s="179" t="s">
        <v>36</v>
      </c>
      <c r="F220" s="181">
        <v>46189.0</v>
      </c>
      <c r="G220" s="183">
        <v>46189.0</v>
      </c>
    </row>
    <row r="221">
      <c r="A221" s="180" t="s">
        <v>1492</v>
      </c>
      <c r="B221" s="179">
        <v>220.0</v>
      </c>
      <c r="C221" s="179" t="s">
        <v>1070</v>
      </c>
      <c r="D221" s="179">
        <v>2.394399E7</v>
      </c>
      <c r="E221" s="179" t="s">
        <v>1259</v>
      </c>
      <c r="F221" s="181">
        <v>46192.0</v>
      </c>
      <c r="G221" s="183">
        <v>46192.0</v>
      </c>
    </row>
    <row r="222">
      <c r="A222" s="180" t="s">
        <v>1493</v>
      </c>
      <c r="B222" s="179">
        <v>221.0</v>
      </c>
      <c r="C222" s="179" t="s">
        <v>1070</v>
      </c>
      <c r="D222" s="179">
        <v>6.3281304E7</v>
      </c>
      <c r="E222" s="179" t="s">
        <v>1461</v>
      </c>
      <c r="F222" s="181">
        <v>46193.0</v>
      </c>
      <c r="G222" s="183">
        <v>46193.0</v>
      </c>
    </row>
    <row r="223">
      <c r="A223" s="180" t="s">
        <v>1494</v>
      </c>
      <c r="B223" s="179">
        <v>222.0</v>
      </c>
      <c r="C223" s="179" t="s">
        <v>1070</v>
      </c>
      <c r="D223" s="179">
        <v>7.8707179E7</v>
      </c>
      <c r="E223" s="179" t="s">
        <v>1219</v>
      </c>
      <c r="F223" s="181">
        <v>46212.0</v>
      </c>
      <c r="G223" s="183">
        <v>46212.0</v>
      </c>
    </row>
    <row r="224">
      <c r="A224" s="180" t="s">
        <v>1495</v>
      </c>
      <c r="B224" s="179">
        <v>223.0</v>
      </c>
      <c r="C224" s="179" t="s">
        <v>1070</v>
      </c>
      <c r="D224" s="179">
        <v>3.4556324E7</v>
      </c>
      <c r="E224" s="179"/>
      <c r="F224" s="181"/>
      <c r="G224" s="183"/>
    </row>
    <row r="225">
      <c r="A225" s="179" t="s">
        <v>1496</v>
      </c>
      <c r="B225" s="179">
        <v>224.0</v>
      </c>
      <c r="C225" s="179" t="s">
        <v>172</v>
      </c>
      <c r="D225" s="179">
        <v>9.01548504E8</v>
      </c>
      <c r="E225" s="179" t="s">
        <v>1461</v>
      </c>
      <c r="F225" s="181">
        <v>46193.0</v>
      </c>
      <c r="G225" s="183">
        <v>46193.0</v>
      </c>
    </row>
    <row r="226">
      <c r="A226" s="179" t="s">
        <v>1497</v>
      </c>
      <c r="B226" s="179">
        <v>225.0</v>
      </c>
      <c r="C226" s="179" t="s">
        <v>172</v>
      </c>
      <c r="D226" s="179">
        <v>9.01548504E8</v>
      </c>
      <c r="E226" s="179"/>
      <c r="F226" s="181">
        <v>46217.0</v>
      </c>
      <c r="G226" s="183">
        <v>46217.0</v>
      </c>
    </row>
    <row r="227">
      <c r="A227" s="179" t="s">
        <v>1498</v>
      </c>
      <c r="B227" s="179">
        <v>226.0</v>
      </c>
      <c r="C227" s="179" t="s">
        <v>1070</v>
      </c>
      <c r="D227" s="179">
        <v>2.3866424E7</v>
      </c>
      <c r="E227" s="179" t="s">
        <v>1219</v>
      </c>
      <c r="F227" s="181">
        <v>46212.0</v>
      </c>
      <c r="G227" s="183">
        <v>46212.0</v>
      </c>
    </row>
    <row r="228">
      <c r="A228" s="179" t="s">
        <v>1499</v>
      </c>
      <c r="B228" s="179">
        <v>227.0</v>
      </c>
      <c r="C228" s="179" t="s">
        <v>1070</v>
      </c>
      <c r="D228" s="179">
        <v>8.0810573E7</v>
      </c>
      <c r="E228" s="179" t="s">
        <v>241</v>
      </c>
      <c r="F228" s="181">
        <v>46200.0</v>
      </c>
      <c r="G228" s="183">
        <v>46200.0</v>
      </c>
    </row>
    <row r="229">
      <c r="A229" s="179" t="s">
        <v>1500</v>
      </c>
      <c r="B229" s="179">
        <v>228.0</v>
      </c>
      <c r="C229" s="179" t="s">
        <v>1070</v>
      </c>
      <c r="D229" s="179">
        <v>2.3784127E7</v>
      </c>
      <c r="E229" s="179" t="s">
        <v>1168</v>
      </c>
      <c r="F229" s="181">
        <v>46199.0</v>
      </c>
      <c r="G229" s="183">
        <v>46199.0</v>
      </c>
    </row>
    <row r="230">
      <c r="A230" s="179" t="s">
        <v>1503</v>
      </c>
      <c r="B230" s="179">
        <v>229.0</v>
      </c>
      <c r="C230" s="179" t="s">
        <v>1070</v>
      </c>
      <c r="D230" s="179">
        <v>5.2199175E7</v>
      </c>
      <c r="E230" s="179" t="s">
        <v>1504</v>
      </c>
      <c r="F230" s="181">
        <v>46197.0</v>
      </c>
      <c r="G230" s="183">
        <v>46197.0</v>
      </c>
    </row>
    <row r="231">
      <c r="A231" s="179" t="s">
        <v>1505</v>
      </c>
      <c r="B231" s="179">
        <v>230.0</v>
      </c>
      <c r="C231" s="179" t="s">
        <v>1070</v>
      </c>
      <c r="D231" s="179">
        <v>5.2199175E7</v>
      </c>
      <c r="E231" s="179" t="s">
        <v>1504</v>
      </c>
      <c r="F231" s="181">
        <v>46197.0</v>
      </c>
      <c r="G231" s="183">
        <v>46197.0</v>
      </c>
    </row>
    <row r="232">
      <c r="A232" s="179" t="s">
        <v>1506</v>
      </c>
      <c r="B232" s="179">
        <v>231.0</v>
      </c>
      <c r="C232" s="179" t="s">
        <v>1070</v>
      </c>
      <c r="D232" s="179">
        <v>8.0036257E7</v>
      </c>
      <c r="E232" s="179" t="s">
        <v>1168</v>
      </c>
      <c r="F232" s="181">
        <v>46192.0</v>
      </c>
      <c r="G232" s="183">
        <v>46192.0</v>
      </c>
    </row>
    <row r="233">
      <c r="A233" s="179" t="s">
        <v>1507</v>
      </c>
      <c r="B233" s="179">
        <v>232.0</v>
      </c>
      <c r="C233" s="179" t="s">
        <v>1070</v>
      </c>
      <c r="D233" s="179">
        <v>1.020427057E9</v>
      </c>
      <c r="E233" s="179" t="s">
        <v>679</v>
      </c>
      <c r="F233" s="181">
        <v>46195.0</v>
      </c>
      <c r="G233" s="183">
        <v>46195.0</v>
      </c>
    </row>
    <row r="234">
      <c r="A234" s="179" t="s">
        <v>1508</v>
      </c>
      <c r="B234" s="179">
        <v>233.0</v>
      </c>
      <c r="C234" s="179" t="s">
        <v>1070</v>
      </c>
      <c r="D234" s="179">
        <v>1.020427057E9</v>
      </c>
      <c r="E234" s="179" t="s">
        <v>679</v>
      </c>
      <c r="F234" s="181">
        <v>46195.0</v>
      </c>
      <c r="G234" s="183">
        <v>46195.0</v>
      </c>
    </row>
    <row r="235">
      <c r="A235" s="179" t="s">
        <v>1511</v>
      </c>
      <c r="B235" s="179">
        <v>234.0</v>
      </c>
      <c r="C235" s="179" t="s">
        <v>1070</v>
      </c>
      <c r="D235" s="179">
        <v>1.001083427E9</v>
      </c>
      <c r="E235" s="179" t="s">
        <v>241</v>
      </c>
      <c r="F235" s="181">
        <v>46211.0</v>
      </c>
      <c r="G235" s="183">
        <v>46211.0</v>
      </c>
    </row>
    <row r="236">
      <c r="A236" s="179" t="s">
        <v>1512</v>
      </c>
      <c r="B236" s="179">
        <v>235.0</v>
      </c>
      <c r="C236" s="179" t="s">
        <v>1070</v>
      </c>
      <c r="D236" s="179">
        <v>5.2956652E7</v>
      </c>
      <c r="E236" s="179" t="s">
        <v>1504</v>
      </c>
      <c r="F236" s="181">
        <v>46198.0</v>
      </c>
      <c r="G236" s="183">
        <v>46198.0</v>
      </c>
    </row>
    <row r="237">
      <c r="A237" s="179" t="s">
        <v>1513</v>
      </c>
      <c r="B237" s="179">
        <v>236.0</v>
      </c>
      <c r="C237" s="179" t="s">
        <v>1070</v>
      </c>
      <c r="D237" s="179">
        <v>5.2956652E7</v>
      </c>
      <c r="E237" s="179" t="s">
        <v>1045</v>
      </c>
      <c r="F237" s="181">
        <v>46197.0</v>
      </c>
      <c r="G237" s="183">
        <v>46197.0</v>
      </c>
    </row>
    <row r="238">
      <c r="A238" s="179" t="s">
        <v>1515</v>
      </c>
      <c r="B238" s="179">
        <v>237.0</v>
      </c>
      <c r="C238" s="179" t="s">
        <v>1070</v>
      </c>
      <c r="D238" s="179">
        <v>7.9851204E7</v>
      </c>
      <c r="E238" s="179" t="s">
        <v>1504</v>
      </c>
      <c r="F238" s="181">
        <v>46197.0</v>
      </c>
      <c r="G238" s="183">
        <v>46197.0</v>
      </c>
    </row>
    <row r="239">
      <c r="A239" s="179" t="s">
        <v>1517</v>
      </c>
      <c r="B239" s="179">
        <v>238.0</v>
      </c>
      <c r="C239" s="179" t="s">
        <v>172</v>
      </c>
      <c r="D239" s="179">
        <v>9.01197782E8</v>
      </c>
      <c r="E239" s="179" t="s">
        <v>1168</v>
      </c>
      <c r="F239" s="181">
        <v>46192.0</v>
      </c>
      <c r="G239" s="183">
        <v>46192.0</v>
      </c>
    </row>
    <row r="240">
      <c r="A240" s="179" t="s">
        <v>1518</v>
      </c>
      <c r="B240" s="179">
        <v>239.0</v>
      </c>
      <c r="C240" s="179" t="s">
        <v>172</v>
      </c>
      <c r="D240" s="179">
        <v>9.01197782E8</v>
      </c>
      <c r="E240" s="179" t="s">
        <v>1168</v>
      </c>
      <c r="F240" s="181">
        <v>46192.0</v>
      </c>
      <c r="G240" s="183">
        <v>46192.0</v>
      </c>
    </row>
    <row r="241">
      <c r="A241" s="179" t="s">
        <v>1519</v>
      </c>
      <c r="B241" s="179">
        <v>240.0</v>
      </c>
      <c r="C241" s="179" t="s">
        <v>172</v>
      </c>
      <c r="D241" s="179">
        <v>9.01197782E8</v>
      </c>
      <c r="E241" s="179" t="s">
        <v>1168</v>
      </c>
      <c r="F241" s="181">
        <v>46192.0</v>
      </c>
      <c r="G241" s="183">
        <v>46192.0</v>
      </c>
    </row>
    <row r="242">
      <c r="A242" s="179" t="s">
        <v>1520</v>
      </c>
      <c r="B242" s="179">
        <v>241.0</v>
      </c>
      <c r="C242" s="179" t="s">
        <v>1070</v>
      </c>
      <c r="D242" s="179">
        <v>5.3931012E7</v>
      </c>
      <c r="E242" s="179" t="s">
        <v>1168</v>
      </c>
      <c r="F242" s="181">
        <v>46192.0</v>
      </c>
      <c r="G242" s="183">
        <v>46192.0</v>
      </c>
    </row>
    <row r="243">
      <c r="A243" s="179" t="s">
        <v>1523</v>
      </c>
      <c r="B243" s="179">
        <v>242.0</v>
      </c>
      <c r="C243" s="179" t="s">
        <v>1070</v>
      </c>
      <c r="D243" s="179">
        <v>1.3140848E7</v>
      </c>
      <c r="E243" s="179"/>
      <c r="F243" s="181">
        <v>46211.0</v>
      </c>
      <c r="G243" s="183">
        <v>46211.0</v>
      </c>
    </row>
    <row r="244">
      <c r="A244" s="179" t="s">
        <v>1524</v>
      </c>
      <c r="B244" s="179">
        <v>243.0</v>
      </c>
      <c r="C244" s="179" t="s">
        <v>1070</v>
      </c>
      <c r="D244" s="179">
        <v>1.023916927E9</v>
      </c>
      <c r="E244" s="179" t="s">
        <v>36</v>
      </c>
      <c r="F244" s="181">
        <v>46203.0</v>
      </c>
      <c r="G244" s="183">
        <v>46203.0</v>
      </c>
    </row>
    <row r="245">
      <c r="A245" s="179" t="s">
        <v>1525</v>
      </c>
      <c r="B245" s="179">
        <v>244.0</v>
      </c>
      <c r="C245" s="179" t="s">
        <v>1070</v>
      </c>
      <c r="D245" s="179">
        <v>1.023916927E9</v>
      </c>
      <c r="E245" s="179" t="s">
        <v>36</v>
      </c>
      <c r="F245" s="181">
        <v>46199.0</v>
      </c>
      <c r="G245" s="183">
        <v>46199.0</v>
      </c>
    </row>
    <row r="246">
      <c r="A246" s="179" t="s">
        <v>1526</v>
      </c>
      <c r="B246" s="179">
        <v>245.0</v>
      </c>
      <c r="C246" s="179" t="s">
        <v>1070</v>
      </c>
      <c r="D246" s="179">
        <v>1.7648563E7</v>
      </c>
      <c r="E246" s="179" t="s">
        <v>1240</v>
      </c>
      <c r="F246" s="181">
        <v>46212.0</v>
      </c>
      <c r="G246" s="183">
        <v>46212.0</v>
      </c>
    </row>
    <row r="247">
      <c r="A247" s="179" t="s">
        <v>1529</v>
      </c>
      <c r="B247" s="179">
        <v>246.0</v>
      </c>
      <c r="C247" s="179" t="s">
        <v>1070</v>
      </c>
      <c r="D247" s="179">
        <v>1.9413417E7</v>
      </c>
      <c r="E247" s="179" t="s">
        <v>1219</v>
      </c>
      <c r="F247" s="181">
        <v>46211.0</v>
      </c>
      <c r="G247" s="183">
        <v>46211.0</v>
      </c>
    </row>
    <row r="248">
      <c r="A248" s="179" t="s">
        <v>1530</v>
      </c>
      <c r="B248" s="179">
        <v>247.0</v>
      </c>
      <c r="C248" s="179" t="s">
        <v>1070</v>
      </c>
      <c r="D248" s="179">
        <v>1.9413417E7</v>
      </c>
      <c r="E248" s="179" t="s">
        <v>1219</v>
      </c>
      <c r="F248" s="181">
        <v>46211.0</v>
      </c>
      <c r="G248" s="183">
        <v>46211.0</v>
      </c>
    </row>
    <row r="249">
      <c r="A249" s="179" t="s">
        <v>1531</v>
      </c>
      <c r="B249" s="179">
        <v>248.0</v>
      </c>
      <c r="C249" s="179" t="s">
        <v>1070</v>
      </c>
      <c r="D249" s="179">
        <v>1.9413417E7</v>
      </c>
      <c r="E249" s="179" t="s">
        <v>1219</v>
      </c>
      <c r="F249" s="181">
        <v>46207.0</v>
      </c>
      <c r="G249" s="183">
        <v>46207.0</v>
      </c>
    </row>
    <row r="250">
      <c r="A250" s="179" t="s">
        <v>1532</v>
      </c>
      <c r="B250" s="179">
        <v>249.0</v>
      </c>
      <c r="C250" s="179" t="s">
        <v>1070</v>
      </c>
      <c r="D250" s="179">
        <v>1.9413417E7</v>
      </c>
      <c r="E250" s="179" t="s">
        <v>1219</v>
      </c>
      <c r="F250" s="181">
        <v>46207.0</v>
      </c>
      <c r="G250" s="183">
        <v>46207.0</v>
      </c>
    </row>
    <row r="251">
      <c r="A251" s="179" t="s">
        <v>1535</v>
      </c>
      <c r="B251" s="179">
        <v>250.0</v>
      </c>
      <c r="C251" s="179" t="s">
        <v>1070</v>
      </c>
      <c r="D251" s="179">
        <v>1.9413417E7</v>
      </c>
      <c r="E251" s="179" t="s">
        <v>1219</v>
      </c>
      <c r="F251" s="181">
        <v>46212.0</v>
      </c>
      <c r="G251" s="183">
        <v>46212.0</v>
      </c>
    </row>
    <row r="252">
      <c r="A252" s="179" t="s">
        <v>1536</v>
      </c>
      <c r="B252" s="179">
        <v>251.0</v>
      </c>
      <c r="C252" s="179" t="s">
        <v>1070</v>
      </c>
      <c r="D252" s="179">
        <v>1.9413417E7</v>
      </c>
      <c r="E252" s="179" t="s">
        <v>1219</v>
      </c>
      <c r="F252" s="181">
        <v>46207.0</v>
      </c>
      <c r="G252" s="183">
        <v>46207.0</v>
      </c>
    </row>
    <row r="253">
      <c r="A253" s="179" t="s">
        <v>1538</v>
      </c>
      <c r="B253" s="179">
        <v>252.0</v>
      </c>
      <c r="C253" s="179" t="s">
        <v>1070</v>
      </c>
      <c r="D253" s="179">
        <v>2.0932004E7</v>
      </c>
      <c r="E253" s="179" t="s">
        <v>1045</v>
      </c>
      <c r="F253" s="181">
        <v>46195.0</v>
      </c>
      <c r="G253" s="183">
        <v>46195.0</v>
      </c>
    </row>
    <row r="254">
      <c r="A254" s="179" t="s">
        <v>1540</v>
      </c>
      <c r="B254" s="179">
        <v>253.0</v>
      </c>
      <c r="C254" s="179" t="s">
        <v>172</v>
      </c>
      <c r="D254" s="179">
        <v>9.01063657E8</v>
      </c>
      <c r="E254" s="179" t="s">
        <v>1219</v>
      </c>
      <c r="F254" s="181">
        <v>46209.0</v>
      </c>
      <c r="G254" s="183">
        <v>46209.0</v>
      </c>
    </row>
    <row r="255">
      <c r="A255" s="179" t="s">
        <v>1541</v>
      </c>
      <c r="B255" s="179">
        <v>254.0</v>
      </c>
      <c r="C255" s="179" t="s">
        <v>172</v>
      </c>
      <c r="D255" s="179">
        <v>9.01063657E8</v>
      </c>
      <c r="E255" s="179" t="s">
        <v>1219</v>
      </c>
      <c r="F255" s="181">
        <v>46209.0</v>
      </c>
      <c r="G255" s="183">
        <v>46209.0</v>
      </c>
    </row>
    <row r="256">
      <c r="A256" s="179" t="s">
        <v>1542</v>
      </c>
      <c r="B256" s="179">
        <v>255.0</v>
      </c>
      <c r="C256" s="179" t="s">
        <v>1070</v>
      </c>
      <c r="D256" s="179">
        <v>1.128469123E9</v>
      </c>
      <c r="E256" s="179" t="s">
        <v>679</v>
      </c>
      <c r="F256" s="181">
        <v>46195.0</v>
      </c>
      <c r="G256" s="183">
        <v>46195.0</v>
      </c>
    </row>
    <row r="257">
      <c r="A257" s="179" t="s">
        <v>1543</v>
      </c>
      <c r="B257" s="179">
        <v>256.0</v>
      </c>
      <c r="C257" s="179" t="s">
        <v>1070</v>
      </c>
      <c r="D257" s="179">
        <v>1.032369478E9</v>
      </c>
      <c r="E257" s="179" t="s">
        <v>1504</v>
      </c>
      <c r="F257" s="181">
        <v>46193.0</v>
      </c>
      <c r="G257" s="183">
        <v>46193.0</v>
      </c>
    </row>
    <row r="258">
      <c r="A258" s="179" t="s">
        <v>1544</v>
      </c>
      <c r="B258" s="179">
        <v>257.0</v>
      </c>
      <c r="C258" s="179" t="s">
        <v>1070</v>
      </c>
      <c r="D258" s="179">
        <v>7.9754378E7</v>
      </c>
      <c r="E258" s="179" t="s">
        <v>1259</v>
      </c>
      <c r="F258" s="181">
        <v>46192.0</v>
      </c>
      <c r="G258" s="183">
        <v>46192.0</v>
      </c>
    </row>
    <row r="259">
      <c r="A259" s="179" t="s">
        <v>1545</v>
      </c>
      <c r="B259" s="179">
        <v>258.0</v>
      </c>
      <c r="C259" s="179" t="s">
        <v>172</v>
      </c>
      <c r="D259" s="179">
        <v>9.00242173E8</v>
      </c>
      <c r="E259" s="179" t="s">
        <v>1504</v>
      </c>
      <c r="F259" s="181">
        <v>46198.0</v>
      </c>
      <c r="G259" s="183">
        <v>46198.0</v>
      </c>
    </row>
    <row r="260">
      <c r="A260" s="179" t="s">
        <v>1547</v>
      </c>
      <c r="B260" s="179">
        <v>259.0</v>
      </c>
      <c r="C260" s="179" t="s">
        <v>1070</v>
      </c>
      <c r="D260" s="179">
        <v>1.1284019E9</v>
      </c>
      <c r="E260" s="179" t="s">
        <v>1461</v>
      </c>
      <c r="F260" s="181"/>
      <c r="G260" s="183"/>
    </row>
    <row r="261">
      <c r="A261" s="179" t="s">
        <v>1549</v>
      </c>
      <c r="B261" s="179">
        <v>260.0</v>
      </c>
      <c r="C261" s="179" t="s">
        <v>1070</v>
      </c>
      <c r="D261" s="179">
        <v>1.002064489E9</v>
      </c>
      <c r="E261" s="179" t="s">
        <v>679</v>
      </c>
      <c r="F261" s="181">
        <v>46210.0</v>
      </c>
      <c r="G261" s="183">
        <v>46210.0</v>
      </c>
    </row>
    <row r="262">
      <c r="A262" s="179" t="s">
        <v>1550</v>
      </c>
      <c r="B262" s="179">
        <v>261.0</v>
      </c>
      <c r="C262" s="179" t="s">
        <v>1070</v>
      </c>
      <c r="D262" s="179">
        <v>8417056.0</v>
      </c>
      <c r="E262" s="179" t="s">
        <v>1401</v>
      </c>
      <c r="F262" s="181">
        <v>46217.0</v>
      </c>
      <c r="G262" s="183">
        <v>46217.0</v>
      </c>
    </row>
    <row r="263">
      <c r="A263" s="179" t="s">
        <v>1551</v>
      </c>
      <c r="B263" s="179">
        <v>262.0</v>
      </c>
      <c r="C263" s="179" t="s">
        <v>172</v>
      </c>
      <c r="D263" s="179">
        <v>9.0100817E8</v>
      </c>
      <c r="E263" s="179" t="s">
        <v>1553</v>
      </c>
      <c r="F263" s="181">
        <v>46231.0</v>
      </c>
      <c r="G263" s="183">
        <v>46231.0</v>
      </c>
    </row>
    <row r="264">
      <c r="A264" s="179" t="s">
        <v>1555</v>
      </c>
      <c r="B264" s="179">
        <v>263.0</v>
      </c>
      <c r="C264" s="179" t="s">
        <v>172</v>
      </c>
      <c r="D264" s="179">
        <v>9.0100817E8</v>
      </c>
      <c r="E264" s="179" t="s">
        <v>1553</v>
      </c>
      <c r="F264" s="181">
        <v>46231.0</v>
      </c>
      <c r="G264" s="183">
        <v>46231.0</v>
      </c>
    </row>
    <row r="265">
      <c r="A265" s="179" t="s">
        <v>1556</v>
      </c>
      <c r="B265" s="179">
        <v>264.0</v>
      </c>
      <c r="C265" s="179" t="s">
        <v>172</v>
      </c>
      <c r="D265" s="179">
        <v>9.00519709E8</v>
      </c>
      <c r="E265" s="179" t="s">
        <v>679</v>
      </c>
      <c r="F265" s="181">
        <v>46196.0</v>
      </c>
      <c r="G265" s="183">
        <v>46196.0</v>
      </c>
    </row>
    <row r="266">
      <c r="A266" s="179" t="s">
        <v>1559</v>
      </c>
      <c r="B266" s="179">
        <v>265.0</v>
      </c>
      <c r="C266" s="179" t="s">
        <v>1070</v>
      </c>
      <c r="D266" s="179">
        <v>7.4334411E7</v>
      </c>
      <c r="E266" s="179" t="s">
        <v>1560</v>
      </c>
      <c r="F266" s="181">
        <v>46198.0</v>
      </c>
      <c r="G266" s="183">
        <v>46198.0</v>
      </c>
    </row>
    <row r="267">
      <c r="A267" s="179" t="s">
        <v>1561</v>
      </c>
      <c r="B267" s="179">
        <v>266.0</v>
      </c>
      <c r="C267" s="179" t="s">
        <v>1070</v>
      </c>
      <c r="D267" s="179">
        <v>7.9473181E7</v>
      </c>
      <c r="E267" s="179" t="s">
        <v>1504</v>
      </c>
      <c r="F267" s="181">
        <v>46209.0</v>
      </c>
      <c r="G267" s="183">
        <v>46209.0</v>
      </c>
    </row>
    <row r="268">
      <c r="A268" s="179" t="s">
        <v>1562</v>
      </c>
      <c r="B268" s="179">
        <v>267.0</v>
      </c>
      <c r="C268" s="179" t="s">
        <v>1070</v>
      </c>
      <c r="D268" s="179">
        <v>1.0997601E7</v>
      </c>
      <c r="E268" s="179" t="s">
        <v>1219</v>
      </c>
      <c r="F268" s="181">
        <v>46211.0</v>
      </c>
      <c r="G268" s="183">
        <v>46211.0</v>
      </c>
    </row>
    <row r="269">
      <c r="A269" s="179" t="s">
        <v>1563</v>
      </c>
      <c r="B269" s="179">
        <v>268.0</v>
      </c>
      <c r="C269" s="179" t="s">
        <v>1070</v>
      </c>
      <c r="D269" s="179">
        <v>2.8150902E7</v>
      </c>
      <c r="E269" s="179" t="s">
        <v>1184</v>
      </c>
      <c r="F269" s="181">
        <v>46205.0</v>
      </c>
      <c r="G269" s="183">
        <v>46205.0</v>
      </c>
    </row>
    <row r="270">
      <c r="A270" s="179" t="s">
        <v>1566</v>
      </c>
      <c r="B270" s="179">
        <v>269.0</v>
      </c>
      <c r="C270" s="179" t="s">
        <v>1070</v>
      </c>
      <c r="D270" s="179">
        <v>2.4527518E7</v>
      </c>
      <c r="E270" s="179" t="s">
        <v>1335</v>
      </c>
      <c r="F270" s="181">
        <v>46217.0</v>
      </c>
      <c r="G270" s="183">
        <v>46217.0</v>
      </c>
    </row>
    <row r="271">
      <c r="A271" s="179" t="s">
        <v>1567</v>
      </c>
      <c r="B271" s="179">
        <v>270.0</v>
      </c>
      <c r="C271" s="179" t="s">
        <v>1070</v>
      </c>
      <c r="D271" s="179">
        <v>1.035919785E9</v>
      </c>
      <c r="E271" s="179" t="s">
        <v>1219</v>
      </c>
      <c r="F271" s="181">
        <v>46209.0</v>
      </c>
      <c r="G271" s="183">
        <v>46209.0</v>
      </c>
    </row>
    <row r="272">
      <c r="A272" s="179" t="s">
        <v>1568</v>
      </c>
      <c r="B272" s="179">
        <v>271.0</v>
      </c>
      <c r="C272" s="179" t="s">
        <v>1070</v>
      </c>
      <c r="D272" s="179">
        <v>1.051443527E9</v>
      </c>
      <c r="E272" s="179" t="s">
        <v>1219</v>
      </c>
      <c r="F272" s="181">
        <v>46213.0</v>
      </c>
      <c r="G272" s="183">
        <v>46213.0</v>
      </c>
    </row>
    <row r="273">
      <c r="A273" s="179" t="s">
        <v>1569</v>
      </c>
      <c r="B273" s="179">
        <v>272.0</v>
      </c>
      <c r="C273" s="179" t="s">
        <v>1070</v>
      </c>
      <c r="D273" s="179">
        <v>1.00744736E9</v>
      </c>
      <c r="E273" s="179" t="s">
        <v>1219</v>
      </c>
      <c r="F273" s="181">
        <v>46201.0</v>
      </c>
      <c r="G273" s="183">
        <v>46201.0</v>
      </c>
    </row>
    <row r="274">
      <c r="A274" s="179" t="s">
        <v>1572</v>
      </c>
      <c r="B274" s="179">
        <v>273.0</v>
      </c>
      <c r="C274" s="179" t="s">
        <v>172</v>
      </c>
      <c r="D274" s="179">
        <v>9.01881588E8</v>
      </c>
      <c r="E274" s="179" t="s">
        <v>1370</v>
      </c>
      <c r="F274" s="181">
        <v>46197.0</v>
      </c>
      <c r="G274" s="183">
        <v>46197.0</v>
      </c>
    </row>
    <row r="275">
      <c r="A275" s="179" t="s">
        <v>1573</v>
      </c>
      <c r="B275" s="179">
        <v>274.0</v>
      </c>
      <c r="C275" s="179" t="s">
        <v>1070</v>
      </c>
      <c r="D275" s="179">
        <v>7.9911529E7</v>
      </c>
      <c r="E275" s="179" t="s">
        <v>1259</v>
      </c>
      <c r="F275" s="181">
        <v>46200.0</v>
      </c>
      <c r="G275" s="183">
        <v>46200.0</v>
      </c>
    </row>
    <row r="276">
      <c r="A276" s="179" t="s">
        <v>1574</v>
      </c>
      <c r="B276" s="179">
        <v>275.0</v>
      </c>
      <c r="C276" s="179" t="s">
        <v>1070</v>
      </c>
      <c r="D276" s="179">
        <v>7.9911529E7</v>
      </c>
      <c r="E276" s="179" t="s">
        <v>1259</v>
      </c>
      <c r="F276" s="181">
        <v>46200.0</v>
      </c>
      <c r="G276" s="183">
        <v>46200.0</v>
      </c>
    </row>
    <row r="277">
      <c r="A277" s="179" t="s">
        <v>1575</v>
      </c>
      <c r="B277" s="179">
        <v>276.0</v>
      </c>
      <c r="C277" s="179" t="s">
        <v>1070</v>
      </c>
      <c r="D277" s="179">
        <v>7.9911529E7</v>
      </c>
      <c r="E277" s="179" t="s">
        <v>1259</v>
      </c>
      <c r="F277" s="181">
        <v>46200.0</v>
      </c>
      <c r="G277" s="183">
        <v>46200.0</v>
      </c>
    </row>
    <row r="278">
      <c r="A278" s="179" t="s">
        <v>1577</v>
      </c>
      <c r="B278" s="179">
        <v>277.0</v>
      </c>
      <c r="C278" s="179" t="s">
        <v>1070</v>
      </c>
      <c r="D278" s="179">
        <v>8.0320515E7</v>
      </c>
      <c r="E278" s="179" t="s">
        <v>1579</v>
      </c>
      <c r="F278" s="181">
        <v>46211.0</v>
      </c>
      <c r="G278" s="183">
        <v>46211.0</v>
      </c>
    </row>
    <row r="279">
      <c r="A279" s="179" t="s">
        <v>1580</v>
      </c>
      <c r="B279" s="179">
        <v>278.0</v>
      </c>
      <c r="C279" s="179" t="s">
        <v>1070</v>
      </c>
      <c r="D279" s="179">
        <v>8.0320515E7</v>
      </c>
      <c r="E279" s="179" t="s">
        <v>1579</v>
      </c>
      <c r="F279" s="181">
        <v>46211.0</v>
      </c>
      <c r="G279" s="183">
        <v>46211.0</v>
      </c>
    </row>
    <row r="280">
      <c r="A280" s="179" t="s">
        <v>1581</v>
      </c>
      <c r="B280" s="179">
        <v>279.0</v>
      </c>
      <c r="C280" s="179" t="s">
        <v>1070</v>
      </c>
      <c r="D280" s="179">
        <v>8.0320515E7</v>
      </c>
      <c r="E280" s="179" t="s">
        <v>1579</v>
      </c>
      <c r="F280" s="181">
        <v>46211.0</v>
      </c>
      <c r="G280" s="183">
        <v>46211.0</v>
      </c>
    </row>
    <row r="281">
      <c r="A281" s="179" t="s">
        <v>1582</v>
      </c>
      <c r="B281" s="179">
        <v>280.0</v>
      </c>
      <c r="C281" s="179" t="s">
        <v>1070</v>
      </c>
      <c r="D281" s="179">
        <v>8.0320515E7</v>
      </c>
      <c r="E281" s="179" t="s">
        <v>1579</v>
      </c>
      <c r="F281" s="181">
        <v>46208.0</v>
      </c>
      <c r="G281" s="183">
        <v>46208.0</v>
      </c>
    </row>
    <row r="282">
      <c r="A282" s="179" t="s">
        <v>1585</v>
      </c>
      <c r="B282" s="179">
        <v>281.0</v>
      </c>
      <c r="C282" s="179" t="s">
        <v>1070</v>
      </c>
      <c r="D282" s="179">
        <v>3.9738907E7</v>
      </c>
      <c r="E282" s="179" t="s">
        <v>1168</v>
      </c>
      <c r="F282" s="181">
        <v>46199.0</v>
      </c>
      <c r="G282" s="183">
        <v>46199.0</v>
      </c>
    </row>
    <row r="283">
      <c r="A283" s="179" t="s">
        <v>1586</v>
      </c>
      <c r="B283" s="179">
        <v>282.0</v>
      </c>
      <c r="C283" s="179" t="s">
        <v>1070</v>
      </c>
      <c r="D283" s="179">
        <v>3.9738907E7</v>
      </c>
      <c r="E283" s="179" t="s">
        <v>1168</v>
      </c>
      <c r="F283" s="181">
        <v>46199.0</v>
      </c>
      <c r="G283" s="183">
        <v>46199.0</v>
      </c>
    </row>
    <row r="284">
      <c r="A284" s="179" t="s">
        <v>1589</v>
      </c>
      <c r="B284" s="179">
        <v>283.0</v>
      </c>
      <c r="C284" s="179" t="s">
        <v>1070</v>
      </c>
      <c r="D284" s="179">
        <v>5.1652424E7</v>
      </c>
      <c r="E284" s="179" t="s">
        <v>1168</v>
      </c>
      <c r="F284" s="181">
        <v>46199.0</v>
      </c>
      <c r="G284" s="183">
        <v>46199.0</v>
      </c>
    </row>
    <row r="285">
      <c r="A285" s="179" t="s">
        <v>1590</v>
      </c>
      <c r="B285" s="179">
        <v>284.0</v>
      </c>
      <c r="C285" s="179" t="s">
        <v>1070</v>
      </c>
      <c r="D285" s="179">
        <v>3.7705953E7</v>
      </c>
      <c r="E285" s="179" t="s">
        <v>1504</v>
      </c>
      <c r="F285" s="181">
        <v>46203.0</v>
      </c>
      <c r="G285" s="183">
        <v>46203.0</v>
      </c>
    </row>
    <row r="286">
      <c r="A286" s="179" t="s">
        <v>1591</v>
      </c>
      <c r="B286" s="179">
        <v>285.0</v>
      </c>
      <c r="C286" s="179" t="s">
        <v>1070</v>
      </c>
      <c r="D286" s="179">
        <v>3.7705953E7</v>
      </c>
      <c r="E286" s="179" t="s">
        <v>1504</v>
      </c>
      <c r="F286" s="181">
        <v>46203.0</v>
      </c>
      <c r="G286" s="183">
        <v>46203.0</v>
      </c>
    </row>
    <row r="287">
      <c r="A287" s="179" t="s">
        <v>1592</v>
      </c>
      <c r="B287" s="179">
        <v>286.0</v>
      </c>
      <c r="C287" s="179" t="s">
        <v>1070</v>
      </c>
      <c r="D287" s="179">
        <v>1.019155493E9</v>
      </c>
      <c r="E287" s="179" t="s">
        <v>1259</v>
      </c>
      <c r="F287" s="181">
        <v>46200.0</v>
      </c>
      <c r="G287" s="183">
        <v>46200.0</v>
      </c>
    </row>
    <row r="288">
      <c r="A288" s="179" t="s">
        <v>1593</v>
      </c>
      <c r="B288" s="179">
        <v>287.0</v>
      </c>
      <c r="C288" s="179" t="s">
        <v>1070</v>
      </c>
      <c r="D288" s="179">
        <v>1.019155493E9</v>
      </c>
      <c r="E288" s="179" t="s">
        <v>1259</v>
      </c>
      <c r="F288" s="181">
        <v>46200.0</v>
      </c>
      <c r="G288" s="183">
        <v>46200.0</v>
      </c>
    </row>
    <row r="289">
      <c r="A289" s="179" t="s">
        <v>1594</v>
      </c>
      <c r="B289" s="179">
        <v>288.0</v>
      </c>
      <c r="C289" s="179" t="s">
        <v>1070</v>
      </c>
      <c r="D289" s="179">
        <v>1.019155493E9</v>
      </c>
      <c r="E289" s="179" t="s">
        <v>1259</v>
      </c>
      <c r="F289" s="181">
        <v>46200.0</v>
      </c>
      <c r="G289" s="183">
        <v>46200.0</v>
      </c>
    </row>
    <row r="290">
      <c r="A290" s="179" t="s">
        <v>1595</v>
      </c>
      <c r="B290" s="179">
        <v>289.0</v>
      </c>
      <c r="C290" s="179" t="s">
        <v>1070</v>
      </c>
      <c r="D290" s="179">
        <v>4.2881223E7</v>
      </c>
      <c r="E290" s="179" t="s">
        <v>1219</v>
      </c>
      <c r="F290" s="181">
        <v>46207.0</v>
      </c>
      <c r="G290" s="183">
        <v>46207.0</v>
      </c>
    </row>
    <row r="291">
      <c r="A291" s="179" t="s">
        <v>1597</v>
      </c>
      <c r="B291" s="179">
        <v>290.0</v>
      </c>
      <c r="C291" s="179" t="s">
        <v>172</v>
      </c>
      <c r="D291" s="179">
        <v>9.01283675E8</v>
      </c>
      <c r="E291" s="179" t="s">
        <v>1362</v>
      </c>
      <c r="F291" s="181">
        <v>46199.0</v>
      </c>
      <c r="G291" s="183">
        <v>46199.0</v>
      </c>
    </row>
    <row r="292">
      <c r="A292" s="179" t="s">
        <v>1598</v>
      </c>
      <c r="B292" s="179">
        <v>291.0</v>
      </c>
      <c r="C292" s="179" t="s">
        <v>172</v>
      </c>
      <c r="D292" s="179">
        <v>9.01283675E8</v>
      </c>
      <c r="E292" s="179" t="s">
        <v>1362</v>
      </c>
      <c r="F292" s="181">
        <v>46199.0</v>
      </c>
      <c r="G292" s="183">
        <v>46199.0</v>
      </c>
    </row>
    <row r="293">
      <c r="A293" s="179" t="s">
        <v>1599</v>
      </c>
      <c r="B293" s="179">
        <v>292.0</v>
      </c>
      <c r="C293" s="179" t="s">
        <v>172</v>
      </c>
      <c r="D293" s="179">
        <v>9.00816033E8</v>
      </c>
      <c r="E293" s="179" t="s">
        <v>1234</v>
      </c>
      <c r="F293" s="181">
        <v>46220.0</v>
      </c>
      <c r="G293" s="183">
        <v>46220.0</v>
      </c>
    </row>
    <row r="294">
      <c r="A294" s="179" t="s">
        <v>1602</v>
      </c>
      <c r="B294" s="179">
        <v>293.0</v>
      </c>
      <c r="C294" s="179" t="s">
        <v>1070</v>
      </c>
      <c r="D294" s="179">
        <v>2.4047992E7</v>
      </c>
      <c r="E294" s="179" t="s">
        <v>1219</v>
      </c>
      <c r="F294" s="181">
        <v>46210.0</v>
      </c>
      <c r="G294" s="183">
        <v>46210.0</v>
      </c>
    </row>
    <row r="295">
      <c r="A295" s="179" t="s">
        <v>1603</v>
      </c>
      <c r="B295" s="179">
        <v>294.0</v>
      </c>
      <c r="C295" s="179" t="s">
        <v>1070</v>
      </c>
      <c r="D295" s="179">
        <v>2.4047992E7</v>
      </c>
      <c r="E295" s="179" t="s">
        <v>1219</v>
      </c>
      <c r="F295" s="181">
        <v>46224.0</v>
      </c>
      <c r="G295" s="183">
        <v>46224.0</v>
      </c>
    </row>
    <row r="296">
      <c r="A296" s="179" t="s">
        <v>1604</v>
      </c>
      <c r="B296" s="179">
        <v>295.0</v>
      </c>
      <c r="C296" s="179" t="s">
        <v>172</v>
      </c>
      <c r="D296" s="179">
        <v>9.01323243E8</v>
      </c>
      <c r="E296" s="179" t="s">
        <v>1184</v>
      </c>
      <c r="F296" s="181">
        <v>46198.0</v>
      </c>
      <c r="G296" s="183">
        <v>46198.0</v>
      </c>
    </row>
    <row r="297">
      <c r="A297" s="179" t="s">
        <v>1605</v>
      </c>
      <c r="B297" s="179">
        <v>296.0</v>
      </c>
      <c r="C297" s="179" t="s">
        <v>1070</v>
      </c>
      <c r="D297" s="179">
        <v>1.054679061E9</v>
      </c>
      <c r="E297" s="179" t="s">
        <v>1219</v>
      </c>
      <c r="F297" s="181">
        <v>46207.0</v>
      </c>
      <c r="G297" s="183">
        <v>46207.0</v>
      </c>
    </row>
    <row r="298">
      <c r="A298" s="179" t="s">
        <v>1606</v>
      </c>
      <c r="B298" s="179">
        <v>297.0</v>
      </c>
      <c r="C298" s="179" t="s">
        <v>1070</v>
      </c>
      <c r="D298" s="179">
        <v>1.054679061E9</v>
      </c>
      <c r="E298" s="179" t="s">
        <v>1219</v>
      </c>
      <c r="F298" s="181">
        <v>46212.0</v>
      </c>
      <c r="G298" s="183">
        <v>46212.0</v>
      </c>
    </row>
    <row r="299">
      <c r="A299" s="179" t="s">
        <v>1607</v>
      </c>
      <c r="B299" s="179">
        <v>298.0</v>
      </c>
      <c r="C299" s="179" t="s">
        <v>1070</v>
      </c>
      <c r="D299" s="179">
        <v>1.054679061E9</v>
      </c>
      <c r="E299" s="179" t="s">
        <v>1219</v>
      </c>
      <c r="F299" s="181">
        <v>46206.0</v>
      </c>
      <c r="G299" s="183">
        <v>46206.0</v>
      </c>
    </row>
    <row r="300">
      <c r="A300" s="179" t="s">
        <v>1610</v>
      </c>
      <c r="B300" s="179">
        <v>299.0</v>
      </c>
      <c r="C300" s="179" t="s">
        <v>1070</v>
      </c>
      <c r="D300" s="179">
        <v>5.1588109E7</v>
      </c>
      <c r="E300" s="179" t="s">
        <v>1259</v>
      </c>
      <c r="F300" s="181">
        <v>46213.0</v>
      </c>
      <c r="G300" s="183">
        <v>46213.0</v>
      </c>
    </row>
    <row r="301">
      <c r="A301" s="179" t="s">
        <v>1611</v>
      </c>
      <c r="B301" s="179">
        <v>300.0</v>
      </c>
      <c r="C301" s="179" t="s">
        <v>1070</v>
      </c>
      <c r="D301" s="179">
        <v>5.1588109E7</v>
      </c>
      <c r="E301" s="179" t="s">
        <v>1168</v>
      </c>
      <c r="F301" s="181">
        <v>46199.0</v>
      </c>
      <c r="G301" s="183">
        <v>46199.0</v>
      </c>
    </row>
    <row r="302">
      <c r="A302" s="179" t="s">
        <v>1612</v>
      </c>
      <c r="B302" s="179">
        <v>301.0</v>
      </c>
      <c r="C302" s="179" t="s">
        <v>172</v>
      </c>
      <c r="D302" s="179">
        <v>9.01616093E8</v>
      </c>
      <c r="E302" s="179" t="s">
        <v>36</v>
      </c>
      <c r="F302" s="181">
        <v>46200.0</v>
      </c>
      <c r="G302" s="183">
        <v>46200.0</v>
      </c>
    </row>
    <row r="303">
      <c r="A303" s="179" t="s">
        <v>1613</v>
      </c>
      <c r="B303" s="179">
        <v>302.0</v>
      </c>
      <c r="C303" s="179" t="s">
        <v>1070</v>
      </c>
      <c r="D303" s="179">
        <v>1.351625E7</v>
      </c>
      <c r="E303" s="181" t="s">
        <v>1553</v>
      </c>
      <c r="F303" s="181">
        <v>46203.0</v>
      </c>
      <c r="G303" s="183">
        <v>46203.0</v>
      </c>
    </row>
    <row r="304">
      <c r="A304" s="179" t="s">
        <v>1614</v>
      </c>
      <c r="B304" s="179">
        <v>303.0</v>
      </c>
      <c r="C304" s="179" t="s">
        <v>1070</v>
      </c>
      <c r="D304" s="179">
        <v>3.7938622E7</v>
      </c>
      <c r="E304" s="181" t="s">
        <v>1219</v>
      </c>
      <c r="F304" s="181">
        <v>46212.0</v>
      </c>
      <c r="G304" s="183">
        <v>46212.0</v>
      </c>
    </row>
    <row r="305">
      <c r="A305" s="179" t="s">
        <v>1615</v>
      </c>
      <c r="B305" s="179">
        <v>304.0</v>
      </c>
      <c r="C305" s="179" t="s">
        <v>1070</v>
      </c>
      <c r="D305" s="179">
        <v>2.7223929E7</v>
      </c>
      <c r="E305" s="181" t="s">
        <v>1045</v>
      </c>
      <c r="F305" s="181">
        <v>46205.0</v>
      </c>
      <c r="G305" s="183">
        <v>46205.0</v>
      </c>
    </row>
    <row r="306">
      <c r="A306" s="179" t="s">
        <v>1618</v>
      </c>
      <c r="B306" s="179">
        <v>305.0</v>
      </c>
      <c r="C306" s="179" t="s">
        <v>1070</v>
      </c>
      <c r="D306" s="179">
        <v>1.020782161E9</v>
      </c>
      <c r="E306" s="179" t="s">
        <v>1259</v>
      </c>
      <c r="F306" s="181">
        <v>46200.0</v>
      </c>
      <c r="G306" s="183">
        <v>46200.0</v>
      </c>
    </row>
    <row r="307">
      <c r="A307" s="179" t="s">
        <v>1619</v>
      </c>
      <c r="B307" s="179">
        <v>306.0</v>
      </c>
      <c r="C307" s="179" t="s">
        <v>1070</v>
      </c>
      <c r="D307" s="179">
        <v>1.048847006E9</v>
      </c>
      <c r="E307" s="181" t="s">
        <v>1370</v>
      </c>
      <c r="F307" s="181">
        <v>46211.0</v>
      </c>
      <c r="G307" s="183">
        <v>46211.0</v>
      </c>
    </row>
    <row r="308">
      <c r="A308" s="179" t="s">
        <v>1620</v>
      </c>
      <c r="B308" s="179">
        <v>307.0</v>
      </c>
      <c r="C308" s="179" t="s">
        <v>1070</v>
      </c>
      <c r="D308" s="179">
        <v>5.2621889E7</v>
      </c>
      <c r="E308" s="179" t="s">
        <v>1259</v>
      </c>
      <c r="F308" s="181">
        <v>46206.0</v>
      </c>
      <c r="G308" s="183" t="s">
        <v>1621</v>
      </c>
    </row>
    <row r="309">
      <c r="A309" s="179" t="s">
        <v>1622</v>
      </c>
      <c r="B309" s="179">
        <v>308.0</v>
      </c>
      <c r="C309" s="179" t="s">
        <v>1070</v>
      </c>
      <c r="D309" s="179">
        <v>9.00242173E8</v>
      </c>
      <c r="E309" s="181" t="s">
        <v>1504</v>
      </c>
      <c r="F309" s="181">
        <v>46211.0</v>
      </c>
      <c r="G309" s="183">
        <v>46211.0</v>
      </c>
    </row>
    <row r="310">
      <c r="A310" s="179" t="s">
        <v>1625</v>
      </c>
      <c r="B310" s="179">
        <v>309.0</v>
      </c>
      <c r="C310" s="179" t="s">
        <v>172</v>
      </c>
      <c r="D310" s="179">
        <v>9.00816033E8</v>
      </c>
      <c r="E310" s="179" t="s">
        <v>1234</v>
      </c>
      <c r="F310" s="181">
        <v>46220.0</v>
      </c>
      <c r="G310" s="183">
        <v>46220.0</v>
      </c>
    </row>
    <row r="311">
      <c r="A311" s="179" t="s">
        <v>1626</v>
      </c>
      <c r="B311" s="179">
        <v>310.0</v>
      </c>
      <c r="C311" s="179" t="s">
        <v>172</v>
      </c>
      <c r="D311" s="179">
        <v>8.90934525E8</v>
      </c>
      <c r="E311" s="179" t="s">
        <v>679</v>
      </c>
      <c r="F311" s="181">
        <v>46205.0</v>
      </c>
      <c r="G311" s="183">
        <v>46205.0</v>
      </c>
    </row>
    <row r="312">
      <c r="A312" s="179" t="s">
        <v>1627</v>
      </c>
      <c r="B312" s="179">
        <v>311.0</v>
      </c>
      <c r="C312" s="179" t="s">
        <v>172</v>
      </c>
      <c r="D312" s="179">
        <v>9.01394759E8</v>
      </c>
      <c r="E312" s="179" t="s">
        <v>36</v>
      </c>
      <c r="F312" s="181">
        <v>46205.0</v>
      </c>
      <c r="G312" s="183">
        <v>46205.0</v>
      </c>
    </row>
    <row r="313">
      <c r="A313" s="180" t="s">
        <v>1629</v>
      </c>
      <c r="B313" s="179">
        <v>312.0</v>
      </c>
      <c r="C313" s="179" t="s">
        <v>172</v>
      </c>
      <c r="D313" s="179">
        <v>9.01394759E8</v>
      </c>
      <c r="E313" s="179" t="s">
        <v>36</v>
      </c>
      <c r="F313" s="181">
        <v>46203.0</v>
      </c>
      <c r="G313" s="183">
        <v>46203.0</v>
      </c>
    </row>
    <row r="314">
      <c r="A314" s="180" t="s">
        <v>1631</v>
      </c>
      <c r="B314" s="179">
        <v>313.0</v>
      </c>
      <c r="C314" s="179" t="s">
        <v>1070</v>
      </c>
      <c r="D314" s="179">
        <v>1.10281198E9</v>
      </c>
      <c r="E314" s="181" t="s">
        <v>736</v>
      </c>
      <c r="F314" s="181">
        <v>46214.0</v>
      </c>
      <c r="G314" s="183">
        <v>46214.0</v>
      </c>
    </row>
    <row r="315">
      <c r="A315" s="180" t="s">
        <v>1632</v>
      </c>
      <c r="B315" s="179">
        <v>314.0</v>
      </c>
      <c r="C315" s="179" t="s">
        <v>172</v>
      </c>
      <c r="D315" s="179">
        <v>9.01572773E8</v>
      </c>
      <c r="E315" s="181" t="s">
        <v>1219</v>
      </c>
      <c r="F315" s="181">
        <v>46214.0</v>
      </c>
      <c r="G315" s="183">
        <v>46214.0</v>
      </c>
    </row>
    <row r="316">
      <c r="A316" s="180" t="s">
        <v>1633</v>
      </c>
      <c r="B316" s="179">
        <v>315.0</v>
      </c>
      <c r="C316" s="179" t="s">
        <v>172</v>
      </c>
      <c r="D316" s="179">
        <v>9.01572773E8</v>
      </c>
      <c r="E316" s="181" t="s">
        <v>1219</v>
      </c>
      <c r="F316" s="181">
        <v>46214.0</v>
      </c>
      <c r="G316" s="183">
        <v>46214.0</v>
      </c>
    </row>
    <row r="317">
      <c r="A317" s="180" t="s">
        <v>1634</v>
      </c>
      <c r="B317" s="179">
        <v>316.0</v>
      </c>
      <c r="C317" s="179" t="s">
        <v>172</v>
      </c>
      <c r="D317" s="179">
        <v>9.01572773E8</v>
      </c>
      <c r="E317" s="181" t="s">
        <v>1219</v>
      </c>
      <c r="F317" s="181">
        <v>46214.0</v>
      </c>
      <c r="G317" s="183">
        <v>46214.0</v>
      </c>
    </row>
    <row r="318">
      <c r="A318" s="180" t="s">
        <v>1637</v>
      </c>
      <c r="B318" s="179">
        <v>317.0</v>
      </c>
      <c r="C318" s="179" t="s">
        <v>1070</v>
      </c>
      <c r="D318" s="179">
        <v>3.2793363E7</v>
      </c>
      <c r="E318" s="181"/>
      <c r="F318" s="181"/>
      <c r="G318" s="183"/>
    </row>
    <row r="319">
      <c r="A319" s="180" t="s">
        <v>1638</v>
      </c>
      <c r="B319" s="179">
        <v>318.0</v>
      </c>
      <c r="C319" s="179" t="s">
        <v>1070</v>
      </c>
      <c r="D319" s="179">
        <v>7140624.0</v>
      </c>
      <c r="E319" s="179" t="s">
        <v>1639</v>
      </c>
      <c r="F319" s="181">
        <v>46207.0</v>
      </c>
      <c r="G319" s="183">
        <v>46207.0</v>
      </c>
    </row>
    <row r="320">
      <c r="A320" s="180" t="s">
        <v>1641</v>
      </c>
      <c r="B320" s="179">
        <v>319.0</v>
      </c>
      <c r="C320" s="179" t="s">
        <v>1070</v>
      </c>
      <c r="D320" s="179">
        <v>1.122138587E9</v>
      </c>
      <c r="E320" s="179" t="s">
        <v>36</v>
      </c>
      <c r="F320" s="181">
        <v>46232.0</v>
      </c>
      <c r="G320" s="183">
        <v>46232.0</v>
      </c>
    </row>
    <row r="321">
      <c r="A321" s="180" t="s">
        <v>1642</v>
      </c>
      <c r="B321" s="179">
        <v>320.0</v>
      </c>
      <c r="C321" s="179" t="s">
        <v>1070</v>
      </c>
      <c r="D321" s="179">
        <v>3455965.0</v>
      </c>
      <c r="E321" s="179"/>
      <c r="F321" s="181"/>
      <c r="G321" s="183"/>
    </row>
    <row r="322">
      <c r="A322" s="180" t="s">
        <v>1645</v>
      </c>
      <c r="B322" s="179">
        <v>321.0</v>
      </c>
      <c r="C322" s="179" t="s">
        <v>1070</v>
      </c>
      <c r="D322" s="179">
        <v>1.102549347E9</v>
      </c>
      <c r="E322" s="179" t="s">
        <v>1184</v>
      </c>
      <c r="F322" s="181">
        <v>46211.0</v>
      </c>
      <c r="G322" s="183">
        <v>46211.0</v>
      </c>
    </row>
    <row r="323">
      <c r="A323" s="179" t="s">
        <v>1646</v>
      </c>
      <c r="B323" s="179">
        <v>322.0</v>
      </c>
      <c r="C323" s="179" t="s">
        <v>1070</v>
      </c>
      <c r="D323" s="179">
        <v>8.025937E7</v>
      </c>
      <c r="E323" s="181" t="s">
        <v>1168</v>
      </c>
      <c r="F323" s="181">
        <v>46206.0</v>
      </c>
      <c r="G323" s="183">
        <v>46206.0</v>
      </c>
    </row>
    <row r="324">
      <c r="A324" s="179" t="s">
        <v>1647</v>
      </c>
      <c r="B324" s="179">
        <v>323.0</v>
      </c>
      <c r="C324" s="179" t="s">
        <v>1070</v>
      </c>
      <c r="D324" s="179">
        <v>1.049412493E9</v>
      </c>
      <c r="E324" s="179" t="s">
        <v>1259</v>
      </c>
      <c r="F324" s="181">
        <v>46204.0</v>
      </c>
      <c r="G324" s="183">
        <v>46204.0</v>
      </c>
    </row>
    <row r="325">
      <c r="A325" s="180" t="s">
        <v>1648</v>
      </c>
      <c r="B325" s="179">
        <v>324.0</v>
      </c>
      <c r="C325" s="179" t="s">
        <v>1070</v>
      </c>
      <c r="D325" s="179">
        <v>1.061624556E9</v>
      </c>
      <c r="E325" s="179" t="s">
        <v>241</v>
      </c>
      <c r="F325" s="181">
        <v>46220.0</v>
      </c>
      <c r="G325" s="183">
        <v>46220.0</v>
      </c>
    </row>
    <row r="326">
      <c r="A326" s="180" t="s">
        <v>1651</v>
      </c>
      <c r="B326" s="179">
        <v>325.0</v>
      </c>
      <c r="C326" s="179" t="s">
        <v>1070</v>
      </c>
      <c r="D326" s="179">
        <v>1.000857745E9</v>
      </c>
      <c r="E326" s="179" t="s">
        <v>241</v>
      </c>
      <c r="F326" s="181">
        <v>46204.0</v>
      </c>
      <c r="G326" s="183">
        <v>46204.0</v>
      </c>
    </row>
    <row r="327">
      <c r="A327" s="180" t="s">
        <v>1652</v>
      </c>
      <c r="B327" s="179">
        <v>326.0</v>
      </c>
      <c r="C327" s="179" t="s">
        <v>1070</v>
      </c>
      <c r="D327" s="179">
        <v>5.2796667E7</v>
      </c>
      <c r="E327" s="179" t="s">
        <v>1168</v>
      </c>
      <c r="F327" s="181">
        <v>46209.0</v>
      </c>
      <c r="G327" s="183">
        <v>46209.0</v>
      </c>
    </row>
    <row r="328">
      <c r="A328" s="180" t="s">
        <v>1653</v>
      </c>
      <c r="B328" s="179">
        <v>327.0</v>
      </c>
      <c r="C328" s="179" t="s">
        <v>1070</v>
      </c>
      <c r="D328" s="179">
        <v>1.095810681E9</v>
      </c>
      <c r="E328" s="179" t="s">
        <v>1184</v>
      </c>
      <c r="F328" s="181">
        <v>46206.0</v>
      </c>
      <c r="G328" s="183">
        <v>46206.0</v>
      </c>
    </row>
    <row r="329">
      <c r="A329" s="180" t="s">
        <v>1654</v>
      </c>
      <c r="B329" s="179">
        <v>328.0</v>
      </c>
      <c r="C329" s="179" t="s">
        <v>1070</v>
      </c>
      <c r="D329" s="179">
        <v>1.095810681E9</v>
      </c>
      <c r="E329" s="179" t="s">
        <v>1184</v>
      </c>
      <c r="F329" s="181">
        <v>46206.0</v>
      </c>
      <c r="G329" s="183">
        <v>46206.0</v>
      </c>
    </row>
    <row r="330">
      <c r="A330" s="180" t="s">
        <v>1657</v>
      </c>
      <c r="B330" s="179">
        <v>329.0</v>
      </c>
      <c r="C330" s="179" t="s">
        <v>1070</v>
      </c>
      <c r="D330" s="179">
        <v>1.095810681E9</v>
      </c>
      <c r="E330" s="179" t="s">
        <v>1184</v>
      </c>
      <c r="F330" s="181">
        <v>46207.0</v>
      </c>
      <c r="G330" s="183">
        <v>46207.0</v>
      </c>
    </row>
    <row r="331">
      <c r="A331" s="180" t="s">
        <v>1658</v>
      </c>
      <c r="B331" s="179">
        <v>330.0</v>
      </c>
      <c r="C331" s="179" t="s">
        <v>172</v>
      </c>
      <c r="D331" s="179">
        <v>9.01219187E8</v>
      </c>
      <c r="E331" s="179" t="s">
        <v>1362</v>
      </c>
      <c r="F331" s="181">
        <v>46206.0</v>
      </c>
      <c r="G331" s="183">
        <v>46206.0</v>
      </c>
    </row>
    <row r="332">
      <c r="A332" s="180" t="s">
        <v>1659</v>
      </c>
      <c r="B332" s="179">
        <v>331.0</v>
      </c>
      <c r="C332" s="179" t="s">
        <v>1070</v>
      </c>
      <c r="D332" s="179">
        <v>1.006073136E9</v>
      </c>
      <c r="E332" s="179"/>
      <c r="F332" s="181">
        <v>46214.0</v>
      </c>
      <c r="G332" s="183">
        <v>46214.0</v>
      </c>
    </row>
    <row r="333">
      <c r="A333" s="180" t="s">
        <v>1661</v>
      </c>
      <c r="B333" s="179">
        <v>332.0</v>
      </c>
      <c r="C333" s="179" t="s">
        <v>1070</v>
      </c>
      <c r="D333" s="179">
        <v>2.6883302E7</v>
      </c>
      <c r="E333" s="179" t="s">
        <v>1219</v>
      </c>
      <c r="F333" s="181">
        <v>46211.0</v>
      </c>
      <c r="G333" s="183">
        <v>46211.0</v>
      </c>
    </row>
    <row r="334">
      <c r="A334" s="180" t="s">
        <v>1663</v>
      </c>
      <c r="B334" s="179">
        <v>333.0</v>
      </c>
      <c r="C334" s="179" t="s">
        <v>1070</v>
      </c>
      <c r="D334" s="179">
        <v>1.113309612E9</v>
      </c>
      <c r="E334" s="179" t="s">
        <v>1461</v>
      </c>
      <c r="F334" s="181">
        <v>46211.0</v>
      </c>
      <c r="G334" s="183">
        <v>46211.0</v>
      </c>
    </row>
    <row r="335">
      <c r="A335" s="180" t="s">
        <v>1665</v>
      </c>
      <c r="B335" s="179">
        <v>334.0</v>
      </c>
      <c r="C335" s="179" t="s">
        <v>172</v>
      </c>
      <c r="D335" s="179">
        <v>9.01664535E8</v>
      </c>
      <c r="E335" s="179"/>
      <c r="F335" s="181"/>
      <c r="G335" s="183"/>
    </row>
    <row r="336">
      <c r="A336" s="180" t="s">
        <v>1666</v>
      </c>
      <c r="B336" s="179">
        <v>335.0</v>
      </c>
      <c r="C336" s="179" t="s">
        <v>1070</v>
      </c>
      <c r="D336" s="179">
        <v>4.3096952E7</v>
      </c>
      <c r="E336" s="179" t="s">
        <v>1667</v>
      </c>
      <c r="F336" s="181">
        <v>46205.0</v>
      </c>
      <c r="G336" s="183">
        <v>46205.0</v>
      </c>
    </row>
    <row r="337">
      <c r="A337" s="180" t="s">
        <v>1668</v>
      </c>
      <c r="B337" s="179">
        <v>336.0</v>
      </c>
      <c r="C337" s="179" t="s">
        <v>1070</v>
      </c>
      <c r="D337" s="179">
        <v>1.0754301E7</v>
      </c>
      <c r="E337" s="181" t="s">
        <v>1168</v>
      </c>
      <c r="F337" s="181">
        <v>46209.0</v>
      </c>
      <c r="G337" s="183">
        <v>46209.0</v>
      </c>
    </row>
    <row r="338">
      <c r="A338" s="179" t="s">
        <v>1669</v>
      </c>
      <c r="B338" s="179">
        <v>337.0</v>
      </c>
      <c r="C338" s="179" t="s">
        <v>1070</v>
      </c>
      <c r="D338" s="179">
        <v>1.019044886E9</v>
      </c>
      <c r="E338" s="181" t="s">
        <v>1370</v>
      </c>
      <c r="F338" s="181">
        <v>46209.0</v>
      </c>
      <c r="G338" s="183">
        <v>46209.0</v>
      </c>
    </row>
    <row r="339">
      <c r="A339" s="179" t="s">
        <v>1672</v>
      </c>
      <c r="B339" s="179">
        <v>338.0</v>
      </c>
      <c r="C339" s="179" t="s">
        <v>1070</v>
      </c>
      <c r="D339" s="179">
        <v>1.03114175E9</v>
      </c>
      <c r="E339" s="181" t="s">
        <v>1168</v>
      </c>
      <c r="F339" s="181">
        <v>46206.0</v>
      </c>
      <c r="G339" s="183">
        <v>46206.0</v>
      </c>
    </row>
    <row r="340">
      <c r="A340" s="179" t="s">
        <v>1673</v>
      </c>
      <c r="B340" s="179">
        <v>339.0</v>
      </c>
      <c r="C340" s="179" t="s">
        <v>1070</v>
      </c>
      <c r="D340" s="179">
        <v>1.03114175E9</v>
      </c>
      <c r="E340" s="181" t="s">
        <v>1168</v>
      </c>
      <c r="F340" s="181">
        <v>46232.0</v>
      </c>
      <c r="G340" s="183">
        <v>46232.0</v>
      </c>
    </row>
    <row r="341">
      <c r="A341" s="179" t="s">
        <v>1674</v>
      </c>
      <c r="B341" s="179">
        <v>340.0</v>
      </c>
      <c r="C341" s="179" t="s">
        <v>1070</v>
      </c>
      <c r="D341" s="179">
        <v>1.005868648E9</v>
      </c>
      <c r="E341" s="179" t="s">
        <v>1219</v>
      </c>
      <c r="F341" s="181">
        <v>46212.0</v>
      </c>
      <c r="G341" s="183">
        <v>46212.0</v>
      </c>
    </row>
    <row r="342">
      <c r="A342" s="179" t="s">
        <v>1675</v>
      </c>
      <c r="B342" s="179">
        <v>341.0</v>
      </c>
      <c r="C342" s="179" t="s">
        <v>1070</v>
      </c>
      <c r="D342" s="179">
        <v>1.015409104E9</v>
      </c>
      <c r="E342" s="181" t="s">
        <v>1370</v>
      </c>
      <c r="F342" s="181">
        <v>46210.0</v>
      </c>
      <c r="G342" s="183">
        <v>46210.0</v>
      </c>
    </row>
    <row r="343">
      <c r="A343" s="179" t="s">
        <v>1678</v>
      </c>
      <c r="B343" s="179">
        <v>342.0</v>
      </c>
      <c r="C343" s="179" t="s">
        <v>1070</v>
      </c>
      <c r="D343" s="179">
        <v>7.9851204E7</v>
      </c>
      <c r="E343" s="181" t="s">
        <v>1504</v>
      </c>
      <c r="F343" s="181">
        <v>46209.0</v>
      </c>
      <c r="G343" s="183">
        <v>46209.0</v>
      </c>
    </row>
    <row r="344">
      <c r="A344" s="181" t="s">
        <v>1679</v>
      </c>
      <c r="B344" s="179">
        <v>343.0</v>
      </c>
      <c r="C344" s="179" t="s">
        <v>1070</v>
      </c>
      <c r="D344" s="179">
        <v>7.9265263E7</v>
      </c>
      <c r="E344" s="179"/>
      <c r="F344" s="181"/>
      <c r="G344" s="183"/>
    </row>
    <row r="345">
      <c r="A345" s="179" t="s">
        <v>1682</v>
      </c>
      <c r="B345" s="179">
        <v>344.0</v>
      </c>
      <c r="C345" s="179" t="s">
        <v>1070</v>
      </c>
      <c r="D345" s="179">
        <v>1.3498074E7</v>
      </c>
      <c r="E345" s="181" t="s">
        <v>1184</v>
      </c>
      <c r="F345" s="181">
        <v>46207.0</v>
      </c>
      <c r="G345" s="183">
        <v>46207.0</v>
      </c>
    </row>
    <row r="346">
      <c r="A346" s="179" t="s">
        <v>1683</v>
      </c>
      <c r="B346" s="179">
        <v>345.0</v>
      </c>
      <c r="C346" s="179" t="s">
        <v>1070</v>
      </c>
      <c r="D346" s="179">
        <v>1.3959724E7</v>
      </c>
      <c r="E346" s="181" t="s">
        <v>1184</v>
      </c>
      <c r="F346" s="181">
        <v>46210.0</v>
      </c>
      <c r="G346" s="183">
        <v>46210.0</v>
      </c>
    </row>
    <row r="347">
      <c r="A347" s="179" t="s">
        <v>1684</v>
      </c>
      <c r="B347" s="179">
        <v>346.0</v>
      </c>
      <c r="C347" s="179" t="s">
        <v>1070</v>
      </c>
      <c r="D347" s="179">
        <v>1.3959724E7</v>
      </c>
      <c r="E347" s="181" t="s">
        <v>1184</v>
      </c>
      <c r="F347" s="181">
        <v>46209.0</v>
      </c>
      <c r="G347" s="183">
        <v>46209.0</v>
      </c>
    </row>
    <row r="348">
      <c r="A348" s="179" t="s">
        <v>1685</v>
      </c>
      <c r="B348" s="179">
        <v>347.0</v>
      </c>
      <c r="C348" s="179" t="s">
        <v>1070</v>
      </c>
      <c r="D348" s="179">
        <v>1.9588872E7</v>
      </c>
      <c r="E348" s="179" t="s">
        <v>1639</v>
      </c>
      <c r="F348" s="181">
        <v>46207.0</v>
      </c>
      <c r="G348" s="183">
        <v>46207.0</v>
      </c>
    </row>
    <row r="349">
      <c r="A349" s="179" t="s">
        <v>1686</v>
      </c>
      <c r="B349" s="179">
        <v>348.0</v>
      </c>
      <c r="C349" s="179" t="s">
        <v>1070</v>
      </c>
      <c r="D349" s="179">
        <v>1.9588872E7</v>
      </c>
      <c r="E349" s="179" t="s">
        <v>1639</v>
      </c>
      <c r="F349" s="181">
        <v>46207.0</v>
      </c>
      <c r="G349" s="183">
        <v>46207.0</v>
      </c>
    </row>
    <row r="350">
      <c r="A350" s="179" t="s">
        <v>1687</v>
      </c>
      <c r="B350" s="179">
        <v>349.0</v>
      </c>
      <c r="C350" s="179" t="s">
        <v>1070</v>
      </c>
      <c r="D350" s="179">
        <v>1.9588872E7</v>
      </c>
      <c r="E350" s="179" t="s">
        <v>1639</v>
      </c>
      <c r="F350" s="181">
        <v>46207.0</v>
      </c>
      <c r="G350" s="183">
        <v>46207.0</v>
      </c>
    </row>
    <row r="351">
      <c r="A351" s="181" t="s">
        <v>1690</v>
      </c>
      <c r="B351" s="179">
        <v>350.0</v>
      </c>
      <c r="C351" s="179" t="s">
        <v>172</v>
      </c>
      <c r="D351" s="179">
        <v>9.01330175E8</v>
      </c>
      <c r="E351" s="179" t="s">
        <v>1259</v>
      </c>
      <c r="F351" s="181">
        <v>46207.0</v>
      </c>
      <c r="G351" s="183">
        <v>46207.0</v>
      </c>
    </row>
    <row r="352">
      <c r="A352" s="181" t="s">
        <v>1691</v>
      </c>
      <c r="B352" s="179">
        <v>351.0</v>
      </c>
      <c r="C352" s="179" t="s">
        <v>172</v>
      </c>
      <c r="D352" s="179">
        <v>9.01330175E8</v>
      </c>
      <c r="E352" s="179" t="s">
        <v>1259</v>
      </c>
      <c r="F352" s="181">
        <v>46207.0</v>
      </c>
      <c r="G352" s="183">
        <v>46207.0</v>
      </c>
    </row>
    <row r="353">
      <c r="A353" s="181" t="s">
        <v>1692</v>
      </c>
      <c r="B353" s="179">
        <v>352.0</v>
      </c>
      <c r="C353" s="179" t="s">
        <v>172</v>
      </c>
      <c r="D353" s="179">
        <v>9.01330175E8</v>
      </c>
      <c r="E353" s="179" t="s">
        <v>1259</v>
      </c>
      <c r="F353" s="181">
        <v>46207.0</v>
      </c>
      <c r="G353" s="183">
        <v>46207.0</v>
      </c>
    </row>
    <row r="354">
      <c r="A354" s="179" t="s">
        <v>1693</v>
      </c>
      <c r="B354" s="179">
        <v>353.0</v>
      </c>
      <c r="C354" s="179" t="s">
        <v>1070</v>
      </c>
      <c r="D354" s="179">
        <v>4.207838E7</v>
      </c>
      <c r="E354" s="179" t="s">
        <v>1401</v>
      </c>
      <c r="F354" s="181">
        <v>46220.0</v>
      </c>
      <c r="G354" s="183">
        <v>46220.0</v>
      </c>
    </row>
    <row r="355">
      <c r="A355" s="180" t="s">
        <v>1695</v>
      </c>
      <c r="B355" s="179">
        <v>354.0</v>
      </c>
      <c r="C355" s="179" t="s">
        <v>1070</v>
      </c>
      <c r="D355" s="179">
        <v>1.061624556E9</v>
      </c>
      <c r="E355" s="179" t="s">
        <v>1401</v>
      </c>
      <c r="F355" s="181">
        <v>46225.0</v>
      </c>
      <c r="G355" s="183">
        <v>46225.0</v>
      </c>
    </row>
    <row r="356">
      <c r="A356" s="181" t="s">
        <v>1697</v>
      </c>
      <c r="B356" s="179">
        <v>355.0</v>
      </c>
      <c r="C356" s="179" t="s">
        <v>1070</v>
      </c>
      <c r="D356" s="179">
        <v>4.3970391E7</v>
      </c>
      <c r="E356" s="179" t="s">
        <v>1234</v>
      </c>
      <c r="F356" s="181">
        <v>46220.0</v>
      </c>
      <c r="G356" s="183">
        <v>46220.0</v>
      </c>
    </row>
    <row r="357">
      <c r="A357" s="181" t="s">
        <v>1698</v>
      </c>
      <c r="B357" s="179">
        <v>356.0</v>
      </c>
      <c r="C357" s="179" t="s">
        <v>172</v>
      </c>
      <c r="D357" s="179">
        <v>9.01904466E8</v>
      </c>
      <c r="E357" s="179" t="s">
        <v>1234</v>
      </c>
      <c r="F357" s="181">
        <v>46220.0</v>
      </c>
      <c r="G357" s="183">
        <v>46220.0</v>
      </c>
    </row>
    <row r="358">
      <c r="A358" s="181" t="s">
        <v>1699</v>
      </c>
      <c r="B358" s="179">
        <v>357.0</v>
      </c>
      <c r="C358" s="179" t="s">
        <v>172</v>
      </c>
      <c r="D358" s="179">
        <v>9.01904466E8</v>
      </c>
      <c r="E358" s="179" t="s">
        <v>1234</v>
      </c>
      <c r="F358" s="181">
        <v>46217.0</v>
      </c>
      <c r="G358" s="183">
        <v>46217.0</v>
      </c>
    </row>
    <row r="359">
      <c r="A359" s="181" t="s">
        <v>1700</v>
      </c>
      <c r="B359" s="179">
        <v>358.0</v>
      </c>
      <c r="C359" s="179" t="s">
        <v>172</v>
      </c>
      <c r="D359" s="179">
        <v>9.01904466E8</v>
      </c>
      <c r="E359" s="179" t="s">
        <v>1234</v>
      </c>
      <c r="F359" s="181">
        <v>46230.0</v>
      </c>
      <c r="G359" s="183">
        <v>46230.0</v>
      </c>
    </row>
    <row r="360">
      <c r="A360" s="181" t="s">
        <v>1703</v>
      </c>
      <c r="B360" s="179">
        <v>359.0</v>
      </c>
      <c r="C360" s="179" t="s">
        <v>1070</v>
      </c>
      <c r="D360" s="179">
        <v>2.9401734E7</v>
      </c>
      <c r="E360" s="179" t="s">
        <v>1704</v>
      </c>
      <c r="F360" s="181"/>
      <c r="G360" s="183"/>
    </row>
    <row r="361">
      <c r="A361" s="181" t="s">
        <v>1705</v>
      </c>
      <c r="B361" s="179">
        <v>360.0</v>
      </c>
      <c r="C361" s="179" t="s">
        <v>172</v>
      </c>
      <c r="D361" s="179">
        <v>9.01840166E8</v>
      </c>
      <c r="E361" s="179"/>
      <c r="F361" s="181"/>
      <c r="G361" s="183"/>
    </row>
    <row r="362">
      <c r="A362" s="181" t="s">
        <v>1706</v>
      </c>
      <c r="B362" s="179">
        <v>361.0</v>
      </c>
      <c r="C362" s="179" t="s">
        <v>172</v>
      </c>
      <c r="D362" s="179">
        <v>9.01931236E8</v>
      </c>
      <c r="E362" s="179" t="s">
        <v>1401</v>
      </c>
      <c r="F362" s="181">
        <v>46222.0</v>
      </c>
      <c r="G362" s="183">
        <v>46222.0</v>
      </c>
    </row>
    <row r="363">
      <c r="A363" s="181" t="s">
        <v>1707</v>
      </c>
      <c r="B363" s="179">
        <v>362.0</v>
      </c>
      <c r="C363" s="179" t="s">
        <v>1070</v>
      </c>
      <c r="D363" s="179">
        <v>2.4037994E7</v>
      </c>
      <c r="E363" s="179" t="s">
        <v>1168</v>
      </c>
      <c r="F363" s="181">
        <v>46217.0</v>
      </c>
      <c r="G363" s="183">
        <v>46217.0</v>
      </c>
    </row>
    <row r="364">
      <c r="A364" s="181" t="s">
        <v>1708</v>
      </c>
      <c r="B364" s="179">
        <v>363.0</v>
      </c>
      <c r="C364" s="179" t="s">
        <v>1070</v>
      </c>
      <c r="D364" s="179">
        <v>2.4037994E7</v>
      </c>
      <c r="E364" s="179" t="s">
        <v>1168</v>
      </c>
      <c r="F364" s="181">
        <v>46217.0</v>
      </c>
      <c r="G364" s="183">
        <v>46217.0</v>
      </c>
    </row>
    <row r="365">
      <c r="A365" s="181" t="s">
        <v>1710</v>
      </c>
      <c r="B365" s="179">
        <v>364.0</v>
      </c>
      <c r="C365" s="179" t="s">
        <v>1070</v>
      </c>
      <c r="D365" s="179">
        <v>2.4037994E7</v>
      </c>
      <c r="E365" s="179" t="s">
        <v>1168</v>
      </c>
      <c r="F365" s="181">
        <v>46217.0</v>
      </c>
      <c r="G365" s="183">
        <v>46217.0</v>
      </c>
    </row>
    <row r="366">
      <c r="A366" s="181" t="s">
        <v>1713</v>
      </c>
      <c r="B366" s="179">
        <v>365.0</v>
      </c>
      <c r="C366" s="179" t="s">
        <v>1070</v>
      </c>
      <c r="D366" s="179">
        <v>9.1017844E7</v>
      </c>
      <c r="E366" s="179" t="s">
        <v>1259</v>
      </c>
      <c r="F366" s="181">
        <v>46218.0</v>
      </c>
      <c r="G366" s="183">
        <v>46218.0</v>
      </c>
    </row>
    <row r="367">
      <c r="A367" s="181" t="s">
        <v>1714</v>
      </c>
      <c r="B367" s="179">
        <v>366.0</v>
      </c>
      <c r="C367" s="179" t="s">
        <v>1070</v>
      </c>
      <c r="D367" s="179">
        <v>9.1017844E7</v>
      </c>
      <c r="E367" s="179" t="s">
        <v>1259</v>
      </c>
      <c r="F367" s="181">
        <v>46218.0</v>
      </c>
      <c r="G367" s="183">
        <v>46218.0</v>
      </c>
    </row>
    <row r="368">
      <c r="A368" s="181" t="s">
        <v>1715</v>
      </c>
      <c r="B368" s="179">
        <v>367.0</v>
      </c>
      <c r="C368" s="179" t="s">
        <v>1070</v>
      </c>
      <c r="D368" s="179">
        <v>9.1017844E7</v>
      </c>
      <c r="E368" s="179" t="s">
        <v>1259</v>
      </c>
      <c r="F368" s="181">
        <v>46218.0</v>
      </c>
      <c r="G368" s="183">
        <v>46218.0</v>
      </c>
    </row>
    <row r="369">
      <c r="A369" s="181" t="s">
        <v>1716</v>
      </c>
      <c r="B369" s="179">
        <v>368.0</v>
      </c>
      <c r="C369" s="179" t="s">
        <v>1070</v>
      </c>
      <c r="D369" s="179">
        <v>9.1017844E7</v>
      </c>
      <c r="E369" s="179" t="s">
        <v>1259</v>
      </c>
      <c r="F369" s="181">
        <v>46218.0</v>
      </c>
      <c r="G369" s="183">
        <v>46218.0</v>
      </c>
    </row>
    <row r="370">
      <c r="A370" s="181" t="s">
        <v>1718</v>
      </c>
      <c r="B370" s="179">
        <v>369.0</v>
      </c>
      <c r="C370" s="179" t="s">
        <v>1070</v>
      </c>
      <c r="D370" s="179">
        <v>1.023951394E9</v>
      </c>
      <c r="E370" s="179" t="s">
        <v>1045</v>
      </c>
      <c r="F370" s="181">
        <v>46219.0</v>
      </c>
      <c r="G370" s="183">
        <v>46219.0</v>
      </c>
    </row>
    <row r="371">
      <c r="A371" s="181" t="s">
        <v>1720</v>
      </c>
      <c r="B371" s="179">
        <v>370.0</v>
      </c>
      <c r="C371" s="179" t="s">
        <v>1070</v>
      </c>
      <c r="D371" s="179">
        <v>5.2251533E7</v>
      </c>
      <c r="E371" s="179" t="s">
        <v>1045</v>
      </c>
      <c r="F371" s="181">
        <v>46219.0</v>
      </c>
      <c r="G371" s="183">
        <v>46219.0</v>
      </c>
    </row>
    <row r="372">
      <c r="A372" s="181" t="s">
        <v>1721</v>
      </c>
      <c r="B372" s="179">
        <v>371.0</v>
      </c>
      <c r="C372" s="179" t="s">
        <v>1070</v>
      </c>
      <c r="D372" s="179">
        <v>7.9707399E7</v>
      </c>
      <c r="E372" s="179" t="s">
        <v>1045</v>
      </c>
      <c r="F372" s="181">
        <v>46219.0</v>
      </c>
      <c r="G372" s="183">
        <v>46219.0</v>
      </c>
    </row>
    <row r="373">
      <c r="A373" s="181" t="s">
        <v>1722</v>
      </c>
      <c r="B373" s="179">
        <v>372.0</v>
      </c>
      <c r="C373" s="179" t="s">
        <v>1070</v>
      </c>
      <c r="D373" s="179">
        <v>8.757319E7</v>
      </c>
      <c r="E373" s="180" t="s">
        <v>1045</v>
      </c>
      <c r="F373" s="181">
        <v>46233.0</v>
      </c>
      <c r="G373" s="183">
        <v>46233.0</v>
      </c>
    </row>
    <row r="374">
      <c r="A374" s="181" t="s">
        <v>1723</v>
      </c>
      <c r="B374" s="179">
        <v>373.0</v>
      </c>
      <c r="C374" s="179" t="s">
        <v>1070</v>
      </c>
      <c r="D374" s="179">
        <v>1.012327529E9</v>
      </c>
      <c r="E374" s="179"/>
      <c r="F374" s="181"/>
      <c r="G374" s="183"/>
    </row>
    <row r="375">
      <c r="A375" s="181" t="s">
        <v>1726</v>
      </c>
      <c r="B375" s="179">
        <v>374.0</v>
      </c>
      <c r="C375" s="179" t="s">
        <v>172</v>
      </c>
      <c r="D375" s="179">
        <v>9.01063657E8</v>
      </c>
      <c r="E375" s="179"/>
      <c r="F375" s="181"/>
      <c r="G375" s="183"/>
    </row>
    <row r="376">
      <c r="A376" s="181" t="s">
        <v>1727</v>
      </c>
      <c r="B376" s="179">
        <v>375.0</v>
      </c>
      <c r="C376" s="179" t="s">
        <v>1070</v>
      </c>
      <c r="D376" s="179">
        <v>2.4527518E7</v>
      </c>
      <c r="E376" s="179" t="s">
        <v>1335</v>
      </c>
      <c r="F376" s="181">
        <v>46224.0</v>
      </c>
      <c r="G376" s="183">
        <v>46224.0</v>
      </c>
    </row>
    <row r="377">
      <c r="A377" s="181" t="s">
        <v>1728</v>
      </c>
      <c r="B377" s="179">
        <v>376.0</v>
      </c>
      <c r="C377" s="179" t="s">
        <v>1070</v>
      </c>
      <c r="D377" s="179">
        <v>8.0006528E7</v>
      </c>
      <c r="E377" s="180" t="s">
        <v>1168</v>
      </c>
      <c r="F377" s="181">
        <v>46218.0</v>
      </c>
      <c r="G377" s="183">
        <v>46218.0</v>
      </c>
    </row>
    <row r="378">
      <c r="A378" s="181" t="s">
        <v>1729</v>
      </c>
      <c r="B378" s="179">
        <v>377.0</v>
      </c>
      <c r="C378" s="179" t="s">
        <v>1070</v>
      </c>
      <c r="D378" s="179">
        <v>1.001273452E9</v>
      </c>
      <c r="E378" s="180" t="s">
        <v>1168</v>
      </c>
      <c r="F378" s="181">
        <v>46218.0</v>
      </c>
      <c r="G378" s="183">
        <v>46218.0</v>
      </c>
    </row>
    <row r="379">
      <c r="A379" s="181" t="s">
        <v>1732</v>
      </c>
      <c r="B379" s="179">
        <v>378.0</v>
      </c>
      <c r="C379" s="179" t="s">
        <v>1070</v>
      </c>
      <c r="D379" s="179">
        <v>1.124191476E9</v>
      </c>
      <c r="E379" s="179" t="s">
        <v>1370</v>
      </c>
      <c r="F379" s="181">
        <v>46232.0</v>
      </c>
      <c r="G379" s="183">
        <v>46232.0</v>
      </c>
    </row>
    <row r="380">
      <c r="A380" s="181" t="s">
        <v>1733</v>
      </c>
      <c r="B380" s="179">
        <v>379.0</v>
      </c>
      <c r="C380" s="179" t="s">
        <v>1070</v>
      </c>
      <c r="D380" s="179">
        <v>1.020823051E9</v>
      </c>
      <c r="E380" s="179"/>
      <c r="F380" s="181"/>
      <c r="G380" s="183"/>
    </row>
    <row r="381">
      <c r="A381" s="181" t="s">
        <v>1734</v>
      </c>
      <c r="B381" s="179">
        <v>380.0</v>
      </c>
      <c r="C381" s="179" t="s">
        <v>1070</v>
      </c>
      <c r="D381" s="179">
        <v>1.005752881E9</v>
      </c>
      <c r="E381" s="179" t="s">
        <v>1461</v>
      </c>
      <c r="F381" s="181">
        <v>46232.0</v>
      </c>
      <c r="G381" s="183">
        <v>46232.0</v>
      </c>
    </row>
    <row r="382">
      <c r="A382" s="181" t="s">
        <v>1737</v>
      </c>
      <c r="B382" s="179">
        <v>381.0</v>
      </c>
      <c r="C382" s="179" t="s">
        <v>1070</v>
      </c>
      <c r="D382" s="179">
        <v>1.932386E7</v>
      </c>
      <c r="E382" s="180" t="s">
        <v>1215</v>
      </c>
      <c r="F382" s="181">
        <v>46220.0</v>
      </c>
      <c r="G382" s="183">
        <v>46220.0</v>
      </c>
    </row>
    <row r="383">
      <c r="A383" s="181" t="s">
        <v>1738</v>
      </c>
      <c r="B383" s="179">
        <v>382.0</v>
      </c>
      <c r="C383" s="179" t="s">
        <v>1070</v>
      </c>
      <c r="D383" s="179">
        <v>4.1743857E7</v>
      </c>
      <c r="E383" s="180" t="s">
        <v>1215</v>
      </c>
      <c r="F383" s="181">
        <v>46220.0</v>
      </c>
      <c r="G383" s="183">
        <v>46220.0</v>
      </c>
    </row>
    <row r="384">
      <c r="A384" s="181" t="s">
        <v>1740</v>
      </c>
      <c r="B384" s="179">
        <v>383.0</v>
      </c>
      <c r="C384" s="179" t="s">
        <v>1070</v>
      </c>
      <c r="D384" s="179">
        <v>3.8878018E7</v>
      </c>
      <c r="E384" s="181"/>
      <c r="F384" s="181"/>
      <c r="G384" s="183"/>
    </row>
    <row r="385">
      <c r="A385" s="181" t="s">
        <v>1743</v>
      </c>
      <c r="B385" s="179">
        <v>384.0</v>
      </c>
      <c r="C385" s="179" t="s">
        <v>1070</v>
      </c>
      <c r="D385" s="179">
        <v>3.8878018E7</v>
      </c>
      <c r="E385" s="181" t="s">
        <v>1553</v>
      </c>
      <c r="F385" s="181">
        <v>46232.0</v>
      </c>
      <c r="G385" s="183">
        <v>46232.0</v>
      </c>
    </row>
    <row r="386">
      <c r="A386" s="181" t="s">
        <v>1744</v>
      </c>
      <c r="B386" s="179">
        <v>385.0</v>
      </c>
      <c r="C386" s="179" t="s">
        <v>1070</v>
      </c>
      <c r="D386" s="179">
        <v>4.0042859E7</v>
      </c>
      <c r="E386" s="180" t="s">
        <v>1045</v>
      </c>
      <c r="F386" s="181">
        <v>46226.0</v>
      </c>
      <c r="G386" s="183">
        <v>46226.0</v>
      </c>
    </row>
    <row r="387">
      <c r="A387" s="181" t="s">
        <v>1745</v>
      </c>
      <c r="B387" s="179">
        <v>386.0</v>
      </c>
      <c r="C387" s="179" t="s">
        <v>172</v>
      </c>
      <c r="D387" s="179">
        <v>9.01352346E8</v>
      </c>
      <c r="E387" s="181" t="s">
        <v>1219</v>
      </c>
      <c r="F387" s="181">
        <v>46224.0</v>
      </c>
      <c r="G387" s="183">
        <v>46224.0</v>
      </c>
    </row>
    <row r="388">
      <c r="A388" s="181" t="s">
        <v>1746</v>
      </c>
      <c r="B388" s="179">
        <v>387.0</v>
      </c>
      <c r="C388" s="179" t="s">
        <v>172</v>
      </c>
      <c r="D388" s="179">
        <v>9.01352346E8</v>
      </c>
      <c r="E388" s="181" t="s">
        <v>1219</v>
      </c>
      <c r="F388" s="181">
        <v>46220.0</v>
      </c>
      <c r="G388" s="183">
        <v>46220.0</v>
      </c>
    </row>
    <row r="389">
      <c r="A389" s="181" t="s">
        <v>1748</v>
      </c>
      <c r="B389" s="179">
        <v>388.0</v>
      </c>
      <c r="C389" s="179" t="s">
        <v>1070</v>
      </c>
      <c r="D389" s="179">
        <v>3.199796E7</v>
      </c>
      <c r="E389" s="180" t="s">
        <v>1168</v>
      </c>
      <c r="F389" s="181">
        <v>46233.0</v>
      </c>
      <c r="G389" s="183">
        <v>46233.0</v>
      </c>
    </row>
    <row r="390">
      <c r="A390" s="179" t="s">
        <v>1750</v>
      </c>
      <c r="B390" s="179">
        <v>389.0</v>
      </c>
      <c r="C390" s="179" t="s">
        <v>172</v>
      </c>
      <c r="D390" s="179">
        <v>9.02046162E8</v>
      </c>
      <c r="E390" s="180" t="s">
        <v>1168</v>
      </c>
      <c r="F390" s="181">
        <v>46224.0</v>
      </c>
      <c r="G390" s="183">
        <v>46224.0</v>
      </c>
    </row>
    <row r="391">
      <c r="A391" s="181" t="s">
        <v>1751</v>
      </c>
      <c r="B391" s="179">
        <v>390.0</v>
      </c>
      <c r="C391" s="179" t="s">
        <v>172</v>
      </c>
      <c r="D391" s="179">
        <v>9.02046162E8</v>
      </c>
      <c r="E391" s="180" t="s">
        <v>1168</v>
      </c>
      <c r="F391" s="181">
        <v>46224.0</v>
      </c>
      <c r="G391" s="183">
        <v>46224.0</v>
      </c>
    </row>
    <row r="392">
      <c r="A392" s="181" t="s">
        <v>1752</v>
      </c>
      <c r="B392" s="179">
        <v>391.0</v>
      </c>
      <c r="C392" s="179" t="s">
        <v>1070</v>
      </c>
      <c r="D392" s="179">
        <v>4.207838E7</v>
      </c>
      <c r="E392" s="179" t="s">
        <v>1401</v>
      </c>
      <c r="F392" s="181">
        <v>46224.0</v>
      </c>
      <c r="G392" s="183">
        <v>46224.0</v>
      </c>
    </row>
    <row r="393">
      <c r="A393" s="181" t="s">
        <v>1753</v>
      </c>
      <c r="B393" s="179">
        <v>392.0</v>
      </c>
      <c r="C393" s="179" t="s">
        <v>172</v>
      </c>
      <c r="D393" s="179">
        <v>9.00982511E8</v>
      </c>
      <c r="E393" s="179" t="s">
        <v>1401</v>
      </c>
      <c r="F393" s="181">
        <v>46221.0</v>
      </c>
      <c r="G393" s="183">
        <v>46221.0</v>
      </c>
    </row>
    <row r="394">
      <c r="A394" s="181" t="s">
        <v>1756</v>
      </c>
      <c r="B394" s="179">
        <v>393.0</v>
      </c>
      <c r="C394" s="179" t="s">
        <v>1070</v>
      </c>
      <c r="D394" s="179">
        <v>1.193031954E9</v>
      </c>
      <c r="E394" s="180" t="s">
        <v>241</v>
      </c>
      <c r="F394" s="181">
        <v>46225.0</v>
      </c>
      <c r="G394" s="183">
        <v>46225.0</v>
      </c>
    </row>
    <row r="395">
      <c r="A395" s="181" t="s">
        <v>1757</v>
      </c>
      <c r="B395" s="179">
        <v>394.0</v>
      </c>
      <c r="C395" s="179" t="s">
        <v>1070</v>
      </c>
      <c r="D395" s="179">
        <v>1.022327368E9</v>
      </c>
      <c r="E395" s="181"/>
      <c r="F395" s="181"/>
      <c r="G395" s="183"/>
    </row>
    <row r="396">
      <c r="A396" s="181" t="s">
        <v>1758</v>
      </c>
      <c r="B396" s="179">
        <v>395.0</v>
      </c>
      <c r="C396" s="179" t="s">
        <v>172</v>
      </c>
      <c r="D396" s="179">
        <v>9.01267339E8</v>
      </c>
      <c r="E396" s="181"/>
      <c r="F396" s="181"/>
      <c r="G396" s="183"/>
    </row>
    <row r="397">
      <c r="A397" s="181" t="s">
        <v>1759</v>
      </c>
      <c r="B397" s="179">
        <v>396.0</v>
      </c>
      <c r="C397" s="179" t="s">
        <v>172</v>
      </c>
      <c r="D397" s="179">
        <v>9.01798952E8</v>
      </c>
      <c r="E397" s="181" t="s">
        <v>1168</v>
      </c>
      <c r="F397" s="181">
        <v>46233.0</v>
      </c>
      <c r="G397" s="183">
        <v>46233.0</v>
      </c>
    </row>
    <row r="398">
      <c r="A398" s="181" t="s">
        <v>1761</v>
      </c>
      <c r="B398" s="179">
        <v>397.0</v>
      </c>
      <c r="C398" s="179" t="s">
        <v>172</v>
      </c>
      <c r="D398" s="179">
        <v>9.01798952E8</v>
      </c>
      <c r="E398" s="181" t="s">
        <v>1168</v>
      </c>
      <c r="F398" s="181">
        <v>46233.0</v>
      </c>
      <c r="G398" s="183">
        <v>46233.0</v>
      </c>
    </row>
    <row r="399">
      <c r="A399" s="181" t="s">
        <v>1763</v>
      </c>
      <c r="B399" s="179">
        <v>398.0</v>
      </c>
      <c r="C399" s="179" t="s">
        <v>1070</v>
      </c>
      <c r="D399" s="179">
        <v>1.9210132E7</v>
      </c>
      <c r="E399" s="181"/>
      <c r="F399" s="181"/>
      <c r="G399" s="183"/>
    </row>
    <row r="400">
      <c r="A400" s="181" t="s">
        <v>1764</v>
      </c>
      <c r="B400" s="179">
        <v>399.0</v>
      </c>
      <c r="C400" s="179" t="s">
        <v>1070</v>
      </c>
      <c r="D400" s="179">
        <v>7.4242052E7</v>
      </c>
      <c r="E400" s="181" t="s">
        <v>1168</v>
      </c>
      <c r="F400" s="181">
        <v>46233.0</v>
      </c>
      <c r="G400" s="183">
        <v>46233.0</v>
      </c>
    </row>
    <row r="401">
      <c r="A401" s="181" t="s">
        <v>1765</v>
      </c>
      <c r="B401" s="179">
        <v>400.0</v>
      </c>
      <c r="C401" s="179" t="s">
        <v>1070</v>
      </c>
      <c r="D401" s="179">
        <v>3.9655799E7</v>
      </c>
      <c r="E401" s="181" t="s">
        <v>1168</v>
      </c>
      <c r="F401" s="181">
        <v>46233.0</v>
      </c>
      <c r="G401" s="183">
        <v>46233.0</v>
      </c>
    </row>
    <row r="402">
      <c r="A402" s="181" t="s">
        <v>1768</v>
      </c>
      <c r="B402" s="179">
        <v>401.0</v>
      </c>
      <c r="C402" s="179" t="s">
        <v>1070</v>
      </c>
      <c r="D402" s="179">
        <v>7.9497311E7</v>
      </c>
      <c r="E402" s="181" t="s">
        <v>1168</v>
      </c>
      <c r="F402" s="181">
        <v>46233.0</v>
      </c>
      <c r="G402" s="183">
        <v>46233.0</v>
      </c>
    </row>
    <row r="403">
      <c r="A403" s="181" t="s">
        <v>1769</v>
      </c>
      <c r="B403" s="179">
        <v>402.0</v>
      </c>
      <c r="C403" s="179" t="s">
        <v>1070</v>
      </c>
      <c r="D403" s="179">
        <v>1.03379296E9</v>
      </c>
      <c r="E403" s="181" t="s">
        <v>1168</v>
      </c>
      <c r="F403" s="181">
        <v>46233.0</v>
      </c>
      <c r="G403" s="183">
        <v>46233.0</v>
      </c>
    </row>
    <row r="404">
      <c r="A404" s="181" t="s">
        <v>1770</v>
      </c>
      <c r="B404" s="179">
        <v>403.0</v>
      </c>
      <c r="C404" s="179" t="s">
        <v>1070</v>
      </c>
      <c r="D404" s="179">
        <v>5.1997445E7</v>
      </c>
      <c r="E404" s="181"/>
      <c r="F404" s="181"/>
      <c r="G404" s="183"/>
    </row>
    <row r="405">
      <c r="A405" s="181" t="s">
        <v>1772</v>
      </c>
      <c r="B405" s="179">
        <v>404.0</v>
      </c>
      <c r="C405" s="179" t="s">
        <v>1070</v>
      </c>
      <c r="D405" s="179">
        <v>1.018425999E9</v>
      </c>
      <c r="E405" s="181"/>
      <c r="F405" s="181"/>
      <c r="G405" s="183"/>
    </row>
    <row r="406">
      <c r="A406" s="181" t="s">
        <v>1773</v>
      </c>
      <c r="B406" s="179">
        <v>405.0</v>
      </c>
      <c r="C406" s="179" t="s">
        <v>1070</v>
      </c>
      <c r="D406" s="179">
        <v>7.9394902E7</v>
      </c>
      <c r="E406" s="181"/>
      <c r="F406" s="181"/>
      <c r="G406" s="183"/>
    </row>
    <row r="407">
      <c r="A407" s="181" t="s">
        <v>1774</v>
      </c>
      <c r="B407" s="179">
        <v>406.0</v>
      </c>
      <c r="C407" s="179" t="s">
        <v>172</v>
      </c>
      <c r="D407" s="179">
        <v>9.01537345E8</v>
      </c>
      <c r="E407" s="181"/>
      <c r="F407" s="181"/>
      <c r="G407" s="183"/>
    </row>
    <row r="408">
      <c r="A408" s="181" t="s">
        <v>1775</v>
      </c>
      <c r="B408" s="179">
        <v>407.0</v>
      </c>
      <c r="C408" s="179" t="s">
        <v>172</v>
      </c>
      <c r="D408" s="179">
        <v>9.01537345E8</v>
      </c>
      <c r="E408" s="181"/>
      <c r="F408" s="181"/>
      <c r="G408" s="183"/>
    </row>
    <row r="409">
      <c r="A409" s="181" t="s">
        <v>1777</v>
      </c>
      <c r="B409" s="179">
        <v>408.0</v>
      </c>
      <c r="C409" s="179" t="s">
        <v>172</v>
      </c>
      <c r="D409" s="179">
        <v>9.01537345E8</v>
      </c>
      <c r="E409" s="181"/>
      <c r="F409" s="181"/>
      <c r="G409" s="183"/>
    </row>
    <row r="410">
      <c r="A410" s="181" t="s">
        <v>1779</v>
      </c>
      <c r="B410" s="179">
        <v>410.0</v>
      </c>
      <c r="C410" s="179" t="s">
        <v>1070</v>
      </c>
      <c r="D410" s="179">
        <v>3.9621405E7</v>
      </c>
      <c r="E410" s="181" t="s">
        <v>1370</v>
      </c>
      <c r="F410" s="181">
        <v>46233.0</v>
      </c>
      <c r="G410" s="183">
        <v>46233.0</v>
      </c>
    </row>
    <row r="411">
      <c r="A411" s="181" t="s">
        <v>1780</v>
      </c>
      <c r="B411" s="179">
        <v>409.0</v>
      </c>
      <c r="C411" s="179" t="s">
        <v>172</v>
      </c>
      <c r="D411" s="179">
        <v>9.02023727E8</v>
      </c>
      <c r="E411" s="181"/>
      <c r="F411" s="181"/>
      <c r="G411" s="183"/>
    </row>
    <row r="412">
      <c r="A412" s="181" t="s">
        <v>1781</v>
      </c>
      <c r="B412" s="179">
        <v>411.0</v>
      </c>
      <c r="C412" s="179" t="s">
        <v>172</v>
      </c>
      <c r="D412" s="179">
        <v>9.01777928E8</v>
      </c>
      <c r="E412" s="181"/>
      <c r="F412" s="181"/>
      <c r="G412" s="183"/>
    </row>
    <row r="413">
      <c r="A413" s="181" t="s">
        <v>1783</v>
      </c>
      <c r="B413" s="179">
        <v>412.0</v>
      </c>
      <c r="C413" s="179" t="s">
        <v>172</v>
      </c>
      <c r="D413" s="179">
        <v>9.01939374E8</v>
      </c>
      <c r="E413" s="181"/>
      <c r="F413" s="181"/>
      <c r="G413" s="183"/>
    </row>
    <row r="414">
      <c r="A414" s="180" t="s">
        <v>1784</v>
      </c>
      <c r="B414" s="179">
        <v>413.0</v>
      </c>
      <c r="C414" s="179" t="s">
        <v>1070</v>
      </c>
      <c r="D414" s="179">
        <v>4123375.0</v>
      </c>
      <c r="E414" s="181"/>
      <c r="F414" s="181"/>
      <c r="G414" s="180"/>
    </row>
    <row r="415">
      <c r="A415" s="180" t="s">
        <v>1785</v>
      </c>
      <c r="B415" s="179">
        <v>414.0</v>
      </c>
      <c r="C415" s="179" t="s">
        <v>1070</v>
      </c>
      <c r="D415" s="179">
        <v>8.0158229E7</v>
      </c>
      <c r="E415" s="181"/>
      <c r="F415" s="181"/>
      <c r="G415" s="180"/>
    </row>
    <row r="416">
      <c r="A416" s="180" t="s">
        <v>1786</v>
      </c>
      <c r="B416" s="179">
        <v>415.0</v>
      </c>
      <c r="C416" s="179" t="s">
        <v>172</v>
      </c>
      <c r="D416" s="179">
        <v>9.00029065E8</v>
      </c>
      <c r="E416" s="181"/>
      <c r="F416" s="181"/>
      <c r="G416" s="180"/>
    </row>
    <row r="417">
      <c r="A417" s="180" t="s">
        <v>1790</v>
      </c>
      <c r="B417" s="179">
        <v>416.0</v>
      </c>
      <c r="C417" s="179" t="s">
        <v>172</v>
      </c>
      <c r="D417" s="179">
        <v>9.00029065E8</v>
      </c>
      <c r="E417" s="181"/>
      <c r="F417" s="181"/>
      <c r="G417" s="180"/>
    </row>
    <row r="418">
      <c r="A418" s="180" t="s">
        <v>1791</v>
      </c>
      <c r="B418" s="179">
        <v>417.0</v>
      </c>
      <c r="C418" s="179" t="s">
        <v>1070</v>
      </c>
      <c r="D418" s="179">
        <v>1.032392139E9</v>
      </c>
      <c r="E418" s="181"/>
      <c r="F418" s="181"/>
      <c r="G418" s="180"/>
    </row>
    <row r="419">
      <c r="A419" s="180" t="s">
        <v>1792</v>
      </c>
      <c r="B419" s="179">
        <v>418.0</v>
      </c>
      <c r="C419" s="179" t="s">
        <v>1070</v>
      </c>
      <c r="D419" s="179">
        <v>1.032392139E9</v>
      </c>
      <c r="E419" s="181"/>
      <c r="F419" s="181"/>
      <c r="G419" s="180"/>
    </row>
    <row r="420">
      <c r="A420" s="180" t="s">
        <v>1793</v>
      </c>
      <c r="B420" s="179">
        <v>419.0</v>
      </c>
      <c r="C420" s="179" t="s">
        <v>1070</v>
      </c>
      <c r="D420" s="179">
        <v>1.032392139E9</v>
      </c>
      <c r="E420" s="181"/>
      <c r="F420" s="181"/>
      <c r="G420" s="180"/>
    </row>
    <row r="421">
      <c r="A421" s="180" t="s">
        <v>1794</v>
      </c>
      <c r="B421" s="179">
        <v>420.0</v>
      </c>
      <c r="C421" s="179" t="s">
        <v>1070</v>
      </c>
      <c r="D421" s="179">
        <v>9.439624E7</v>
      </c>
      <c r="E421" s="181"/>
      <c r="F421" s="181"/>
      <c r="G421" s="180"/>
    </row>
    <row r="422">
      <c r="A422" s="180" t="s">
        <v>1795</v>
      </c>
      <c r="B422" s="179">
        <v>421.0</v>
      </c>
      <c r="C422" s="179" t="s">
        <v>1070</v>
      </c>
      <c r="D422" s="179">
        <v>6.5732324E7</v>
      </c>
      <c r="E422" s="181"/>
      <c r="F422" s="181"/>
      <c r="G422" s="180"/>
    </row>
    <row r="423">
      <c r="A423" s="180" t="s">
        <v>1797</v>
      </c>
      <c r="B423" s="179">
        <v>422.0</v>
      </c>
      <c r="C423" s="179" t="s">
        <v>1070</v>
      </c>
      <c r="D423" s="179">
        <v>3.2776053E7</v>
      </c>
      <c r="E423" s="181"/>
      <c r="F423" s="181"/>
      <c r="G423" s="180"/>
    </row>
  </sheetData>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5"/>
  </cols>
  <sheetData>
    <row r="9">
      <c r="C9" s="14" t="s">
        <v>7</v>
      </c>
      <c r="D9" s="14" t="s">
        <v>1816</v>
      </c>
    </row>
    <row r="10">
      <c r="C10" s="14" t="s">
        <v>1817</v>
      </c>
      <c r="D10" s="53" t="s">
        <v>1354</v>
      </c>
    </row>
    <row r="11">
      <c r="C11" s="14" t="s">
        <v>1817</v>
      </c>
      <c r="D11" s="53" t="s">
        <v>1355</v>
      </c>
    </row>
    <row r="12">
      <c r="C12" s="14" t="s">
        <v>1817</v>
      </c>
      <c r="D12" s="53" t="s">
        <v>1356</v>
      </c>
    </row>
    <row r="13">
      <c r="C13" s="14" t="s">
        <v>1817</v>
      </c>
      <c r="D13" s="53" t="s">
        <v>1359</v>
      </c>
    </row>
    <row r="14">
      <c r="C14" s="14" t="s">
        <v>1817</v>
      </c>
      <c r="D14" s="201" t="s">
        <v>1820</v>
      </c>
    </row>
    <row r="15">
      <c r="C15" s="14" t="s">
        <v>1817</v>
      </c>
      <c r="D15" s="53" t="s">
        <v>1365</v>
      </c>
    </row>
    <row r="16">
      <c r="C16" s="14" t="s">
        <v>1817</v>
      </c>
      <c r="D16" s="53" t="s">
        <v>1366</v>
      </c>
    </row>
    <row r="17">
      <c r="C17" s="14" t="s">
        <v>1817</v>
      </c>
      <c r="D17" s="53" t="s">
        <v>1368</v>
      </c>
    </row>
    <row r="18">
      <c r="C18" s="14" t="s">
        <v>1817</v>
      </c>
      <c r="D18" s="53" t="s">
        <v>1369</v>
      </c>
    </row>
    <row r="19">
      <c r="C19" s="14" t="s">
        <v>1817</v>
      </c>
      <c r="D19" s="53" t="s">
        <v>1371</v>
      </c>
    </row>
    <row r="20">
      <c r="C20" s="14" t="s">
        <v>1817</v>
      </c>
      <c r="D20" s="53" t="s">
        <v>1372</v>
      </c>
    </row>
    <row r="21">
      <c r="C21" s="14" t="s">
        <v>1817</v>
      </c>
      <c r="D21" s="53" t="s">
        <v>1375</v>
      </c>
    </row>
    <row r="22">
      <c r="C22" s="14" t="s">
        <v>1817</v>
      </c>
      <c r="D22" s="53" t="s">
        <v>1376</v>
      </c>
    </row>
    <row r="23">
      <c r="C23" s="14" t="s">
        <v>1817</v>
      </c>
      <c r="D23" s="53" t="s">
        <v>1377</v>
      </c>
    </row>
    <row r="24">
      <c r="C24" s="14" t="s">
        <v>1817</v>
      </c>
      <c r="D24" s="53" t="s">
        <v>1380</v>
      </c>
    </row>
    <row r="25">
      <c r="C25" s="14" t="s">
        <v>1817</v>
      </c>
      <c r="D25" s="53" t="s">
        <v>1381</v>
      </c>
    </row>
    <row r="26">
      <c r="C26" s="14" t="s">
        <v>1817</v>
      </c>
      <c r="D26" s="53" t="s">
        <v>1383</v>
      </c>
    </row>
    <row r="27">
      <c r="C27" s="14" t="s">
        <v>1817</v>
      </c>
      <c r="D27" s="53" t="s">
        <v>1385</v>
      </c>
    </row>
    <row r="28">
      <c r="C28" s="14" t="s">
        <v>1817</v>
      </c>
      <c r="D28" s="53" t="s">
        <v>1387</v>
      </c>
    </row>
    <row r="29">
      <c r="C29" s="14" t="s">
        <v>1817</v>
      </c>
      <c r="D29" s="53" t="s">
        <v>1389</v>
      </c>
    </row>
    <row r="30">
      <c r="C30" s="14" t="s">
        <v>1817</v>
      </c>
      <c r="D30" s="53" t="s">
        <v>1390</v>
      </c>
    </row>
    <row r="31">
      <c r="C31" s="14" t="s">
        <v>1817</v>
      </c>
      <c r="D31" s="53" t="s">
        <v>1391</v>
      </c>
    </row>
    <row r="32">
      <c r="C32" s="14" t="s">
        <v>1817</v>
      </c>
      <c r="D32" s="53" t="s">
        <v>1361</v>
      </c>
    </row>
    <row r="33">
      <c r="C33" s="14" t="s">
        <v>1817</v>
      </c>
      <c r="D33" s="53" t="s">
        <v>1392</v>
      </c>
    </row>
    <row r="34">
      <c r="C34" s="14" t="s">
        <v>1817</v>
      </c>
      <c r="D34" s="53" t="s">
        <v>1394</v>
      </c>
    </row>
    <row r="35">
      <c r="C35" s="14" t="s">
        <v>1817</v>
      </c>
      <c r="D35" s="53" t="s">
        <v>1396</v>
      </c>
    </row>
    <row r="36">
      <c r="C36" s="14" t="s">
        <v>1817</v>
      </c>
      <c r="D36" s="53" t="s">
        <v>1397</v>
      </c>
    </row>
    <row r="37">
      <c r="C37" s="14" t="s">
        <v>1817</v>
      </c>
      <c r="D37" s="53" t="s">
        <v>1400</v>
      </c>
    </row>
    <row r="38">
      <c r="C38" s="14" t="s">
        <v>1817</v>
      </c>
      <c r="D38" s="53" t="s">
        <v>1398</v>
      </c>
    </row>
    <row r="39">
      <c r="C39" s="14" t="s">
        <v>1817</v>
      </c>
      <c r="D39" s="53" t="s">
        <v>1404</v>
      </c>
    </row>
    <row r="40">
      <c r="C40" s="14" t="s">
        <v>1817</v>
      </c>
      <c r="D40" s="53" t="s">
        <v>1405</v>
      </c>
    </row>
    <row r="41">
      <c r="C41" s="14" t="s">
        <v>1817</v>
      </c>
      <c r="D41" s="53" t="s">
        <v>1406</v>
      </c>
    </row>
    <row r="42">
      <c r="C42" s="14" t="s">
        <v>1817</v>
      </c>
      <c r="D42" s="53" t="s">
        <v>1407</v>
      </c>
    </row>
    <row r="43">
      <c r="C43" s="14" t="s">
        <v>1817</v>
      </c>
      <c r="D43" s="53" t="s">
        <v>1412</v>
      </c>
    </row>
    <row r="44">
      <c r="C44" s="14" t="s">
        <v>1817</v>
      </c>
      <c r="D44" s="53" t="s">
        <v>1415</v>
      </c>
    </row>
    <row r="45">
      <c r="C45" s="14" t="s">
        <v>1817</v>
      </c>
      <c r="D45" s="53" t="s">
        <v>1418</v>
      </c>
    </row>
    <row r="46">
      <c r="C46" s="14" t="s">
        <v>1817</v>
      </c>
      <c r="D46" s="53" t="s">
        <v>1421</v>
      </c>
    </row>
    <row r="47">
      <c r="C47" s="14" t="s">
        <v>1817</v>
      </c>
      <c r="D47" s="53" t="s">
        <v>1426</v>
      </c>
    </row>
    <row r="48">
      <c r="C48" s="14" t="s">
        <v>1817</v>
      </c>
      <c r="D48" s="53" t="s">
        <v>1428</v>
      </c>
    </row>
    <row r="49">
      <c r="C49" s="14" t="s">
        <v>1817</v>
      </c>
      <c r="D49" s="53" t="s">
        <v>1430</v>
      </c>
    </row>
    <row r="50">
      <c r="C50" s="14" t="s">
        <v>1817</v>
      </c>
      <c r="D50" s="53" t="s">
        <v>1431</v>
      </c>
    </row>
    <row r="51">
      <c r="C51" s="14" t="s">
        <v>1817</v>
      </c>
      <c r="D51" s="53" t="s">
        <v>1435</v>
      </c>
    </row>
    <row r="52">
      <c r="C52" s="14" t="s">
        <v>1817</v>
      </c>
      <c r="D52" s="53" t="s">
        <v>1436</v>
      </c>
    </row>
    <row r="53">
      <c r="C53" s="14" t="s">
        <v>1817</v>
      </c>
      <c r="D53" s="53" t="s">
        <v>1437</v>
      </c>
    </row>
    <row r="54">
      <c r="C54" s="14" t="s">
        <v>1817</v>
      </c>
      <c r="D54" s="53" t="s">
        <v>1438</v>
      </c>
    </row>
    <row r="55">
      <c r="C55" s="14" t="s">
        <v>1817</v>
      </c>
      <c r="D55" s="53" t="s">
        <v>1441</v>
      </c>
    </row>
    <row r="56">
      <c r="C56" s="14" t="s">
        <v>1817</v>
      </c>
      <c r="D56" s="53" t="s">
        <v>1442</v>
      </c>
    </row>
    <row r="57">
      <c r="C57" s="14" t="s">
        <v>1817</v>
      </c>
      <c r="D57" s="53" t="s">
        <v>1444</v>
      </c>
    </row>
    <row r="58">
      <c r="C58" s="14" t="s">
        <v>1817</v>
      </c>
      <c r="D58" s="53" t="s">
        <v>1447</v>
      </c>
    </row>
    <row r="59">
      <c r="C59" s="14" t="s">
        <v>1817</v>
      </c>
      <c r="D59" s="53" t="s">
        <v>1448</v>
      </c>
    </row>
    <row r="60">
      <c r="C60" s="14" t="s">
        <v>1817</v>
      </c>
      <c r="D60" s="53" t="s">
        <v>1449</v>
      </c>
    </row>
    <row r="61">
      <c r="C61" s="14" t="s">
        <v>1817</v>
      </c>
      <c r="D61" s="53" t="s">
        <v>1450</v>
      </c>
    </row>
    <row r="62">
      <c r="C62" s="14" t="s">
        <v>1817</v>
      </c>
      <c r="D62" s="53" t="s">
        <v>1453</v>
      </c>
    </row>
    <row r="63">
      <c r="C63" s="14" t="s">
        <v>1817</v>
      </c>
      <c r="D63" s="53" t="s">
        <v>1454</v>
      </c>
    </row>
    <row r="64">
      <c r="C64" s="14" t="s">
        <v>1817</v>
      </c>
      <c r="D64" s="53" t="s">
        <v>1455</v>
      </c>
    </row>
    <row r="65">
      <c r="C65" s="14" t="s">
        <v>1817</v>
      </c>
      <c r="D65" s="53" t="s">
        <v>1456</v>
      </c>
    </row>
    <row r="66">
      <c r="C66" s="14" t="s">
        <v>1817</v>
      </c>
      <c r="D66" s="53" t="s">
        <v>1458</v>
      </c>
    </row>
    <row r="67">
      <c r="C67" s="14" t="s">
        <v>1817</v>
      </c>
      <c r="D67" s="53" t="s">
        <v>1460</v>
      </c>
    </row>
    <row r="68">
      <c r="C68" s="14" t="s">
        <v>1817</v>
      </c>
      <c r="D68" s="53" t="s">
        <v>1462</v>
      </c>
    </row>
    <row r="69">
      <c r="C69" s="14" t="s">
        <v>1817</v>
      </c>
      <c r="D69" s="53" t="s">
        <v>1463</v>
      </c>
    </row>
    <row r="70">
      <c r="C70" s="14" t="s">
        <v>1817</v>
      </c>
      <c r="D70" s="53" t="s">
        <v>1466</v>
      </c>
    </row>
    <row r="71">
      <c r="C71" s="14" t="s">
        <v>1817</v>
      </c>
      <c r="D71" s="53" t="s">
        <v>1468</v>
      </c>
    </row>
    <row r="72">
      <c r="C72" s="14" t="s">
        <v>1817</v>
      </c>
      <c r="D72" s="53" t="s">
        <v>1469</v>
      </c>
    </row>
    <row r="73">
      <c r="C73" s="14" t="s">
        <v>1817</v>
      </c>
      <c r="D73" s="53" t="s">
        <v>1470</v>
      </c>
    </row>
    <row r="74">
      <c r="C74" s="14" t="s">
        <v>1817</v>
      </c>
      <c r="D74" s="53" t="s">
        <v>1472</v>
      </c>
    </row>
    <row r="75">
      <c r="C75" s="14" t="s">
        <v>1817</v>
      </c>
      <c r="D75" s="53" t="s">
        <v>1833</v>
      </c>
    </row>
    <row r="76">
      <c r="C76" s="14" t="s">
        <v>1817</v>
      </c>
      <c r="D76" s="53" t="s">
        <v>1475</v>
      </c>
    </row>
    <row r="77">
      <c r="C77" s="14" t="s">
        <v>1817</v>
      </c>
      <c r="D77" s="53" t="s">
        <v>1476</v>
      </c>
    </row>
    <row r="78">
      <c r="C78" s="14" t="s">
        <v>1817</v>
      </c>
      <c r="D78" s="53" t="s">
        <v>1478</v>
      </c>
    </row>
    <row r="79">
      <c r="C79" s="14" t="s">
        <v>1817</v>
      </c>
      <c r="D79" s="53" t="s">
        <v>1481</v>
      </c>
    </row>
    <row r="80">
      <c r="C80" s="14" t="s">
        <v>1817</v>
      </c>
      <c r="D80" s="53" t="s">
        <v>1482</v>
      </c>
    </row>
    <row r="81">
      <c r="C81" s="14" t="s">
        <v>1817</v>
      </c>
      <c r="D81" s="53" t="s">
        <v>1483</v>
      </c>
    </row>
    <row r="82">
      <c r="C82" s="14" t="s">
        <v>1817</v>
      </c>
      <c r="D82" s="53" t="s">
        <v>1484</v>
      </c>
    </row>
    <row r="83">
      <c r="C83" s="14" t="s">
        <v>1817</v>
      </c>
      <c r="D83" s="53" t="s">
        <v>1487</v>
      </c>
    </row>
    <row r="84">
      <c r="C84" s="14" t="s">
        <v>1817</v>
      </c>
      <c r="D84" s="53" t="s">
        <v>1488</v>
      </c>
    </row>
    <row r="85">
      <c r="C85" s="14" t="s">
        <v>1817</v>
      </c>
      <c r="D85" s="53" t="s">
        <v>1489</v>
      </c>
    </row>
    <row r="86">
      <c r="C86" s="14" t="s">
        <v>1817</v>
      </c>
      <c r="D86" s="53" t="s">
        <v>1490</v>
      </c>
    </row>
    <row r="87">
      <c r="C87" s="14" t="s">
        <v>1817</v>
      </c>
      <c r="D87" s="53" t="s">
        <v>1491</v>
      </c>
    </row>
    <row r="88">
      <c r="C88" s="14" t="s">
        <v>1817</v>
      </c>
      <c r="D88" s="53" t="s">
        <v>1492</v>
      </c>
    </row>
    <row r="89">
      <c r="C89" s="14" t="s">
        <v>1817</v>
      </c>
      <c r="D89" s="53" t="s">
        <v>1493</v>
      </c>
    </row>
    <row r="90">
      <c r="C90" s="14" t="s">
        <v>1817</v>
      </c>
      <c r="D90" s="53" t="s">
        <v>1494</v>
      </c>
    </row>
    <row r="91">
      <c r="C91" s="14" t="s">
        <v>1817</v>
      </c>
      <c r="D91" s="53" t="s">
        <v>1495</v>
      </c>
    </row>
    <row r="92">
      <c r="C92" s="14" t="s">
        <v>1817</v>
      </c>
      <c r="D92" s="53" t="s">
        <v>1496</v>
      </c>
    </row>
    <row r="93">
      <c r="C93" s="14" t="s">
        <v>1817</v>
      </c>
      <c r="D93" s="53" t="s">
        <v>1497</v>
      </c>
    </row>
    <row r="94">
      <c r="C94" s="14" t="s">
        <v>1817</v>
      </c>
      <c r="D94" s="53" t="s">
        <v>1498</v>
      </c>
    </row>
    <row r="95">
      <c r="C95" s="14" t="s">
        <v>1817</v>
      </c>
      <c r="D95" s="53" t="s">
        <v>1499</v>
      </c>
    </row>
    <row r="96">
      <c r="C96" s="14" t="s">
        <v>1817</v>
      </c>
      <c r="D96" s="53" t="s">
        <v>1500</v>
      </c>
    </row>
    <row r="97">
      <c r="C97" s="14" t="s">
        <v>1817</v>
      </c>
      <c r="D97" s="53" t="s">
        <v>1503</v>
      </c>
    </row>
    <row r="98">
      <c r="C98" s="14" t="s">
        <v>1817</v>
      </c>
      <c r="D98" s="53" t="s">
        <v>1505</v>
      </c>
    </row>
    <row r="99">
      <c r="C99" s="14" t="s">
        <v>1817</v>
      </c>
      <c r="D99" s="53" t="s">
        <v>1506</v>
      </c>
    </row>
    <row r="100">
      <c r="C100" s="14" t="s">
        <v>1817</v>
      </c>
      <c r="D100" s="53" t="s">
        <v>1507</v>
      </c>
    </row>
    <row r="101">
      <c r="C101" s="14" t="s">
        <v>1817</v>
      </c>
      <c r="D101" s="53" t="s">
        <v>1508</v>
      </c>
    </row>
    <row r="102">
      <c r="C102" s="14" t="s">
        <v>1817</v>
      </c>
      <c r="D102" s="53" t="s">
        <v>1511</v>
      </c>
    </row>
    <row r="103">
      <c r="C103" s="14" t="s">
        <v>1817</v>
      </c>
      <c r="D103" s="53" t="s">
        <v>1512</v>
      </c>
    </row>
    <row r="104">
      <c r="C104" s="14" t="s">
        <v>1817</v>
      </c>
      <c r="D104" s="53" t="s">
        <v>1513</v>
      </c>
    </row>
    <row r="105">
      <c r="C105" s="14" t="s">
        <v>1817</v>
      </c>
      <c r="D105" s="53" t="s">
        <v>1515</v>
      </c>
    </row>
    <row r="106">
      <c r="C106" s="14" t="s">
        <v>1817</v>
      </c>
      <c r="D106" s="53" t="s">
        <v>1517</v>
      </c>
    </row>
    <row r="107">
      <c r="C107" s="14" t="s">
        <v>1817</v>
      </c>
      <c r="D107" s="53" t="s">
        <v>1518</v>
      </c>
    </row>
    <row r="108">
      <c r="C108" s="14" t="s">
        <v>1817</v>
      </c>
      <c r="D108" s="53" t="s">
        <v>1519</v>
      </c>
    </row>
    <row r="109">
      <c r="C109" s="14" t="s">
        <v>1817</v>
      </c>
      <c r="D109" s="53" t="s">
        <v>1520</v>
      </c>
    </row>
    <row r="110">
      <c r="C110" s="14" t="s">
        <v>1817</v>
      </c>
      <c r="D110" s="53" t="s">
        <v>1523</v>
      </c>
    </row>
    <row r="111">
      <c r="C111" s="14" t="s">
        <v>1817</v>
      </c>
      <c r="D111" s="53" t="s">
        <v>1524</v>
      </c>
    </row>
    <row r="112">
      <c r="C112" s="14" t="s">
        <v>1817</v>
      </c>
      <c r="D112" s="53" t="s">
        <v>1525</v>
      </c>
    </row>
    <row r="113">
      <c r="C113" s="14" t="s">
        <v>1817</v>
      </c>
      <c r="D113" s="53" t="s">
        <v>1526</v>
      </c>
    </row>
    <row r="114">
      <c r="C114" s="14" t="s">
        <v>1817</v>
      </c>
      <c r="D114" s="53" t="s">
        <v>1529</v>
      </c>
    </row>
    <row r="115">
      <c r="C115" s="14" t="s">
        <v>1817</v>
      </c>
      <c r="D115" s="53" t="s">
        <v>1530</v>
      </c>
    </row>
    <row r="116">
      <c r="C116" s="14" t="s">
        <v>1817</v>
      </c>
      <c r="D116" s="53" t="s">
        <v>1531</v>
      </c>
    </row>
    <row r="117">
      <c r="C117" s="14" t="s">
        <v>1817</v>
      </c>
      <c r="D117" s="53" t="s">
        <v>1532</v>
      </c>
    </row>
    <row r="118">
      <c r="C118" s="14" t="s">
        <v>1817</v>
      </c>
      <c r="D118" s="53" t="s">
        <v>1535</v>
      </c>
    </row>
    <row r="119">
      <c r="C119" s="14" t="s">
        <v>1817</v>
      </c>
      <c r="D119" s="53" t="s">
        <v>1536</v>
      </c>
    </row>
    <row r="120">
      <c r="C120" s="14" t="s">
        <v>1817</v>
      </c>
      <c r="D120" s="53" t="s">
        <v>1538</v>
      </c>
    </row>
    <row r="121">
      <c r="C121" s="14" t="s">
        <v>1817</v>
      </c>
      <c r="D121" s="53" t="s">
        <v>1540</v>
      </c>
    </row>
    <row r="122">
      <c r="C122" s="14" t="s">
        <v>1817</v>
      </c>
      <c r="D122" s="53" t="s">
        <v>1541</v>
      </c>
    </row>
    <row r="123">
      <c r="C123" s="14" t="s">
        <v>1817</v>
      </c>
      <c r="D123" s="53" t="s">
        <v>1542</v>
      </c>
    </row>
    <row r="124">
      <c r="C124" s="14" t="s">
        <v>1817</v>
      </c>
      <c r="D124" s="53" t="s">
        <v>1434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s>
  <sheetData>
    <row r="1">
      <c r="A1" s="14" t="s">
        <v>1862</v>
      </c>
      <c r="B1" s="14" t="s">
        <v>1863</v>
      </c>
      <c r="C1" s="14" t="s">
        <v>1864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20.38"/>
    <col customWidth="1" min="3" max="3" width="20.63"/>
    <col customWidth="1" min="4" max="4" width="37.38"/>
    <col customWidth="1" min="6" max="6" width="38.0"/>
    <col customWidth="1" min="7" max="7" width="16.63"/>
    <col customWidth="1" min="9" max="9" width="24.75"/>
    <col customWidth="1" min="15" max="15" width="29.25"/>
  </cols>
  <sheetData>
    <row r="1">
      <c r="A1" s="206" t="s">
        <v>1893</v>
      </c>
      <c r="B1" s="207" t="s">
        <v>1894</v>
      </c>
      <c r="C1" s="208" t="s">
        <v>1895</v>
      </c>
      <c r="D1" s="208" t="s">
        <v>1896</v>
      </c>
      <c r="E1" s="208" t="s">
        <v>172</v>
      </c>
      <c r="F1" s="209" t="s">
        <v>1898</v>
      </c>
      <c r="G1" s="208" t="s">
        <v>1899</v>
      </c>
      <c r="H1" s="210" t="s">
        <v>1900</v>
      </c>
      <c r="I1" s="208" t="s">
        <v>1903</v>
      </c>
      <c r="J1" s="207" t="s">
        <v>1904</v>
      </c>
      <c r="K1" s="207" t="s">
        <v>1905</v>
      </c>
      <c r="L1" s="207" t="s">
        <v>1906</v>
      </c>
      <c r="M1" s="211" t="s">
        <v>1907</v>
      </c>
      <c r="N1" s="212"/>
      <c r="O1" s="212"/>
      <c r="P1" s="212"/>
      <c r="Q1" s="212"/>
      <c r="R1" s="212"/>
      <c r="S1" s="212"/>
      <c r="T1" s="212"/>
      <c r="U1" s="212"/>
      <c r="V1" s="212"/>
      <c r="W1" s="213"/>
      <c r="X1" s="213"/>
      <c r="Y1" s="213"/>
      <c r="Z1" s="213"/>
      <c r="AA1" s="213"/>
    </row>
    <row r="2">
      <c r="A2" s="214">
        <v>1.0</v>
      </c>
      <c r="B2" s="215" t="s">
        <v>1909</v>
      </c>
      <c r="C2" s="216" t="s">
        <v>1910</v>
      </c>
      <c r="D2" s="214" t="s">
        <v>1911</v>
      </c>
      <c r="E2" s="214" t="s">
        <v>1912</v>
      </c>
      <c r="F2" s="214" t="s">
        <v>1913</v>
      </c>
      <c r="G2" s="214" t="s">
        <v>1914</v>
      </c>
      <c r="H2" s="217" t="s">
        <v>1917</v>
      </c>
      <c r="I2" s="34"/>
      <c r="J2" s="34"/>
      <c r="K2" s="34"/>
      <c r="L2" s="34"/>
      <c r="M2" s="34"/>
      <c r="N2" s="34"/>
      <c r="O2" s="34"/>
      <c r="P2" s="34"/>
      <c r="Q2" s="34"/>
      <c r="R2" s="34"/>
      <c r="S2" s="34"/>
      <c r="T2" s="34"/>
      <c r="U2" s="34"/>
      <c r="V2" s="34"/>
    </row>
    <row r="3">
      <c r="A3" s="214">
        <v>2.0</v>
      </c>
      <c r="B3" s="215" t="s">
        <v>1909</v>
      </c>
      <c r="C3" s="218" t="s">
        <v>1918</v>
      </c>
      <c r="D3" s="214" t="s">
        <v>1919</v>
      </c>
      <c r="E3" s="214" t="s">
        <v>1920</v>
      </c>
      <c r="F3" s="214" t="s">
        <v>1921</v>
      </c>
      <c r="G3" s="214" t="s">
        <v>1922</v>
      </c>
      <c r="H3" s="220" t="s">
        <v>1917</v>
      </c>
      <c r="I3" s="221" t="s">
        <v>1924</v>
      </c>
      <c r="J3" s="212"/>
      <c r="K3" s="212"/>
      <c r="L3" s="212"/>
      <c r="M3" s="212"/>
      <c r="N3" s="212"/>
      <c r="Q3" s="212"/>
      <c r="R3" s="212"/>
      <c r="S3" s="212"/>
      <c r="T3" s="212"/>
      <c r="U3" s="212"/>
      <c r="V3" s="212"/>
      <c r="W3" s="213"/>
      <c r="X3" s="213"/>
      <c r="Y3" s="213"/>
      <c r="Z3" s="213"/>
      <c r="AA3" s="213"/>
    </row>
    <row r="4">
      <c r="A4" s="214">
        <v>3.0</v>
      </c>
      <c r="B4" s="215" t="s">
        <v>1909</v>
      </c>
      <c r="C4" s="218" t="s">
        <v>1939</v>
      </c>
      <c r="D4" s="214" t="s">
        <v>1940</v>
      </c>
      <c r="E4" s="214" t="s">
        <v>1942</v>
      </c>
      <c r="F4" s="214" t="s">
        <v>1944</v>
      </c>
      <c r="G4" s="214" t="s">
        <v>1945</v>
      </c>
      <c r="H4" s="220" t="s">
        <v>1917</v>
      </c>
      <c r="I4" s="221" t="s">
        <v>1946</v>
      </c>
      <c r="J4" s="212"/>
      <c r="K4" s="212"/>
      <c r="L4" s="212"/>
      <c r="M4" s="212"/>
      <c r="N4" s="212"/>
      <c r="Q4" s="212"/>
      <c r="R4" s="212"/>
      <c r="S4" s="212"/>
      <c r="T4" s="212"/>
      <c r="U4" s="212"/>
      <c r="V4" s="212"/>
      <c r="W4" s="213"/>
      <c r="X4" s="213"/>
      <c r="Y4" s="213"/>
      <c r="Z4" s="213"/>
      <c r="AA4" s="213"/>
    </row>
    <row r="5">
      <c r="A5" s="214">
        <v>4.0</v>
      </c>
      <c r="B5" s="215" t="s">
        <v>1909</v>
      </c>
      <c r="C5" s="218" t="s">
        <v>1948</v>
      </c>
      <c r="D5" s="214" t="s">
        <v>1949</v>
      </c>
      <c r="E5" s="214" t="s">
        <v>1950</v>
      </c>
      <c r="F5" s="214" t="s">
        <v>1951</v>
      </c>
      <c r="G5" s="214" t="s">
        <v>1914</v>
      </c>
      <c r="H5" s="220" t="s">
        <v>1917</v>
      </c>
      <c r="I5" s="221" t="s">
        <v>1954</v>
      </c>
      <c r="J5" s="212"/>
      <c r="K5" s="212"/>
      <c r="L5" s="212"/>
      <c r="M5" s="212"/>
      <c r="N5" s="212"/>
      <c r="Q5" s="212"/>
      <c r="R5" s="212"/>
      <c r="S5" s="212"/>
      <c r="T5" s="212"/>
      <c r="U5" s="212"/>
      <c r="V5" s="212"/>
      <c r="W5" s="213"/>
      <c r="X5" s="213"/>
      <c r="Y5" s="213"/>
      <c r="Z5" s="213"/>
      <c r="AA5" s="213"/>
    </row>
    <row r="6">
      <c r="A6" s="214">
        <v>5.0</v>
      </c>
      <c r="B6" s="215" t="s">
        <v>1909</v>
      </c>
      <c r="C6" s="218" t="s">
        <v>1955</v>
      </c>
      <c r="D6" s="214" t="s">
        <v>1956</v>
      </c>
      <c r="E6" s="214" t="s">
        <v>1957</v>
      </c>
      <c r="F6" s="214" t="s">
        <v>1958</v>
      </c>
      <c r="G6" s="214" t="s">
        <v>1959</v>
      </c>
      <c r="H6" s="217" t="s">
        <v>1917</v>
      </c>
      <c r="I6" s="221" t="s">
        <v>1960</v>
      </c>
      <c r="J6" s="212"/>
      <c r="K6" s="212"/>
      <c r="L6" s="212"/>
      <c r="M6" s="212"/>
      <c r="N6" s="212"/>
      <c r="Q6" s="212"/>
      <c r="R6" s="212"/>
      <c r="S6" s="212"/>
      <c r="T6" s="212"/>
      <c r="U6" s="212"/>
      <c r="V6" s="212"/>
      <c r="W6" s="213"/>
      <c r="X6" s="213"/>
      <c r="Y6" s="213"/>
      <c r="Z6" s="213"/>
      <c r="AA6" s="213"/>
    </row>
    <row r="7">
      <c r="A7" s="214">
        <v>6.0</v>
      </c>
      <c r="B7" s="215" t="s">
        <v>1909</v>
      </c>
      <c r="C7" s="218" t="s">
        <v>1963</v>
      </c>
      <c r="D7" s="214" t="s">
        <v>1964</v>
      </c>
      <c r="E7" s="214" t="s">
        <v>1965</v>
      </c>
      <c r="F7" s="214" t="s">
        <v>1966</v>
      </c>
      <c r="G7" s="214" t="s">
        <v>1959</v>
      </c>
      <c r="H7" s="220" t="s">
        <v>1917</v>
      </c>
      <c r="I7" s="221" t="s">
        <v>1967</v>
      </c>
      <c r="J7" s="212"/>
      <c r="K7" s="212"/>
      <c r="L7" s="212"/>
      <c r="M7" s="212"/>
      <c r="N7" s="212"/>
      <c r="Q7" s="212"/>
      <c r="R7" s="212"/>
      <c r="S7" s="212"/>
      <c r="T7" s="212"/>
      <c r="U7" s="212"/>
      <c r="V7" s="212"/>
      <c r="W7" s="213"/>
      <c r="X7" s="213"/>
      <c r="Y7" s="213"/>
      <c r="Z7" s="213"/>
      <c r="AA7" s="213"/>
    </row>
    <row r="8">
      <c r="A8" s="214">
        <v>7.0</v>
      </c>
      <c r="B8" s="215" t="s">
        <v>1909</v>
      </c>
      <c r="C8" s="218" t="s">
        <v>1969</v>
      </c>
      <c r="D8" s="214" t="s">
        <v>1970</v>
      </c>
      <c r="E8" s="214" t="s">
        <v>1971</v>
      </c>
      <c r="F8" s="214" t="s">
        <v>1972</v>
      </c>
      <c r="G8" s="214" t="s">
        <v>1914</v>
      </c>
      <c r="H8" s="217" t="s">
        <v>1917</v>
      </c>
      <c r="I8" s="34"/>
      <c r="J8" s="34"/>
      <c r="K8" s="34"/>
      <c r="L8" s="34"/>
      <c r="M8" s="34"/>
      <c r="N8" s="34"/>
      <c r="O8" s="34"/>
      <c r="P8" s="34"/>
      <c r="Q8" s="34"/>
      <c r="R8" s="34"/>
      <c r="S8" s="34"/>
      <c r="T8" s="34"/>
      <c r="U8" s="34"/>
      <c r="V8" s="34"/>
    </row>
    <row r="9">
      <c r="A9" s="214">
        <v>8.0</v>
      </c>
      <c r="B9" s="215" t="s">
        <v>1909</v>
      </c>
      <c r="C9" s="218" t="s">
        <v>1973</v>
      </c>
      <c r="D9" s="214" t="s">
        <v>1974</v>
      </c>
      <c r="E9" s="214" t="s">
        <v>1975</v>
      </c>
      <c r="F9" s="214" t="s">
        <v>1976</v>
      </c>
      <c r="G9" s="214" t="s">
        <v>1914</v>
      </c>
      <c r="H9" s="217" t="s">
        <v>1977</v>
      </c>
      <c r="I9" s="221" t="s">
        <v>1978</v>
      </c>
      <c r="J9" s="212"/>
      <c r="K9" s="212"/>
      <c r="L9" s="212"/>
      <c r="M9" s="212"/>
      <c r="N9" s="212"/>
      <c r="O9" s="212"/>
      <c r="P9" s="212"/>
      <c r="Q9" s="212"/>
      <c r="R9" s="212"/>
      <c r="S9" s="212"/>
      <c r="T9" s="212"/>
      <c r="U9" s="212"/>
      <c r="V9" s="212"/>
      <c r="W9" s="213"/>
      <c r="X9" s="213"/>
      <c r="Y9" s="213"/>
      <c r="Z9" s="213"/>
      <c r="AA9" s="213"/>
    </row>
    <row r="10">
      <c r="A10" s="214">
        <v>9.0</v>
      </c>
      <c r="B10" s="215" t="s">
        <v>1909</v>
      </c>
      <c r="C10" s="218" t="s">
        <v>1980</v>
      </c>
      <c r="D10" s="214" t="s">
        <v>1981</v>
      </c>
      <c r="E10" s="214" t="s">
        <v>1982</v>
      </c>
      <c r="F10" s="214" t="s">
        <v>1983</v>
      </c>
      <c r="G10" s="214" t="s">
        <v>1914</v>
      </c>
      <c r="H10" s="220" t="s">
        <v>1917</v>
      </c>
      <c r="I10" s="221" t="s">
        <v>1984</v>
      </c>
      <c r="J10" s="212"/>
      <c r="K10" s="212"/>
      <c r="L10" s="212"/>
      <c r="M10" s="212"/>
      <c r="N10" s="212"/>
      <c r="O10" s="212"/>
      <c r="P10" s="212"/>
      <c r="Q10" s="212"/>
      <c r="R10" s="212"/>
      <c r="S10" s="212"/>
      <c r="T10" s="212"/>
      <c r="U10" s="212"/>
      <c r="V10" s="212"/>
      <c r="W10" s="213"/>
      <c r="X10" s="213"/>
      <c r="Y10" s="213"/>
      <c r="Z10" s="213"/>
      <c r="AA10" s="213"/>
    </row>
    <row r="11">
      <c r="A11" s="214">
        <v>10.0</v>
      </c>
      <c r="B11" s="215" t="s">
        <v>1909</v>
      </c>
      <c r="C11" s="223" t="s">
        <v>1986</v>
      </c>
      <c r="D11" s="214" t="s">
        <v>1987</v>
      </c>
      <c r="E11" s="224" t="s">
        <v>1988</v>
      </c>
      <c r="F11" s="214" t="s">
        <v>1989</v>
      </c>
      <c r="G11" s="214" t="s">
        <v>1914</v>
      </c>
      <c r="H11" s="217" t="s">
        <v>1917</v>
      </c>
      <c r="I11" s="34"/>
      <c r="J11" s="34"/>
      <c r="K11" s="34"/>
      <c r="L11" s="34"/>
      <c r="M11" s="34"/>
      <c r="N11" s="34"/>
      <c r="O11" s="34"/>
      <c r="P11" s="34"/>
      <c r="Q11" s="34"/>
      <c r="R11" s="34"/>
      <c r="S11" s="34"/>
      <c r="T11" s="34"/>
      <c r="U11" s="34"/>
      <c r="V11" s="34"/>
    </row>
    <row r="12">
      <c r="A12" s="214">
        <v>11.0</v>
      </c>
      <c r="B12" s="215" t="s">
        <v>1909</v>
      </c>
      <c r="C12" s="223" t="s">
        <v>1991</v>
      </c>
      <c r="D12" s="214" t="s">
        <v>1992</v>
      </c>
      <c r="E12" s="224" t="s">
        <v>1993</v>
      </c>
      <c r="F12" s="214" t="s">
        <v>1994</v>
      </c>
      <c r="G12" s="214" t="s">
        <v>1914</v>
      </c>
      <c r="H12" s="217" t="s">
        <v>1917</v>
      </c>
      <c r="I12" s="34"/>
      <c r="J12" s="34"/>
      <c r="K12" s="34"/>
      <c r="L12" s="34"/>
      <c r="M12" s="34"/>
      <c r="N12" s="34"/>
      <c r="O12" s="34"/>
      <c r="P12" s="34"/>
      <c r="Q12" s="34"/>
      <c r="R12" s="34"/>
      <c r="S12" s="34"/>
      <c r="T12" s="34"/>
      <c r="U12" s="34"/>
      <c r="V12" s="34"/>
    </row>
    <row r="13">
      <c r="A13" s="214">
        <v>12.0</v>
      </c>
      <c r="B13" s="215" t="s">
        <v>1909</v>
      </c>
      <c r="C13" s="223" t="s">
        <v>1995</v>
      </c>
      <c r="D13" s="214" t="s">
        <v>1996</v>
      </c>
      <c r="E13" s="214" t="s">
        <v>1997</v>
      </c>
      <c r="F13" s="214" t="s">
        <v>1998</v>
      </c>
      <c r="G13" s="214" t="s">
        <v>1914</v>
      </c>
      <c r="H13" s="217" t="s">
        <v>1917</v>
      </c>
      <c r="I13" s="34"/>
      <c r="J13" s="34"/>
      <c r="K13" s="34"/>
      <c r="L13" s="34"/>
      <c r="M13" s="34"/>
      <c r="N13" s="34"/>
      <c r="O13" s="34"/>
      <c r="P13" s="34"/>
      <c r="Q13" s="34"/>
      <c r="R13" s="34"/>
      <c r="S13" s="34"/>
      <c r="T13" s="34"/>
      <c r="U13" s="34"/>
      <c r="V13" s="34"/>
    </row>
    <row r="14">
      <c r="A14" s="214">
        <v>13.0</v>
      </c>
      <c r="B14" s="215" t="s">
        <v>1909</v>
      </c>
      <c r="C14" s="223" t="s">
        <v>2000</v>
      </c>
      <c r="D14" s="224" t="s">
        <v>2000</v>
      </c>
      <c r="E14" s="224" t="s">
        <v>2001</v>
      </c>
      <c r="F14" s="224" t="s">
        <v>2002</v>
      </c>
      <c r="G14" s="214" t="s">
        <v>1914</v>
      </c>
      <c r="H14" s="217" t="s">
        <v>1977</v>
      </c>
      <c r="I14" s="34"/>
      <c r="J14" s="34"/>
      <c r="K14" s="34"/>
      <c r="L14" s="34"/>
      <c r="M14" s="34"/>
      <c r="N14" s="34"/>
      <c r="O14" s="34"/>
      <c r="P14" s="34"/>
      <c r="Q14" s="34"/>
      <c r="R14" s="34"/>
      <c r="S14" s="34"/>
      <c r="T14" s="34"/>
      <c r="U14" s="34"/>
      <c r="V14" s="34"/>
    </row>
    <row r="15">
      <c r="A15" s="214">
        <v>14.0</v>
      </c>
      <c r="B15" s="215" t="s">
        <v>1909</v>
      </c>
      <c r="C15" s="223" t="s">
        <v>2003</v>
      </c>
      <c r="D15" s="214" t="s">
        <v>2004</v>
      </c>
      <c r="E15" s="224" t="s">
        <v>2006</v>
      </c>
      <c r="F15" s="214" t="s">
        <v>2007</v>
      </c>
      <c r="G15" s="214" t="s">
        <v>2008</v>
      </c>
      <c r="H15" s="217" t="s">
        <v>1977</v>
      </c>
      <c r="I15" s="34"/>
      <c r="J15" s="34"/>
      <c r="K15" s="34"/>
      <c r="L15" s="34"/>
      <c r="M15" s="34"/>
      <c r="N15" s="34"/>
      <c r="O15" s="34"/>
      <c r="P15" s="34"/>
      <c r="Q15" s="34"/>
      <c r="R15" s="34"/>
      <c r="S15" s="34"/>
      <c r="T15" s="34"/>
      <c r="U15" s="34"/>
      <c r="V15" s="34"/>
    </row>
    <row r="16">
      <c r="A16" s="214">
        <v>15.0</v>
      </c>
      <c r="B16" s="215" t="s">
        <v>1909</v>
      </c>
      <c r="C16" s="218" t="s">
        <v>2009</v>
      </c>
      <c r="D16" s="214" t="s">
        <v>2010</v>
      </c>
      <c r="E16" s="224" t="s">
        <v>2011</v>
      </c>
      <c r="F16" s="214" t="s">
        <v>2012</v>
      </c>
      <c r="G16" s="214" t="s">
        <v>1914</v>
      </c>
      <c r="H16" s="220" t="s">
        <v>1917</v>
      </c>
      <c r="I16" s="221" t="s">
        <v>2014</v>
      </c>
      <c r="J16" s="212"/>
      <c r="K16" s="212"/>
      <c r="L16" s="212"/>
      <c r="M16" s="212"/>
      <c r="N16" s="212"/>
      <c r="O16" s="212"/>
      <c r="P16" s="212"/>
      <c r="Q16" s="212"/>
      <c r="R16" s="212"/>
      <c r="S16" s="212"/>
      <c r="T16" s="212"/>
      <c r="U16" s="212"/>
      <c r="V16" s="212"/>
      <c r="W16" s="213"/>
      <c r="X16" s="213"/>
      <c r="Y16" s="213"/>
      <c r="Z16" s="213"/>
      <c r="AA16" s="213"/>
    </row>
    <row r="17">
      <c r="A17" s="214">
        <v>16.0</v>
      </c>
      <c r="B17" s="215" t="s">
        <v>1909</v>
      </c>
      <c r="C17" s="218" t="s">
        <v>2015</v>
      </c>
      <c r="D17" s="214" t="s">
        <v>2016</v>
      </c>
      <c r="E17" s="224" t="s">
        <v>2017</v>
      </c>
      <c r="F17" s="214" t="s">
        <v>2018</v>
      </c>
      <c r="G17" s="214" t="s">
        <v>1914</v>
      </c>
      <c r="H17" s="220" t="s">
        <v>1917</v>
      </c>
      <c r="I17" s="221" t="s">
        <v>2019</v>
      </c>
      <c r="J17" s="212"/>
      <c r="K17" s="212"/>
      <c r="L17" s="212"/>
      <c r="M17" s="212"/>
      <c r="N17" s="212"/>
      <c r="O17" s="212"/>
      <c r="P17" s="212"/>
      <c r="Q17" s="212"/>
      <c r="R17" s="212"/>
      <c r="S17" s="212"/>
      <c r="T17" s="212"/>
      <c r="U17" s="212"/>
      <c r="V17" s="212"/>
      <c r="W17" s="213"/>
      <c r="X17" s="213"/>
      <c r="Y17" s="213"/>
      <c r="Z17" s="213"/>
      <c r="AA17" s="213"/>
    </row>
    <row r="18">
      <c r="A18" s="214">
        <v>17.0</v>
      </c>
      <c r="B18" s="215" t="s">
        <v>1909</v>
      </c>
      <c r="C18" s="218" t="s">
        <v>2021</v>
      </c>
      <c r="D18" s="214" t="s">
        <v>2022</v>
      </c>
      <c r="E18" s="224" t="s">
        <v>2023</v>
      </c>
      <c r="F18" s="214" t="s">
        <v>2024</v>
      </c>
      <c r="G18" s="214" t="s">
        <v>2025</v>
      </c>
      <c r="H18" s="220" t="s">
        <v>1917</v>
      </c>
      <c r="I18" s="221" t="s">
        <v>2027</v>
      </c>
      <c r="J18" s="212"/>
      <c r="K18" s="212"/>
      <c r="L18" s="212"/>
      <c r="M18" s="212"/>
      <c r="N18" s="212"/>
      <c r="O18" s="212"/>
      <c r="P18" s="212"/>
      <c r="Q18" s="212"/>
      <c r="R18" s="212"/>
      <c r="S18" s="212"/>
      <c r="T18" s="212"/>
      <c r="U18" s="212"/>
      <c r="V18" s="212"/>
      <c r="W18" s="213"/>
      <c r="X18" s="213"/>
      <c r="Y18" s="213"/>
      <c r="Z18" s="213"/>
      <c r="AA18" s="213"/>
    </row>
    <row r="19">
      <c r="A19" s="214">
        <v>18.0</v>
      </c>
      <c r="B19" s="215" t="s">
        <v>1909</v>
      </c>
      <c r="C19" s="218" t="s">
        <v>2052</v>
      </c>
      <c r="D19" s="214" t="s">
        <v>2053</v>
      </c>
      <c r="E19" s="216" t="s">
        <v>2055</v>
      </c>
      <c r="F19" s="214" t="s">
        <v>2056</v>
      </c>
      <c r="G19" s="214" t="s">
        <v>2057</v>
      </c>
      <c r="H19" s="220" t="s">
        <v>1917</v>
      </c>
      <c r="I19" s="221" t="s">
        <v>2058</v>
      </c>
      <c r="J19" s="212"/>
      <c r="K19" s="212"/>
      <c r="L19" s="212"/>
      <c r="M19" s="212"/>
      <c r="N19" s="212"/>
      <c r="O19" s="212"/>
      <c r="P19" s="212"/>
      <c r="Q19" s="212"/>
      <c r="R19" s="212"/>
      <c r="S19" s="212"/>
      <c r="T19" s="212"/>
      <c r="U19" s="212"/>
      <c r="V19" s="212"/>
      <c r="W19" s="213"/>
      <c r="X19" s="213"/>
      <c r="Y19" s="213"/>
      <c r="Z19" s="213"/>
      <c r="AA19" s="213"/>
    </row>
    <row r="20">
      <c r="A20" s="214">
        <v>19.0</v>
      </c>
      <c r="B20" s="215" t="s">
        <v>1909</v>
      </c>
      <c r="C20" s="223" t="s">
        <v>2059</v>
      </c>
      <c r="D20" s="214" t="s">
        <v>2060</v>
      </c>
      <c r="E20" s="214" t="s">
        <v>2061</v>
      </c>
      <c r="F20" s="214" t="s">
        <v>2062</v>
      </c>
      <c r="G20" s="214" t="s">
        <v>1959</v>
      </c>
      <c r="H20" s="217" t="s">
        <v>1917</v>
      </c>
      <c r="I20" s="34"/>
      <c r="J20" s="34"/>
      <c r="K20" s="34"/>
      <c r="L20" s="34"/>
      <c r="M20" s="34"/>
      <c r="N20" s="34"/>
      <c r="O20" s="34"/>
      <c r="P20" s="34"/>
      <c r="Q20" s="34"/>
      <c r="R20" s="34"/>
      <c r="S20" s="34"/>
      <c r="T20" s="34"/>
      <c r="U20" s="34"/>
      <c r="V20" s="34"/>
    </row>
    <row r="21">
      <c r="A21" s="214">
        <v>20.0</v>
      </c>
      <c r="B21" s="215" t="s">
        <v>1909</v>
      </c>
      <c r="C21" s="218" t="s">
        <v>2064</v>
      </c>
      <c r="D21" s="214" t="s">
        <v>2065</v>
      </c>
      <c r="E21" s="216" t="s">
        <v>2066</v>
      </c>
      <c r="F21" s="214" t="s">
        <v>2067</v>
      </c>
      <c r="G21" s="214" t="s">
        <v>1914</v>
      </c>
      <c r="H21" s="217" t="s">
        <v>1977</v>
      </c>
      <c r="I21" s="221" t="s">
        <v>2068</v>
      </c>
      <c r="J21" s="212"/>
      <c r="K21" s="212"/>
      <c r="L21" s="212"/>
      <c r="M21" s="212"/>
      <c r="N21" s="212"/>
      <c r="O21" s="212"/>
      <c r="P21" s="212"/>
      <c r="Q21" s="212"/>
      <c r="R21" s="212"/>
      <c r="S21" s="212"/>
      <c r="T21" s="212"/>
      <c r="U21" s="212"/>
      <c r="V21" s="212"/>
      <c r="W21" s="213"/>
      <c r="X21" s="213"/>
      <c r="Y21" s="213"/>
      <c r="Z21" s="213"/>
      <c r="AA21" s="213"/>
    </row>
    <row r="22">
      <c r="A22" s="214">
        <v>21.0</v>
      </c>
      <c r="B22" s="215" t="s">
        <v>1909</v>
      </c>
      <c r="C22" s="223" t="s">
        <v>2070</v>
      </c>
      <c r="D22" s="224" t="s">
        <v>2070</v>
      </c>
      <c r="E22" s="224" t="s">
        <v>2071</v>
      </c>
      <c r="F22" s="224" t="s">
        <v>2072</v>
      </c>
      <c r="G22" s="214" t="s">
        <v>1959</v>
      </c>
      <c r="H22" s="217" t="s">
        <v>1917</v>
      </c>
      <c r="I22" s="221"/>
      <c r="J22" s="212"/>
      <c r="K22" s="212"/>
      <c r="L22" s="212"/>
      <c r="M22" s="212"/>
      <c r="N22" s="212"/>
      <c r="O22" s="212"/>
      <c r="P22" s="212"/>
      <c r="Q22" s="212"/>
      <c r="R22" s="212"/>
      <c r="S22" s="212"/>
      <c r="T22" s="212"/>
      <c r="U22" s="212"/>
      <c r="V22" s="212"/>
      <c r="W22" s="213"/>
      <c r="X22" s="213"/>
      <c r="Y22" s="213"/>
      <c r="Z22" s="213"/>
      <c r="AA22" s="213"/>
    </row>
    <row r="23">
      <c r="A23" s="224">
        <v>22.0</v>
      </c>
      <c r="B23" s="215" t="s">
        <v>1909</v>
      </c>
      <c r="C23" s="223" t="s">
        <v>2073</v>
      </c>
      <c r="D23" s="214" t="s">
        <v>2075</v>
      </c>
      <c r="E23" s="224" t="s">
        <v>2076</v>
      </c>
      <c r="F23" s="214" t="s">
        <v>2077</v>
      </c>
      <c r="G23" s="214" t="s">
        <v>1914</v>
      </c>
      <c r="H23" s="217" t="s">
        <v>1917</v>
      </c>
      <c r="I23" s="34"/>
      <c r="J23" s="34"/>
      <c r="K23" s="34"/>
      <c r="L23" s="34"/>
      <c r="M23" s="34"/>
      <c r="N23" s="34"/>
      <c r="O23" s="34"/>
      <c r="P23" s="34"/>
      <c r="Q23" s="34"/>
      <c r="R23" s="34"/>
      <c r="S23" s="34"/>
      <c r="T23" s="34"/>
      <c r="U23" s="34"/>
      <c r="V23" s="34"/>
    </row>
    <row r="24">
      <c r="A24" s="224">
        <v>23.0</v>
      </c>
      <c r="B24" s="215" t="s">
        <v>1909</v>
      </c>
      <c r="C24" s="223" t="s">
        <v>2078</v>
      </c>
      <c r="D24" s="214" t="s">
        <v>2079</v>
      </c>
      <c r="E24" s="214" t="s">
        <v>2080</v>
      </c>
      <c r="F24" s="214" t="s">
        <v>2081</v>
      </c>
      <c r="G24" s="214" t="s">
        <v>1914</v>
      </c>
      <c r="H24" s="220" t="s">
        <v>1893</v>
      </c>
      <c r="I24" s="34"/>
      <c r="J24" s="34"/>
      <c r="K24" s="34"/>
      <c r="L24" s="34"/>
      <c r="M24" s="34"/>
      <c r="N24" s="34"/>
      <c r="O24" s="34"/>
      <c r="P24" s="34"/>
      <c r="Q24" s="34"/>
      <c r="R24" s="34"/>
      <c r="S24" s="34"/>
      <c r="T24" s="34"/>
      <c r="U24" s="34"/>
      <c r="V24" s="34"/>
    </row>
    <row r="25">
      <c r="A25" s="228">
        <v>24.0</v>
      </c>
      <c r="B25" s="229" t="s">
        <v>1961</v>
      </c>
      <c r="C25" s="230" t="s">
        <v>2083</v>
      </c>
      <c r="D25" s="231" t="s">
        <v>2084</v>
      </c>
      <c r="E25" s="231" t="s">
        <v>2085</v>
      </c>
      <c r="F25" s="231" t="s">
        <v>2086</v>
      </c>
      <c r="G25" s="231" t="s">
        <v>2087</v>
      </c>
      <c r="H25" s="220" t="s">
        <v>1893</v>
      </c>
      <c r="I25" s="221" t="s">
        <v>2088</v>
      </c>
      <c r="J25" s="212"/>
      <c r="K25" s="212"/>
      <c r="L25" s="212"/>
      <c r="M25" s="212"/>
      <c r="N25" s="212"/>
      <c r="O25" s="212"/>
      <c r="P25" s="212"/>
      <c r="Q25" s="212"/>
      <c r="R25" s="212"/>
      <c r="S25" s="212"/>
      <c r="T25" s="212"/>
      <c r="U25" s="212"/>
      <c r="V25" s="212"/>
      <c r="W25" s="213"/>
      <c r="X25" s="213"/>
      <c r="Y25" s="213"/>
      <c r="Z25" s="213"/>
      <c r="AA25" s="213"/>
    </row>
    <row r="26">
      <c r="A26" s="228">
        <v>25.0</v>
      </c>
      <c r="B26" s="229" t="s">
        <v>1961</v>
      </c>
      <c r="C26" s="232" t="s">
        <v>2090</v>
      </c>
      <c r="D26" s="231" t="s">
        <v>2091</v>
      </c>
      <c r="E26" s="231" t="s">
        <v>2092</v>
      </c>
      <c r="F26" s="231" t="s">
        <v>2093</v>
      </c>
      <c r="G26" s="231" t="s">
        <v>1914</v>
      </c>
      <c r="H26" s="220" t="s">
        <v>1893</v>
      </c>
      <c r="I26" s="34"/>
      <c r="J26" s="34"/>
      <c r="K26" s="34"/>
      <c r="L26" s="34"/>
      <c r="M26" s="34"/>
      <c r="N26" s="34"/>
      <c r="O26" s="34"/>
      <c r="P26" s="34"/>
      <c r="Q26" s="34"/>
      <c r="R26" s="34"/>
      <c r="S26" s="34"/>
      <c r="T26" s="34"/>
      <c r="U26" s="34"/>
      <c r="V26" s="34"/>
    </row>
    <row r="27">
      <c r="A27" s="228">
        <v>26.0</v>
      </c>
      <c r="B27" s="229" t="s">
        <v>1961</v>
      </c>
      <c r="C27" s="230" t="s">
        <v>2095</v>
      </c>
      <c r="D27" s="231" t="s">
        <v>2096</v>
      </c>
      <c r="E27" s="231" t="s">
        <v>2097</v>
      </c>
      <c r="F27" s="231" t="s">
        <v>2098</v>
      </c>
      <c r="G27" s="231" t="s">
        <v>2099</v>
      </c>
      <c r="H27" s="220" t="s">
        <v>1893</v>
      </c>
      <c r="I27" s="221" t="s">
        <v>2100</v>
      </c>
      <c r="J27" s="212"/>
      <c r="K27" s="212"/>
      <c r="L27" s="212"/>
      <c r="M27" s="212"/>
      <c r="N27" s="212"/>
      <c r="O27" s="212"/>
      <c r="P27" s="212"/>
      <c r="Q27" s="212"/>
      <c r="R27" s="212"/>
      <c r="S27" s="212"/>
      <c r="T27" s="212"/>
      <c r="U27" s="212"/>
      <c r="V27" s="212"/>
      <c r="W27" s="213"/>
      <c r="X27" s="213"/>
      <c r="Y27" s="213"/>
      <c r="Z27" s="213"/>
      <c r="AA27" s="213"/>
    </row>
    <row r="28">
      <c r="A28" s="228">
        <v>27.0</v>
      </c>
      <c r="B28" s="229" t="s">
        <v>1961</v>
      </c>
      <c r="C28" s="232" t="s">
        <v>2101</v>
      </c>
      <c r="D28" s="231" t="s">
        <v>2102</v>
      </c>
      <c r="E28" s="231" t="s">
        <v>2103</v>
      </c>
      <c r="F28" s="231" t="s">
        <v>2105</v>
      </c>
      <c r="G28" s="231" t="s">
        <v>1914</v>
      </c>
      <c r="H28" s="220" t="s">
        <v>1893</v>
      </c>
      <c r="I28" s="34"/>
      <c r="J28" s="34"/>
      <c r="K28" s="34"/>
      <c r="L28" s="34"/>
      <c r="M28" s="34"/>
      <c r="N28" s="34"/>
      <c r="O28" s="34"/>
      <c r="P28" s="34"/>
      <c r="Q28" s="34"/>
      <c r="R28" s="34"/>
      <c r="S28" s="34"/>
      <c r="T28" s="34"/>
      <c r="U28" s="34"/>
      <c r="V28" s="34"/>
    </row>
    <row r="29">
      <c r="A29" s="228">
        <v>28.0</v>
      </c>
      <c r="B29" s="229" t="s">
        <v>1961</v>
      </c>
      <c r="C29" s="230" t="s">
        <v>2106</v>
      </c>
      <c r="D29" s="231" t="s">
        <v>2107</v>
      </c>
      <c r="E29" s="231" t="s">
        <v>2108</v>
      </c>
      <c r="F29" s="231" t="s">
        <v>2109</v>
      </c>
      <c r="G29" s="231" t="s">
        <v>1914</v>
      </c>
      <c r="H29" s="220" t="s">
        <v>1893</v>
      </c>
      <c r="I29" s="221" t="s">
        <v>2110</v>
      </c>
      <c r="J29" s="212"/>
      <c r="K29" s="212"/>
      <c r="L29" s="212"/>
      <c r="M29" s="212"/>
      <c r="N29" s="212"/>
      <c r="O29" s="212"/>
      <c r="P29" s="212"/>
      <c r="Q29" s="212"/>
      <c r="R29" s="212"/>
      <c r="S29" s="212"/>
      <c r="T29" s="212"/>
      <c r="U29" s="212"/>
      <c r="V29" s="212"/>
      <c r="W29" s="213"/>
      <c r="X29" s="213"/>
      <c r="Y29" s="213"/>
      <c r="Z29" s="213"/>
      <c r="AA29" s="213"/>
    </row>
    <row r="30">
      <c r="A30" s="228">
        <v>29.0</v>
      </c>
      <c r="B30" s="229" t="s">
        <v>1961</v>
      </c>
      <c r="C30" s="230" t="s">
        <v>2112</v>
      </c>
      <c r="D30" s="231" t="s">
        <v>2113</v>
      </c>
      <c r="E30" s="231" t="s">
        <v>2114</v>
      </c>
      <c r="F30" s="231" t="s">
        <v>2115</v>
      </c>
      <c r="G30" s="231" t="s">
        <v>2116</v>
      </c>
      <c r="H30" s="220" t="s">
        <v>1893</v>
      </c>
      <c r="I30" s="221" t="s">
        <v>2117</v>
      </c>
      <c r="J30" s="212"/>
      <c r="K30" s="212"/>
      <c r="L30" s="212"/>
      <c r="M30" s="212"/>
      <c r="N30" s="212"/>
      <c r="O30" s="212"/>
      <c r="P30" s="212"/>
      <c r="Q30" s="212"/>
      <c r="R30" s="212"/>
      <c r="S30" s="212"/>
      <c r="T30" s="212"/>
      <c r="U30" s="212"/>
      <c r="V30" s="212"/>
      <c r="W30" s="213"/>
      <c r="X30" s="213"/>
      <c r="Y30" s="213"/>
      <c r="Z30" s="213"/>
      <c r="AA30" s="213"/>
    </row>
    <row r="31">
      <c r="A31" s="228">
        <v>30.0</v>
      </c>
      <c r="B31" s="229" t="s">
        <v>1961</v>
      </c>
      <c r="C31" s="230" t="s">
        <v>2133</v>
      </c>
      <c r="D31" s="231" t="s">
        <v>2134</v>
      </c>
      <c r="E31" s="231" t="s">
        <v>2135</v>
      </c>
      <c r="F31" s="231" t="s">
        <v>2136</v>
      </c>
      <c r="G31" s="231" t="s">
        <v>1914</v>
      </c>
      <c r="H31" s="220" t="s">
        <v>1893</v>
      </c>
      <c r="I31" s="34"/>
      <c r="J31" s="34"/>
      <c r="K31" s="34"/>
      <c r="L31" s="34"/>
      <c r="M31" s="34"/>
      <c r="N31" s="34"/>
      <c r="O31" s="34"/>
      <c r="P31" s="34"/>
      <c r="Q31" s="34"/>
      <c r="R31" s="34"/>
      <c r="S31" s="34"/>
      <c r="T31" s="34"/>
      <c r="U31" s="34"/>
      <c r="V31" s="34"/>
    </row>
    <row r="32">
      <c r="A32" s="228">
        <v>31.0</v>
      </c>
      <c r="B32" s="229" t="s">
        <v>1961</v>
      </c>
      <c r="C32" s="230" t="s">
        <v>2139</v>
      </c>
      <c r="D32" s="231" t="s">
        <v>2140</v>
      </c>
      <c r="E32" s="231" t="s">
        <v>2141</v>
      </c>
      <c r="F32" s="231" t="s">
        <v>2142</v>
      </c>
      <c r="G32" s="231" t="s">
        <v>1914</v>
      </c>
      <c r="H32" s="220" t="s">
        <v>1893</v>
      </c>
      <c r="I32" s="221" t="s">
        <v>2143</v>
      </c>
      <c r="J32" s="212"/>
      <c r="K32" s="212"/>
      <c r="L32" s="212"/>
      <c r="M32" s="212"/>
      <c r="N32" s="212"/>
      <c r="O32" s="212"/>
      <c r="P32" s="212"/>
      <c r="Q32" s="212"/>
      <c r="R32" s="212"/>
      <c r="S32" s="212"/>
      <c r="T32" s="212"/>
      <c r="U32" s="212"/>
      <c r="V32" s="212"/>
      <c r="W32" s="213"/>
      <c r="X32" s="213"/>
      <c r="Y32" s="213"/>
      <c r="Z32" s="213"/>
      <c r="AA32" s="213"/>
    </row>
    <row r="33">
      <c r="A33" s="228">
        <v>32.0</v>
      </c>
      <c r="B33" s="229" t="s">
        <v>1961</v>
      </c>
      <c r="C33" s="230" t="s">
        <v>2144</v>
      </c>
      <c r="D33" s="231" t="s">
        <v>2145</v>
      </c>
      <c r="E33" s="231" t="s">
        <v>2146</v>
      </c>
      <c r="F33" s="231" t="s">
        <v>2147</v>
      </c>
      <c r="G33" s="231" t="s">
        <v>1914</v>
      </c>
      <c r="H33" s="220" t="s">
        <v>1893</v>
      </c>
      <c r="I33" s="221" t="s">
        <v>2148</v>
      </c>
      <c r="J33" s="212"/>
      <c r="K33" s="212"/>
      <c r="L33" s="212"/>
      <c r="M33" s="212"/>
      <c r="N33" s="212"/>
      <c r="O33" s="212"/>
      <c r="P33" s="212"/>
      <c r="Q33" s="212"/>
      <c r="R33" s="212"/>
      <c r="S33" s="212"/>
      <c r="T33" s="212"/>
      <c r="U33" s="212"/>
      <c r="V33" s="212"/>
      <c r="W33" s="213"/>
      <c r="X33" s="213"/>
      <c r="Y33" s="213"/>
      <c r="Z33" s="213"/>
      <c r="AA33" s="213"/>
    </row>
    <row r="34">
      <c r="A34" s="228">
        <v>33.0</v>
      </c>
      <c r="B34" s="229" t="s">
        <v>1961</v>
      </c>
      <c r="C34" s="232" t="s">
        <v>2177</v>
      </c>
      <c r="D34" s="231" t="s">
        <v>2107</v>
      </c>
      <c r="E34" s="231" t="s">
        <v>2108</v>
      </c>
      <c r="F34" s="231" t="s">
        <v>2178</v>
      </c>
      <c r="G34" s="231" t="s">
        <v>1914</v>
      </c>
      <c r="H34" s="220" t="s">
        <v>1893</v>
      </c>
      <c r="I34" s="221" t="s">
        <v>2181</v>
      </c>
      <c r="J34" s="212"/>
      <c r="K34" s="212"/>
      <c r="L34" s="212"/>
      <c r="M34" s="212"/>
      <c r="N34" s="212"/>
      <c r="O34" s="212"/>
      <c r="P34" s="212"/>
      <c r="Q34" s="212"/>
      <c r="R34" s="212"/>
      <c r="S34" s="212"/>
      <c r="T34" s="212"/>
      <c r="U34" s="212"/>
      <c r="V34" s="212"/>
      <c r="W34" s="213"/>
      <c r="X34" s="213"/>
      <c r="Y34" s="213"/>
      <c r="Z34" s="213"/>
      <c r="AA34" s="213"/>
    </row>
    <row r="35">
      <c r="A35" s="228">
        <v>34.0</v>
      </c>
      <c r="B35" s="229" t="s">
        <v>1961</v>
      </c>
      <c r="C35" s="230" t="s">
        <v>2183</v>
      </c>
      <c r="D35" s="231" t="s">
        <v>2184</v>
      </c>
      <c r="E35" s="231" t="s">
        <v>2186</v>
      </c>
      <c r="F35" s="231" t="s">
        <v>2187</v>
      </c>
      <c r="G35" s="231" t="s">
        <v>2008</v>
      </c>
      <c r="H35" s="220" t="s">
        <v>1893</v>
      </c>
      <c r="I35" s="221" t="s">
        <v>2188</v>
      </c>
      <c r="J35" s="212"/>
      <c r="K35" s="212"/>
      <c r="L35" s="212"/>
      <c r="M35" s="212"/>
      <c r="N35" s="212"/>
      <c r="O35" s="212"/>
      <c r="P35" s="212"/>
      <c r="Q35" s="212"/>
      <c r="R35" s="212"/>
      <c r="S35" s="212"/>
      <c r="T35" s="212"/>
      <c r="U35" s="212"/>
      <c r="V35" s="212"/>
      <c r="W35" s="213"/>
      <c r="X35" s="213"/>
      <c r="Y35" s="213"/>
      <c r="Z35" s="213"/>
      <c r="AA35" s="213"/>
    </row>
    <row r="36">
      <c r="A36" s="228">
        <v>35.0</v>
      </c>
      <c r="B36" s="229" t="s">
        <v>1961</v>
      </c>
      <c r="C36" s="230" t="s">
        <v>2191</v>
      </c>
      <c r="D36" s="231" t="s">
        <v>2192</v>
      </c>
      <c r="E36" s="231" t="s">
        <v>2193</v>
      </c>
      <c r="F36" s="231" t="s">
        <v>2194</v>
      </c>
      <c r="G36" s="231" t="s">
        <v>1914</v>
      </c>
      <c r="H36" s="220" t="s">
        <v>1893</v>
      </c>
      <c r="I36" s="221" t="s">
        <v>2195</v>
      </c>
      <c r="J36" s="212"/>
      <c r="K36" s="212"/>
      <c r="L36" s="212"/>
      <c r="M36" s="212"/>
      <c r="N36" s="212"/>
      <c r="O36" s="212"/>
      <c r="P36" s="212"/>
      <c r="Q36" s="212"/>
      <c r="R36" s="212"/>
      <c r="S36" s="212"/>
      <c r="T36" s="212"/>
      <c r="U36" s="212"/>
      <c r="V36" s="212"/>
      <c r="W36" s="213"/>
      <c r="X36" s="213"/>
      <c r="Y36" s="213"/>
      <c r="Z36" s="213"/>
      <c r="AA36" s="213"/>
    </row>
    <row r="37">
      <c r="A37" s="228">
        <v>36.0</v>
      </c>
      <c r="B37" s="229" t="s">
        <v>1961</v>
      </c>
      <c r="C37" s="232" t="s">
        <v>2198</v>
      </c>
      <c r="D37" s="231" t="s">
        <v>2199</v>
      </c>
      <c r="E37" s="231" t="s">
        <v>2200</v>
      </c>
      <c r="F37" s="231" t="s">
        <v>2201</v>
      </c>
      <c r="G37" s="231" t="s">
        <v>1914</v>
      </c>
      <c r="H37" s="220" t="s">
        <v>1893</v>
      </c>
      <c r="I37" s="34"/>
      <c r="J37" s="34"/>
      <c r="K37" s="34"/>
      <c r="L37" s="34"/>
      <c r="M37" s="34"/>
      <c r="N37" s="34"/>
      <c r="O37" s="34"/>
      <c r="P37" s="34"/>
      <c r="Q37" s="34"/>
      <c r="R37" s="34"/>
      <c r="S37" s="34"/>
      <c r="T37" s="34"/>
      <c r="U37" s="34"/>
      <c r="V37" s="34"/>
    </row>
    <row r="38">
      <c r="A38" s="228">
        <v>37.0</v>
      </c>
      <c r="B38" s="229" t="s">
        <v>1961</v>
      </c>
      <c r="C38" s="232" t="s">
        <v>2215</v>
      </c>
      <c r="D38" s="231" t="s">
        <v>2216</v>
      </c>
      <c r="E38" s="231" t="s">
        <v>2217</v>
      </c>
      <c r="F38" s="231" t="s">
        <v>2218</v>
      </c>
      <c r="G38" s="231" t="s">
        <v>1914</v>
      </c>
      <c r="H38" s="220" t="s">
        <v>1893</v>
      </c>
      <c r="I38" s="34"/>
      <c r="J38" s="34"/>
      <c r="K38" s="34"/>
      <c r="L38" s="34"/>
      <c r="M38" s="34"/>
      <c r="N38" s="34"/>
      <c r="O38" s="34"/>
      <c r="P38" s="34"/>
      <c r="Q38" s="34"/>
      <c r="R38" s="34"/>
      <c r="S38" s="34"/>
      <c r="T38" s="34"/>
      <c r="U38" s="34"/>
      <c r="V38" s="34"/>
    </row>
    <row r="39">
      <c r="A39" s="228">
        <v>38.0</v>
      </c>
      <c r="B39" s="229" t="s">
        <v>1961</v>
      </c>
      <c r="C39" s="230" t="s">
        <v>2220</v>
      </c>
      <c r="D39" s="231" t="s">
        <v>2221</v>
      </c>
      <c r="E39" s="231" t="s">
        <v>2222</v>
      </c>
      <c r="F39" s="231" t="s">
        <v>1921</v>
      </c>
      <c r="G39" s="231" t="s">
        <v>2223</v>
      </c>
      <c r="H39" s="220" t="s">
        <v>1893</v>
      </c>
      <c r="I39" s="221" t="s">
        <v>2224</v>
      </c>
      <c r="J39" s="212"/>
      <c r="K39" s="212"/>
      <c r="L39" s="212"/>
      <c r="M39" s="212"/>
      <c r="N39" s="212"/>
      <c r="O39" s="212"/>
      <c r="P39" s="212"/>
      <c r="Q39" s="212"/>
      <c r="R39" s="212"/>
      <c r="S39" s="212"/>
      <c r="T39" s="212"/>
      <c r="U39" s="212"/>
      <c r="V39" s="212"/>
      <c r="W39" s="213"/>
      <c r="X39" s="213"/>
      <c r="Y39" s="213"/>
      <c r="Z39" s="213"/>
      <c r="AA39" s="213"/>
    </row>
    <row r="40">
      <c r="A40" s="228">
        <v>39.0</v>
      </c>
      <c r="B40" s="229" t="s">
        <v>1961</v>
      </c>
      <c r="C40" s="230" t="s">
        <v>2225</v>
      </c>
      <c r="D40" s="231" t="s">
        <v>2226</v>
      </c>
      <c r="E40" s="231" t="s">
        <v>2227</v>
      </c>
      <c r="F40" s="231" t="s">
        <v>2228</v>
      </c>
      <c r="G40" s="231" t="s">
        <v>1914</v>
      </c>
      <c r="H40" s="220" t="s">
        <v>1893</v>
      </c>
      <c r="I40" s="221" t="s">
        <v>2229</v>
      </c>
      <c r="J40" s="212"/>
      <c r="K40" s="212"/>
      <c r="L40" s="212"/>
      <c r="M40" s="212"/>
      <c r="N40" s="212"/>
      <c r="O40" s="212"/>
      <c r="P40" s="212"/>
      <c r="Q40" s="212"/>
      <c r="R40" s="212"/>
      <c r="S40" s="212"/>
      <c r="T40" s="212"/>
      <c r="U40" s="212"/>
      <c r="V40" s="212"/>
      <c r="W40" s="213"/>
      <c r="X40" s="213"/>
      <c r="Y40" s="213"/>
      <c r="Z40" s="213"/>
      <c r="AA40" s="213"/>
    </row>
    <row r="41">
      <c r="A41" s="228">
        <v>40.0</v>
      </c>
      <c r="B41" s="229" t="s">
        <v>1961</v>
      </c>
      <c r="C41" s="230" t="s">
        <v>2231</v>
      </c>
      <c r="D41" s="231" t="s">
        <v>2232</v>
      </c>
      <c r="E41" s="231" t="s">
        <v>2233</v>
      </c>
      <c r="F41" s="231" t="s">
        <v>2234</v>
      </c>
      <c r="G41" s="231" t="s">
        <v>1914</v>
      </c>
      <c r="H41" s="220" t="s">
        <v>1893</v>
      </c>
      <c r="I41" s="221" t="s">
        <v>2235</v>
      </c>
      <c r="J41" s="212"/>
      <c r="K41" s="212"/>
      <c r="L41" s="212"/>
      <c r="M41" s="212"/>
      <c r="N41" s="212"/>
      <c r="O41" s="212"/>
      <c r="P41" s="212"/>
      <c r="Q41" s="212"/>
      <c r="R41" s="212"/>
      <c r="S41" s="212"/>
      <c r="T41" s="212"/>
      <c r="U41" s="212"/>
      <c r="V41" s="212"/>
      <c r="W41" s="213"/>
      <c r="X41" s="213"/>
      <c r="Y41" s="213"/>
      <c r="Z41" s="213"/>
      <c r="AA41" s="213"/>
    </row>
    <row r="42">
      <c r="A42" s="228">
        <v>41.0</v>
      </c>
      <c r="B42" s="229" t="s">
        <v>1961</v>
      </c>
      <c r="C42" s="232" t="s">
        <v>2236</v>
      </c>
      <c r="D42" s="231" t="s">
        <v>2238</v>
      </c>
      <c r="E42" s="231" t="s">
        <v>2239</v>
      </c>
      <c r="F42" s="231" t="s">
        <v>2240</v>
      </c>
      <c r="G42" s="231" t="s">
        <v>1914</v>
      </c>
      <c r="H42" s="220" t="s">
        <v>1893</v>
      </c>
      <c r="I42" s="34"/>
      <c r="J42" s="34"/>
      <c r="K42" s="34"/>
      <c r="L42" s="34"/>
      <c r="M42" s="34"/>
      <c r="N42" s="34"/>
      <c r="O42" s="34"/>
      <c r="P42" s="34"/>
      <c r="Q42" s="34"/>
      <c r="R42" s="34"/>
      <c r="S42" s="34"/>
      <c r="T42" s="34"/>
      <c r="U42" s="34"/>
      <c r="V42" s="34"/>
    </row>
    <row r="43">
      <c r="A43" s="228">
        <v>42.0</v>
      </c>
      <c r="B43" s="229" t="s">
        <v>1961</v>
      </c>
      <c r="C43" s="230" t="s">
        <v>2241</v>
      </c>
      <c r="D43" s="231" t="s">
        <v>2242</v>
      </c>
      <c r="E43" s="231" t="s">
        <v>2243</v>
      </c>
      <c r="F43" s="231" t="s">
        <v>2244</v>
      </c>
      <c r="G43" s="231" t="s">
        <v>1914</v>
      </c>
      <c r="H43" s="220" t="s">
        <v>1893</v>
      </c>
      <c r="I43" s="221" t="s">
        <v>2245</v>
      </c>
      <c r="J43" s="212"/>
      <c r="K43" s="212"/>
      <c r="L43" s="212"/>
      <c r="M43" s="212"/>
      <c r="N43" s="212"/>
      <c r="O43" s="212"/>
      <c r="P43" s="212"/>
      <c r="Q43" s="212"/>
      <c r="R43" s="212"/>
      <c r="S43" s="212"/>
      <c r="T43" s="212"/>
      <c r="U43" s="212"/>
      <c r="V43" s="212"/>
      <c r="W43" s="213"/>
      <c r="X43" s="213"/>
      <c r="Y43" s="213"/>
      <c r="Z43" s="213"/>
      <c r="AA43" s="213"/>
    </row>
    <row r="44">
      <c r="A44" s="228">
        <v>43.0</v>
      </c>
      <c r="B44" s="229" t="s">
        <v>1961</v>
      </c>
      <c r="C44" s="232" t="s">
        <v>2247</v>
      </c>
      <c r="D44" s="231" t="s">
        <v>2248</v>
      </c>
      <c r="E44" s="231" t="s">
        <v>2249</v>
      </c>
      <c r="F44" s="231" t="s">
        <v>2250</v>
      </c>
      <c r="G44" s="231" t="s">
        <v>1959</v>
      </c>
      <c r="H44" s="220" t="s">
        <v>1893</v>
      </c>
      <c r="I44" s="34"/>
      <c r="J44" s="34"/>
      <c r="K44" s="34"/>
      <c r="L44" s="34"/>
      <c r="M44" s="34"/>
      <c r="N44" s="34"/>
      <c r="O44" s="34"/>
      <c r="P44" s="34"/>
      <c r="Q44" s="34"/>
      <c r="R44" s="34"/>
      <c r="S44" s="34"/>
      <c r="T44" s="34"/>
      <c r="U44" s="34"/>
      <c r="V44" s="34"/>
    </row>
    <row r="45">
      <c r="A45" s="228">
        <v>44.0</v>
      </c>
      <c r="B45" s="229" t="s">
        <v>1961</v>
      </c>
      <c r="C45" s="232" t="s">
        <v>2253</v>
      </c>
      <c r="D45" s="231" t="s">
        <v>2254</v>
      </c>
      <c r="E45" s="231" t="s">
        <v>2255</v>
      </c>
      <c r="F45" s="231" t="s">
        <v>2256</v>
      </c>
      <c r="G45" s="231" t="s">
        <v>1914</v>
      </c>
      <c r="H45" s="220" t="s">
        <v>1893</v>
      </c>
      <c r="I45" s="34"/>
      <c r="J45" s="34"/>
      <c r="K45" s="34"/>
      <c r="L45" s="34"/>
      <c r="M45" s="34"/>
      <c r="N45" s="34"/>
      <c r="O45" s="34"/>
      <c r="P45" s="34"/>
      <c r="Q45" s="34"/>
      <c r="R45" s="34"/>
      <c r="S45" s="34"/>
      <c r="T45" s="34"/>
      <c r="U45" s="34"/>
      <c r="V45" s="34"/>
    </row>
    <row r="46">
      <c r="A46" s="258">
        <v>45.0</v>
      </c>
      <c r="B46" s="258" t="s">
        <v>1947</v>
      </c>
      <c r="C46" s="259" t="s">
        <v>2261</v>
      </c>
      <c r="D46" s="261" t="s">
        <v>2262</v>
      </c>
      <c r="E46" s="261" t="s">
        <v>2263</v>
      </c>
      <c r="F46" s="261" t="s">
        <v>1921</v>
      </c>
      <c r="G46" s="261" t="s">
        <v>2223</v>
      </c>
      <c r="H46" s="220" t="s">
        <v>1917</v>
      </c>
      <c r="I46" s="221" t="s">
        <v>2265</v>
      </c>
      <c r="J46" s="211" t="s">
        <v>2267</v>
      </c>
      <c r="K46" s="212"/>
      <c r="L46" s="212"/>
      <c r="M46" s="212"/>
      <c r="N46" s="212"/>
      <c r="O46" s="212"/>
      <c r="P46" s="212"/>
      <c r="Q46" s="212"/>
      <c r="R46" s="212"/>
      <c r="S46" s="212"/>
      <c r="T46" s="212"/>
      <c r="U46" s="212"/>
      <c r="V46" s="212"/>
      <c r="W46" s="213"/>
      <c r="X46" s="213"/>
      <c r="Y46" s="213"/>
      <c r="Z46" s="213"/>
      <c r="AA46" s="213"/>
    </row>
    <row r="47">
      <c r="A47" s="258">
        <v>46.0</v>
      </c>
      <c r="B47" s="258" t="s">
        <v>1947</v>
      </c>
      <c r="C47" s="259" t="s">
        <v>2274</v>
      </c>
      <c r="D47" s="261" t="s">
        <v>2275</v>
      </c>
      <c r="E47" s="261" t="s">
        <v>2276</v>
      </c>
      <c r="F47" s="262" t="s">
        <v>2277</v>
      </c>
      <c r="G47" s="261" t="s">
        <v>1914</v>
      </c>
      <c r="H47" s="220" t="s">
        <v>1917</v>
      </c>
      <c r="I47" s="221" t="s">
        <v>2278</v>
      </c>
      <c r="J47" s="212"/>
      <c r="K47" s="212"/>
      <c r="L47" s="212"/>
      <c r="M47" s="212"/>
      <c r="N47" s="212"/>
      <c r="O47" s="212"/>
      <c r="P47" s="212"/>
      <c r="Q47" s="212"/>
      <c r="R47" s="212"/>
      <c r="S47" s="212"/>
      <c r="T47" s="212"/>
      <c r="U47" s="212"/>
      <c r="V47" s="212"/>
      <c r="W47" s="213"/>
      <c r="X47" s="213"/>
      <c r="Y47" s="213"/>
      <c r="Z47" s="213"/>
      <c r="AA47" s="213"/>
    </row>
    <row r="48">
      <c r="A48" s="258">
        <v>47.0</v>
      </c>
      <c r="B48" s="262" t="s">
        <v>1947</v>
      </c>
      <c r="C48" s="263" t="s">
        <v>2279</v>
      </c>
      <c r="D48" s="262" t="s">
        <v>2280</v>
      </c>
      <c r="E48" s="262" t="s">
        <v>2282</v>
      </c>
      <c r="F48" s="262" t="s">
        <v>2283</v>
      </c>
      <c r="G48" s="261" t="s">
        <v>2284</v>
      </c>
      <c r="H48" s="220" t="s">
        <v>1893</v>
      </c>
      <c r="I48" s="34"/>
      <c r="J48" s="34"/>
      <c r="K48" s="34"/>
      <c r="L48" s="34"/>
      <c r="M48" s="34"/>
      <c r="N48" s="34"/>
      <c r="O48" s="34"/>
      <c r="P48" s="34"/>
      <c r="Q48" s="34"/>
      <c r="R48" s="34"/>
      <c r="S48" s="34"/>
      <c r="T48" s="34"/>
      <c r="U48" s="34"/>
      <c r="V48" s="34"/>
    </row>
    <row r="49">
      <c r="A49" s="258">
        <v>48.0</v>
      </c>
      <c r="B49" s="262" t="s">
        <v>1947</v>
      </c>
      <c r="C49" s="263" t="s">
        <v>2285</v>
      </c>
      <c r="D49" s="261" t="s">
        <v>2286</v>
      </c>
      <c r="E49" s="261">
        <v>8.90924167E8</v>
      </c>
      <c r="F49" s="262" t="s">
        <v>2287</v>
      </c>
      <c r="G49" s="261" t="s">
        <v>2284</v>
      </c>
      <c r="H49" s="220" t="s">
        <v>1893</v>
      </c>
      <c r="I49" s="123" t="s">
        <v>2288</v>
      </c>
      <c r="J49" s="212" t="s">
        <v>2289</v>
      </c>
      <c r="K49" s="34"/>
      <c r="L49" s="34"/>
      <c r="M49" s="34"/>
      <c r="N49" s="34"/>
      <c r="O49" s="34"/>
      <c r="P49" s="34"/>
      <c r="Q49" s="34"/>
      <c r="R49" s="34"/>
      <c r="S49" s="34"/>
      <c r="T49" s="34"/>
      <c r="U49" s="34"/>
      <c r="V49" s="34"/>
    </row>
    <row r="50">
      <c r="A50" s="258">
        <v>49.0</v>
      </c>
      <c r="B50" s="258" t="s">
        <v>1947</v>
      </c>
      <c r="C50" s="259" t="s">
        <v>2293</v>
      </c>
      <c r="D50" s="261" t="s">
        <v>2294</v>
      </c>
      <c r="E50" s="261" t="s">
        <v>2295</v>
      </c>
      <c r="F50" s="262" t="s">
        <v>2277</v>
      </c>
      <c r="G50" s="261" t="s">
        <v>1959</v>
      </c>
      <c r="H50" s="220" t="s">
        <v>1893</v>
      </c>
      <c r="I50" s="221" t="s">
        <v>2296</v>
      </c>
      <c r="J50" s="212" t="s">
        <v>2289</v>
      </c>
      <c r="K50" s="212"/>
      <c r="L50" s="212"/>
      <c r="M50" s="212"/>
      <c r="N50" s="212"/>
      <c r="O50" s="212"/>
      <c r="P50" s="212"/>
      <c r="Q50" s="212"/>
      <c r="R50" s="212"/>
      <c r="S50" s="212"/>
      <c r="T50" s="212"/>
      <c r="U50" s="212"/>
      <c r="V50" s="212"/>
      <c r="W50" s="213"/>
      <c r="X50" s="213"/>
      <c r="Y50" s="213"/>
      <c r="Z50" s="213"/>
      <c r="AA50" s="213"/>
    </row>
    <row r="51">
      <c r="A51" s="258">
        <v>50.0</v>
      </c>
      <c r="B51" s="258" t="s">
        <v>1947</v>
      </c>
      <c r="C51" s="259" t="s">
        <v>2302</v>
      </c>
      <c r="D51" s="261" t="s">
        <v>2303</v>
      </c>
      <c r="E51" s="261" t="s">
        <v>2305</v>
      </c>
      <c r="F51" s="261" t="s">
        <v>2307</v>
      </c>
      <c r="G51" s="261" t="s">
        <v>1959</v>
      </c>
      <c r="H51" s="220" t="s">
        <v>1893</v>
      </c>
      <c r="I51" s="221" t="s">
        <v>2309</v>
      </c>
      <c r="J51" s="212" t="s">
        <v>2311</v>
      </c>
      <c r="K51" s="212"/>
      <c r="L51" s="212"/>
      <c r="M51" s="212"/>
      <c r="N51" s="212"/>
      <c r="O51" s="212"/>
      <c r="P51" s="212"/>
      <c r="Q51" s="212"/>
      <c r="R51" s="212"/>
      <c r="S51" s="212"/>
      <c r="T51" s="212"/>
      <c r="U51" s="212"/>
      <c r="V51" s="212"/>
      <c r="W51" s="213"/>
      <c r="X51" s="213"/>
      <c r="Y51" s="213"/>
      <c r="Z51" s="213"/>
      <c r="AA51" s="213"/>
    </row>
    <row r="52">
      <c r="A52" s="258">
        <v>51.0</v>
      </c>
      <c r="B52" s="262" t="s">
        <v>1947</v>
      </c>
      <c r="C52" s="263" t="s">
        <v>2313</v>
      </c>
      <c r="D52" s="261" t="s">
        <v>2314</v>
      </c>
      <c r="E52" s="261" t="s">
        <v>2315</v>
      </c>
      <c r="F52" s="261" t="s">
        <v>2316</v>
      </c>
      <c r="G52" s="261" t="s">
        <v>1959</v>
      </c>
      <c r="H52" s="220" t="s">
        <v>1893</v>
      </c>
      <c r="I52" s="34"/>
      <c r="J52" s="34"/>
      <c r="K52" s="34"/>
      <c r="L52" s="34"/>
      <c r="M52" s="34"/>
      <c r="N52" s="34"/>
      <c r="O52" s="34"/>
      <c r="P52" s="34"/>
      <c r="Q52" s="34"/>
      <c r="R52" s="34"/>
      <c r="S52" s="34"/>
      <c r="T52" s="34"/>
      <c r="U52" s="34"/>
      <c r="V52" s="34"/>
    </row>
    <row r="53">
      <c r="A53" s="258">
        <v>52.0</v>
      </c>
      <c r="B53" s="258" t="s">
        <v>1947</v>
      </c>
      <c r="C53" s="259" t="s">
        <v>2318</v>
      </c>
      <c r="D53" s="261" t="s">
        <v>2319</v>
      </c>
      <c r="E53" s="261" t="s">
        <v>2320</v>
      </c>
      <c r="F53" s="262" t="s">
        <v>2321</v>
      </c>
      <c r="G53" s="261" t="s">
        <v>1959</v>
      </c>
      <c r="H53" s="220" t="s">
        <v>1917</v>
      </c>
      <c r="I53" s="221" t="s">
        <v>2322</v>
      </c>
      <c r="J53" s="212"/>
      <c r="K53" s="212"/>
      <c r="L53" s="212"/>
      <c r="M53" s="212"/>
      <c r="N53" s="212"/>
      <c r="O53" s="212"/>
      <c r="P53" s="212"/>
      <c r="Q53" s="212"/>
      <c r="R53" s="212"/>
      <c r="S53" s="212"/>
      <c r="T53" s="212"/>
      <c r="U53" s="212"/>
      <c r="V53" s="212"/>
      <c r="W53" s="213"/>
      <c r="X53" s="213"/>
      <c r="Y53" s="213"/>
      <c r="Z53" s="213"/>
      <c r="AA53" s="213"/>
    </row>
    <row r="54">
      <c r="A54" s="258">
        <v>53.0</v>
      </c>
      <c r="B54" s="258" t="s">
        <v>1947</v>
      </c>
      <c r="C54" s="259" t="s">
        <v>2323</v>
      </c>
      <c r="D54" s="261" t="s">
        <v>2324</v>
      </c>
      <c r="E54" s="261" t="s">
        <v>2325</v>
      </c>
      <c r="F54" s="262" t="s">
        <v>2277</v>
      </c>
      <c r="G54" s="261" t="s">
        <v>1959</v>
      </c>
      <c r="H54" s="220" t="s">
        <v>1893</v>
      </c>
      <c r="I54" s="221" t="s">
        <v>2327</v>
      </c>
      <c r="J54" s="212" t="s">
        <v>2329</v>
      </c>
      <c r="K54" s="212"/>
      <c r="L54" s="212"/>
      <c r="M54" s="212"/>
      <c r="N54" s="212"/>
      <c r="O54" s="212"/>
      <c r="P54" s="212"/>
      <c r="Q54" s="212"/>
      <c r="R54" s="212"/>
      <c r="S54" s="212"/>
      <c r="T54" s="212"/>
      <c r="U54" s="212"/>
      <c r="V54" s="212"/>
      <c r="W54" s="213"/>
      <c r="X54" s="213"/>
      <c r="Y54" s="213"/>
      <c r="Z54" s="213"/>
      <c r="AA54" s="213"/>
    </row>
    <row r="55">
      <c r="A55" s="258">
        <v>54.0</v>
      </c>
      <c r="B55" s="258" t="s">
        <v>1947</v>
      </c>
      <c r="C55" s="259" t="s">
        <v>2331</v>
      </c>
      <c r="D55" s="261" t="s">
        <v>2332</v>
      </c>
      <c r="E55" s="261" t="s">
        <v>2333</v>
      </c>
      <c r="F55" s="262" t="s">
        <v>2334</v>
      </c>
      <c r="G55" s="261" t="s">
        <v>1959</v>
      </c>
      <c r="H55" s="220" t="s">
        <v>1917</v>
      </c>
      <c r="I55" s="221" t="s">
        <v>2335</v>
      </c>
      <c r="J55" s="212" t="s">
        <v>2336</v>
      </c>
      <c r="K55" s="212"/>
      <c r="L55" s="212" t="s">
        <v>2337</v>
      </c>
      <c r="M55" s="212"/>
      <c r="N55" s="212"/>
      <c r="O55" s="212"/>
      <c r="P55" s="212"/>
      <c r="Q55" s="212"/>
      <c r="R55" s="212"/>
      <c r="S55" s="212"/>
      <c r="T55" s="212"/>
      <c r="U55" s="212"/>
      <c r="V55" s="212"/>
      <c r="W55" s="213"/>
      <c r="X55" s="213"/>
      <c r="Y55" s="213"/>
      <c r="Z55" s="213"/>
      <c r="AA55" s="213"/>
    </row>
    <row r="56">
      <c r="A56" s="258">
        <v>55.0</v>
      </c>
      <c r="B56" s="258" t="s">
        <v>1947</v>
      </c>
      <c r="C56" s="259" t="s">
        <v>2341</v>
      </c>
      <c r="D56" s="261" t="s">
        <v>2342</v>
      </c>
      <c r="E56" s="261" t="s">
        <v>2343</v>
      </c>
      <c r="F56" s="262" t="s">
        <v>2277</v>
      </c>
      <c r="G56" s="261" t="s">
        <v>1959</v>
      </c>
      <c r="H56" s="220" t="s">
        <v>1917</v>
      </c>
      <c r="I56" s="221" t="s">
        <v>2344</v>
      </c>
      <c r="J56" s="212"/>
      <c r="K56" s="212"/>
      <c r="L56" s="212"/>
      <c r="M56" s="212"/>
      <c r="N56" s="212"/>
      <c r="O56" s="212"/>
      <c r="P56" s="212"/>
      <c r="Q56" s="212"/>
      <c r="R56" s="212"/>
      <c r="S56" s="212"/>
      <c r="T56" s="212"/>
      <c r="U56" s="212"/>
      <c r="V56" s="212"/>
      <c r="W56" s="213"/>
      <c r="X56" s="213"/>
      <c r="Y56" s="213"/>
      <c r="Z56" s="213"/>
      <c r="AA56" s="213"/>
    </row>
    <row r="57">
      <c r="A57" s="258">
        <v>56.0</v>
      </c>
      <c r="B57" s="258" t="s">
        <v>1947</v>
      </c>
      <c r="C57" s="259" t="s">
        <v>2345</v>
      </c>
      <c r="D57" s="261" t="s">
        <v>2346</v>
      </c>
      <c r="E57" s="261" t="s">
        <v>2347</v>
      </c>
      <c r="F57" s="262" t="s">
        <v>2348</v>
      </c>
      <c r="G57" s="261" t="s">
        <v>1914</v>
      </c>
      <c r="H57" s="220" t="s">
        <v>1917</v>
      </c>
      <c r="I57" s="221" t="s">
        <v>2351</v>
      </c>
      <c r="J57" s="211" t="s">
        <v>2352</v>
      </c>
      <c r="K57" s="212"/>
      <c r="L57" s="212"/>
      <c r="M57" s="212"/>
      <c r="N57" s="212"/>
      <c r="O57" s="212"/>
      <c r="P57" s="212"/>
      <c r="Q57" s="212"/>
      <c r="R57" s="212"/>
      <c r="S57" s="212"/>
      <c r="T57" s="212"/>
      <c r="U57" s="212"/>
      <c r="V57" s="212"/>
      <c r="W57" s="213"/>
      <c r="X57" s="213"/>
      <c r="Y57" s="213"/>
      <c r="Z57" s="213"/>
      <c r="AA57" s="213"/>
    </row>
    <row r="58">
      <c r="A58" s="258">
        <v>57.0</v>
      </c>
      <c r="B58" s="258" t="s">
        <v>1947</v>
      </c>
      <c r="C58" s="259" t="s">
        <v>2353</v>
      </c>
      <c r="D58" s="261" t="s">
        <v>2354</v>
      </c>
      <c r="E58" s="261" t="s">
        <v>2356</v>
      </c>
      <c r="F58" s="262" t="s">
        <v>2334</v>
      </c>
      <c r="G58" s="261" t="s">
        <v>1914</v>
      </c>
      <c r="H58" s="220" t="s">
        <v>1917</v>
      </c>
      <c r="I58" s="212" t="s">
        <v>2358</v>
      </c>
      <c r="J58" s="212"/>
      <c r="K58" s="212"/>
      <c r="L58" s="212"/>
      <c r="M58" s="212"/>
      <c r="N58" s="212"/>
      <c r="O58" s="212"/>
      <c r="P58" s="212"/>
      <c r="Q58" s="212"/>
      <c r="R58" s="212"/>
      <c r="S58" s="212"/>
      <c r="T58" s="212"/>
      <c r="U58" s="212"/>
      <c r="V58" s="212"/>
      <c r="W58" s="213"/>
      <c r="X58" s="213"/>
      <c r="Y58" s="213"/>
      <c r="Z58" s="213"/>
      <c r="AA58" s="213"/>
    </row>
    <row r="59">
      <c r="A59" s="258">
        <v>58.0</v>
      </c>
      <c r="B59" s="258" t="s">
        <v>1947</v>
      </c>
      <c r="C59" s="259" t="s">
        <v>2361</v>
      </c>
      <c r="D59" s="261" t="s">
        <v>2362</v>
      </c>
      <c r="E59" s="261" t="s">
        <v>2363</v>
      </c>
      <c r="F59" s="262" t="s">
        <v>2334</v>
      </c>
      <c r="G59" s="261" t="s">
        <v>1959</v>
      </c>
      <c r="H59" s="220" t="s">
        <v>1917</v>
      </c>
      <c r="I59" s="221" t="s">
        <v>2364</v>
      </c>
      <c r="J59" s="212"/>
      <c r="K59" s="212"/>
      <c r="L59" s="212"/>
      <c r="M59" s="212"/>
      <c r="N59" s="212"/>
      <c r="O59" s="212"/>
      <c r="P59" s="212"/>
      <c r="Q59" s="212"/>
      <c r="R59" s="212"/>
      <c r="S59" s="212"/>
      <c r="T59" s="212"/>
      <c r="U59" s="212"/>
      <c r="V59" s="212"/>
      <c r="W59" s="213"/>
      <c r="X59" s="213"/>
      <c r="Y59" s="213"/>
      <c r="Z59" s="213"/>
      <c r="AA59" s="213"/>
    </row>
    <row r="60">
      <c r="A60" s="258">
        <v>59.0</v>
      </c>
      <c r="B60" s="258" t="s">
        <v>1947</v>
      </c>
      <c r="C60" s="259" t="s">
        <v>2361</v>
      </c>
      <c r="D60" s="261" t="s">
        <v>2365</v>
      </c>
      <c r="E60" s="261" t="s">
        <v>2366</v>
      </c>
      <c r="F60" s="262" t="s">
        <v>2334</v>
      </c>
      <c r="G60" s="261" t="s">
        <v>1959</v>
      </c>
      <c r="H60" s="220" t="s">
        <v>1917</v>
      </c>
      <c r="I60" s="221" t="s">
        <v>2368</v>
      </c>
      <c r="J60" s="212"/>
      <c r="K60" s="212"/>
      <c r="L60" s="212"/>
      <c r="M60" s="212"/>
      <c r="N60" s="212"/>
      <c r="O60" s="212"/>
      <c r="P60" s="212"/>
      <c r="Q60" s="212"/>
      <c r="R60" s="212"/>
      <c r="S60" s="212"/>
      <c r="T60" s="212"/>
      <c r="U60" s="212"/>
      <c r="V60" s="212"/>
      <c r="W60" s="213"/>
      <c r="X60" s="213"/>
      <c r="Y60" s="213"/>
      <c r="Z60" s="213"/>
      <c r="AA60" s="213"/>
    </row>
    <row r="61">
      <c r="A61" s="258">
        <v>60.0</v>
      </c>
      <c r="B61" s="258" t="s">
        <v>1947</v>
      </c>
      <c r="C61" s="259" t="s">
        <v>2361</v>
      </c>
      <c r="D61" s="261"/>
      <c r="E61" s="261"/>
      <c r="F61" s="262" t="s">
        <v>2334</v>
      </c>
      <c r="G61" s="261" t="s">
        <v>1959</v>
      </c>
      <c r="H61" s="220" t="s">
        <v>1893</v>
      </c>
      <c r="I61" s="34"/>
      <c r="J61" s="34"/>
      <c r="K61" s="34"/>
      <c r="L61" s="34"/>
      <c r="M61" s="34"/>
      <c r="N61" s="34"/>
      <c r="O61" s="34"/>
      <c r="P61" s="34"/>
      <c r="Q61" s="34"/>
      <c r="R61" s="34"/>
      <c r="S61" s="34"/>
      <c r="T61" s="34"/>
      <c r="U61" s="34"/>
      <c r="V61" s="34"/>
    </row>
    <row r="62">
      <c r="A62" s="258">
        <v>61.0</v>
      </c>
      <c r="B62" s="258" t="s">
        <v>1947</v>
      </c>
      <c r="C62" s="263" t="s">
        <v>2373</v>
      </c>
      <c r="D62" s="261" t="s">
        <v>2374</v>
      </c>
      <c r="E62" s="261" t="s">
        <v>2375</v>
      </c>
      <c r="F62" s="261" t="s">
        <v>2376</v>
      </c>
      <c r="G62" s="261" t="s">
        <v>1914</v>
      </c>
      <c r="H62" s="220" t="s">
        <v>1893</v>
      </c>
      <c r="I62" s="34"/>
      <c r="J62" s="34"/>
      <c r="K62" s="34"/>
      <c r="L62" s="34"/>
      <c r="M62" s="34"/>
      <c r="N62" s="34"/>
      <c r="O62" s="34"/>
      <c r="P62" s="34"/>
      <c r="Q62" s="34"/>
      <c r="R62" s="34"/>
      <c r="S62" s="34"/>
      <c r="T62" s="34"/>
      <c r="U62" s="34"/>
      <c r="V62" s="34"/>
    </row>
    <row r="63">
      <c r="A63" s="258">
        <v>62.0</v>
      </c>
      <c r="B63" s="258" t="s">
        <v>1947</v>
      </c>
      <c r="C63" s="259" t="s">
        <v>2377</v>
      </c>
      <c r="D63" s="261" t="s">
        <v>2378</v>
      </c>
      <c r="E63" s="261" t="s">
        <v>2379</v>
      </c>
      <c r="F63" s="261" t="s">
        <v>2380</v>
      </c>
      <c r="G63" s="261" t="s">
        <v>1914</v>
      </c>
      <c r="H63" s="220" t="s">
        <v>1893</v>
      </c>
      <c r="I63" s="221" t="s">
        <v>2382</v>
      </c>
      <c r="J63" s="212"/>
      <c r="K63" s="212"/>
      <c r="L63" s="212"/>
      <c r="M63" s="212"/>
      <c r="N63" s="212"/>
      <c r="O63" s="212"/>
      <c r="P63" s="212"/>
      <c r="Q63" s="212"/>
      <c r="R63" s="212"/>
      <c r="S63" s="212"/>
      <c r="T63" s="212"/>
      <c r="U63" s="212"/>
      <c r="V63" s="212"/>
      <c r="W63" s="213"/>
      <c r="X63" s="213"/>
      <c r="Y63" s="213"/>
      <c r="Z63" s="213"/>
      <c r="AA63" s="213"/>
    </row>
    <row r="64">
      <c r="A64" s="258">
        <v>63.0</v>
      </c>
      <c r="B64" s="262" t="s">
        <v>1947</v>
      </c>
      <c r="C64" s="281" t="s">
        <v>2384</v>
      </c>
      <c r="D64" s="262" t="s">
        <v>2386</v>
      </c>
      <c r="E64" s="262" t="s">
        <v>2387</v>
      </c>
      <c r="F64" s="262" t="s">
        <v>2388</v>
      </c>
      <c r="G64" s="261" t="s">
        <v>1914</v>
      </c>
      <c r="H64" s="220" t="s">
        <v>1893</v>
      </c>
      <c r="I64" s="123" t="s">
        <v>2390</v>
      </c>
      <c r="J64" s="211" t="s">
        <v>2391</v>
      </c>
      <c r="K64" s="34"/>
      <c r="L64" s="34"/>
      <c r="M64" s="34"/>
      <c r="N64" s="34"/>
      <c r="O64" s="34"/>
      <c r="P64" s="34"/>
      <c r="Q64" s="34"/>
      <c r="R64" s="34"/>
      <c r="S64" s="34"/>
      <c r="T64" s="34"/>
      <c r="U64" s="34"/>
      <c r="V64" s="34"/>
    </row>
    <row r="65">
      <c r="A65" s="258">
        <v>64.0</v>
      </c>
      <c r="B65" s="262" t="s">
        <v>1947</v>
      </c>
      <c r="C65" s="281" t="s">
        <v>2392</v>
      </c>
      <c r="D65" s="261" t="s">
        <v>2393</v>
      </c>
      <c r="E65" s="261" t="s">
        <v>2395</v>
      </c>
      <c r="F65" s="261" t="s">
        <v>2396</v>
      </c>
      <c r="G65" s="261" t="s">
        <v>2057</v>
      </c>
      <c r="H65" s="217" t="s">
        <v>1917</v>
      </c>
      <c r="I65" s="123" t="s">
        <v>2397</v>
      </c>
      <c r="J65" s="34"/>
      <c r="K65" s="34"/>
      <c r="L65" s="34"/>
      <c r="M65" s="34"/>
      <c r="N65" s="34"/>
      <c r="O65" s="34"/>
      <c r="P65" s="34"/>
      <c r="Q65" s="34"/>
      <c r="R65" s="34"/>
      <c r="S65" s="34"/>
      <c r="T65" s="34"/>
      <c r="U65" s="34"/>
      <c r="V65" s="34"/>
    </row>
    <row r="66">
      <c r="A66" s="258"/>
      <c r="B66" s="262" t="s">
        <v>1947</v>
      </c>
      <c r="C66" s="281" t="s">
        <v>2399</v>
      </c>
      <c r="D66" s="262" t="s">
        <v>2399</v>
      </c>
      <c r="E66" s="262" t="s">
        <v>2400</v>
      </c>
      <c r="F66" s="262" t="s">
        <v>2401</v>
      </c>
      <c r="G66" s="261" t="s">
        <v>1959</v>
      </c>
      <c r="H66" s="217"/>
      <c r="I66" s="123"/>
      <c r="J66" s="123" t="s">
        <v>2402</v>
      </c>
      <c r="K66" s="34"/>
      <c r="L66" s="34"/>
      <c r="M66" s="34"/>
      <c r="N66" s="34"/>
      <c r="O66" s="34"/>
      <c r="P66" s="34"/>
      <c r="Q66" s="34"/>
      <c r="R66" s="34"/>
      <c r="S66" s="34"/>
      <c r="T66" s="34"/>
      <c r="U66" s="34"/>
      <c r="V66" s="34"/>
    </row>
    <row r="67">
      <c r="A67" s="258"/>
      <c r="B67" s="262" t="s">
        <v>1947</v>
      </c>
      <c r="C67" s="281" t="s">
        <v>2405</v>
      </c>
      <c r="D67" s="262" t="s">
        <v>2405</v>
      </c>
      <c r="E67" s="262" t="s">
        <v>2406</v>
      </c>
      <c r="F67" s="262" t="s">
        <v>2407</v>
      </c>
      <c r="G67" s="262" t="s">
        <v>2408</v>
      </c>
      <c r="H67" s="217"/>
      <c r="I67" s="123"/>
      <c r="J67" s="123" t="s">
        <v>2409</v>
      </c>
      <c r="K67" s="34"/>
      <c r="L67" s="34"/>
      <c r="M67" s="34"/>
      <c r="N67" s="34"/>
      <c r="O67" s="34"/>
      <c r="P67" s="34"/>
      <c r="Q67" s="34"/>
      <c r="R67" s="34"/>
      <c r="S67" s="34"/>
      <c r="T67" s="34"/>
      <c r="U67" s="34"/>
      <c r="V67" s="34"/>
    </row>
    <row r="68">
      <c r="A68" s="258"/>
      <c r="B68" s="262" t="s">
        <v>1947</v>
      </c>
      <c r="C68" s="281" t="s">
        <v>2411</v>
      </c>
      <c r="D68" s="281" t="s">
        <v>2412</v>
      </c>
      <c r="E68" s="262" t="s">
        <v>2414</v>
      </c>
      <c r="F68" s="262" t="s">
        <v>2277</v>
      </c>
      <c r="G68" s="261" t="s">
        <v>1959</v>
      </c>
      <c r="H68" s="217"/>
      <c r="I68" s="123"/>
      <c r="J68" s="123" t="s">
        <v>2415</v>
      </c>
      <c r="K68" s="34"/>
      <c r="L68" s="123" t="s">
        <v>2416</v>
      </c>
      <c r="M68" s="34"/>
      <c r="N68" s="34"/>
      <c r="O68" s="34"/>
      <c r="P68" s="34"/>
      <c r="Q68" s="34"/>
      <c r="R68" s="34"/>
      <c r="S68" s="34"/>
      <c r="T68" s="34"/>
      <c r="U68" s="34"/>
      <c r="V68" s="34"/>
    </row>
    <row r="69">
      <c r="A69" s="258"/>
      <c r="B69" s="262" t="s">
        <v>1947</v>
      </c>
      <c r="C69" s="281" t="s">
        <v>2417</v>
      </c>
      <c r="D69" s="281" t="s">
        <v>2419</v>
      </c>
      <c r="E69" s="262" t="s">
        <v>2421</v>
      </c>
      <c r="F69" s="262" t="s">
        <v>2277</v>
      </c>
      <c r="G69" s="261" t="s">
        <v>1959</v>
      </c>
      <c r="H69" s="217"/>
      <c r="I69" s="123"/>
      <c r="J69" s="123" t="s">
        <v>2422</v>
      </c>
      <c r="K69" s="34"/>
      <c r="L69" s="34"/>
      <c r="M69" s="34"/>
      <c r="N69" s="34"/>
      <c r="O69" s="34"/>
      <c r="P69" s="34"/>
      <c r="Q69" s="34"/>
      <c r="R69" s="34"/>
      <c r="S69" s="34"/>
      <c r="T69" s="34"/>
      <c r="U69" s="34"/>
      <c r="V69" s="34"/>
    </row>
    <row r="70">
      <c r="A70" s="258"/>
      <c r="B70" s="262" t="s">
        <v>1947</v>
      </c>
      <c r="C70" s="281" t="s">
        <v>2423</v>
      </c>
      <c r="D70" s="281" t="s">
        <v>2423</v>
      </c>
      <c r="E70" s="262" t="s">
        <v>2424</v>
      </c>
      <c r="F70" s="262" t="s">
        <v>2425</v>
      </c>
      <c r="G70" s="261" t="s">
        <v>1959</v>
      </c>
      <c r="H70" s="217"/>
      <c r="I70" s="123"/>
      <c r="J70" s="123" t="s">
        <v>2422</v>
      </c>
      <c r="K70" s="34"/>
      <c r="L70" s="34"/>
      <c r="M70" s="34"/>
      <c r="N70" s="34"/>
      <c r="O70" s="34"/>
      <c r="P70" s="34"/>
      <c r="Q70" s="34"/>
      <c r="R70" s="34"/>
      <c r="S70" s="34"/>
      <c r="T70" s="34"/>
      <c r="U70" s="34"/>
      <c r="V70" s="34"/>
    </row>
    <row r="71">
      <c r="A71" s="258"/>
      <c r="B71" s="262" t="s">
        <v>1947</v>
      </c>
      <c r="C71" s="281" t="s">
        <v>2426</v>
      </c>
      <c r="D71" s="281" t="s">
        <v>2427</v>
      </c>
      <c r="E71" s="262" t="s">
        <v>2428</v>
      </c>
      <c r="F71" s="262" t="s">
        <v>2277</v>
      </c>
      <c r="G71" s="262" t="s">
        <v>2057</v>
      </c>
      <c r="H71" s="217" t="s">
        <v>1917</v>
      </c>
      <c r="I71" s="123" t="s">
        <v>2431</v>
      </c>
      <c r="J71" s="123"/>
      <c r="K71" s="34"/>
      <c r="L71" s="123" t="s">
        <v>2432</v>
      </c>
      <c r="M71" s="34"/>
      <c r="N71" s="34"/>
      <c r="O71" s="34"/>
      <c r="P71" s="34"/>
      <c r="Q71" s="34"/>
      <c r="R71" s="34"/>
      <c r="S71" s="34"/>
      <c r="T71" s="34"/>
      <c r="U71" s="34"/>
      <c r="V71" s="34"/>
    </row>
    <row r="72">
      <c r="A72" s="258"/>
      <c r="B72" s="262" t="s">
        <v>1947</v>
      </c>
      <c r="C72" s="281" t="s">
        <v>2225</v>
      </c>
      <c r="D72" s="281"/>
      <c r="E72" s="262"/>
      <c r="F72" s="262"/>
      <c r="G72" s="262"/>
      <c r="H72" s="217"/>
      <c r="I72" s="123"/>
      <c r="J72" s="123"/>
      <c r="K72" s="34"/>
      <c r="L72" s="123"/>
      <c r="M72" s="34"/>
      <c r="N72" s="34"/>
      <c r="O72" s="34"/>
      <c r="P72" s="34"/>
      <c r="Q72" s="34"/>
      <c r="R72" s="34"/>
      <c r="S72" s="34"/>
      <c r="T72" s="34"/>
      <c r="U72" s="34"/>
      <c r="V72" s="34"/>
    </row>
    <row r="73">
      <c r="A73" s="283">
        <v>65.0</v>
      </c>
      <c r="B73" s="283" t="s">
        <v>2436</v>
      </c>
      <c r="C73" s="284" t="s">
        <v>2438</v>
      </c>
      <c r="D73" s="285"/>
      <c r="E73" s="285"/>
      <c r="F73" s="285"/>
      <c r="G73" s="285"/>
      <c r="H73" s="220" t="s">
        <v>1893</v>
      </c>
      <c r="I73" s="34"/>
      <c r="J73" s="34"/>
      <c r="K73" s="34"/>
      <c r="L73" s="34"/>
      <c r="M73" s="34"/>
      <c r="N73" s="34"/>
      <c r="O73" s="34"/>
      <c r="P73" s="34"/>
      <c r="Q73" s="34"/>
      <c r="R73" s="34"/>
      <c r="S73" s="34"/>
      <c r="T73" s="34"/>
      <c r="U73" s="34"/>
      <c r="V73" s="34"/>
    </row>
    <row r="74">
      <c r="A74" s="283">
        <v>66.0</v>
      </c>
      <c r="B74" s="283" t="s">
        <v>2436</v>
      </c>
      <c r="C74" s="287" t="s">
        <v>2440</v>
      </c>
      <c r="D74" s="285" t="s">
        <v>2441</v>
      </c>
      <c r="E74" s="285" t="s">
        <v>2443</v>
      </c>
      <c r="F74" s="285" t="s">
        <v>2445</v>
      </c>
      <c r="G74" s="285" t="s">
        <v>1914</v>
      </c>
      <c r="H74" s="220" t="s">
        <v>1893</v>
      </c>
      <c r="I74" s="34"/>
      <c r="J74" s="34"/>
      <c r="K74" s="34"/>
      <c r="L74" s="34"/>
      <c r="M74" s="34"/>
      <c r="N74" s="34"/>
      <c r="O74" s="34"/>
      <c r="P74" s="34"/>
      <c r="Q74" s="34"/>
      <c r="R74" s="34"/>
      <c r="S74" s="34"/>
      <c r="T74" s="34"/>
      <c r="U74" s="34"/>
      <c r="V74" s="34"/>
    </row>
    <row r="75">
      <c r="A75" s="283">
        <v>67.0</v>
      </c>
      <c r="B75" s="283" t="s">
        <v>2436</v>
      </c>
      <c r="C75" s="284" t="s">
        <v>2446</v>
      </c>
      <c r="D75" s="285"/>
      <c r="E75" s="285"/>
      <c r="F75" s="285"/>
      <c r="G75" s="285"/>
      <c r="H75" s="220" t="s">
        <v>1893</v>
      </c>
      <c r="I75" s="34"/>
      <c r="J75" s="34"/>
      <c r="K75" s="34"/>
      <c r="L75" s="34"/>
      <c r="M75" s="34"/>
      <c r="N75" s="34"/>
      <c r="O75" s="34"/>
      <c r="P75" s="34"/>
      <c r="Q75" s="34"/>
      <c r="R75" s="34"/>
      <c r="S75" s="34"/>
      <c r="T75" s="34"/>
      <c r="U75" s="34"/>
      <c r="V75" s="34"/>
    </row>
    <row r="76">
      <c r="A76" s="283">
        <v>68.0</v>
      </c>
      <c r="B76" s="283" t="s">
        <v>2436</v>
      </c>
      <c r="C76" s="284" t="s">
        <v>2449</v>
      </c>
      <c r="D76" s="285" t="s">
        <v>2450</v>
      </c>
      <c r="E76" s="285" t="s">
        <v>2453</v>
      </c>
      <c r="F76" s="285" t="s">
        <v>2455</v>
      </c>
      <c r="G76" s="285" t="s">
        <v>2456</v>
      </c>
      <c r="H76" s="220" t="s">
        <v>1893</v>
      </c>
      <c r="I76" s="34"/>
      <c r="J76" s="34"/>
      <c r="K76" s="34"/>
      <c r="L76" s="34"/>
      <c r="M76" s="34"/>
      <c r="N76" s="34"/>
      <c r="O76" s="34"/>
      <c r="P76" s="34"/>
      <c r="Q76" s="34"/>
      <c r="R76" s="34"/>
      <c r="S76" s="34"/>
      <c r="T76" s="34"/>
      <c r="U76" s="34"/>
      <c r="V76" s="34"/>
    </row>
    <row r="77">
      <c r="A77" s="283">
        <v>69.0</v>
      </c>
      <c r="B77" s="283" t="s">
        <v>2436</v>
      </c>
      <c r="C77" s="284" t="s">
        <v>2461</v>
      </c>
      <c r="D77" s="285" t="s">
        <v>2462</v>
      </c>
      <c r="E77" s="285" t="s">
        <v>2463</v>
      </c>
      <c r="F77" s="285" t="s">
        <v>2464</v>
      </c>
      <c r="G77" s="285" t="s">
        <v>1914</v>
      </c>
      <c r="H77" s="220" t="s">
        <v>1893</v>
      </c>
      <c r="I77" s="34"/>
      <c r="J77" s="34"/>
      <c r="K77" s="34"/>
      <c r="L77" s="34"/>
      <c r="M77" s="34"/>
      <c r="N77" s="34"/>
      <c r="O77" s="34"/>
      <c r="P77" s="34"/>
      <c r="Q77" s="34"/>
      <c r="R77" s="34"/>
      <c r="S77" s="34"/>
      <c r="T77" s="34"/>
      <c r="U77" s="34"/>
      <c r="V77" s="34"/>
    </row>
    <row r="78">
      <c r="A78" s="283">
        <v>70.0</v>
      </c>
      <c r="B78" s="283" t="s">
        <v>2436</v>
      </c>
      <c r="C78" s="284" t="s">
        <v>2467</v>
      </c>
      <c r="D78" s="285" t="s">
        <v>2468</v>
      </c>
      <c r="E78" s="285" t="s">
        <v>2469</v>
      </c>
      <c r="F78" s="285" t="s">
        <v>2470</v>
      </c>
      <c r="G78" s="285" t="s">
        <v>1914</v>
      </c>
      <c r="H78" s="220" t="s">
        <v>1893</v>
      </c>
      <c r="I78" s="34"/>
      <c r="J78" s="34"/>
      <c r="K78" s="34"/>
      <c r="L78" s="34"/>
      <c r="M78" s="34"/>
      <c r="N78" s="34"/>
      <c r="O78" s="34"/>
      <c r="P78" s="34"/>
      <c r="Q78" s="34"/>
      <c r="R78" s="34"/>
      <c r="S78" s="34"/>
      <c r="T78" s="34"/>
      <c r="U78" s="34"/>
      <c r="V78" s="34"/>
    </row>
    <row r="79">
      <c r="A79" s="283">
        <v>71.0</v>
      </c>
      <c r="B79" s="283" t="s">
        <v>2436</v>
      </c>
      <c r="C79" s="284" t="s">
        <v>2471</v>
      </c>
      <c r="D79" s="285" t="s">
        <v>2472</v>
      </c>
      <c r="E79" s="285" t="s">
        <v>2473</v>
      </c>
      <c r="F79" s="285" t="s">
        <v>2474</v>
      </c>
      <c r="G79" s="285" t="s">
        <v>1914</v>
      </c>
      <c r="H79" s="220" t="s">
        <v>1893</v>
      </c>
      <c r="I79" s="34"/>
      <c r="J79" s="34"/>
      <c r="K79" s="34"/>
      <c r="L79" s="34"/>
      <c r="M79" s="34"/>
      <c r="N79" s="34"/>
      <c r="O79" s="34"/>
      <c r="P79" s="34"/>
      <c r="Q79" s="34"/>
      <c r="R79" s="34"/>
      <c r="S79" s="34"/>
      <c r="T79" s="34"/>
      <c r="U79" s="34"/>
      <c r="V79" s="34"/>
    </row>
    <row r="80">
      <c r="A80" s="34"/>
      <c r="B80" s="34"/>
      <c r="C80" s="34"/>
      <c r="D80" s="34"/>
      <c r="E80" s="34"/>
      <c r="F80" s="34"/>
      <c r="G80" s="34"/>
      <c r="H80" s="34"/>
      <c r="I80" s="34"/>
      <c r="J80" s="34"/>
      <c r="K80" s="34"/>
      <c r="L80" s="34"/>
      <c r="M80" s="34"/>
      <c r="N80" s="34"/>
      <c r="O80" s="34"/>
      <c r="P80" s="34"/>
      <c r="Q80" s="34"/>
      <c r="R80" s="34"/>
      <c r="S80" s="34"/>
      <c r="T80" s="34"/>
      <c r="U80" s="34"/>
      <c r="V80" s="34"/>
    </row>
    <row r="81">
      <c r="A81" s="34"/>
      <c r="B81" s="34"/>
      <c r="C81" s="34"/>
      <c r="D81" s="34"/>
      <c r="E81" s="34"/>
      <c r="F81" s="34"/>
      <c r="G81" s="34"/>
      <c r="H81" s="34"/>
      <c r="I81" s="34"/>
      <c r="J81" s="34"/>
      <c r="K81" s="34"/>
      <c r="L81" s="34"/>
      <c r="M81" s="34"/>
      <c r="N81" s="34"/>
      <c r="O81" s="34"/>
      <c r="P81" s="34"/>
      <c r="Q81" s="34"/>
      <c r="R81" s="34"/>
      <c r="S81" s="34"/>
      <c r="T81" s="34"/>
      <c r="U81" s="34"/>
      <c r="V81" s="34"/>
    </row>
    <row r="82">
      <c r="A82" s="34"/>
      <c r="B82" s="34"/>
      <c r="C82" s="34"/>
      <c r="D82" s="34"/>
      <c r="E82" s="34"/>
      <c r="F82" s="34"/>
      <c r="G82" s="34"/>
      <c r="H82" s="34"/>
      <c r="I82" s="34"/>
      <c r="J82" s="34"/>
      <c r="K82" s="34"/>
      <c r="L82" s="34"/>
      <c r="M82" s="34"/>
      <c r="N82" s="34"/>
      <c r="O82" s="34"/>
      <c r="P82" s="34"/>
      <c r="Q82" s="34"/>
      <c r="R82" s="34"/>
      <c r="S82" s="34"/>
      <c r="T82" s="34"/>
      <c r="U82" s="34"/>
      <c r="V82" s="34"/>
    </row>
    <row r="83">
      <c r="A83" s="34"/>
      <c r="B83" s="34"/>
      <c r="C83" s="34"/>
      <c r="D83" s="34"/>
      <c r="E83" s="34"/>
      <c r="F83" s="34"/>
      <c r="G83" s="34"/>
      <c r="H83" s="34"/>
      <c r="I83" s="34"/>
      <c r="J83" s="34"/>
      <c r="K83" s="34"/>
      <c r="L83" s="34"/>
      <c r="M83" s="34"/>
      <c r="N83" s="34"/>
      <c r="O83" s="34"/>
      <c r="P83" s="34"/>
      <c r="Q83" s="34"/>
      <c r="R83" s="34"/>
      <c r="S83" s="34"/>
      <c r="T83" s="34"/>
      <c r="U83" s="34"/>
      <c r="V83" s="34"/>
    </row>
    <row r="84">
      <c r="A84" s="34"/>
      <c r="B84" s="34"/>
      <c r="C84" s="34"/>
      <c r="D84" s="34"/>
      <c r="E84" s="34"/>
      <c r="F84" s="34"/>
      <c r="G84" s="34"/>
      <c r="H84" s="34"/>
      <c r="I84" s="34"/>
      <c r="J84" s="34"/>
      <c r="K84" s="34"/>
      <c r="L84" s="34"/>
      <c r="M84" s="34"/>
      <c r="N84" s="34"/>
      <c r="O84" s="34"/>
      <c r="P84" s="34"/>
      <c r="Q84" s="34"/>
      <c r="R84" s="34"/>
      <c r="S84" s="34"/>
      <c r="T84" s="34"/>
      <c r="U84" s="34"/>
      <c r="V84" s="34"/>
    </row>
    <row r="85">
      <c r="A85" s="34"/>
      <c r="B85" s="34"/>
      <c r="C85" s="34"/>
      <c r="D85" s="34"/>
      <c r="E85" s="34"/>
      <c r="F85" s="34"/>
      <c r="G85" s="34"/>
      <c r="H85" s="34"/>
      <c r="I85" s="34"/>
      <c r="J85" s="34"/>
      <c r="K85" s="34"/>
      <c r="L85" s="34"/>
      <c r="M85" s="34"/>
      <c r="N85" s="34"/>
      <c r="O85" s="34"/>
      <c r="P85" s="34"/>
      <c r="Q85" s="34"/>
      <c r="R85" s="34"/>
      <c r="S85" s="34"/>
      <c r="T85" s="34"/>
      <c r="U85" s="34"/>
      <c r="V85" s="34"/>
    </row>
    <row r="86">
      <c r="A86" s="34"/>
      <c r="B86" s="34"/>
      <c r="C86" s="34"/>
      <c r="D86" s="34"/>
      <c r="E86" s="34"/>
      <c r="F86" s="34"/>
      <c r="G86" s="34"/>
      <c r="H86" s="34"/>
      <c r="I86" s="34"/>
      <c r="J86" s="34"/>
      <c r="K86" s="34"/>
      <c r="L86" s="34"/>
      <c r="M86" s="34"/>
      <c r="N86" s="34"/>
      <c r="O86" s="34"/>
      <c r="P86" s="34"/>
      <c r="Q86" s="34"/>
      <c r="R86" s="34"/>
      <c r="S86" s="34"/>
      <c r="T86" s="34"/>
      <c r="U86" s="34"/>
      <c r="V86" s="34"/>
    </row>
    <row r="87">
      <c r="A87" s="34"/>
      <c r="B87" s="34"/>
      <c r="C87" s="34"/>
      <c r="D87" s="34"/>
      <c r="E87" s="34"/>
      <c r="F87" s="34"/>
      <c r="G87" s="34"/>
      <c r="H87" s="34"/>
      <c r="I87" s="34"/>
      <c r="J87" s="34"/>
      <c r="K87" s="34"/>
      <c r="L87" s="34"/>
      <c r="M87" s="34"/>
      <c r="N87" s="34"/>
      <c r="O87" s="34"/>
      <c r="P87" s="34"/>
      <c r="Q87" s="34"/>
      <c r="R87" s="34"/>
      <c r="S87" s="34"/>
      <c r="T87" s="34"/>
      <c r="U87" s="34"/>
      <c r="V87" s="34"/>
    </row>
    <row r="88">
      <c r="A88" s="34"/>
      <c r="B88" s="34"/>
      <c r="C88" s="34"/>
      <c r="D88" s="34"/>
      <c r="E88" s="34"/>
      <c r="F88" s="34"/>
      <c r="G88" s="34"/>
      <c r="H88" s="34"/>
      <c r="I88" s="34"/>
      <c r="J88" s="34"/>
      <c r="K88" s="34"/>
      <c r="L88" s="34"/>
      <c r="M88" s="34"/>
      <c r="N88" s="34"/>
      <c r="O88" s="34"/>
      <c r="P88" s="34"/>
      <c r="Q88" s="34"/>
      <c r="R88" s="34"/>
      <c r="S88" s="34"/>
      <c r="T88" s="34"/>
      <c r="U88" s="34"/>
      <c r="V88" s="34"/>
    </row>
    <row r="89">
      <c r="A89" s="34"/>
      <c r="B89" s="34"/>
      <c r="C89" s="34"/>
      <c r="D89" s="34"/>
      <c r="E89" s="34"/>
      <c r="F89" s="34"/>
      <c r="G89" s="34"/>
      <c r="H89" s="34"/>
      <c r="I89" s="34"/>
      <c r="J89" s="34"/>
      <c r="K89" s="34"/>
      <c r="L89" s="34"/>
      <c r="M89" s="34"/>
      <c r="N89" s="34"/>
      <c r="O89" s="34"/>
      <c r="P89" s="34"/>
      <c r="Q89" s="34"/>
      <c r="R89" s="34"/>
      <c r="S89" s="34"/>
      <c r="T89" s="34"/>
      <c r="U89" s="34"/>
      <c r="V89" s="34"/>
    </row>
    <row r="90">
      <c r="A90" s="34"/>
      <c r="B90" s="34"/>
      <c r="C90" s="34"/>
      <c r="D90" s="34"/>
      <c r="E90" s="34"/>
      <c r="F90" s="34"/>
      <c r="G90" s="34"/>
      <c r="H90" s="34"/>
      <c r="I90" s="34"/>
      <c r="J90" s="34"/>
      <c r="K90" s="34"/>
      <c r="L90" s="34"/>
      <c r="M90" s="34"/>
      <c r="N90" s="34"/>
      <c r="O90" s="34"/>
      <c r="P90" s="34"/>
      <c r="Q90" s="34"/>
      <c r="R90" s="34"/>
      <c r="S90" s="34"/>
      <c r="T90" s="34"/>
      <c r="U90" s="34"/>
      <c r="V90" s="34"/>
    </row>
    <row r="91">
      <c r="A91" s="34"/>
      <c r="B91" s="34"/>
      <c r="C91" s="34"/>
      <c r="D91" s="34"/>
      <c r="E91" s="34"/>
      <c r="F91" s="34"/>
      <c r="G91" s="34"/>
      <c r="H91" s="34"/>
      <c r="I91" s="34"/>
      <c r="J91" s="34"/>
      <c r="K91" s="34"/>
      <c r="L91" s="34"/>
      <c r="M91" s="34"/>
      <c r="N91" s="34"/>
      <c r="O91" s="34"/>
      <c r="P91" s="34"/>
      <c r="Q91" s="34"/>
      <c r="R91" s="34"/>
      <c r="S91" s="34"/>
      <c r="T91" s="34"/>
      <c r="U91" s="34"/>
      <c r="V91" s="34"/>
    </row>
    <row r="92">
      <c r="A92" s="34"/>
      <c r="B92" s="34"/>
      <c r="C92" s="34"/>
      <c r="D92" s="34"/>
      <c r="E92" s="34"/>
      <c r="F92" s="34"/>
      <c r="G92" s="34"/>
      <c r="H92" s="34"/>
      <c r="I92" s="34"/>
      <c r="J92" s="34"/>
      <c r="K92" s="34"/>
      <c r="L92" s="34"/>
      <c r="M92" s="34"/>
      <c r="N92" s="34"/>
      <c r="O92" s="34"/>
      <c r="P92" s="34"/>
      <c r="Q92" s="34"/>
      <c r="R92" s="34"/>
      <c r="S92" s="34"/>
      <c r="T92" s="34"/>
      <c r="U92" s="34"/>
      <c r="V92" s="34"/>
    </row>
    <row r="93">
      <c r="A93" s="34"/>
      <c r="B93" s="34"/>
      <c r="C93" s="34"/>
      <c r="D93" s="34"/>
      <c r="E93" s="34"/>
      <c r="F93" s="34"/>
      <c r="G93" s="34"/>
      <c r="H93" s="34"/>
      <c r="I93" s="34"/>
      <c r="J93" s="34"/>
      <c r="K93" s="34"/>
      <c r="L93" s="34"/>
      <c r="M93" s="34"/>
      <c r="N93" s="34"/>
      <c r="O93" s="34"/>
      <c r="P93" s="34"/>
      <c r="Q93" s="34"/>
      <c r="R93" s="34"/>
      <c r="S93" s="34"/>
      <c r="T93" s="34"/>
      <c r="U93" s="34"/>
      <c r="V93" s="34"/>
    </row>
    <row r="94">
      <c r="A94" s="34"/>
      <c r="B94" s="34"/>
      <c r="C94" s="34"/>
      <c r="D94" s="34"/>
      <c r="E94" s="34"/>
      <c r="F94" s="34"/>
      <c r="G94" s="34"/>
      <c r="H94" s="34"/>
      <c r="I94" s="34"/>
      <c r="J94" s="34"/>
      <c r="K94" s="34"/>
      <c r="L94" s="34"/>
      <c r="M94" s="34"/>
      <c r="N94" s="34"/>
      <c r="O94" s="34"/>
      <c r="P94" s="34"/>
      <c r="Q94" s="34"/>
      <c r="R94" s="34"/>
      <c r="S94" s="34"/>
      <c r="T94" s="34"/>
      <c r="U94" s="34"/>
      <c r="V94" s="34"/>
    </row>
    <row r="95">
      <c r="A95" s="34"/>
      <c r="B95" s="34"/>
      <c r="C95" s="34"/>
      <c r="D95" s="34"/>
      <c r="E95" s="34"/>
      <c r="F95" s="34"/>
      <c r="G95" s="34"/>
      <c r="H95" s="34"/>
      <c r="I95" s="34"/>
      <c r="J95" s="34"/>
      <c r="K95" s="34"/>
      <c r="L95" s="34"/>
      <c r="M95" s="34"/>
      <c r="N95" s="34"/>
      <c r="O95" s="34"/>
      <c r="P95" s="34"/>
      <c r="Q95" s="34"/>
      <c r="R95" s="34"/>
      <c r="S95" s="34"/>
      <c r="T95" s="34"/>
      <c r="U95" s="34"/>
      <c r="V95" s="34"/>
    </row>
    <row r="96">
      <c r="A96" s="34"/>
      <c r="B96" s="34"/>
      <c r="C96" s="34"/>
      <c r="D96" s="34"/>
      <c r="E96" s="34"/>
      <c r="F96" s="34"/>
      <c r="G96" s="34"/>
      <c r="H96" s="34"/>
      <c r="I96" s="34"/>
      <c r="J96" s="34"/>
      <c r="K96" s="34"/>
      <c r="L96" s="34"/>
      <c r="M96" s="34"/>
      <c r="N96" s="34"/>
      <c r="O96" s="34"/>
      <c r="P96" s="34"/>
      <c r="Q96" s="34"/>
      <c r="R96" s="34"/>
      <c r="S96" s="34"/>
      <c r="T96" s="34"/>
      <c r="U96" s="34"/>
      <c r="V96" s="34"/>
    </row>
    <row r="97">
      <c r="A97" s="34"/>
      <c r="B97" s="34"/>
      <c r="C97" s="34"/>
      <c r="D97" s="34"/>
      <c r="E97" s="34"/>
      <c r="F97" s="34"/>
      <c r="G97" s="34"/>
      <c r="H97" s="34"/>
      <c r="I97" s="34"/>
      <c r="J97" s="34"/>
      <c r="K97" s="34"/>
      <c r="L97" s="34"/>
      <c r="M97" s="34"/>
      <c r="N97" s="34"/>
      <c r="O97" s="34"/>
      <c r="P97" s="34"/>
      <c r="Q97" s="34"/>
      <c r="R97" s="34"/>
      <c r="S97" s="34"/>
      <c r="T97" s="34"/>
      <c r="U97" s="34"/>
      <c r="V97" s="34"/>
    </row>
    <row r="98">
      <c r="A98" s="34"/>
      <c r="B98" s="34"/>
      <c r="C98" s="34"/>
      <c r="D98" s="34"/>
      <c r="E98" s="34"/>
      <c r="F98" s="34"/>
      <c r="G98" s="34"/>
      <c r="H98" s="34"/>
      <c r="I98" s="34"/>
      <c r="J98" s="34"/>
      <c r="K98" s="34"/>
      <c r="L98" s="34"/>
      <c r="M98" s="34"/>
      <c r="N98" s="34"/>
      <c r="O98" s="34"/>
      <c r="P98" s="34"/>
      <c r="Q98" s="34"/>
      <c r="R98" s="34"/>
      <c r="S98" s="34"/>
      <c r="T98" s="34"/>
      <c r="U98" s="34"/>
      <c r="V98" s="34"/>
    </row>
    <row r="99">
      <c r="A99" s="34"/>
      <c r="B99" s="34"/>
      <c r="C99" s="34"/>
      <c r="D99" s="34"/>
      <c r="E99" s="34"/>
      <c r="F99" s="34"/>
      <c r="G99" s="34"/>
      <c r="H99" s="34"/>
      <c r="I99" s="34"/>
      <c r="J99" s="34"/>
      <c r="K99" s="34"/>
      <c r="L99" s="34"/>
      <c r="M99" s="34"/>
      <c r="N99" s="34"/>
      <c r="O99" s="34"/>
      <c r="P99" s="34"/>
      <c r="Q99" s="34"/>
      <c r="R99" s="34"/>
      <c r="S99" s="34"/>
      <c r="T99" s="34"/>
      <c r="U99" s="34"/>
      <c r="V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row>
  </sheetData>
  <dataValidations>
    <dataValidation type="list" allowBlank="1" showErrorMessage="1" sqref="H2:H79">
      <formula1>"-,SÍ ESTÁ,NO ESTÁ,OTRO CANAL"</formula1>
    </dataValidation>
  </dataValidation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s>
  <sheetData>
    <row r="7">
      <c r="A7" s="12"/>
      <c r="B7" s="12"/>
      <c r="C7" s="12"/>
      <c r="D7" s="12"/>
    </row>
    <row r="8">
      <c r="A8" s="226" t="s">
        <v>2029</v>
      </c>
      <c r="B8" s="226" t="s">
        <v>2031</v>
      </c>
      <c r="C8" s="12"/>
      <c r="D8" s="12"/>
    </row>
    <row r="9">
      <c r="A9" s="227" t="s">
        <v>2032</v>
      </c>
      <c r="B9" s="227" t="s">
        <v>2034</v>
      </c>
      <c r="C9" s="89">
        <v>4.0E9</v>
      </c>
      <c r="D9" s="89" t="s">
        <v>2035</v>
      </c>
    </row>
    <row r="10">
      <c r="B10" s="227" t="s">
        <v>2036</v>
      </c>
      <c r="C10" s="89">
        <v>4.0E9</v>
      </c>
      <c r="D10" s="89" t="s">
        <v>2035</v>
      </c>
    </row>
    <row r="11">
      <c r="A11" s="89" t="s">
        <v>312</v>
      </c>
      <c r="B11" s="89" t="s">
        <v>2037</v>
      </c>
      <c r="C11" s="89">
        <v>5.0E9</v>
      </c>
      <c r="D11" s="89" t="s">
        <v>2039</v>
      </c>
    </row>
    <row r="12">
      <c r="A12" s="89" t="s">
        <v>2040</v>
      </c>
      <c r="B12" s="89" t="s">
        <v>2040</v>
      </c>
      <c r="C12" s="89">
        <v>4.0E9</v>
      </c>
      <c r="D12" s="89" t="s">
        <v>2041</v>
      </c>
    </row>
    <row r="13">
      <c r="A13" s="89" t="s">
        <v>2042</v>
      </c>
      <c r="B13" s="89" t="s">
        <v>2043</v>
      </c>
      <c r="C13" s="89">
        <v>1.8E9</v>
      </c>
      <c r="D13" s="89" t="s">
        <v>2039</v>
      </c>
    </row>
    <row r="14">
      <c r="A14" s="89" t="s">
        <v>2044</v>
      </c>
      <c r="B14" s="89" t="s">
        <v>2045</v>
      </c>
      <c r="C14" s="89">
        <v>1.0E10</v>
      </c>
      <c r="D14" s="89" t="s">
        <v>2035</v>
      </c>
    </row>
    <row r="15">
      <c r="A15" s="227" t="s">
        <v>2046</v>
      </c>
      <c r="B15" s="89" t="s">
        <v>2047</v>
      </c>
      <c r="C15" s="89">
        <v>2.0E9</v>
      </c>
      <c r="D15" s="89" t="s">
        <v>2048</v>
      </c>
    </row>
    <row r="16">
      <c r="B16" s="89" t="s">
        <v>2049</v>
      </c>
      <c r="C16" s="89">
        <v>2.0E9</v>
      </c>
      <c r="D16" s="89" t="s">
        <v>2048</v>
      </c>
    </row>
    <row r="17">
      <c r="A17" s="89" t="s">
        <v>2050</v>
      </c>
      <c r="B17" s="89" t="s">
        <v>2050</v>
      </c>
      <c r="C17" s="14">
        <v>3.0E10</v>
      </c>
      <c r="D17" s="89" t="s">
        <v>2048</v>
      </c>
    </row>
  </sheetData>
  <mergeCells count="2">
    <mergeCell ref="A9:A10"/>
    <mergeCell ref="A15:A1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9.0"/>
    <col customWidth="1" min="7" max="7" width="12.38"/>
    <col customWidth="1" min="8" max="8" width="15.63"/>
  </cols>
  <sheetData>
    <row r="1">
      <c r="A1" s="31" t="e">
        <v>#REF!</v>
      </c>
    </row>
    <row r="2">
      <c r="F2" s="233" t="s">
        <v>8</v>
      </c>
      <c r="G2" s="233" t="s">
        <v>2151</v>
      </c>
      <c r="H2" s="233" t="s">
        <v>2152</v>
      </c>
      <c r="I2" s="233" t="s">
        <v>2153</v>
      </c>
    </row>
    <row r="3">
      <c r="F3" s="234">
        <v>2025.0</v>
      </c>
      <c r="G3" s="235"/>
      <c r="H3" s="235"/>
      <c r="I3" s="236"/>
    </row>
    <row r="4">
      <c r="F4" s="237" t="s">
        <v>2158</v>
      </c>
      <c r="G4" s="238" t="s">
        <v>2159</v>
      </c>
      <c r="H4" s="238">
        <v>7.0</v>
      </c>
      <c r="I4" s="239">
        <v>67283.0</v>
      </c>
    </row>
    <row r="5">
      <c r="F5" s="240" t="s">
        <v>2161</v>
      </c>
      <c r="G5" s="241" t="s">
        <v>2159</v>
      </c>
      <c r="H5" s="241">
        <v>7.0</v>
      </c>
      <c r="I5" s="242">
        <v>73991.0</v>
      </c>
    </row>
    <row r="6">
      <c r="F6" s="243">
        <v>2026.0</v>
      </c>
      <c r="G6" s="244"/>
      <c r="H6" s="244"/>
      <c r="I6" s="245"/>
    </row>
    <row r="7">
      <c r="F7" s="246" t="s">
        <v>2165</v>
      </c>
      <c r="G7" s="247" t="s">
        <v>56</v>
      </c>
      <c r="H7" s="247">
        <v>1.0</v>
      </c>
      <c r="I7" s="248">
        <v>68348.0</v>
      </c>
    </row>
    <row r="8">
      <c r="F8" s="249"/>
      <c r="G8" s="247" t="s">
        <v>2168</v>
      </c>
      <c r="H8" s="247">
        <v>1.0</v>
      </c>
      <c r="I8" s="250"/>
    </row>
    <row r="9">
      <c r="F9" s="249"/>
      <c r="G9" s="247" t="s">
        <v>2159</v>
      </c>
      <c r="H9" s="247">
        <v>18.0</v>
      </c>
      <c r="I9" s="250"/>
    </row>
    <row r="10">
      <c r="F10" s="249"/>
      <c r="G10" s="247" t="s">
        <v>2169</v>
      </c>
      <c r="H10" s="247">
        <v>1.0</v>
      </c>
      <c r="I10" s="248"/>
    </row>
    <row r="11">
      <c r="F11" s="251" t="s">
        <v>2170</v>
      </c>
      <c r="G11" s="252" t="s">
        <v>2159</v>
      </c>
      <c r="H11" s="252">
        <v>8.0</v>
      </c>
      <c r="I11" s="253">
        <v>68948.0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7" max="7" width="15.75"/>
    <col customWidth="1" min="9" max="9" width="21.5"/>
  </cols>
  <sheetData>
    <row r="4">
      <c r="D4" s="89" t="s">
        <v>2251</v>
      </c>
      <c r="F4" s="14" t="s">
        <v>2257</v>
      </c>
    </row>
    <row r="5">
      <c r="C5" s="257">
        <v>1.0</v>
      </c>
      <c r="D5" s="89">
        <v>1500000.0</v>
      </c>
      <c r="F5" s="14">
        <v>6000.0</v>
      </c>
    </row>
    <row r="6">
      <c r="D6" s="89" t="s">
        <v>2258</v>
      </c>
    </row>
    <row r="7">
      <c r="D7" s="89" t="s">
        <v>1596</v>
      </c>
      <c r="E7" s="89" t="s">
        <v>2260</v>
      </c>
    </row>
    <row r="8">
      <c r="D8" s="260">
        <v>0.7</v>
      </c>
      <c r="E8" s="260">
        <v>0.3</v>
      </c>
    </row>
    <row r="10">
      <c r="D10" s="89" t="s">
        <v>2264</v>
      </c>
    </row>
    <row r="11">
      <c r="D11" s="14" t="s">
        <v>2266</v>
      </c>
      <c r="E11" s="14" t="s">
        <v>2268</v>
      </c>
      <c r="F11" s="14" t="s">
        <v>2269</v>
      </c>
      <c r="G11" s="14" t="s">
        <v>2270</v>
      </c>
      <c r="H11" s="14" t="s">
        <v>2271</v>
      </c>
      <c r="I11" s="14" t="s">
        <v>2272</v>
      </c>
    </row>
    <row r="12">
      <c r="D12" s="257">
        <v>1.0</v>
      </c>
      <c r="E12" s="14">
        <v>1.5E8</v>
      </c>
      <c r="F12" s="257">
        <v>0.01</v>
      </c>
      <c r="G12" s="31">
        <f>E12*F12</f>
        <v>1500000</v>
      </c>
      <c r="H12" s="14">
        <v>7000.0</v>
      </c>
      <c r="I12" s="31">
        <f>H12*E13/G12</f>
        <v>0.7</v>
      </c>
    </row>
    <row r="13">
      <c r="E13" s="14">
        <v>150.0</v>
      </c>
    </row>
    <row r="15">
      <c r="D15" s="89" t="s">
        <v>2260</v>
      </c>
    </row>
    <row r="16">
      <c r="C16" s="257">
        <v>1.0</v>
      </c>
      <c r="D16" s="14" t="s">
        <v>2291</v>
      </c>
      <c r="E16" s="14" t="s">
        <v>2292</v>
      </c>
    </row>
    <row r="17">
      <c r="D17" s="14">
        <v>2.0</v>
      </c>
      <c r="E17" s="14" t="s">
        <v>2297</v>
      </c>
    </row>
    <row r="19">
      <c r="D19" s="89"/>
      <c r="H19" s="14" t="s">
        <v>2298</v>
      </c>
      <c r="J19" s="14" t="s">
        <v>2299</v>
      </c>
      <c r="K19" s="14" t="s">
        <v>2300</v>
      </c>
      <c r="L19" s="14" t="s">
        <v>2301</v>
      </c>
      <c r="M19" s="14" t="s">
        <v>2304</v>
      </c>
      <c r="N19" s="14" t="s">
        <v>2308</v>
      </c>
    </row>
    <row r="20">
      <c r="G20" s="14" t="s">
        <v>2310</v>
      </c>
      <c r="H20" s="14">
        <v>5300000.0</v>
      </c>
      <c r="I20" s="14" t="s">
        <v>2312</v>
      </c>
      <c r="J20" s="257">
        <v>0.01</v>
      </c>
      <c r="K20" s="14">
        <v>1.5E8</v>
      </c>
      <c r="L20" s="31">
        <f>K20*J20</f>
        <v>1500000</v>
      </c>
      <c r="M20" s="31">
        <f>L20*12</f>
        <v>18000000</v>
      </c>
      <c r="N20" s="31">
        <f>H21/M20</f>
        <v>3.533333333</v>
      </c>
    </row>
    <row r="21">
      <c r="H21" s="31">
        <f>H20*12</f>
        <v>63600000</v>
      </c>
      <c r="I21" s="14" t="s">
        <v>2328</v>
      </c>
    </row>
    <row r="23">
      <c r="D23" s="14" t="s">
        <v>2330</v>
      </c>
    </row>
    <row r="25">
      <c r="D25" s="264"/>
      <c r="E25" s="265" t="s">
        <v>2251</v>
      </c>
      <c r="H25" s="266" t="s">
        <v>2338</v>
      </c>
      <c r="I25" s="266" t="s">
        <v>2339</v>
      </c>
      <c r="J25" s="267"/>
      <c r="L25" s="268"/>
      <c r="M25" s="268"/>
      <c r="N25" s="268"/>
    </row>
    <row r="26">
      <c r="D26" s="269">
        <v>1.0</v>
      </c>
      <c r="E26" s="265">
        <v>1500000.0</v>
      </c>
      <c r="H26" s="270">
        <v>5.0E7</v>
      </c>
      <c r="I26" s="270">
        <v>3.0</v>
      </c>
      <c r="J26" s="267"/>
      <c r="L26" s="268"/>
      <c r="M26" s="268"/>
      <c r="N26" s="268"/>
    </row>
    <row r="27">
      <c r="D27" s="264"/>
      <c r="E27" s="265" t="s">
        <v>2258</v>
      </c>
      <c r="H27" s="271" t="s">
        <v>2264</v>
      </c>
      <c r="J27" s="267"/>
      <c r="L27" s="272" t="s">
        <v>2350</v>
      </c>
      <c r="N27" s="268"/>
    </row>
    <row r="28">
      <c r="D28" s="264"/>
      <c r="E28" s="265" t="s">
        <v>1596</v>
      </c>
      <c r="F28" s="265" t="s">
        <v>2260</v>
      </c>
      <c r="H28" s="273" t="s">
        <v>2266</v>
      </c>
      <c r="I28" s="273" t="s">
        <v>2268</v>
      </c>
      <c r="J28" s="267" t="s">
        <v>2355</v>
      </c>
      <c r="L28" s="274" t="s">
        <v>2291</v>
      </c>
      <c r="M28" s="274" t="s">
        <v>2357</v>
      </c>
      <c r="N28" s="274" t="s">
        <v>2359</v>
      </c>
    </row>
    <row r="29">
      <c r="D29" s="264"/>
      <c r="E29" s="275">
        <v>0.7</v>
      </c>
      <c r="F29" s="275">
        <v>0.3</v>
      </c>
      <c r="H29" s="276">
        <v>1.0</v>
      </c>
      <c r="I29" s="273">
        <v>1.5E8</v>
      </c>
      <c r="J29" s="267">
        <f>I33/1000000</f>
        <v>500</v>
      </c>
      <c r="L29" s="277">
        <v>1.0</v>
      </c>
      <c r="M29" s="274">
        <v>2.0</v>
      </c>
      <c r="N29" s="274">
        <v>15.0</v>
      </c>
    </row>
    <row r="30">
      <c r="H30" s="267"/>
      <c r="I30" s="267"/>
      <c r="J30" s="267"/>
      <c r="L30" s="268"/>
      <c r="M30" s="268"/>
      <c r="N30" s="268"/>
    </row>
    <row r="31">
      <c r="D31" s="14" t="s">
        <v>2369</v>
      </c>
      <c r="H31" s="267"/>
      <c r="I31" s="267"/>
      <c r="J31" s="267"/>
      <c r="L31" s="268"/>
      <c r="M31" s="268"/>
      <c r="N31" s="268"/>
    </row>
    <row r="32">
      <c r="H32" s="273" t="s">
        <v>2369</v>
      </c>
      <c r="I32" s="273" t="s">
        <v>2370</v>
      </c>
      <c r="J32" s="267" t="s">
        <v>2371</v>
      </c>
      <c r="L32" s="268"/>
      <c r="M32" s="268"/>
      <c r="N32" s="268"/>
    </row>
    <row r="33">
      <c r="E33" s="278">
        <f>H33*E29</f>
        <v>2.333333333</v>
      </c>
      <c r="F33" s="278">
        <f>L33*F29</f>
        <v>0.75</v>
      </c>
      <c r="H33" s="280">
        <f>I33/I29</f>
        <v>3.333333333</v>
      </c>
      <c r="I33" s="273">
        <v>5.0E8</v>
      </c>
      <c r="J33" s="267">
        <v>4.0</v>
      </c>
      <c r="L33" s="282">
        <f>M33/M29</f>
        <v>2.5</v>
      </c>
      <c r="M33" s="274">
        <v>5.0</v>
      </c>
      <c r="N33" s="268">
        <f>N29*M33</f>
        <v>75</v>
      </c>
    </row>
    <row r="34">
      <c r="E34" s="278">
        <f>E33+F33</f>
        <v>3.083333333</v>
      </c>
      <c r="F34" s="278">
        <f>(E34*E43)+E34</f>
        <v>3.160416667</v>
      </c>
      <c r="G34" s="278">
        <f>(E34*F43)+E34</f>
        <v>3.2375</v>
      </c>
    </row>
    <row r="35">
      <c r="D35" s="14" t="s">
        <v>2420</v>
      </c>
      <c r="E35" s="31">
        <f>E34*E26</f>
        <v>4625000</v>
      </c>
      <c r="F35" s="31">
        <f>F34*D5</f>
        <v>4740625</v>
      </c>
      <c r="G35" s="31">
        <f>E26*G34</f>
        <v>4856250</v>
      </c>
    </row>
    <row r="36">
      <c r="D36" s="14" t="s">
        <v>2433</v>
      </c>
      <c r="E36" s="14">
        <v>0.0</v>
      </c>
      <c r="F36" s="31">
        <f t="shared" ref="F36:G36" si="1">F35-E35</f>
        <v>115625</v>
      </c>
      <c r="G36" s="31">
        <f t="shared" si="1"/>
        <v>115625</v>
      </c>
    </row>
    <row r="37">
      <c r="D37" s="14" t="s">
        <v>2437</v>
      </c>
      <c r="E37" s="14">
        <f>J29</f>
        <v>500</v>
      </c>
    </row>
    <row r="38">
      <c r="D38" s="14" t="s">
        <v>2439</v>
      </c>
      <c r="E38" s="286">
        <f>E35/E37</f>
        <v>9250</v>
      </c>
      <c r="F38" s="286">
        <f>F35/E37</f>
        <v>9481.25</v>
      </c>
      <c r="G38" s="31">
        <f>G35/E37</f>
        <v>9712.5</v>
      </c>
    </row>
    <row r="40">
      <c r="D40" s="288" t="s">
        <v>2448</v>
      </c>
    </row>
    <row r="41">
      <c r="D41" s="289" t="s">
        <v>2451</v>
      </c>
      <c r="E41" s="289" t="s">
        <v>2457</v>
      </c>
      <c r="F41" s="289" t="s">
        <v>2457</v>
      </c>
    </row>
    <row r="42">
      <c r="D42" s="290"/>
      <c r="E42" s="289" t="s">
        <v>2458</v>
      </c>
      <c r="F42" s="289" t="s">
        <v>2459</v>
      </c>
    </row>
    <row r="43">
      <c r="D43" s="289" t="s">
        <v>2460</v>
      </c>
      <c r="E43" s="291">
        <v>0.025</v>
      </c>
      <c r="F43" s="290">
        <v>0.05</v>
      </c>
    </row>
  </sheetData>
  <mergeCells count="13">
    <mergeCell ref="E25:F25"/>
    <mergeCell ref="E26:F26"/>
    <mergeCell ref="E27:F27"/>
    <mergeCell ref="H27:I27"/>
    <mergeCell ref="L27:M27"/>
    <mergeCell ref="D4:E4"/>
    <mergeCell ref="D5:E5"/>
    <mergeCell ref="D6:E6"/>
    <mergeCell ref="D10:E10"/>
    <mergeCell ref="D15:E15"/>
    <mergeCell ref="D19:E19"/>
    <mergeCell ref="D23:E23"/>
    <mergeCell ref="D40:F4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28.75"/>
  </cols>
  <sheetData>
    <row r="1">
      <c r="A1" s="292"/>
      <c r="B1" s="34"/>
      <c r="C1" s="34"/>
      <c r="D1" s="34"/>
      <c r="E1" s="34"/>
      <c r="F1" s="34"/>
      <c r="G1" s="34"/>
      <c r="H1" s="34"/>
      <c r="I1" s="34"/>
      <c r="J1" s="34"/>
      <c r="K1" s="34"/>
      <c r="L1" s="34"/>
      <c r="M1" s="34"/>
      <c r="N1" s="34"/>
    </row>
    <row r="2">
      <c r="A2" s="34"/>
      <c r="B2" s="34"/>
      <c r="C2" s="34"/>
      <c r="D2" s="34"/>
      <c r="E2" s="34"/>
      <c r="F2" s="34"/>
      <c r="G2" s="34"/>
      <c r="H2" s="34"/>
      <c r="I2" s="34"/>
      <c r="J2" s="34"/>
      <c r="K2" s="34"/>
      <c r="L2" s="34"/>
      <c r="M2" s="34"/>
      <c r="N2" s="34"/>
    </row>
    <row r="3">
      <c r="A3" s="34"/>
      <c r="B3" s="34"/>
      <c r="C3" s="34"/>
      <c r="D3" s="34"/>
      <c r="E3" s="34"/>
      <c r="F3" s="34"/>
      <c r="G3" s="34"/>
      <c r="H3" s="34"/>
      <c r="I3" s="34"/>
      <c r="J3" s="34"/>
      <c r="K3" s="34"/>
      <c r="L3" s="34"/>
      <c r="M3" s="34"/>
      <c r="N3" s="34"/>
      <c r="O3" s="47" t="s">
        <v>45</v>
      </c>
    </row>
    <row r="4">
      <c r="A4" s="34"/>
      <c r="B4" s="34"/>
      <c r="C4" s="34"/>
      <c r="D4" s="34"/>
      <c r="E4" s="34"/>
      <c r="F4" s="34"/>
      <c r="G4" s="34"/>
      <c r="H4" s="34"/>
      <c r="I4" s="34"/>
      <c r="J4" s="34"/>
      <c r="K4" s="34"/>
      <c r="L4" s="34"/>
      <c r="M4" s="34"/>
      <c r="N4" s="34"/>
      <c r="O4" s="47" t="s">
        <v>73</v>
      </c>
    </row>
    <row r="5">
      <c r="A5" s="34"/>
      <c r="B5" s="34"/>
      <c r="C5" s="34"/>
      <c r="D5" s="34"/>
      <c r="E5" s="34"/>
      <c r="F5" s="34"/>
      <c r="G5" s="34"/>
      <c r="H5" s="34"/>
      <c r="I5" s="34"/>
      <c r="J5" s="34"/>
      <c r="K5" s="34"/>
      <c r="L5" s="34"/>
      <c r="M5" s="34"/>
      <c r="N5" s="34"/>
      <c r="O5" s="47" t="s">
        <v>129</v>
      </c>
    </row>
    <row r="6">
      <c r="A6" s="34"/>
      <c r="B6" s="34"/>
      <c r="C6" s="34"/>
      <c r="D6" s="34"/>
      <c r="E6" s="34"/>
      <c r="F6" s="34"/>
      <c r="G6" s="34"/>
      <c r="H6" s="34"/>
      <c r="I6" s="34"/>
      <c r="J6" s="34"/>
      <c r="K6" s="34"/>
      <c r="L6" s="34"/>
      <c r="M6" s="34"/>
      <c r="N6" s="34"/>
      <c r="O6" s="47" t="s">
        <v>212</v>
      </c>
    </row>
    <row r="7">
      <c r="A7" s="34"/>
      <c r="B7" s="34"/>
      <c r="C7" s="34"/>
      <c r="D7" s="34"/>
      <c r="E7" s="34"/>
      <c r="F7" s="34"/>
      <c r="G7" s="34"/>
      <c r="H7" s="34"/>
      <c r="I7" s="34"/>
      <c r="J7" s="34"/>
      <c r="K7" s="34"/>
      <c r="L7" s="34"/>
      <c r="M7" s="34"/>
      <c r="N7" s="34"/>
      <c r="O7" s="47" t="s">
        <v>218</v>
      </c>
    </row>
    <row r="8">
      <c r="A8" s="34"/>
      <c r="B8" s="34"/>
      <c r="C8" s="34"/>
      <c r="D8" s="34"/>
      <c r="E8" s="34"/>
      <c r="F8" s="34"/>
      <c r="G8" s="34"/>
      <c r="H8" s="34"/>
      <c r="I8" s="34"/>
      <c r="J8" s="34"/>
      <c r="K8" s="34"/>
      <c r="L8" s="34"/>
      <c r="M8" s="34"/>
      <c r="N8" s="34"/>
      <c r="O8" s="47" t="s">
        <v>223</v>
      </c>
    </row>
    <row r="9">
      <c r="A9" s="34"/>
      <c r="B9" s="34"/>
      <c r="C9" s="34"/>
      <c r="D9" s="34"/>
      <c r="E9" s="34"/>
      <c r="F9" s="34"/>
      <c r="G9" s="34"/>
      <c r="H9" s="34"/>
      <c r="I9" s="34"/>
      <c r="J9" s="34"/>
      <c r="K9" s="34"/>
      <c r="L9" s="34"/>
      <c r="M9" s="34"/>
      <c r="N9" s="34"/>
      <c r="O9" s="47" t="s">
        <v>230</v>
      </c>
    </row>
    <row r="10">
      <c r="A10" s="34"/>
      <c r="B10" s="34"/>
      <c r="C10" s="34"/>
      <c r="D10" s="34"/>
      <c r="E10" s="34"/>
      <c r="F10" s="34"/>
      <c r="G10" s="34"/>
      <c r="H10" s="34"/>
      <c r="I10" s="34"/>
      <c r="J10" s="34"/>
      <c r="K10" s="34"/>
      <c r="L10" s="34"/>
      <c r="M10" s="34"/>
      <c r="N10" s="34"/>
      <c r="O10" s="47" t="s">
        <v>155</v>
      </c>
    </row>
    <row r="11">
      <c r="A11" s="34"/>
      <c r="B11" s="34"/>
      <c r="C11" s="34"/>
      <c r="D11" s="34"/>
      <c r="E11" s="34"/>
      <c r="F11" s="34"/>
      <c r="G11" s="34"/>
      <c r="H11" s="34"/>
      <c r="I11" s="34"/>
      <c r="J11" s="34"/>
      <c r="K11" s="34"/>
      <c r="L11" s="34"/>
      <c r="M11" s="34"/>
      <c r="N11" s="34"/>
      <c r="O11" s="47" t="s">
        <v>236</v>
      </c>
    </row>
    <row r="12">
      <c r="A12" s="34"/>
      <c r="B12" s="34"/>
      <c r="C12" s="34"/>
      <c r="D12" s="34"/>
      <c r="E12" s="34"/>
      <c r="F12" s="34"/>
      <c r="G12" s="34"/>
      <c r="H12" s="34"/>
      <c r="I12" s="34"/>
      <c r="J12" s="34"/>
      <c r="K12" s="34"/>
      <c r="L12" s="34"/>
      <c r="M12" s="34"/>
      <c r="N12" s="34"/>
      <c r="O12" s="47" t="s">
        <v>148</v>
      </c>
    </row>
    <row r="13">
      <c r="A13" s="34"/>
      <c r="B13" s="34"/>
      <c r="C13" s="34"/>
      <c r="D13" s="34"/>
      <c r="E13" s="34"/>
      <c r="F13" s="34"/>
      <c r="G13" s="34"/>
      <c r="H13" s="34"/>
      <c r="I13" s="34"/>
      <c r="J13" s="34"/>
      <c r="K13" s="34"/>
      <c r="L13" s="34"/>
      <c r="M13" s="34"/>
      <c r="N13" s="34"/>
      <c r="O13" s="47" t="s">
        <v>143</v>
      </c>
    </row>
    <row r="14">
      <c r="A14" s="34"/>
      <c r="B14" s="34"/>
      <c r="C14" s="34"/>
      <c r="D14" s="34"/>
      <c r="E14" s="34"/>
      <c r="F14" s="34"/>
      <c r="G14" s="34"/>
      <c r="H14" s="34"/>
      <c r="I14" s="34"/>
      <c r="J14" s="34"/>
      <c r="K14" s="34"/>
      <c r="L14" s="34"/>
      <c r="M14" s="34"/>
      <c r="N14" s="34"/>
      <c r="O14" s="47" t="s">
        <v>250</v>
      </c>
    </row>
    <row r="15">
      <c r="A15" s="34"/>
      <c r="B15" s="34"/>
      <c r="C15" s="34"/>
      <c r="D15" s="34"/>
      <c r="E15" s="34"/>
      <c r="F15" s="34"/>
      <c r="G15" s="34"/>
      <c r="H15" s="34"/>
      <c r="I15" s="34"/>
      <c r="J15" s="34"/>
      <c r="K15" s="34"/>
      <c r="L15" s="34"/>
      <c r="M15" s="34"/>
      <c r="N15" s="34"/>
      <c r="O15" s="47" t="s">
        <v>253</v>
      </c>
    </row>
    <row r="16">
      <c r="A16" s="34"/>
      <c r="B16" s="34"/>
      <c r="C16" s="34"/>
      <c r="D16" s="34"/>
      <c r="E16" s="34"/>
      <c r="F16" s="34"/>
      <c r="G16" s="34"/>
      <c r="H16" s="34"/>
      <c r="I16" s="34"/>
      <c r="J16" s="34"/>
      <c r="K16" s="34"/>
      <c r="L16" s="34"/>
      <c r="M16" s="34"/>
      <c r="N16" s="34"/>
      <c r="O16" s="47" t="s">
        <v>258</v>
      </c>
    </row>
    <row r="17">
      <c r="A17" s="34"/>
      <c r="B17" s="34"/>
      <c r="C17" s="34"/>
      <c r="D17" s="34"/>
      <c r="E17" s="34"/>
      <c r="F17" s="34"/>
      <c r="G17" s="34"/>
      <c r="H17" s="34"/>
      <c r="I17" s="34"/>
      <c r="J17" s="34"/>
      <c r="K17" s="34"/>
      <c r="L17" s="34"/>
      <c r="M17" s="34"/>
      <c r="N17" s="34"/>
      <c r="O17" s="47" t="s">
        <v>264</v>
      </c>
    </row>
    <row r="18">
      <c r="A18" s="34"/>
      <c r="B18" s="34"/>
      <c r="C18" s="34"/>
      <c r="D18" s="34"/>
      <c r="E18" s="34"/>
      <c r="F18" s="34"/>
      <c r="G18" s="34"/>
      <c r="H18" s="34"/>
      <c r="I18" s="34"/>
      <c r="J18" s="34"/>
      <c r="K18" s="34"/>
      <c r="L18" s="34"/>
      <c r="M18" s="34"/>
      <c r="N18" s="34"/>
      <c r="O18" s="47" t="s">
        <v>270</v>
      </c>
    </row>
    <row r="19">
      <c r="A19" s="34"/>
      <c r="B19" s="34"/>
      <c r="C19" s="34"/>
      <c r="D19" s="34"/>
      <c r="E19" s="34"/>
      <c r="F19" s="34"/>
      <c r="G19" s="34"/>
      <c r="H19" s="34"/>
      <c r="I19" s="34"/>
      <c r="J19" s="34"/>
      <c r="K19" s="34"/>
      <c r="L19" s="34"/>
      <c r="M19" s="34"/>
      <c r="N19" s="34"/>
      <c r="O19" s="47" t="s">
        <v>272</v>
      </c>
    </row>
    <row r="20">
      <c r="A20" s="34"/>
      <c r="B20" s="34"/>
      <c r="C20" s="34"/>
      <c r="D20" s="34"/>
      <c r="E20" s="34"/>
      <c r="F20" s="34"/>
      <c r="G20" s="34"/>
      <c r="H20" s="34"/>
      <c r="I20" s="34"/>
      <c r="J20" s="34"/>
      <c r="K20" s="34"/>
      <c r="L20" s="34"/>
      <c r="M20" s="34"/>
      <c r="N20" s="34"/>
      <c r="O20" s="47" t="s">
        <v>276</v>
      </c>
    </row>
    <row r="21">
      <c r="A21" s="34"/>
      <c r="B21" s="34"/>
      <c r="C21" s="34"/>
      <c r="D21" s="34"/>
      <c r="E21" s="34"/>
      <c r="F21" s="34"/>
      <c r="G21" s="34"/>
      <c r="H21" s="34"/>
      <c r="I21" s="34"/>
      <c r="J21" s="34"/>
      <c r="K21" s="34"/>
      <c r="L21" s="34"/>
      <c r="M21" s="34"/>
      <c r="N21" s="34"/>
      <c r="O21" s="47" t="s">
        <v>280</v>
      </c>
    </row>
    <row r="22">
      <c r="A22" s="34"/>
      <c r="B22" s="34"/>
      <c r="C22" s="34"/>
      <c r="D22" s="34"/>
      <c r="E22" s="34"/>
      <c r="F22" s="34"/>
      <c r="G22" s="34"/>
      <c r="H22" s="34"/>
      <c r="I22" s="34"/>
      <c r="J22" s="34"/>
      <c r="K22" s="34"/>
      <c r="L22" s="34"/>
      <c r="M22" s="34"/>
      <c r="N22" s="34"/>
      <c r="O22" s="47" t="s">
        <v>283</v>
      </c>
    </row>
    <row r="23">
      <c r="A23" s="34"/>
      <c r="B23" s="34"/>
      <c r="C23" s="34"/>
      <c r="D23" s="34"/>
      <c r="E23" s="34"/>
      <c r="F23" s="34"/>
      <c r="G23" s="34"/>
      <c r="H23" s="34"/>
      <c r="I23" s="34"/>
      <c r="J23" s="34"/>
      <c r="K23" s="34"/>
      <c r="L23" s="34"/>
      <c r="M23" s="34"/>
      <c r="N23" s="34"/>
      <c r="O23" s="47" t="s">
        <v>287</v>
      </c>
    </row>
    <row r="24">
      <c r="A24" s="34"/>
      <c r="B24" s="34"/>
      <c r="C24" s="34"/>
      <c r="D24" s="34"/>
      <c r="E24" s="34"/>
      <c r="F24" s="34"/>
      <c r="G24" s="34"/>
      <c r="H24" s="34"/>
      <c r="I24" s="34"/>
      <c r="J24" s="34"/>
      <c r="K24" s="34"/>
      <c r="L24" s="34"/>
      <c r="M24" s="34"/>
      <c r="N24" s="34"/>
      <c r="O24" s="80" t="s">
        <v>292</v>
      </c>
    </row>
    <row r="25">
      <c r="A25" s="34"/>
      <c r="B25" s="34"/>
      <c r="C25" s="34"/>
      <c r="D25" s="34"/>
      <c r="E25" s="34"/>
      <c r="F25" s="34"/>
      <c r="G25" s="34"/>
      <c r="H25" s="34"/>
      <c r="I25" s="34"/>
      <c r="J25" s="34"/>
      <c r="K25" s="34"/>
      <c r="L25" s="34"/>
      <c r="M25" s="34"/>
      <c r="N25" s="34"/>
      <c r="O25" s="80" t="s">
        <v>301</v>
      </c>
    </row>
    <row r="26">
      <c r="A26" s="34"/>
      <c r="B26" s="34"/>
      <c r="C26" s="34"/>
      <c r="D26" s="34"/>
      <c r="E26" s="34"/>
      <c r="F26" s="34"/>
      <c r="G26" s="34"/>
      <c r="H26" s="34"/>
      <c r="I26" s="34"/>
      <c r="J26" s="34"/>
      <c r="K26" s="34"/>
      <c r="L26" s="34"/>
      <c r="M26" s="34"/>
      <c r="N26" s="34"/>
      <c r="O26" s="84" t="s">
        <v>314</v>
      </c>
    </row>
    <row r="27">
      <c r="A27" s="34"/>
      <c r="B27" s="34"/>
      <c r="C27" s="34"/>
      <c r="D27" s="293" t="s">
        <v>2563</v>
      </c>
      <c r="F27" s="293" t="s">
        <v>2566</v>
      </c>
      <c r="H27" s="293" t="s">
        <v>2567</v>
      </c>
      <c r="J27" s="293" t="s">
        <v>2568</v>
      </c>
      <c r="L27" s="34"/>
      <c r="M27" s="34"/>
      <c r="N27" s="34"/>
      <c r="O27" s="84" t="s">
        <v>325</v>
      </c>
    </row>
    <row r="28">
      <c r="A28" s="34"/>
      <c r="B28" s="34"/>
      <c r="C28" s="34"/>
      <c r="D28" s="293" t="s">
        <v>2569</v>
      </c>
      <c r="E28" s="293" t="s">
        <v>2371</v>
      </c>
      <c r="F28" s="293" t="s">
        <v>2569</v>
      </c>
      <c r="G28" s="293" t="s">
        <v>2371</v>
      </c>
      <c r="H28" s="293" t="s">
        <v>2569</v>
      </c>
      <c r="I28" s="293" t="s">
        <v>2371</v>
      </c>
      <c r="J28" s="293" t="s">
        <v>2569</v>
      </c>
      <c r="K28" s="293" t="s">
        <v>2371</v>
      </c>
      <c r="L28" s="293" t="s">
        <v>2570</v>
      </c>
      <c r="M28" s="34"/>
      <c r="N28" s="34"/>
      <c r="O28" s="84" t="s">
        <v>331</v>
      </c>
    </row>
    <row r="29">
      <c r="A29" s="34"/>
      <c r="B29" s="34"/>
      <c r="C29" s="294" t="s">
        <v>2573</v>
      </c>
      <c r="D29" s="295">
        <v>2.978E9</v>
      </c>
      <c r="E29" s="295">
        <v>48160.0</v>
      </c>
      <c r="F29" s="295">
        <v>2.697E9</v>
      </c>
      <c r="G29" s="295">
        <v>42662.0</v>
      </c>
      <c r="H29" s="295">
        <v>2.911E9</v>
      </c>
      <c r="I29" s="295">
        <v>45678.0</v>
      </c>
      <c r="J29" s="295">
        <f t="shared" ref="J29:K29" si="1">AVERAGE(D29,F29,H29)</f>
        <v>2862000000</v>
      </c>
      <c r="K29" s="295">
        <f t="shared" si="1"/>
        <v>45500</v>
      </c>
      <c r="L29" s="296">
        <f>J29/J41</f>
        <v>0.004053273209</v>
      </c>
      <c r="M29" s="34"/>
      <c r="N29" s="34"/>
      <c r="O29" s="84" t="s">
        <v>341</v>
      </c>
    </row>
    <row r="30">
      <c r="A30" s="34"/>
      <c r="B30" s="34"/>
      <c r="C30" s="294" t="s">
        <v>2578</v>
      </c>
      <c r="D30" s="295">
        <v>4.688E9</v>
      </c>
      <c r="E30" s="295">
        <v>51763.0</v>
      </c>
      <c r="F30" s="295">
        <v>4.441E9</v>
      </c>
      <c r="G30" s="295">
        <v>46912.0</v>
      </c>
      <c r="H30" s="295">
        <v>4.567E9</v>
      </c>
      <c r="I30" s="295">
        <v>51256.0</v>
      </c>
      <c r="J30" s="295">
        <f t="shared" ref="J30:K30" si="2">AVERAGE(D30,F30,H30)</f>
        <v>4565333333</v>
      </c>
      <c r="K30" s="295">
        <f t="shared" si="2"/>
        <v>49977</v>
      </c>
      <c r="L30" s="296">
        <f>J30/J41</f>
        <v>0.006465598634</v>
      </c>
      <c r="M30" s="34"/>
      <c r="N30" s="34"/>
      <c r="O30" s="84" t="s">
        <v>184</v>
      </c>
    </row>
    <row r="31">
      <c r="A31" s="34"/>
      <c r="B31" s="34"/>
      <c r="C31" s="294" t="s">
        <v>2579</v>
      </c>
      <c r="D31" s="295">
        <v>1.323E9</v>
      </c>
      <c r="E31" s="295">
        <v>18468.0</v>
      </c>
      <c r="F31" s="295">
        <v>1.251E9</v>
      </c>
      <c r="G31" s="295">
        <v>16864.0</v>
      </c>
      <c r="H31" s="295">
        <v>1.266E9</v>
      </c>
      <c r="I31" s="295">
        <v>17658.0</v>
      </c>
      <c r="J31" s="295">
        <f t="shared" ref="J31:K31" si="3">AVERAGE(D31,F31,H31)</f>
        <v>1280000000</v>
      </c>
      <c r="K31" s="295">
        <f t="shared" si="3"/>
        <v>17663.33333</v>
      </c>
      <c r="L31" s="296">
        <f>J31/J41</f>
        <v>0.001812784664</v>
      </c>
      <c r="M31" s="34"/>
      <c r="N31" s="34"/>
      <c r="O31" s="14" t="s">
        <v>353</v>
      </c>
    </row>
    <row r="32">
      <c r="A32" s="34"/>
      <c r="B32" s="34"/>
      <c r="C32" s="294" t="s">
        <v>2582</v>
      </c>
      <c r="D32" s="295">
        <v>2.515E9</v>
      </c>
      <c r="E32" s="295">
        <v>22709.0</v>
      </c>
      <c r="F32" s="295">
        <v>2.274E9</v>
      </c>
      <c r="G32" s="295">
        <v>20415.0</v>
      </c>
      <c r="H32" s="295">
        <v>2.61E9</v>
      </c>
      <c r="I32" s="295">
        <v>23481.0</v>
      </c>
      <c r="J32" s="295">
        <f t="shared" ref="J32:K32" si="4">AVERAGE(D32,F32,H32)</f>
        <v>2466333333</v>
      </c>
      <c r="K32" s="295">
        <f t="shared" si="4"/>
        <v>22201.66667</v>
      </c>
      <c r="L32" s="296">
        <f>J32/J41</f>
        <v>0.003492915033</v>
      </c>
      <c r="M32" s="34"/>
      <c r="N32" s="34"/>
      <c r="O32" s="14" t="s">
        <v>1953</v>
      </c>
    </row>
    <row r="33">
      <c r="A33" s="34"/>
      <c r="B33" s="34"/>
      <c r="C33" s="294" t="s">
        <v>2587</v>
      </c>
      <c r="D33" s="295">
        <v>8.85E8</v>
      </c>
      <c r="E33" s="295">
        <v>18086.0</v>
      </c>
      <c r="F33" s="295">
        <v>8.96E8</v>
      </c>
      <c r="G33" s="295">
        <v>18572.0</v>
      </c>
      <c r="H33" s="295">
        <v>9.36E8</v>
      </c>
      <c r="I33" s="295">
        <v>19151.0</v>
      </c>
      <c r="J33" s="295">
        <f t="shared" ref="J33:K33" si="5">AVERAGE(D33,F33,H33)</f>
        <v>905666666.7</v>
      </c>
      <c r="K33" s="295">
        <f t="shared" si="5"/>
        <v>18603</v>
      </c>
      <c r="L33" s="296">
        <f>J33/J41</f>
        <v>0.001282639566</v>
      </c>
      <c r="M33" s="34"/>
      <c r="N33" s="34"/>
      <c r="O33" s="14" t="s">
        <v>1968</v>
      </c>
    </row>
    <row r="34">
      <c r="A34" s="34"/>
      <c r="B34" s="34"/>
      <c r="C34" s="294" t="s">
        <v>2592</v>
      </c>
      <c r="D34" s="295">
        <v>2.86E8</v>
      </c>
      <c r="E34" s="295">
        <v>5531.0</v>
      </c>
      <c r="F34" s="295">
        <v>2.08E8</v>
      </c>
      <c r="G34" s="295">
        <v>4175.0</v>
      </c>
      <c r="H34" s="295">
        <v>1.7E8</v>
      </c>
      <c r="I34" s="295">
        <v>3406.0</v>
      </c>
      <c r="J34" s="295">
        <f t="shared" ref="J34:K34" si="6">AVERAGE(D34,F34,H34)</f>
        <v>221333333.3</v>
      </c>
      <c r="K34" s="295">
        <f t="shared" si="6"/>
        <v>4370.666667</v>
      </c>
      <c r="L34" s="296">
        <f>J34/J41</f>
        <v>0.0003134606815</v>
      </c>
      <c r="M34" s="34"/>
      <c r="N34" s="34"/>
      <c r="O34" s="14" t="s">
        <v>1979</v>
      </c>
    </row>
    <row r="35">
      <c r="A35" s="34"/>
      <c r="B35" s="34"/>
      <c r="C35" s="294" t="s">
        <v>2598</v>
      </c>
      <c r="D35" s="295">
        <v>8.43E8</v>
      </c>
      <c r="E35" s="295">
        <v>8392.0</v>
      </c>
      <c r="F35" s="295">
        <v>8.8E8</v>
      </c>
      <c r="G35" s="295">
        <v>8758.0</v>
      </c>
      <c r="H35" s="295">
        <v>8.05E8</v>
      </c>
      <c r="I35" s="295">
        <v>8559.0</v>
      </c>
      <c r="J35" s="295">
        <f t="shared" ref="J35:K35" si="7">AVERAGE(D35,F35,H35)</f>
        <v>842666666.7</v>
      </c>
      <c r="K35" s="295">
        <f t="shared" si="7"/>
        <v>8569.666667</v>
      </c>
      <c r="L35" s="296">
        <f>J35/J41</f>
        <v>0.00119341657</v>
      </c>
      <c r="M35" s="34"/>
      <c r="N35" s="34"/>
      <c r="O35" s="14" t="s">
        <v>1985</v>
      </c>
    </row>
    <row r="36">
      <c r="A36" s="34"/>
      <c r="B36" s="34"/>
      <c r="C36" s="294" t="s">
        <v>2601</v>
      </c>
      <c r="D36" s="295">
        <v>4.8059E11</v>
      </c>
      <c r="E36" s="295">
        <v>7362334.0</v>
      </c>
      <c r="F36" s="295">
        <v>4.12054E11</v>
      </c>
      <c r="G36" s="295">
        <v>6308439.0</v>
      </c>
      <c r="H36" s="295">
        <v>4.81715E11</v>
      </c>
      <c r="I36" s="295">
        <v>7361753.0</v>
      </c>
      <c r="J36" s="295">
        <f t="shared" ref="J36:K36" si="8">AVERAGE(D36,F36,H36)</f>
        <v>458119666667</v>
      </c>
      <c r="K36" s="295">
        <f t="shared" si="8"/>
        <v>7010842</v>
      </c>
      <c r="L36" s="296">
        <f>J36/J41</f>
        <v>0.648806489</v>
      </c>
      <c r="M36" s="34"/>
      <c r="N36" s="34"/>
      <c r="O36" s="225" t="s">
        <v>1990</v>
      </c>
    </row>
    <row r="37">
      <c r="A37" s="34"/>
      <c r="B37" s="34"/>
      <c r="C37" s="294" t="s">
        <v>2604</v>
      </c>
      <c r="D37" s="295">
        <v>1.738E9</v>
      </c>
      <c r="E37" s="295">
        <v>8306.0</v>
      </c>
      <c r="F37" s="295">
        <v>1.704E9</v>
      </c>
      <c r="G37" s="295">
        <v>8027.0</v>
      </c>
      <c r="H37" s="295">
        <v>2.254E9</v>
      </c>
      <c r="I37" s="295">
        <v>10671.0</v>
      </c>
      <c r="J37" s="295">
        <f t="shared" ref="J37:K37" si="9">AVERAGE(D37,F37,H37)</f>
        <v>1898666667</v>
      </c>
      <c r="K37" s="295">
        <f t="shared" si="9"/>
        <v>9001.333333</v>
      </c>
      <c r="L37" s="296">
        <f>J37/J41</f>
        <v>0.002688963918</v>
      </c>
      <c r="M37" s="34"/>
      <c r="N37" s="34"/>
      <c r="O37" s="225" t="s">
        <v>1999</v>
      </c>
    </row>
    <row r="38">
      <c r="A38" s="34"/>
      <c r="B38" s="34"/>
      <c r="C38" s="294" t="s">
        <v>360</v>
      </c>
      <c r="D38" s="295">
        <v>2.4498E10</v>
      </c>
      <c r="E38" s="295">
        <v>539301.0</v>
      </c>
      <c r="F38" s="295">
        <v>2.4452E10</v>
      </c>
      <c r="G38" s="295">
        <v>535997.0</v>
      </c>
      <c r="H38" s="295">
        <v>3.0468E10</v>
      </c>
      <c r="I38" s="295">
        <v>711998.0</v>
      </c>
      <c r="J38" s="295">
        <f t="shared" ref="J38:K38" si="10">AVERAGE(D38,F38,H38)</f>
        <v>26472666667</v>
      </c>
      <c r="K38" s="295">
        <f t="shared" si="10"/>
        <v>595765.3333</v>
      </c>
      <c r="L38" s="296">
        <f>J38/J41</f>
        <v>0.03749159699</v>
      </c>
      <c r="M38" s="34"/>
      <c r="N38" s="34"/>
      <c r="O38" s="14" t="s">
        <v>2005</v>
      </c>
    </row>
    <row r="39">
      <c r="A39" s="34"/>
      <c r="B39" s="34"/>
      <c r="C39" s="294" t="s">
        <v>2613</v>
      </c>
      <c r="D39" s="295">
        <v>7.972E9</v>
      </c>
      <c r="E39" s="295">
        <v>105797.0</v>
      </c>
      <c r="F39" s="295">
        <v>6.38E9</v>
      </c>
      <c r="G39" s="295">
        <v>82887.0</v>
      </c>
      <c r="H39" s="295">
        <v>8.343E9</v>
      </c>
      <c r="I39" s="295">
        <v>110950.0</v>
      </c>
      <c r="J39" s="295">
        <f t="shared" ref="J39:K39" si="11">AVERAGE(D39,F39,H39)</f>
        <v>7565000000</v>
      </c>
      <c r="K39" s="295">
        <f t="shared" si="11"/>
        <v>99878</v>
      </c>
      <c r="L39" s="296">
        <f>J39/J41</f>
        <v>0.01071384061</v>
      </c>
      <c r="M39" s="34"/>
      <c r="N39" s="34"/>
      <c r="O39" s="14" t="s">
        <v>2013</v>
      </c>
    </row>
    <row r="40">
      <c r="A40" s="34"/>
      <c r="B40" s="34"/>
      <c r="C40" s="294" t="s">
        <v>2618</v>
      </c>
      <c r="D40" s="295">
        <v>2.17362E11</v>
      </c>
      <c r="E40" s="295">
        <v>3265769.0</v>
      </c>
      <c r="F40" s="295">
        <v>1.84236E11</v>
      </c>
      <c r="G40" s="295">
        <v>2783489.0</v>
      </c>
      <c r="H40" s="295">
        <v>1.95092E11</v>
      </c>
      <c r="I40" s="295">
        <v>2978554.0</v>
      </c>
      <c r="J40" s="295">
        <f t="shared" ref="J40:K40" si="12">AVERAGE(D40,F40,H40)</f>
        <v>198896666667</v>
      </c>
      <c r="K40" s="295">
        <f t="shared" si="12"/>
        <v>3009270.667</v>
      </c>
      <c r="L40" s="296">
        <f>J40/J41</f>
        <v>0.2816850211</v>
      </c>
      <c r="M40" s="34"/>
      <c r="N40" s="34"/>
      <c r="O40" s="14" t="s">
        <v>2020</v>
      </c>
    </row>
    <row r="41">
      <c r="A41" s="34"/>
      <c r="B41" s="34"/>
      <c r="C41" s="34"/>
      <c r="D41" s="295">
        <f t="shared" ref="D41:I41" si="13">SUM(D27:D40)</f>
        <v>745678000000</v>
      </c>
      <c r="E41" s="295">
        <f t="shared" si="13"/>
        <v>11454616</v>
      </c>
      <c r="F41" s="295">
        <f t="shared" si="13"/>
        <v>641473000000</v>
      </c>
      <c r="G41" s="295">
        <f t="shared" si="13"/>
        <v>9877197</v>
      </c>
      <c r="H41" s="295">
        <f t="shared" si="13"/>
        <v>731137000000</v>
      </c>
      <c r="I41" s="295">
        <f t="shared" si="13"/>
        <v>11343115</v>
      </c>
      <c r="J41" s="295">
        <f t="shared" ref="J41:K41" si="14">AVERAGE(D41,F41,H41)</f>
        <v>706096000000</v>
      </c>
      <c r="K41" s="295">
        <f t="shared" si="14"/>
        <v>10891642.67</v>
      </c>
      <c r="L41" s="34"/>
      <c r="M41" s="34"/>
      <c r="N41" s="34"/>
      <c r="O41" s="14" t="s">
        <v>2026</v>
      </c>
    </row>
    <row r="42">
      <c r="A42" s="34"/>
      <c r="B42" s="34"/>
      <c r="C42" s="294" t="s">
        <v>2627</v>
      </c>
      <c r="D42" s="293">
        <f>D41/E41</f>
        <v>65098.47209</v>
      </c>
      <c r="F42" s="293">
        <f>F41/G41</f>
        <v>64944.84214</v>
      </c>
      <c r="H42" s="293">
        <f>H41/I41</f>
        <v>64456.45663</v>
      </c>
      <c r="J42" s="34"/>
      <c r="K42" s="34"/>
      <c r="L42" s="34"/>
      <c r="M42" s="34"/>
      <c r="N42" s="34"/>
      <c r="O42" s="14" t="s">
        <v>2028</v>
      </c>
    </row>
    <row r="43">
      <c r="A43" s="34"/>
      <c r="B43" s="34"/>
      <c r="C43" s="299" t="s">
        <v>2631</v>
      </c>
      <c r="D43" s="300">
        <f>AVERAGE(D41,F41,H41)</f>
        <v>706096000000</v>
      </c>
      <c r="E43" s="34"/>
      <c r="F43" s="34"/>
      <c r="G43" s="34"/>
      <c r="H43" s="34"/>
      <c r="I43" s="34"/>
      <c r="J43" s="34"/>
      <c r="K43" s="34"/>
      <c r="L43" s="34"/>
      <c r="M43" s="34"/>
      <c r="N43" s="34"/>
      <c r="O43" s="14" t="s">
        <v>2030</v>
      </c>
    </row>
    <row r="44">
      <c r="A44" s="34"/>
      <c r="B44" s="34"/>
      <c r="C44" s="294" t="s">
        <v>2637</v>
      </c>
      <c r="D44" s="300">
        <f>SUM(D42:I42)/3</f>
        <v>64833.25695</v>
      </c>
      <c r="E44" s="34"/>
      <c r="F44" s="34"/>
      <c r="G44" s="34"/>
      <c r="H44" s="34"/>
      <c r="I44" s="34"/>
      <c r="J44" s="34"/>
      <c r="K44" s="34"/>
      <c r="L44" s="34"/>
      <c r="M44" s="34"/>
      <c r="N44" s="34"/>
      <c r="O44" s="14" t="s">
        <v>2033</v>
      </c>
    </row>
    <row r="45">
      <c r="A45" s="34"/>
      <c r="B45" s="34"/>
      <c r="C45" s="34"/>
      <c r="D45" s="34"/>
      <c r="E45" s="34"/>
      <c r="F45" s="34"/>
      <c r="G45" s="34"/>
      <c r="H45" s="34"/>
      <c r="I45" s="34"/>
      <c r="J45" s="34"/>
      <c r="K45" s="34"/>
      <c r="L45" s="34"/>
      <c r="M45" s="34"/>
      <c r="N45" s="34"/>
      <c r="O45" s="14" t="s">
        <v>2038</v>
      </c>
    </row>
    <row r="46">
      <c r="A46" s="34"/>
      <c r="B46" s="34"/>
      <c r="C46" s="34"/>
      <c r="D46" s="34"/>
      <c r="E46" s="34"/>
      <c r="F46" s="34"/>
      <c r="G46" s="34"/>
      <c r="H46" s="34"/>
      <c r="I46" s="34"/>
      <c r="J46" s="34"/>
      <c r="K46" s="34"/>
      <c r="L46" s="34"/>
      <c r="M46" s="34"/>
      <c r="N46" s="34"/>
      <c r="O46" s="14" t="s">
        <v>2051</v>
      </c>
    </row>
    <row r="47">
      <c r="A47" s="34"/>
      <c r="B47" s="34"/>
      <c r="C47" s="34"/>
      <c r="D47" s="34"/>
      <c r="E47" s="34"/>
      <c r="F47" s="34"/>
      <c r="G47" s="34"/>
      <c r="H47" s="34"/>
      <c r="I47" s="34"/>
      <c r="J47" s="34"/>
      <c r="K47" s="34"/>
      <c r="L47" s="34"/>
      <c r="M47" s="34"/>
      <c r="N47" s="34"/>
      <c r="O47" s="14" t="s">
        <v>2054</v>
      </c>
    </row>
    <row r="48">
      <c r="O48" s="14" t="s">
        <v>2063</v>
      </c>
    </row>
    <row r="49">
      <c r="O49" s="14" t="s">
        <v>2069</v>
      </c>
    </row>
    <row r="50">
      <c r="O50" s="14" t="s">
        <v>2074</v>
      </c>
    </row>
    <row r="51">
      <c r="O51" s="14" t="s">
        <v>2082</v>
      </c>
    </row>
    <row r="52">
      <c r="O52" s="14" t="s">
        <v>2089</v>
      </c>
    </row>
    <row r="53">
      <c r="O53" s="14" t="s">
        <v>2094</v>
      </c>
    </row>
    <row r="54">
      <c r="O54" s="14" t="s">
        <v>2104</v>
      </c>
    </row>
    <row r="55">
      <c r="O55" s="14" t="s">
        <v>2111</v>
      </c>
    </row>
    <row r="56">
      <c r="O56" s="14" t="s">
        <v>2118</v>
      </c>
    </row>
    <row r="57">
      <c r="O57" s="14" t="s">
        <v>2119</v>
      </c>
    </row>
    <row r="58">
      <c r="O58" s="14" t="s">
        <v>2120</v>
      </c>
    </row>
    <row r="59">
      <c r="O59" s="14" t="s">
        <v>2121</v>
      </c>
    </row>
    <row r="60">
      <c r="O60" s="14" t="s">
        <v>2122</v>
      </c>
    </row>
    <row r="61">
      <c r="O61" s="14" t="s">
        <v>2123</v>
      </c>
    </row>
    <row r="62">
      <c r="O62" s="95" t="s">
        <v>368</v>
      </c>
    </row>
    <row r="63">
      <c r="O63" s="95" t="s">
        <v>373</v>
      </c>
    </row>
    <row r="64">
      <c r="O64" s="95" t="s">
        <v>374</v>
      </c>
    </row>
    <row r="65">
      <c r="O65" s="95" t="s">
        <v>377</v>
      </c>
    </row>
    <row r="66">
      <c r="O66" s="95" t="s">
        <v>380</v>
      </c>
    </row>
    <row r="67">
      <c r="O67" s="95" t="s">
        <v>383</v>
      </c>
    </row>
    <row r="68">
      <c r="O68" s="14" t="s">
        <v>387</v>
      </c>
    </row>
    <row r="69">
      <c r="O69" s="14" t="s">
        <v>389</v>
      </c>
    </row>
    <row r="70">
      <c r="O70" s="14" t="s">
        <v>392</v>
      </c>
    </row>
    <row r="71">
      <c r="O71" s="301" t="s">
        <v>2645</v>
      </c>
    </row>
    <row r="72">
      <c r="O72" s="14" t="s">
        <v>2646</v>
      </c>
    </row>
    <row r="73">
      <c r="O73" s="14" t="s">
        <v>2647</v>
      </c>
    </row>
    <row r="74">
      <c r="O74" s="14" t="s">
        <v>1079</v>
      </c>
    </row>
    <row r="75">
      <c r="O75" s="14" t="s">
        <v>1080</v>
      </c>
    </row>
    <row r="76">
      <c r="O76" s="14" t="s">
        <v>2650</v>
      </c>
    </row>
    <row r="77">
      <c r="O77" s="14" t="s">
        <v>1081</v>
      </c>
    </row>
    <row r="78">
      <c r="O78" s="14" t="s">
        <v>1084</v>
      </c>
    </row>
    <row r="79">
      <c r="O79" s="14" t="s">
        <v>2651</v>
      </c>
    </row>
    <row r="80">
      <c r="O80" s="14" t="s">
        <v>2652</v>
      </c>
    </row>
    <row r="81">
      <c r="O81" s="302" t="s">
        <v>1086</v>
      </c>
    </row>
    <row r="82">
      <c r="O82" s="14" t="s">
        <v>1085</v>
      </c>
    </row>
    <row r="83">
      <c r="O83" s="95" t="s">
        <v>1087</v>
      </c>
    </row>
    <row r="84">
      <c r="O84" s="14" t="s">
        <v>2655</v>
      </c>
    </row>
    <row r="85">
      <c r="O85" s="302" t="s">
        <v>1088</v>
      </c>
    </row>
    <row r="86">
      <c r="O86" s="302" t="s">
        <v>1091</v>
      </c>
    </row>
    <row r="87">
      <c r="O87" s="302" t="s">
        <v>1092</v>
      </c>
    </row>
    <row r="88">
      <c r="O88" s="302" t="s">
        <v>1093</v>
      </c>
    </row>
    <row r="89">
      <c r="O89" s="302" t="s">
        <v>1094</v>
      </c>
    </row>
    <row r="90">
      <c r="O90" s="302" t="s">
        <v>1096</v>
      </c>
    </row>
    <row r="91">
      <c r="O91" s="302" t="s">
        <v>1098</v>
      </c>
    </row>
    <row r="92">
      <c r="O92" s="302" t="s">
        <v>1101</v>
      </c>
    </row>
    <row r="93">
      <c r="O93" s="302" t="s">
        <v>1103</v>
      </c>
    </row>
    <row r="94">
      <c r="O94" s="302" t="s">
        <v>1104</v>
      </c>
    </row>
    <row r="95">
      <c r="O95" s="302" t="s">
        <v>1106</v>
      </c>
    </row>
    <row r="96">
      <c r="O96" s="302" t="s">
        <v>1108</v>
      </c>
    </row>
    <row r="97">
      <c r="O97" s="302" t="s">
        <v>1109</v>
      </c>
    </row>
    <row r="98">
      <c r="O98" s="302" t="s">
        <v>1110</v>
      </c>
    </row>
    <row r="99">
      <c r="O99" s="302" t="s">
        <v>1111</v>
      </c>
    </row>
    <row r="100">
      <c r="O100" s="302" t="s">
        <v>1112</v>
      </c>
    </row>
    <row r="101">
      <c r="O101" s="302" t="s">
        <v>1115</v>
      </c>
    </row>
    <row r="102">
      <c r="O102" s="302" t="s">
        <v>1116</v>
      </c>
    </row>
    <row r="103">
      <c r="O103" s="302" t="s">
        <v>1118</v>
      </c>
    </row>
    <row r="104">
      <c r="O104" s="302" t="s">
        <v>1120</v>
      </c>
    </row>
    <row r="105">
      <c r="O105" s="302" t="s">
        <v>1124</v>
      </c>
    </row>
    <row r="106">
      <c r="O106" s="302" t="s">
        <v>1125</v>
      </c>
    </row>
    <row r="107">
      <c r="O107" s="302" t="s">
        <v>1126</v>
      </c>
    </row>
    <row r="108">
      <c r="O108" s="302" t="s">
        <v>1127</v>
      </c>
    </row>
    <row r="109">
      <c r="O109" s="302" t="s">
        <v>1128</v>
      </c>
    </row>
    <row r="110">
      <c r="O110" s="302" t="s">
        <v>1131</v>
      </c>
    </row>
    <row r="111">
      <c r="O111" s="302" t="s">
        <v>1132</v>
      </c>
    </row>
    <row r="112">
      <c r="O112" s="302" t="s">
        <v>1133</v>
      </c>
    </row>
    <row r="113">
      <c r="O113" s="302" t="s">
        <v>1135</v>
      </c>
    </row>
    <row r="114">
      <c r="O114" s="302" t="s">
        <v>1138</v>
      </c>
    </row>
    <row r="115">
      <c r="O115" s="302" t="s">
        <v>1139</v>
      </c>
    </row>
    <row r="116">
      <c r="O116" s="302" t="s">
        <v>1142</v>
      </c>
    </row>
    <row r="117">
      <c r="O117" s="302" t="s">
        <v>1144</v>
      </c>
    </row>
    <row r="118">
      <c r="O118" s="302" t="s">
        <v>1147</v>
      </c>
    </row>
    <row r="119">
      <c r="O119" s="302" t="s">
        <v>1149</v>
      </c>
    </row>
    <row r="120">
      <c r="O120" s="302" t="s">
        <v>1151</v>
      </c>
    </row>
    <row r="121">
      <c r="O121" s="302" t="s">
        <v>1154</v>
      </c>
    </row>
    <row r="122">
      <c r="O122" s="302" t="s">
        <v>1156</v>
      </c>
    </row>
    <row r="123">
      <c r="O123" s="302" t="s">
        <v>1159</v>
      </c>
    </row>
    <row r="124">
      <c r="O124" s="302" t="s">
        <v>2666</v>
      </c>
    </row>
    <row r="125">
      <c r="O125" s="302" t="s">
        <v>2667</v>
      </c>
    </row>
    <row r="126">
      <c r="O126" s="302" t="s">
        <v>1160</v>
      </c>
    </row>
    <row r="127">
      <c r="O127" s="302" t="s">
        <v>1161</v>
      </c>
    </row>
    <row r="128">
      <c r="O128" s="302" t="s">
        <v>1167</v>
      </c>
    </row>
    <row r="129">
      <c r="O129" s="302" t="s">
        <v>1171</v>
      </c>
    </row>
    <row r="130">
      <c r="O130" s="302" t="s">
        <v>1172</v>
      </c>
    </row>
    <row r="131">
      <c r="O131" s="302" t="s">
        <v>1173</v>
      </c>
    </row>
    <row r="132">
      <c r="O132" s="302" t="s">
        <v>1176</v>
      </c>
    </row>
    <row r="133">
      <c r="O133" s="302" t="s">
        <v>1179</v>
      </c>
    </row>
    <row r="134">
      <c r="O134" s="302" t="s">
        <v>1183</v>
      </c>
    </row>
    <row r="135">
      <c r="O135" s="302" t="s">
        <v>1185</v>
      </c>
    </row>
    <row r="136">
      <c r="O136" s="302" t="s">
        <v>1186</v>
      </c>
    </row>
    <row r="137">
      <c r="O137" s="302" t="s">
        <v>1187</v>
      </c>
    </row>
    <row r="138">
      <c r="O138" s="302" t="s">
        <v>1188</v>
      </c>
    </row>
    <row r="139">
      <c r="O139" s="302" t="s">
        <v>1189</v>
      </c>
    </row>
    <row r="140">
      <c r="O140" s="302" t="s">
        <v>1192</v>
      </c>
    </row>
    <row r="141">
      <c r="O141" s="302" t="s">
        <v>1194</v>
      </c>
    </row>
    <row r="142">
      <c r="O142" s="302" t="s">
        <v>1201</v>
      </c>
    </row>
    <row r="143">
      <c r="O143" s="302" t="s">
        <v>1202</v>
      </c>
    </row>
    <row r="144">
      <c r="O144" s="302" t="s">
        <v>1204</v>
      </c>
    </row>
    <row r="145">
      <c r="O145" s="302" t="s">
        <v>1206</v>
      </c>
    </row>
    <row r="146">
      <c r="O146" s="302" t="s">
        <v>1208</v>
      </c>
    </row>
    <row r="147">
      <c r="O147" s="302" t="s">
        <v>1209</v>
      </c>
    </row>
    <row r="148">
      <c r="O148" s="302" t="s">
        <v>1211</v>
      </c>
    </row>
    <row r="149">
      <c r="O149" s="302" t="s">
        <v>1212</v>
      </c>
    </row>
    <row r="150">
      <c r="O150" s="302" t="s">
        <v>1216</v>
      </c>
    </row>
    <row r="151">
      <c r="O151" s="302" t="s">
        <v>1218</v>
      </c>
    </row>
    <row r="152">
      <c r="O152" s="302" t="s">
        <v>1221</v>
      </c>
    </row>
    <row r="153">
      <c r="O153" s="302" t="s">
        <v>1225</v>
      </c>
    </row>
    <row r="154">
      <c r="O154" s="302" t="s">
        <v>1228</v>
      </c>
    </row>
    <row r="155">
      <c r="O155" s="302" t="s">
        <v>1231</v>
      </c>
    </row>
    <row r="156">
      <c r="O156" s="302" t="s">
        <v>1233</v>
      </c>
    </row>
    <row r="157">
      <c r="O157" s="302" t="s">
        <v>1237</v>
      </c>
    </row>
    <row r="158">
      <c r="O158" s="302" t="s">
        <v>1239</v>
      </c>
    </row>
    <row r="159">
      <c r="O159" s="302" t="s">
        <v>1241</v>
      </c>
    </row>
    <row r="160">
      <c r="O160" s="302" t="s">
        <v>1243</v>
      </c>
    </row>
    <row r="161">
      <c r="O161" s="302" t="s">
        <v>1246</v>
      </c>
    </row>
    <row r="162">
      <c r="O162" s="302" t="s">
        <v>1247</v>
      </c>
    </row>
    <row r="163">
      <c r="O163" s="302" t="s">
        <v>1248</v>
      </c>
    </row>
    <row r="164">
      <c r="O164" s="302" t="s">
        <v>1250</v>
      </c>
    </row>
    <row r="165">
      <c r="O165" s="302" t="s">
        <v>1251</v>
      </c>
    </row>
    <row r="166">
      <c r="O166" s="302" t="s">
        <v>1252</v>
      </c>
    </row>
    <row r="167">
      <c r="O167" s="302" t="s">
        <v>1256</v>
      </c>
    </row>
    <row r="168">
      <c r="O168" s="302" t="s">
        <v>1258</v>
      </c>
    </row>
    <row r="169">
      <c r="O169" s="302" t="s">
        <v>1260</v>
      </c>
    </row>
    <row r="170">
      <c r="O170" s="302" t="s">
        <v>1261</v>
      </c>
    </row>
    <row r="171">
      <c r="O171" s="302" t="s">
        <v>1262</v>
      </c>
    </row>
    <row r="172">
      <c r="O172" s="302" t="s">
        <v>1264</v>
      </c>
    </row>
    <row r="173">
      <c r="O173" s="302" t="s">
        <v>1265</v>
      </c>
    </row>
    <row r="174">
      <c r="O174" s="302" t="s">
        <v>2677</v>
      </c>
    </row>
    <row r="175">
      <c r="O175" s="302" t="s">
        <v>1268</v>
      </c>
    </row>
    <row r="176">
      <c r="O176" s="302" t="s">
        <v>1269</v>
      </c>
    </row>
    <row r="177">
      <c r="O177" s="302" t="s">
        <v>1270</v>
      </c>
    </row>
    <row r="178">
      <c r="O178" s="302" t="s">
        <v>1273</v>
      </c>
    </row>
    <row r="179">
      <c r="O179" s="302" t="s">
        <v>1278</v>
      </c>
    </row>
    <row r="180">
      <c r="O180" s="302" t="s">
        <v>1280</v>
      </c>
    </row>
    <row r="181">
      <c r="O181" s="302" t="s">
        <v>1282</v>
      </c>
    </row>
    <row r="182">
      <c r="O182" s="302" t="s">
        <v>1284</v>
      </c>
    </row>
    <row r="183">
      <c r="O183" s="302" t="s">
        <v>1288</v>
      </c>
    </row>
    <row r="184">
      <c r="O184" s="302" t="s">
        <v>1290</v>
      </c>
    </row>
    <row r="185">
      <c r="O185" s="302" t="s">
        <v>1292</v>
      </c>
    </row>
    <row r="186">
      <c r="O186" s="302" t="s">
        <v>1294</v>
      </c>
    </row>
    <row r="187">
      <c r="O187" s="302" t="s">
        <v>1299</v>
      </c>
    </row>
    <row r="188">
      <c r="O188" s="302" t="s">
        <v>1300</v>
      </c>
    </row>
    <row r="189">
      <c r="O189" s="302" t="s">
        <v>1302</v>
      </c>
    </row>
    <row r="190">
      <c r="O190" s="302" t="s">
        <v>1303</v>
      </c>
    </row>
    <row r="191">
      <c r="O191" s="302" t="s">
        <v>1305</v>
      </c>
    </row>
    <row r="192">
      <c r="O192" s="302" t="s">
        <v>1307</v>
      </c>
    </row>
    <row r="193">
      <c r="O193" s="302" t="s">
        <v>1310</v>
      </c>
    </row>
    <row r="194">
      <c r="O194" s="302" t="s">
        <v>1311</v>
      </c>
    </row>
    <row r="195">
      <c r="O195" s="302" t="s">
        <v>1312</v>
      </c>
    </row>
    <row r="196">
      <c r="O196" s="302" t="s">
        <v>1314</v>
      </c>
    </row>
    <row r="197">
      <c r="O197" s="302" t="s">
        <v>1317</v>
      </c>
    </row>
    <row r="198">
      <c r="O198" s="302" t="s">
        <v>1318</v>
      </c>
    </row>
    <row r="199">
      <c r="O199" s="302" t="s">
        <v>1319</v>
      </c>
    </row>
    <row r="200">
      <c r="O200" s="302" t="s">
        <v>1322</v>
      </c>
    </row>
    <row r="201">
      <c r="O201" s="302" t="s">
        <v>1323</v>
      </c>
    </row>
    <row r="202">
      <c r="O202" s="302" t="s">
        <v>1324</v>
      </c>
    </row>
    <row r="203">
      <c r="O203" s="302" t="s">
        <v>1326</v>
      </c>
    </row>
    <row r="204">
      <c r="O204" s="302" t="s">
        <v>1328</v>
      </c>
    </row>
    <row r="205">
      <c r="O205" s="302" t="s">
        <v>1329</v>
      </c>
    </row>
    <row r="206">
      <c r="O206" s="302" t="s">
        <v>1330</v>
      </c>
    </row>
    <row r="207">
      <c r="O207" s="302" t="s">
        <v>1333</v>
      </c>
    </row>
    <row r="208">
      <c r="O208" s="302" t="s">
        <v>1334</v>
      </c>
    </row>
    <row r="209">
      <c r="O209" s="302" t="s">
        <v>1336</v>
      </c>
    </row>
    <row r="210">
      <c r="O210" s="302" t="s">
        <v>1337</v>
      </c>
    </row>
    <row r="211">
      <c r="O211" s="302" t="s">
        <v>1340</v>
      </c>
    </row>
    <row r="212">
      <c r="O212" s="302" t="s">
        <v>1344</v>
      </c>
    </row>
    <row r="213">
      <c r="O213" s="302" t="s">
        <v>1341</v>
      </c>
    </row>
    <row r="214">
      <c r="O214" s="302" t="s">
        <v>1342</v>
      </c>
    </row>
    <row r="215">
      <c r="O215" s="302" t="s">
        <v>1347</v>
      </c>
    </row>
    <row r="216">
      <c r="O216" s="302" t="s">
        <v>1348</v>
      </c>
    </row>
    <row r="217">
      <c r="O217" s="302" t="s">
        <v>1349</v>
      </c>
    </row>
    <row r="218">
      <c r="O218" s="302" t="s">
        <v>1350</v>
      </c>
    </row>
    <row r="219">
      <c r="O219" s="50" t="s">
        <v>1353</v>
      </c>
    </row>
    <row r="220">
      <c r="O220" s="302" t="s">
        <v>1354</v>
      </c>
    </row>
    <row r="221">
      <c r="O221" s="302" t="s">
        <v>1355</v>
      </c>
    </row>
    <row r="222">
      <c r="O222" s="302" t="s">
        <v>1356</v>
      </c>
    </row>
    <row r="223">
      <c r="O223" s="302" t="s">
        <v>1359</v>
      </c>
    </row>
    <row r="224">
      <c r="O224" s="302" t="s">
        <v>1360</v>
      </c>
    </row>
    <row r="225">
      <c r="O225" s="302" t="s">
        <v>1361</v>
      </c>
    </row>
    <row r="226">
      <c r="O226" s="302" t="s">
        <v>1365</v>
      </c>
    </row>
    <row r="227">
      <c r="O227" s="302" t="s">
        <v>1366</v>
      </c>
    </row>
    <row r="228">
      <c r="O228" s="302" t="s">
        <v>1368</v>
      </c>
    </row>
    <row r="229">
      <c r="O229" s="302" t="s">
        <v>1369</v>
      </c>
    </row>
    <row r="230">
      <c r="O230" s="302" t="s">
        <v>1371</v>
      </c>
    </row>
    <row r="231">
      <c r="O231" s="302" t="s">
        <v>1372</v>
      </c>
    </row>
    <row r="232">
      <c r="O232" s="302" t="s">
        <v>1375</v>
      </c>
    </row>
    <row r="233">
      <c r="O233" s="302" t="s">
        <v>1376</v>
      </c>
    </row>
    <row r="234">
      <c r="O234" s="302" t="s">
        <v>1377</v>
      </c>
    </row>
    <row r="235">
      <c r="O235" s="302" t="s">
        <v>1380</v>
      </c>
    </row>
    <row r="236">
      <c r="O236" s="302" t="s">
        <v>1381</v>
      </c>
    </row>
    <row r="237">
      <c r="O237" s="302" t="s">
        <v>1383</v>
      </c>
    </row>
    <row r="238">
      <c r="O238" s="302" t="s">
        <v>1385</v>
      </c>
    </row>
    <row r="239">
      <c r="O239" s="302" t="s">
        <v>1387</v>
      </c>
    </row>
    <row r="240">
      <c r="O240" s="302" t="s">
        <v>1389</v>
      </c>
    </row>
    <row r="241">
      <c r="O241" s="302" t="s">
        <v>1390</v>
      </c>
    </row>
    <row r="242">
      <c r="O242" s="302" t="s">
        <v>1391</v>
      </c>
    </row>
    <row r="243">
      <c r="O243" s="302" t="s">
        <v>1392</v>
      </c>
    </row>
    <row r="244">
      <c r="O244" s="302" t="s">
        <v>1394</v>
      </c>
    </row>
    <row r="245">
      <c r="O245" s="302" t="s">
        <v>1396</v>
      </c>
    </row>
    <row r="246">
      <c r="O246" s="302" t="s">
        <v>1397</v>
      </c>
    </row>
    <row r="247">
      <c r="O247" s="302" t="s">
        <v>1398</v>
      </c>
    </row>
    <row r="248">
      <c r="O248" s="302" t="s">
        <v>1400</v>
      </c>
    </row>
    <row r="249">
      <c r="O249" s="302" t="s">
        <v>1404</v>
      </c>
    </row>
    <row r="250">
      <c r="O250" s="302" t="s">
        <v>1405</v>
      </c>
    </row>
    <row r="251">
      <c r="O251" s="302" t="s">
        <v>1406</v>
      </c>
    </row>
    <row r="252">
      <c r="O252" s="302" t="s">
        <v>1407</v>
      </c>
    </row>
    <row r="253">
      <c r="O253" s="302" t="s">
        <v>1412</v>
      </c>
    </row>
    <row r="254">
      <c r="O254" s="302" t="s">
        <v>1415</v>
      </c>
    </row>
    <row r="255">
      <c r="O255" s="302" t="s">
        <v>1418</v>
      </c>
    </row>
    <row r="256">
      <c r="O256" s="302" t="s">
        <v>1421</v>
      </c>
    </row>
    <row r="257">
      <c r="O257" s="302" t="s">
        <v>1426</v>
      </c>
    </row>
    <row r="258">
      <c r="O258" s="302" t="s">
        <v>1428</v>
      </c>
    </row>
    <row r="259">
      <c r="O259" s="302" t="s">
        <v>1430</v>
      </c>
    </row>
    <row r="260">
      <c r="O260" s="302" t="s">
        <v>1431</v>
      </c>
    </row>
    <row r="261">
      <c r="O261" s="302" t="s">
        <v>1434</v>
      </c>
    </row>
    <row r="262">
      <c r="O262" s="302" t="s">
        <v>1435</v>
      </c>
    </row>
    <row r="263">
      <c r="O263" s="302" t="s">
        <v>1436</v>
      </c>
    </row>
    <row r="264">
      <c r="O264" s="302" t="s">
        <v>1437</v>
      </c>
    </row>
    <row r="265">
      <c r="O265" s="302" t="s">
        <v>1438</v>
      </c>
    </row>
    <row r="266">
      <c r="O266" s="302" t="s">
        <v>1441</v>
      </c>
    </row>
    <row r="267">
      <c r="O267" s="302" t="s">
        <v>1442</v>
      </c>
    </row>
    <row r="268">
      <c r="O268" s="302" t="s">
        <v>1444</v>
      </c>
    </row>
    <row r="269">
      <c r="O269" s="302" t="s">
        <v>1447</v>
      </c>
    </row>
    <row r="270">
      <c r="O270" s="302" t="s">
        <v>1448</v>
      </c>
    </row>
    <row r="271">
      <c r="O271" s="302" t="s">
        <v>1449</v>
      </c>
    </row>
    <row r="272">
      <c r="O272" s="302" t="s">
        <v>1450</v>
      </c>
    </row>
    <row r="273">
      <c r="O273" s="302" t="s">
        <v>1453</v>
      </c>
    </row>
    <row r="274">
      <c r="O274" s="302" t="s">
        <v>1454</v>
      </c>
    </row>
    <row r="275">
      <c r="O275" s="302" t="s">
        <v>1455</v>
      </c>
    </row>
    <row r="276">
      <c r="O276" s="302" t="s">
        <v>1456</v>
      </c>
    </row>
    <row r="277">
      <c r="O277" s="302" t="s">
        <v>1458</v>
      </c>
    </row>
    <row r="278">
      <c r="O278" s="302" t="s">
        <v>1460</v>
      </c>
    </row>
    <row r="279">
      <c r="O279" s="302" t="s">
        <v>1462</v>
      </c>
    </row>
    <row r="280">
      <c r="O280" s="302" t="s">
        <v>1463</v>
      </c>
    </row>
    <row r="281">
      <c r="O281" s="302" t="s">
        <v>1466</v>
      </c>
    </row>
    <row r="282">
      <c r="O282" s="302" t="s">
        <v>1468</v>
      </c>
    </row>
    <row r="283">
      <c r="O283" s="302" t="s">
        <v>1469</v>
      </c>
    </row>
    <row r="284">
      <c r="O284" s="302" t="s">
        <v>1470</v>
      </c>
    </row>
    <row r="285">
      <c r="O285" s="302" t="s">
        <v>1472</v>
      </c>
    </row>
    <row r="286">
      <c r="O286" s="302" t="s">
        <v>1475</v>
      </c>
    </row>
    <row r="287">
      <c r="O287" s="302" t="s">
        <v>1476</v>
      </c>
    </row>
    <row r="288">
      <c r="O288" s="302" t="s">
        <v>1478</v>
      </c>
    </row>
    <row r="289">
      <c r="O289" s="302" t="s">
        <v>1481</v>
      </c>
    </row>
    <row r="290">
      <c r="O290" s="302" t="s">
        <v>1482</v>
      </c>
    </row>
    <row r="291">
      <c r="O291" s="302" t="s">
        <v>1483</v>
      </c>
    </row>
    <row r="292">
      <c r="O292" s="302" t="s">
        <v>1484</v>
      </c>
    </row>
    <row r="293">
      <c r="O293" s="302" t="s">
        <v>1487</v>
      </c>
    </row>
    <row r="294">
      <c r="O294" s="302" t="s">
        <v>1488</v>
      </c>
    </row>
    <row r="295">
      <c r="O295" s="302" t="s">
        <v>1489</v>
      </c>
    </row>
    <row r="296">
      <c r="O296" s="302" t="s">
        <v>1490</v>
      </c>
    </row>
    <row r="297">
      <c r="O297" s="302" t="s">
        <v>1491</v>
      </c>
    </row>
    <row r="298">
      <c r="O298" s="302" t="s">
        <v>1492</v>
      </c>
    </row>
    <row r="299">
      <c r="O299" s="302" t="s">
        <v>1493</v>
      </c>
    </row>
    <row r="300">
      <c r="O300" s="302" t="s">
        <v>1494</v>
      </c>
    </row>
    <row r="301">
      <c r="O301" s="302" t="s">
        <v>1495</v>
      </c>
    </row>
    <row r="302">
      <c r="O302" s="302" t="s">
        <v>1496</v>
      </c>
    </row>
    <row r="303">
      <c r="O303" s="302" t="s">
        <v>1497</v>
      </c>
    </row>
    <row r="304">
      <c r="O304" s="302" t="s">
        <v>1498</v>
      </c>
    </row>
    <row r="305">
      <c r="O305" s="302" t="s">
        <v>1499</v>
      </c>
    </row>
    <row r="306">
      <c r="O306" s="302" t="s">
        <v>1500</v>
      </c>
    </row>
    <row r="307">
      <c r="O307" s="302" t="s">
        <v>1503</v>
      </c>
    </row>
    <row r="308">
      <c r="O308" s="302" t="s">
        <v>1505</v>
      </c>
    </row>
    <row r="309">
      <c r="O309" s="302" t="s">
        <v>1506</v>
      </c>
    </row>
    <row r="310">
      <c r="O310" s="302" t="s">
        <v>1507</v>
      </c>
    </row>
    <row r="311">
      <c r="O311" s="302" t="s">
        <v>1508</v>
      </c>
    </row>
    <row r="312">
      <c r="O312" s="302" t="s">
        <v>1511</v>
      </c>
    </row>
    <row r="313">
      <c r="O313" s="302" t="s">
        <v>1512</v>
      </c>
    </row>
    <row r="314">
      <c r="O314" s="302" t="s">
        <v>1513</v>
      </c>
    </row>
    <row r="315">
      <c r="O315" s="302" t="s">
        <v>1515</v>
      </c>
    </row>
    <row r="316">
      <c r="O316" s="302" t="s">
        <v>1517</v>
      </c>
    </row>
    <row r="317">
      <c r="O317" s="302" t="s">
        <v>1518</v>
      </c>
    </row>
    <row r="318">
      <c r="O318" s="302" t="s">
        <v>1519</v>
      </c>
    </row>
    <row r="319">
      <c r="O319" s="302" t="s">
        <v>1520</v>
      </c>
    </row>
    <row r="320">
      <c r="O320" s="302" t="s">
        <v>1523</v>
      </c>
    </row>
    <row r="321">
      <c r="O321" s="302" t="s">
        <v>1524</v>
      </c>
    </row>
    <row r="322">
      <c r="O322" s="302" t="s">
        <v>1525</v>
      </c>
    </row>
    <row r="323">
      <c r="O323" s="302" t="s">
        <v>1526</v>
      </c>
    </row>
    <row r="324">
      <c r="O324" s="302" t="s">
        <v>1529</v>
      </c>
    </row>
    <row r="325">
      <c r="O325" s="302" t="s">
        <v>1530</v>
      </c>
    </row>
    <row r="326">
      <c r="O326" s="302" t="s">
        <v>1531</v>
      </c>
    </row>
    <row r="327">
      <c r="O327" s="302" t="s">
        <v>1532</v>
      </c>
    </row>
    <row r="328">
      <c r="O328" s="302" t="s">
        <v>1535</v>
      </c>
    </row>
    <row r="329">
      <c r="O329" s="302" t="s">
        <v>1536</v>
      </c>
    </row>
    <row r="330">
      <c r="O330" s="302" t="s">
        <v>1538</v>
      </c>
    </row>
    <row r="331">
      <c r="O331" s="302" t="s">
        <v>1540</v>
      </c>
    </row>
    <row r="332">
      <c r="O332" s="302" t="s">
        <v>1541</v>
      </c>
    </row>
    <row r="333">
      <c r="O333" s="302" t="s">
        <v>1542</v>
      </c>
    </row>
    <row r="334">
      <c r="O334" s="302" t="s">
        <v>1543</v>
      </c>
    </row>
    <row r="335">
      <c r="O335" s="302" t="s">
        <v>1544</v>
      </c>
    </row>
    <row r="336">
      <c r="O336" s="302" t="s">
        <v>1545</v>
      </c>
    </row>
    <row r="337">
      <c r="O337" s="302" t="s">
        <v>1547</v>
      </c>
    </row>
    <row r="338">
      <c r="O338" s="302" t="s">
        <v>1549</v>
      </c>
    </row>
    <row r="339">
      <c r="O339" s="302" t="s">
        <v>1550</v>
      </c>
    </row>
    <row r="340">
      <c r="O340" s="302" t="s">
        <v>1551</v>
      </c>
    </row>
    <row r="341">
      <c r="O341" s="302" t="s">
        <v>1555</v>
      </c>
    </row>
    <row r="342">
      <c r="O342" s="302" t="s">
        <v>1556</v>
      </c>
    </row>
    <row r="343">
      <c r="O343" s="302" t="s">
        <v>1559</v>
      </c>
    </row>
    <row r="344">
      <c r="O344" s="302" t="s">
        <v>1561</v>
      </c>
    </row>
    <row r="345">
      <c r="O345" s="302" t="s">
        <v>1562</v>
      </c>
    </row>
    <row r="346">
      <c r="O346" s="302" t="s">
        <v>1563</v>
      </c>
    </row>
    <row r="347">
      <c r="O347" s="302" t="s">
        <v>1566</v>
      </c>
    </row>
    <row r="348">
      <c r="O348" s="302" t="s">
        <v>1567</v>
      </c>
    </row>
    <row r="349">
      <c r="O349" s="302" t="s">
        <v>1568</v>
      </c>
    </row>
    <row r="350">
      <c r="O350" s="302" t="s">
        <v>1569</v>
      </c>
    </row>
    <row r="351">
      <c r="O351" s="302" t="s">
        <v>1572</v>
      </c>
    </row>
    <row r="352">
      <c r="O352" s="302" t="s">
        <v>1573</v>
      </c>
    </row>
    <row r="353">
      <c r="O353" s="302" t="s">
        <v>1574</v>
      </c>
    </row>
    <row r="354">
      <c r="O354" s="302" t="s">
        <v>1575</v>
      </c>
    </row>
    <row r="355">
      <c r="O355" s="302" t="s">
        <v>1580</v>
      </c>
    </row>
    <row r="356">
      <c r="O356" s="302" t="s">
        <v>1577</v>
      </c>
    </row>
    <row r="357">
      <c r="O357" s="302" t="s">
        <v>1581</v>
      </c>
    </row>
    <row r="358">
      <c r="O358" s="302" t="s">
        <v>1582</v>
      </c>
    </row>
    <row r="359">
      <c r="O359" s="302" t="s">
        <v>1585</v>
      </c>
    </row>
    <row r="360">
      <c r="O360" s="302" t="s">
        <v>1586</v>
      </c>
    </row>
    <row r="361">
      <c r="O361" s="302" t="s">
        <v>1589</v>
      </c>
    </row>
    <row r="362">
      <c r="O362" s="302" t="s">
        <v>1590</v>
      </c>
    </row>
    <row r="363">
      <c r="O363" s="302" t="s">
        <v>1591</v>
      </c>
    </row>
    <row r="364">
      <c r="O364" s="302" t="s">
        <v>1592</v>
      </c>
    </row>
    <row r="365">
      <c r="O365" s="302" t="s">
        <v>1593</v>
      </c>
    </row>
    <row r="366">
      <c r="O366" s="302" t="s">
        <v>1594</v>
      </c>
    </row>
    <row r="367">
      <c r="O367" s="302" t="s">
        <v>1595</v>
      </c>
    </row>
    <row r="368">
      <c r="O368" s="302" t="s">
        <v>1597</v>
      </c>
    </row>
    <row r="369">
      <c r="O369" s="302" t="s">
        <v>1598</v>
      </c>
    </row>
    <row r="370">
      <c r="O370" s="302" t="s">
        <v>1599</v>
      </c>
    </row>
    <row r="371">
      <c r="O371" s="302" t="s">
        <v>1602</v>
      </c>
    </row>
    <row r="372">
      <c r="O372" s="302" t="s">
        <v>1603</v>
      </c>
    </row>
    <row r="373">
      <c r="O373" s="302" t="s">
        <v>1604</v>
      </c>
    </row>
    <row r="374">
      <c r="O374" s="302" t="s">
        <v>1605</v>
      </c>
    </row>
    <row r="375">
      <c r="O375" s="302" t="s">
        <v>1606</v>
      </c>
    </row>
    <row r="376">
      <c r="O376" s="302" t="s">
        <v>1607</v>
      </c>
    </row>
    <row r="377">
      <c r="O377" s="302" t="s">
        <v>1610</v>
      </c>
    </row>
    <row r="378">
      <c r="O378" s="302" t="s">
        <v>1611</v>
      </c>
    </row>
    <row r="379">
      <c r="O379" s="302" t="s">
        <v>1612</v>
      </c>
    </row>
    <row r="380">
      <c r="O380" s="302" t="s">
        <v>1613</v>
      </c>
    </row>
    <row r="381">
      <c r="O381" s="302" t="s">
        <v>1614</v>
      </c>
    </row>
    <row r="382">
      <c r="O382" s="302" t="s">
        <v>1615</v>
      </c>
    </row>
    <row r="383">
      <c r="O383" s="302" t="s">
        <v>1618</v>
      </c>
    </row>
    <row r="384">
      <c r="O384" s="302" t="s">
        <v>1619</v>
      </c>
    </row>
    <row r="385">
      <c r="O385" s="302" t="s">
        <v>1620</v>
      </c>
    </row>
    <row r="386">
      <c r="O386" s="302" t="s">
        <v>1622</v>
      </c>
    </row>
    <row r="387">
      <c r="O387" s="302" t="s">
        <v>1625</v>
      </c>
    </row>
    <row r="388">
      <c r="O388" s="302" t="s">
        <v>1626</v>
      </c>
    </row>
    <row r="389">
      <c r="O389" s="302" t="s">
        <v>1627</v>
      </c>
    </row>
    <row r="390">
      <c r="O390" s="302" t="s">
        <v>1629</v>
      </c>
    </row>
    <row r="391">
      <c r="O391" s="302" t="s">
        <v>1631</v>
      </c>
    </row>
    <row r="392">
      <c r="O392" s="302" t="s">
        <v>1632</v>
      </c>
    </row>
    <row r="393">
      <c r="O393" s="302" t="s">
        <v>1633</v>
      </c>
    </row>
    <row r="394">
      <c r="O394" s="302" t="s">
        <v>1634</v>
      </c>
    </row>
    <row r="395">
      <c r="O395" s="302" t="s">
        <v>1637</v>
      </c>
    </row>
    <row r="396">
      <c r="O396" s="302" t="s">
        <v>1638</v>
      </c>
    </row>
    <row r="397">
      <c r="O397" s="302" t="s">
        <v>1641</v>
      </c>
    </row>
    <row r="398">
      <c r="O398" s="302" t="s">
        <v>1642</v>
      </c>
    </row>
    <row r="399">
      <c r="O399" s="302" t="s">
        <v>1645</v>
      </c>
    </row>
    <row r="400">
      <c r="O400" s="302" t="s">
        <v>1646</v>
      </c>
    </row>
    <row r="401">
      <c r="O401" s="302" t="s">
        <v>1647</v>
      </c>
    </row>
    <row r="402">
      <c r="O402" s="302" t="s">
        <v>1648</v>
      </c>
    </row>
    <row r="403">
      <c r="O403" s="302" t="s">
        <v>1651</v>
      </c>
    </row>
    <row r="404">
      <c r="O404" s="302" t="s">
        <v>1652</v>
      </c>
    </row>
    <row r="405">
      <c r="O405" s="302" t="s">
        <v>1653</v>
      </c>
    </row>
    <row r="406">
      <c r="O406" s="302" t="s">
        <v>1654</v>
      </c>
    </row>
    <row r="407">
      <c r="O407" s="302" t="s">
        <v>1657</v>
      </c>
    </row>
    <row r="408">
      <c r="O408" s="302" t="s">
        <v>1658</v>
      </c>
    </row>
    <row r="409">
      <c r="O409" s="302" t="s">
        <v>1659</v>
      </c>
    </row>
    <row r="410">
      <c r="O410" s="302" t="s">
        <v>1661</v>
      </c>
    </row>
    <row r="411">
      <c r="O411" s="302" t="s">
        <v>1663</v>
      </c>
    </row>
    <row r="412">
      <c r="O412" s="302" t="s">
        <v>1665</v>
      </c>
    </row>
    <row r="413">
      <c r="O413" s="302" t="s">
        <v>1666</v>
      </c>
    </row>
    <row r="414">
      <c r="O414" s="302" t="s">
        <v>1668</v>
      </c>
    </row>
    <row r="415">
      <c r="O415" s="302" t="s">
        <v>1669</v>
      </c>
    </row>
    <row r="416">
      <c r="O416" s="302" t="s">
        <v>1672</v>
      </c>
    </row>
    <row r="417">
      <c r="O417" s="302" t="s">
        <v>1673</v>
      </c>
    </row>
    <row r="418">
      <c r="O418" s="302" t="s">
        <v>1674</v>
      </c>
    </row>
    <row r="419">
      <c r="O419" s="302" t="s">
        <v>1675</v>
      </c>
    </row>
    <row r="420">
      <c r="O420" s="302" t="s">
        <v>1678</v>
      </c>
    </row>
    <row r="421">
      <c r="O421" s="302" t="s">
        <v>1679</v>
      </c>
    </row>
    <row r="422">
      <c r="O422" s="302" t="s">
        <v>1682</v>
      </c>
    </row>
    <row r="423">
      <c r="O423" s="302" t="s">
        <v>1683</v>
      </c>
    </row>
    <row r="424">
      <c r="O424" s="302" t="s">
        <v>1684</v>
      </c>
    </row>
    <row r="425">
      <c r="O425" s="302" t="s">
        <v>1685</v>
      </c>
    </row>
    <row r="426">
      <c r="O426" s="302" t="s">
        <v>1686</v>
      </c>
    </row>
    <row r="427">
      <c r="O427" s="302" t="s">
        <v>1687</v>
      </c>
    </row>
    <row r="428">
      <c r="O428" s="302" t="s">
        <v>1690</v>
      </c>
    </row>
    <row r="429">
      <c r="O429" s="302" t="s">
        <v>1691</v>
      </c>
    </row>
    <row r="430">
      <c r="O430" s="302" t="s">
        <v>1692</v>
      </c>
    </row>
    <row r="431">
      <c r="O431" s="302" t="s">
        <v>1693</v>
      </c>
    </row>
    <row r="432">
      <c r="O432" s="302" t="s">
        <v>1695</v>
      </c>
    </row>
    <row r="433">
      <c r="O433" s="302" t="s">
        <v>1697</v>
      </c>
    </row>
    <row r="434">
      <c r="O434" s="302" t="s">
        <v>1698</v>
      </c>
    </row>
    <row r="435">
      <c r="O435" s="302" t="s">
        <v>1699</v>
      </c>
    </row>
    <row r="436">
      <c r="O436" s="302" t="s">
        <v>1700</v>
      </c>
    </row>
    <row r="437">
      <c r="O437" s="302" t="s">
        <v>1703</v>
      </c>
    </row>
    <row r="438">
      <c r="O438" s="302" t="s">
        <v>1705</v>
      </c>
    </row>
    <row r="439">
      <c r="O439" s="302" t="s">
        <v>1706</v>
      </c>
    </row>
    <row r="440">
      <c r="O440" s="302" t="s">
        <v>1707</v>
      </c>
    </row>
    <row r="441">
      <c r="O441" s="302" t="s">
        <v>1708</v>
      </c>
    </row>
    <row r="442">
      <c r="O442" s="302" t="s">
        <v>1710</v>
      </c>
    </row>
    <row r="443">
      <c r="O443" s="302" t="s">
        <v>1713</v>
      </c>
    </row>
    <row r="444">
      <c r="O444" s="302" t="s">
        <v>1714</v>
      </c>
    </row>
    <row r="445">
      <c r="O445" s="302" t="s">
        <v>1715</v>
      </c>
    </row>
    <row r="446">
      <c r="O446" s="302" t="s">
        <v>1716</v>
      </c>
    </row>
    <row r="447">
      <c r="O447" s="302" t="s">
        <v>1718</v>
      </c>
    </row>
    <row r="448">
      <c r="O448" s="302" t="s">
        <v>1720</v>
      </c>
    </row>
    <row r="449">
      <c r="O449" s="302" t="s">
        <v>1721</v>
      </c>
    </row>
    <row r="450">
      <c r="O450" s="302" t="s">
        <v>1722</v>
      </c>
    </row>
    <row r="451">
      <c r="O451" s="302" t="s">
        <v>1723</v>
      </c>
    </row>
    <row r="452">
      <c r="O452" s="302" t="s">
        <v>1726</v>
      </c>
    </row>
    <row r="453">
      <c r="O453" s="302" t="s">
        <v>1727</v>
      </c>
    </row>
    <row r="454">
      <c r="O454" s="302" t="s">
        <v>1728</v>
      </c>
    </row>
    <row r="455">
      <c r="O455" s="302" t="s">
        <v>1729</v>
      </c>
    </row>
    <row r="456">
      <c r="O456" s="302" t="s">
        <v>1732</v>
      </c>
    </row>
    <row r="457">
      <c r="O457" s="302" t="s">
        <v>1733</v>
      </c>
    </row>
    <row r="458">
      <c r="O458" s="302" t="s">
        <v>1734</v>
      </c>
    </row>
    <row r="459">
      <c r="O459" s="302" t="s">
        <v>1737</v>
      </c>
    </row>
    <row r="460">
      <c r="O460" s="302" t="s">
        <v>1738</v>
      </c>
    </row>
    <row r="461">
      <c r="O461" s="302" t="s">
        <v>1740</v>
      </c>
    </row>
    <row r="462">
      <c r="O462" s="302" t="s">
        <v>1743</v>
      </c>
    </row>
    <row r="463">
      <c r="O463" s="302" t="s">
        <v>1744</v>
      </c>
    </row>
    <row r="464">
      <c r="O464" s="302" t="s">
        <v>1745</v>
      </c>
    </row>
    <row r="465">
      <c r="O465" s="302" t="s">
        <v>1746</v>
      </c>
    </row>
    <row r="466">
      <c r="O466" s="302" t="s">
        <v>1748</v>
      </c>
    </row>
    <row r="467">
      <c r="O467" s="302" t="s">
        <v>1750</v>
      </c>
    </row>
    <row r="468">
      <c r="O468" s="302" t="s">
        <v>1751</v>
      </c>
    </row>
    <row r="469">
      <c r="O469" s="302" t="s">
        <v>1752</v>
      </c>
    </row>
    <row r="470">
      <c r="O470" s="302" t="s">
        <v>1753</v>
      </c>
    </row>
    <row r="471">
      <c r="O471" s="302" t="s">
        <v>1756</v>
      </c>
    </row>
    <row r="472">
      <c r="O472" s="302" t="s">
        <v>1757</v>
      </c>
    </row>
    <row r="473">
      <c r="O473" s="303" t="s">
        <v>1758</v>
      </c>
    </row>
    <row r="474">
      <c r="O474" s="303" t="s">
        <v>1759</v>
      </c>
    </row>
    <row r="475">
      <c r="O475" s="303" t="s">
        <v>1761</v>
      </c>
    </row>
    <row r="476">
      <c r="O476" s="303" t="s">
        <v>1763</v>
      </c>
    </row>
    <row r="477">
      <c r="O477" s="303" t="s">
        <v>1764</v>
      </c>
    </row>
    <row r="478">
      <c r="O478" s="303" t="s">
        <v>1765</v>
      </c>
    </row>
    <row r="479">
      <c r="O479" s="303" t="s">
        <v>1768</v>
      </c>
    </row>
    <row r="480">
      <c r="O480" s="303" t="s">
        <v>1769</v>
      </c>
    </row>
    <row r="481">
      <c r="O481" s="303" t="s">
        <v>1770</v>
      </c>
    </row>
    <row r="482">
      <c r="O482" s="303" t="s">
        <v>1772</v>
      </c>
    </row>
    <row r="483">
      <c r="O483" s="303" t="s">
        <v>1773</v>
      </c>
    </row>
    <row r="484">
      <c r="O484" s="303" t="s">
        <v>1774</v>
      </c>
    </row>
    <row r="485">
      <c r="O485" s="303" t="s">
        <v>1775</v>
      </c>
    </row>
    <row r="486">
      <c r="O486" s="303" t="s">
        <v>1777</v>
      </c>
    </row>
    <row r="487">
      <c r="O487" s="303" t="s">
        <v>1779</v>
      </c>
    </row>
    <row r="488">
      <c r="O488" s="303" t="s">
        <v>1780</v>
      </c>
    </row>
    <row r="489">
      <c r="O489" s="303" t="s">
        <v>1781</v>
      </c>
    </row>
    <row r="490">
      <c r="O490" s="303" t="s">
        <v>1783</v>
      </c>
    </row>
    <row r="491">
      <c r="O491" s="304" t="s">
        <v>1784</v>
      </c>
    </row>
    <row r="492">
      <c r="O492" s="304" t="s">
        <v>1785</v>
      </c>
    </row>
    <row r="493">
      <c r="O493" s="304" t="s">
        <v>1786</v>
      </c>
    </row>
    <row r="494">
      <c r="O494" s="304" t="s">
        <v>1790</v>
      </c>
    </row>
    <row r="495">
      <c r="O495" s="304" t="s">
        <v>1791</v>
      </c>
    </row>
    <row r="496">
      <c r="O496" s="304" t="s">
        <v>1792</v>
      </c>
    </row>
    <row r="497">
      <c r="O497" s="304" t="s">
        <v>1793</v>
      </c>
    </row>
    <row r="498">
      <c r="O498" s="304" t="s">
        <v>1794</v>
      </c>
    </row>
    <row r="499">
      <c r="O499" s="304" t="s">
        <v>1795</v>
      </c>
    </row>
    <row r="500">
      <c r="O500" s="304" t="s">
        <v>1797</v>
      </c>
    </row>
  </sheetData>
  <mergeCells count="7">
    <mergeCell ref="D27:E27"/>
    <mergeCell ref="F27:G27"/>
    <mergeCell ref="H27:I27"/>
    <mergeCell ref="J27:K27"/>
    <mergeCell ref="D42:E42"/>
    <mergeCell ref="F42:G42"/>
    <mergeCell ref="H42:I42"/>
  </mergeCell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88"/>
    <col customWidth="1" min="2" max="2" width="6.5"/>
    <col customWidth="1" min="3" max="4" width="5.88"/>
    <col customWidth="1" min="5" max="5" width="8.25"/>
    <col customWidth="1" min="6" max="8" width="5.88"/>
    <col customWidth="1" min="9" max="9" width="7.13"/>
    <col customWidth="1" min="10" max="10" width="10.0"/>
    <col customWidth="1" min="11" max="11" width="11.25"/>
    <col customWidth="1" min="12" max="12" width="9.63"/>
    <col customWidth="1" min="13" max="13" width="7.25"/>
    <col customWidth="1" min="14" max="14" width="5.88"/>
    <col customWidth="1" min="15" max="15" width="7.25"/>
    <col customWidth="1" min="16" max="16" width="9.0"/>
    <col customWidth="1" min="17" max="18" width="5.88"/>
    <col customWidth="1" min="19" max="19" width="7.25"/>
    <col customWidth="1" min="20" max="21" width="5.88"/>
    <col customWidth="1" min="22" max="22" width="7.88"/>
    <col customWidth="1" min="23" max="23" width="5.88"/>
    <col customWidth="1" min="24" max="24" width="8.0"/>
    <col customWidth="1" min="25" max="25" width="5.88"/>
    <col customWidth="1" min="26" max="26" width="7.13"/>
    <col customWidth="1" min="27" max="29" width="5.88"/>
    <col customWidth="1" min="30" max="30" width="7.63"/>
    <col customWidth="1" min="31" max="31" width="7.0"/>
    <col customWidth="1" min="32" max="36" width="6.5"/>
  </cols>
  <sheetData>
    <row r="1">
      <c r="A1" s="34"/>
      <c r="B1" s="34"/>
      <c r="C1" s="34"/>
      <c r="D1" s="34"/>
      <c r="E1" s="306"/>
      <c r="F1" s="34"/>
      <c r="G1" s="34"/>
      <c r="H1" s="34"/>
      <c r="I1" s="34"/>
      <c r="J1" s="34"/>
      <c r="K1" s="34"/>
      <c r="L1" s="34"/>
      <c r="M1" s="34"/>
      <c r="N1" s="307" t="s">
        <v>186</v>
      </c>
      <c r="O1" s="34"/>
      <c r="P1" s="34"/>
      <c r="Q1" s="300">
        <v>2026.0</v>
      </c>
      <c r="R1" s="34"/>
      <c r="S1" s="34"/>
      <c r="T1" s="34"/>
      <c r="U1" s="34"/>
      <c r="V1" s="34"/>
      <c r="W1" s="34"/>
      <c r="X1" s="34"/>
      <c r="Y1" s="34"/>
      <c r="Z1" s="34"/>
      <c r="AA1" s="34"/>
      <c r="AB1" s="34"/>
      <c r="AC1" s="34"/>
      <c r="AD1" s="34"/>
      <c r="AE1" s="34"/>
      <c r="AF1" s="34"/>
      <c r="AG1" s="34"/>
      <c r="AH1" s="34"/>
      <c r="AI1" s="34"/>
      <c r="AJ1" s="34"/>
    </row>
    <row r="2">
      <c r="A2" s="34"/>
      <c r="B2" s="308" t="s">
        <v>2828</v>
      </c>
      <c r="C2" s="309" t="s">
        <v>2831</v>
      </c>
      <c r="D2" s="309" t="s">
        <v>2832</v>
      </c>
      <c r="E2" s="310" t="s">
        <v>2833</v>
      </c>
      <c r="F2" s="309" t="s">
        <v>2834</v>
      </c>
      <c r="G2" s="309" t="s">
        <v>2835</v>
      </c>
      <c r="H2" s="309" t="s">
        <v>2836</v>
      </c>
      <c r="I2" s="308" t="s">
        <v>2828</v>
      </c>
      <c r="J2" s="309" t="s">
        <v>2831</v>
      </c>
      <c r="K2" s="309" t="s">
        <v>2832</v>
      </c>
      <c r="L2" s="309" t="s">
        <v>2833</v>
      </c>
      <c r="M2" s="309" t="s">
        <v>2834</v>
      </c>
      <c r="N2" s="309" t="s">
        <v>2835</v>
      </c>
      <c r="O2" s="309" t="s">
        <v>2836</v>
      </c>
      <c r="P2" s="308" t="s">
        <v>2828</v>
      </c>
      <c r="Q2" s="309" t="s">
        <v>2831</v>
      </c>
      <c r="R2" s="309" t="s">
        <v>2832</v>
      </c>
      <c r="S2" s="309" t="s">
        <v>2833</v>
      </c>
      <c r="T2" s="309" t="s">
        <v>2834</v>
      </c>
      <c r="U2" s="309" t="s">
        <v>2835</v>
      </c>
      <c r="V2" s="309" t="s">
        <v>2836</v>
      </c>
      <c r="W2" s="308" t="s">
        <v>2828</v>
      </c>
      <c r="X2" s="309" t="s">
        <v>2831</v>
      </c>
      <c r="Y2" s="309" t="s">
        <v>2832</v>
      </c>
      <c r="Z2" s="309" t="s">
        <v>2833</v>
      </c>
      <c r="AA2" s="309" t="s">
        <v>2834</v>
      </c>
      <c r="AB2" s="309" t="s">
        <v>2835</v>
      </c>
      <c r="AC2" s="309" t="s">
        <v>2836</v>
      </c>
      <c r="AD2" s="123" t="s">
        <v>2839</v>
      </c>
      <c r="AE2" s="123" t="s">
        <v>2840</v>
      </c>
      <c r="AF2" s="123"/>
      <c r="AG2" s="123"/>
      <c r="AH2" s="123"/>
      <c r="AI2" s="123"/>
      <c r="AJ2" s="123" t="s">
        <v>2841</v>
      </c>
    </row>
    <row r="3">
      <c r="A3" s="19"/>
      <c r="B3" s="311">
        <v>1.0</v>
      </c>
      <c r="C3" s="312">
        <v>2.0</v>
      </c>
      <c r="D3" s="312">
        <v>3.0</v>
      </c>
      <c r="E3" s="313">
        <v>4.0</v>
      </c>
      <c r="F3" s="312">
        <v>5.0</v>
      </c>
      <c r="G3" s="312">
        <v>6.0</v>
      </c>
      <c r="H3" s="312">
        <v>7.0</v>
      </c>
      <c r="I3" s="311">
        <v>8.0</v>
      </c>
      <c r="J3" s="312">
        <v>9.0</v>
      </c>
      <c r="K3" s="312">
        <v>10.0</v>
      </c>
      <c r="L3" s="312">
        <v>11.0</v>
      </c>
      <c r="M3" s="312">
        <v>12.0</v>
      </c>
      <c r="N3" s="312">
        <v>13.0</v>
      </c>
      <c r="O3" s="312">
        <v>14.0</v>
      </c>
      <c r="P3" s="311">
        <v>15.0</v>
      </c>
      <c r="Q3" s="312">
        <v>16.0</v>
      </c>
      <c r="R3" s="312">
        <v>17.0</v>
      </c>
      <c r="S3" s="312">
        <v>18.0</v>
      </c>
      <c r="T3" s="312">
        <v>19.0</v>
      </c>
      <c r="U3" s="312">
        <v>20.0</v>
      </c>
      <c r="V3" s="312">
        <v>21.0</v>
      </c>
      <c r="W3" s="311">
        <v>22.0</v>
      </c>
      <c r="X3" s="312">
        <v>23.0</v>
      </c>
      <c r="Y3" s="312">
        <v>24.0</v>
      </c>
      <c r="Z3" s="312">
        <v>25.0</v>
      </c>
      <c r="AA3" s="312">
        <v>26.0</v>
      </c>
      <c r="AB3" s="312">
        <v>27.0</v>
      </c>
      <c r="AC3" s="312">
        <v>28.0</v>
      </c>
      <c r="AD3" s="21">
        <v>1.0</v>
      </c>
      <c r="AE3" s="21">
        <v>2.0</v>
      </c>
      <c r="AF3" s="21"/>
      <c r="AG3" s="21"/>
      <c r="AH3" s="21"/>
      <c r="AI3" s="21"/>
      <c r="AJ3" s="21">
        <v>3.0</v>
      </c>
    </row>
    <row r="4">
      <c r="A4" s="314" t="s">
        <v>2843</v>
      </c>
      <c r="B4" s="19"/>
      <c r="C4" s="19"/>
      <c r="D4" s="19"/>
      <c r="E4" s="315"/>
      <c r="F4" s="19"/>
      <c r="G4" s="19"/>
      <c r="H4" s="19"/>
      <c r="I4" s="19"/>
      <c r="J4" s="19"/>
      <c r="K4" s="19"/>
      <c r="L4" s="19"/>
      <c r="M4" s="19"/>
      <c r="N4" s="19"/>
      <c r="O4" s="19"/>
      <c r="P4" s="19"/>
      <c r="Q4" s="19"/>
      <c r="R4" s="19"/>
      <c r="S4" s="19"/>
      <c r="T4" s="19"/>
      <c r="U4" s="19"/>
      <c r="V4" s="19"/>
      <c r="W4" s="19"/>
      <c r="X4" s="19"/>
      <c r="Y4" s="19"/>
      <c r="Z4" s="19"/>
      <c r="AA4" s="19"/>
      <c r="AB4" s="19"/>
      <c r="AC4" s="19"/>
      <c r="AD4" s="34"/>
      <c r="AE4" s="34"/>
      <c r="AF4" s="34"/>
      <c r="AG4" s="34"/>
      <c r="AH4" s="34"/>
      <c r="AI4" s="34"/>
      <c r="AJ4" s="34"/>
    </row>
    <row r="5">
      <c r="A5" s="316" t="s">
        <v>2848</v>
      </c>
      <c r="B5" s="19"/>
      <c r="C5" s="19"/>
      <c r="D5" s="314" t="s">
        <v>2849</v>
      </c>
      <c r="E5" s="315"/>
      <c r="F5" s="19"/>
      <c r="G5" s="314" t="s">
        <v>2849</v>
      </c>
      <c r="H5" s="19"/>
      <c r="I5" s="19"/>
      <c r="J5" s="19"/>
      <c r="K5" s="19"/>
      <c r="L5" s="19"/>
      <c r="M5" s="19"/>
      <c r="N5" s="19"/>
      <c r="O5" s="19"/>
      <c r="P5" s="19"/>
      <c r="Q5" s="19"/>
      <c r="R5" s="19"/>
      <c r="S5" s="19"/>
      <c r="T5" s="19"/>
      <c r="U5" s="19"/>
      <c r="V5" s="19"/>
      <c r="W5" s="19"/>
      <c r="X5" s="19"/>
      <c r="Y5" s="19"/>
      <c r="Z5" s="19"/>
      <c r="AA5" s="19"/>
      <c r="AB5" s="19"/>
      <c r="AC5" s="19"/>
      <c r="AD5" s="34"/>
      <c r="AE5" s="34"/>
      <c r="AF5" s="34"/>
      <c r="AG5" s="34"/>
      <c r="AH5" s="34"/>
      <c r="AI5" s="34"/>
      <c r="AJ5" s="34"/>
    </row>
    <row r="6">
      <c r="A6" s="293" t="s">
        <v>2852</v>
      </c>
      <c r="B6" s="19"/>
      <c r="C6" s="19"/>
      <c r="D6" s="19"/>
      <c r="E6" s="315"/>
      <c r="F6" s="19"/>
      <c r="G6" s="19"/>
      <c r="H6" s="19"/>
      <c r="I6" s="314" t="s">
        <v>2853</v>
      </c>
      <c r="J6" s="314" t="s">
        <v>2853</v>
      </c>
      <c r="K6" s="314" t="s">
        <v>2853</v>
      </c>
      <c r="L6" s="314" t="s">
        <v>2854</v>
      </c>
      <c r="M6" s="314" t="s">
        <v>2854</v>
      </c>
      <c r="N6" s="314" t="s">
        <v>2855</v>
      </c>
      <c r="O6" s="314" t="s">
        <v>2855</v>
      </c>
      <c r="P6" s="19"/>
      <c r="Q6" s="19"/>
      <c r="R6" s="19"/>
      <c r="S6" s="19"/>
      <c r="T6" s="19"/>
      <c r="U6" s="19"/>
      <c r="V6" s="19"/>
      <c r="W6" s="19"/>
      <c r="X6" s="19"/>
      <c r="Y6" s="19"/>
      <c r="Z6" s="19"/>
      <c r="AA6" s="19"/>
      <c r="AB6" s="19"/>
      <c r="AC6" s="19"/>
      <c r="AD6" s="34"/>
      <c r="AE6" s="123"/>
      <c r="AF6" s="123"/>
      <c r="AG6" s="123"/>
      <c r="AH6" s="123"/>
      <c r="AI6" s="123"/>
      <c r="AJ6" s="123"/>
    </row>
    <row r="7">
      <c r="A7" s="19"/>
      <c r="B7" s="19"/>
      <c r="C7" s="19"/>
      <c r="D7" s="19"/>
      <c r="E7" s="315"/>
      <c r="F7" s="19"/>
      <c r="G7" s="19"/>
      <c r="H7" s="19"/>
      <c r="I7" s="19"/>
      <c r="J7" s="19"/>
      <c r="K7" s="19"/>
      <c r="L7" s="19"/>
      <c r="M7" s="19"/>
      <c r="N7" s="19"/>
      <c r="O7" s="19"/>
      <c r="P7" s="19"/>
      <c r="Q7" s="19"/>
      <c r="R7" s="19"/>
      <c r="S7" s="19"/>
      <c r="T7" s="19"/>
      <c r="U7" s="19"/>
      <c r="V7" s="19"/>
      <c r="W7" s="19"/>
      <c r="X7" s="19"/>
      <c r="Y7" s="19"/>
      <c r="Z7" s="19"/>
      <c r="AA7" s="19"/>
      <c r="AB7" s="19"/>
      <c r="AC7" s="19"/>
      <c r="AD7" s="34"/>
      <c r="AE7" s="34"/>
      <c r="AF7" s="34"/>
      <c r="AG7" s="34"/>
      <c r="AH7" s="34"/>
      <c r="AI7" s="34"/>
      <c r="AJ7" s="34"/>
    </row>
    <row r="8">
      <c r="A8" s="317" t="s">
        <v>312</v>
      </c>
      <c r="B8" s="19"/>
      <c r="C8" s="19"/>
      <c r="D8" s="19"/>
      <c r="E8" s="315"/>
      <c r="F8" s="19"/>
      <c r="G8" s="19"/>
      <c r="H8" s="19"/>
      <c r="I8" s="19"/>
      <c r="J8" s="19"/>
      <c r="K8" s="19"/>
      <c r="L8" s="19"/>
      <c r="M8" s="19"/>
      <c r="N8" s="19"/>
      <c r="O8" s="19"/>
      <c r="P8" s="19"/>
      <c r="Q8" s="19"/>
      <c r="R8" s="19"/>
      <c r="S8" s="19"/>
      <c r="T8" s="19"/>
      <c r="U8" s="19"/>
      <c r="V8" s="19"/>
      <c r="W8" s="19"/>
      <c r="X8" s="19"/>
      <c r="Y8" s="19"/>
      <c r="Z8" s="19"/>
      <c r="AA8" s="19"/>
      <c r="AB8" s="19"/>
      <c r="AC8" s="19"/>
      <c r="AD8" s="34"/>
      <c r="AE8" s="34"/>
      <c r="AF8" s="34"/>
      <c r="AG8" s="34"/>
      <c r="AH8" s="34"/>
      <c r="AI8" s="34"/>
      <c r="AJ8" s="34"/>
    </row>
    <row r="9">
      <c r="A9" s="316" t="s">
        <v>2862</v>
      </c>
      <c r="B9" s="19"/>
      <c r="C9" s="19"/>
      <c r="D9" s="19"/>
      <c r="E9" s="315"/>
      <c r="F9" s="19"/>
      <c r="G9" s="19"/>
      <c r="H9" s="19"/>
      <c r="I9" s="19"/>
      <c r="J9" s="19"/>
      <c r="K9" s="19"/>
      <c r="L9" s="19"/>
      <c r="M9" s="19"/>
      <c r="N9" s="19"/>
      <c r="O9" s="19"/>
      <c r="P9" s="19"/>
      <c r="Q9" s="19"/>
      <c r="R9" s="19"/>
      <c r="S9" s="19"/>
      <c r="T9" s="19"/>
      <c r="U9" s="19"/>
      <c r="V9" s="19"/>
      <c r="W9" s="19"/>
      <c r="X9" s="19"/>
      <c r="Y9" s="19"/>
      <c r="Z9" s="19"/>
      <c r="AA9" s="19"/>
      <c r="AB9" s="19"/>
      <c r="AC9" s="19"/>
      <c r="AD9" s="34"/>
      <c r="AE9" s="34"/>
      <c r="AF9" s="34"/>
      <c r="AG9" s="34"/>
      <c r="AH9" s="34"/>
      <c r="AI9" s="34"/>
      <c r="AJ9" s="34"/>
    </row>
    <row r="10">
      <c r="A10" s="316" t="s">
        <v>2848</v>
      </c>
      <c r="B10" s="19"/>
      <c r="C10" s="19"/>
      <c r="D10" s="19"/>
      <c r="E10" s="315"/>
      <c r="F10" s="19"/>
      <c r="G10" s="19"/>
      <c r="H10" s="19"/>
      <c r="I10" s="21"/>
      <c r="J10" s="318" t="s">
        <v>2866</v>
      </c>
      <c r="K10" s="318" t="s">
        <v>2866</v>
      </c>
      <c r="L10" s="318" t="s">
        <v>2866</v>
      </c>
      <c r="M10" s="318" t="s">
        <v>2866</v>
      </c>
      <c r="N10" s="318" t="s">
        <v>2866</v>
      </c>
      <c r="O10" s="318" t="s">
        <v>2866</v>
      </c>
      <c r="P10" s="19"/>
      <c r="Q10" s="19"/>
      <c r="R10" s="19"/>
      <c r="S10" s="19"/>
      <c r="T10" s="19"/>
      <c r="U10" s="19"/>
      <c r="V10" s="19"/>
      <c r="W10" s="19"/>
      <c r="X10" s="318" t="s">
        <v>2866</v>
      </c>
      <c r="Y10" s="318" t="s">
        <v>2866</v>
      </c>
      <c r="Z10" s="318" t="s">
        <v>2866</v>
      </c>
      <c r="AA10" s="318" t="s">
        <v>2866</v>
      </c>
      <c r="AB10" s="318" t="s">
        <v>2866</v>
      </c>
      <c r="AC10" s="318" t="s">
        <v>2866</v>
      </c>
      <c r="AD10" s="34"/>
      <c r="AE10" s="34"/>
      <c r="AF10" s="34"/>
      <c r="AG10" s="34"/>
      <c r="AH10" s="34"/>
      <c r="AI10" s="34"/>
      <c r="AJ10" s="34"/>
    </row>
    <row r="11">
      <c r="A11" s="19"/>
      <c r="B11" s="19"/>
      <c r="C11" s="19"/>
      <c r="D11" s="19"/>
      <c r="E11" s="315"/>
      <c r="F11" s="19"/>
      <c r="G11" s="19"/>
      <c r="H11" s="19"/>
      <c r="I11" s="19"/>
      <c r="J11" s="19"/>
      <c r="K11" s="19"/>
      <c r="L11" s="19"/>
      <c r="M11" s="19"/>
      <c r="N11" s="19"/>
      <c r="O11" s="19"/>
      <c r="P11" s="19"/>
      <c r="Q11" s="19"/>
      <c r="R11" s="19"/>
      <c r="S11" s="19"/>
      <c r="T11" s="19"/>
      <c r="U11" s="19"/>
      <c r="V11" s="19"/>
      <c r="W11" s="19"/>
      <c r="X11" s="19"/>
      <c r="Y11" s="19"/>
      <c r="Z11" s="19"/>
      <c r="AA11" s="19"/>
      <c r="AB11" s="19"/>
      <c r="AC11" s="19"/>
      <c r="AD11" s="34"/>
      <c r="AE11" s="34"/>
      <c r="AF11" s="34"/>
      <c r="AG11" s="34"/>
      <c r="AH11" s="34"/>
      <c r="AI11" s="34"/>
      <c r="AJ11" s="34"/>
    </row>
    <row r="12">
      <c r="A12" s="319" t="s">
        <v>2872</v>
      </c>
      <c r="B12" s="19"/>
      <c r="C12" s="19"/>
      <c r="D12" s="19"/>
      <c r="E12" s="315"/>
      <c r="F12" s="19"/>
      <c r="G12" s="19"/>
      <c r="H12" s="19"/>
      <c r="I12" s="19"/>
      <c r="J12" s="19"/>
      <c r="K12" s="19"/>
      <c r="L12" s="19"/>
      <c r="M12" s="19"/>
      <c r="N12" s="19"/>
      <c r="O12" s="19"/>
      <c r="P12" s="19"/>
      <c r="Q12" s="19"/>
      <c r="R12" s="19"/>
      <c r="S12" s="19"/>
      <c r="T12" s="19"/>
      <c r="U12" s="19"/>
      <c r="V12" s="19"/>
      <c r="W12" s="19"/>
      <c r="X12" s="19"/>
      <c r="Y12" s="19"/>
      <c r="Z12" s="19"/>
      <c r="AA12" s="19"/>
      <c r="AB12" s="19"/>
      <c r="AC12" s="19"/>
      <c r="AD12" s="34"/>
      <c r="AE12" s="34"/>
      <c r="AF12" s="34"/>
      <c r="AG12" s="34"/>
      <c r="AH12" s="34"/>
      <c r="AI12" s="34"/>
      <c r="AJ12" s="34"/>
    </row>
    <row r="13">
      <c r="A13" s="316" t="s">
        <v>2862</v>
      </c>
      <c r="B13" s="19"/>
      <c r="C13" s="19"/>
      <c r="D13" s="19"/>
      <c r="E13" s="315"/>
      <c r="F13" s="19"/>
      <c r="G13" s="19"/>
      <c r="H13" s="19"/>
      <c r="I13" s="19"/>
      <c r="J13" s="19"/>
      <c r="K13" s="19"/>
      <c r="L13" s="19"/>
      <c r="M13" s="19"/>
      <c r="N13" s="19"/>
      <c r="O13" s="19"/>
      <c r="P13" s="19"/>
      <c r="Q13" s="19"/>
      <c r="R13" s="19"/>
      <c r="S13" s="19"/>
      <c r="T13" s="19"/>
      <c r="U13" s="19"/>
      <c r="V13" s="19"/>
      <c r="W13" s="19"/>
      <c r="X13" s="19"/>
      <c r="Y13" s="19"/>
      <c r="Z13" s="19"/>
      <c r="AA13" s="19"/>
      <c r="AB13" s="19"/>
      <c r="AC13" s="19"/>
      <c r="AD13" s="34"/>
      <c r="AE13" s="34"/>
      <c r="AF13" s="34"/>
      <c r="AG13" s="34"/>
      <c r="AH13" s="34"/>
      <c r="AI13" s="34"/>
      <c r="AJ13" s="34"/>
    </row>
    <row r="14">
      <c r="A14" s="316" t="s">
        <v>2848</v>
      </c>
      <c r="B14" s="19"/>
      <c r="C14" s="19"/>
      <c r="D14" s="19"/>
      <c r="E14" s="315"/>
      <c r="F14" s="19"/>
      <c r="G14" s="19"/>
      <c r="H14" s="19"/>
      <c r="I14" s="19"/>
      <c r="J14" s="19"/>
      <c r="K14" s="19"/>
      <c r="L14" s="19"/>
      <c r="M14" s="19"/>
      <c r="N14" s="19"/>
      <c r="O14" s="19"/>
      <c r="P14" s="19"/>
      <c r="Q14" s="19"/>
      <c r="R14" s="19"/>
      <c r="S14" s="19"/>
      <c r="T14" s="19"/>
      <c r="U14" s="19"/>
      <c r="V14" s="19"/>
      <c r="W14" s="19"/>
      <c r="X14" s="19"/>
      <c r="Y14" s="19"/>
      <c r="Z14" s="19"/>
      <c r="AA14" s="19"/>
      <c r="AB14" s="19"/>
      <c r="AC14" s="19"/>
      <c r="AD14" s="34"/>
      <c r="AE14" s="34"/>
      <c r="AF14" s="34"/>
      <c r="AG14" s="34"/>
      <c r="AH14" s="34"/>
      <c r="AI14" s="34"/>
      <c r="AJ14" s="34"/>
    </row>
    <row r="15">
      <c r="A15" s="34"/>
      <c r="B15" s="19"/>
      <c r="C15" s="19"/>
      <c r="D15" s="19"/>
      <c r="E15" s="315"/>
      <c r="F15" s="19"/>
      <c r="G15" s="19"/>
      <c r="H15" s="19"/>
      <c r="I15" s="19"/>
      <c r="J15" s="19"/>
      <c r="K15" s="19"/>
      <c r="L15" s="19"/>
      <c r="M15" s="19"/>
      <c r="N15" s="19"/>
      <c r="O15" s="19"/>
      <c r="P15" s="19"/>
      <c r="Q15" s="19"/>
      <c r="R15" s="19"/>
      <c r="S15" s="19"/>
      <c r="T15" s="19"/>
      <c r="U15" s="19"/>
      <c r="V15" s="19"/>
      <c r="W15" s="19"/>
      <c r="X15" s="19"/>
      <c r="Y15" s="19"/>
      <c r="Z15" s="19"/>
      <c r="AA15" s="19"/>
      <c r="AB15" s="19"/>
      <c r="AC15" s="19"/>
      <c r="AD15" s="34"/>
      <c r="AE15" s="34"/>
      <c r="AF15" s="34"/>
      <c r="AG15" s="34"/>
      <c r="AH15" s="34"/>
      <c r="AI15" s="34"/>
      <c r="AJ15" s="34"/>
    </row>
    <row r="16">
      <c r="E16" s="320"/>
    </row>
    <row r="17">
      <c r="E17" s="320"/>
    </row>
    <row r="18">
      <c r="E18" s="320"/>
    </row>
    <row r="19">
      <c r="E19" s="320"/>
    </row>
    <row r="20">
      <c r="E20" s="320"/>
    </row>
    <row r="21">
      <c r="A21" s="34"/>
      <c r="B21" s="34"/>
      <c r="C21" s="34"/>
      <c r="D21" s="34"/>
      <c r="E21" s="306"/>
      <c r="F21" s="34"/>
      <c r="G21" s="34"/>
      <c r="H21" s="34"/>
      <c r="I21" s="34"/>
      <c r="J21" s="34"/>
      <c r="K21" s="34"/>
      <c r="L21" s="34"/>
      <c r="M21" s="34"/>
      <c r="N21" s="321" t="s">
        <v>265</v>
      </c>
      <c r="O21" s="34"/>
      <c r="P21" s="34"/>
      <c r="Q21" s="300">
        <v>2026.0</v>
      </c>
      <c r="R21" s="34"/>
      <c r="S21" s="34"/>
      <c r="T21" s="34"/>
      <c r="U21" s="34"/>
      <c r="V21" s="34"/>
      <c r="W21" s="34"/>
      <c r="X21" s="34"/>
      <c r="Y21" s="34"/>
      <c r="Z21" s="34"/>
      <c r="AA21" s="34"/>
      <c r="AB21" s="34"/>
      <c r="AC21" s="34"/>
    </row>
    <row r="22">
      <c r="A22" s="34"/>
      <c r="B22" s="308" t="s">
        <v>2828</v>
      </c>
      <c r="C22" s="309" t="s">
        <v>2831</v>
      </c>
      <c r="D22" s="309" t="s">
        <v>2832</v>
      </c>
      <c r="E22" s="310" t="s">
        <v>2833</v>
      </c>
      <c r="F22" s="309" t="s">
        <v>2834</v>
      </c>
      <c r="G22" s="309" t="s">
        <v>2835</v>
      </c>
      <c r="H22" s="309" t="s">
        <v>2836</v>
      </c>
      <c r="I22" s="308" t="s">
        <v>2828</v>
      </c>
      <c r="J22" s="309" t="s">
        <v>2831</v>
      </c>
      <c r="K22" s="309" t="s">
        <v>2832</v>
      </c>
      <c r="L22" s="309" t="s">
        <v>2833</v>
      </c>
      <c r="M22" s="309" t="s">
        <v>2834</v>
      </c>
      <c r="N22" s="309" t="s">
        <v>2835</v>
      </c>
      <c r="O22" s="309" t="s">
        <v>2836</v>
      </c>
      <c r="P22" s="308" t="s">
        <v>2828</v>
      </c>
      <c r="Q22" s="309" t="s">
        <v>2831</v>
      </c>
      <c r="R22" s="309" t="s">
        <v>2832</v>
      </c>
      <c r="S22" s="309" t="s">
        <v>2833</v>
      </c>
      <c r="T22" s="309" t="s">
        <v>2834</v>
      </c>
      <c r="U22" s="309" t="s">
        <v>2835</v>
      </c>
      <c r="V22" s="309" t="s">
        <v>2836</v>
      </c>
      <c r="W22" s="308" t="s">
        <v>2828</v>
      </c>
      <c r="X22" s="309" t="s">
        <v>2831</v>
      </c>
      <c r="Y22" s="309" t="s">
        <v>2832</v>
      </c>
      <c r="Z22" s="309" t="s">
        <v>2833</v>
      </c>
      <c r="AA22" s="309" t="s">
        <v>2834</v>
      </c>
      <c r="AB22" s="309" t="s">
        <v>2835</v>
      </c>
      <c r="AC22" s="309" t="s">
        <v>2836</v>
      </c>
    </row>
    <row r="23">
      <c r="A23" s="19"/>
      <c r="B23" s="311">
        <v>1.0</v>
      </c>
      <c r="C23" s="312">
        <v>2.0</v>
      </c>
      <c r="D23" s="312">
        <v>3.0</v>
      </c>
      <c r="E23" s="313">
        <v>4.0</v>
      </c>
      <c r="F23" s="312">
        <v>5.0</v>
      </c>
      <c r="G23" s="312">
        <v>6.0</v>
      </c>
      <c r="H23" s="312">
        <v>7.0</v>
      </c>
      <c r="I23" s="311">
        <v>8.0</v>
      </c>
      <c r="J23" s="312">
        <v>9.0</v>
      </c>
      <c r="K23" s="312">
        <v>10.0</v>
      </c>
      <c r="L23" s="312">
        <v>11.0</v>
      </c>
      <c r="M23" s="312">
        <v>12.0</v>
      </c>
      <c r="N23" s="312">
        <v>13.0</v>
      </c>
      <c r="O23" s="312">
        <v>14.0</v>
      </c>
      <c r="P23" s="311">
        <v>15.0</v>
      </c>
      <c r="Q23" s="312">
        <v>16.0</v>
      </c>
      <c r="R23" s="312">
        <v>17.0</v>
      </c>
      <c r="S23" s="312">
        <v>18.0</v>
      </c>
      <c r="T23" s="312">
        <v>19.0</v>
      </c>
      <c r="U23" s="312">
        <v>20.0</v>
      </c>
      <c r="V23" s="312">
        <v>21.0</v>
      </c>
      <c r="W23" s="311">
        <v>22.0</v>
      </c>
      <c r="X23" s="312">
        <v>23.0</v>
      </c>
      <c r="Y23" s="312">
        <v>24.0</v>
      </c>
      <c r="Z23" s="312">
        <v>25.0</v>
      </c>
      <c r="AA23" s="312">
        <v>26.0</v>
      </c>
      <c r="AB23" s="312">
        <v>27.0</v>
      </c>
      <c r="AC23" s="312">
        <v>28.0</v>
      </c>
    </row>
    <row r="24">
      <c r="A24" s="323" t="s">
        <v>920</v>
      </c>
      <c r="B24" s="19"/>
      <c r="C24" s="19"/>
      <c r="D24" s="19"/>
      <c r="E24" s="315"/>
      <c r="F24" s="19"/>
      <c r="G24" s="19"/>
      <c r="H24" s="19"/>
      <c r="I24" s="19"/>
      <c r="J24" s="19"/>
      <c r="K24" s="19"/>
      <c r="L24" s="19"/>
      <c r="M24" s="19"/>
      <c r="N24" s="19"/>
      <c r="O24" s="19"/>
      <c r="P24" s="19"/>
      <c r="Q24" s="19"/>
      <c r="R24" s="19"/>
      <c r="S24" s="19"/>
      <c r="T24" s="19"/>
      <c r="U24" s="19"/>
      <c r="V24" s="19"/>
      <c r="W24" s="19"/>
      <c r="X24" s="19"/>
      <c r="Y24" s="19"/>
      <c r="Z24" s="19"/>
      <c r="AA24" s="19"/>
      <c r="AB24" s="19"/>
      <c r="AC24" s="19"/>
    </row>
    <row r="25">
      <c r="A25" s="316" t="s">
        <v>2848</v>
      </c>
      <c r="B25" s="19"/>
      <c r="C25" s="324" t="s">
        <v>2889</v>
      </c>
      <c r="D25" s="325"/>
      <c r="E25" s="325"/>
      <c r="F25" s="326"/>
      <c r="G25" s="323" t="s">
        <v>2891</v>
      </c>
      <c r="H25" s="327"/>
      <c r="I25" s="19"/>
      <c r="J25" s="324" t="s">
        <v>2892</v>
      </c>
      <c r="K25" s="325"/>
      <c r="L25" s="325"/>
      <c r="M25" s="328" t="s">
        <v>2894</v>
      </c>
      <c r="N25" s="329" t="s">
        <v>2895</v>
      </c>
      <c r="O25" s="327"/>
      <c r="P25" s="330" t="s">
        <v>2896</v>
      </c>
      <c r="Q25" s="330" t="s">
        <v>2896</v>
      </c>
      <c r="R25" s="330" t="s">
        <v>2896</v>
      </c>
      <c r="S25" s="330" t="s">
        <v>2896</v>
      </c>
      <c r="T25" s="330" t="s">
        <v>2896</v>
      </c>
      <c r="U25" s="330" t="s">
        <v>2896</v>
      </c>
      <c r="V25" s="330" t="s">
        <v>2896</v>
      </c>
      <c r="W25" s="19"/>
      <c r="X25" s="324" t="s">
        <v>2897</v>
      </c>
      <c r="Y25" s="325"/>
      <c r="Z25" s="325"/>
      <c r="AA25" s="325"/>
      <c r="AB25" s="325"/>
      <c r="AC25" s="326"/>
    </row>
    <row r="26">
      <c r="A26" s="293" t="s">
        <v>2852</v>
      </c>
      <c r="B26" s="19"/>
      <c r="C26" s="331" t="s">
        <v>2900</v>
      </c>
      <c r="D26" s="331" t="s">
        <v>2901</v>
      </c>
      <c r="E26" s="315"/>
      <c r="F26" s="19"/>
      <c r="G26" s="19"/>
      <c r="H26" s="19"/>
      <c r="I26" s="19"/>
      <c r="J26" s="19"/>
      <c r="K26" s="19"/>
      <c r="L26" s="19"/>
      <c r="M26" s="19"/>
      <c r="N26" s="19"/>
      <c r="O26" s="19"/>
      <c r="P26" s="330" t="s">
        <v>2896</v>
      </c>
      <c r="Q26" s="330" t="s">
        <v>2896</v>
      </c>
      <c r="R26" s="330" t="s">
        <v>2896</v>
      </c>
      <c r="S26" s="330" t="s">
        <v>2896</v>
      </c>
      <c r="T26" s="330" t="s">
        <v>2896</v>
      </c>
      <c r="U26" s="330" t="s">
        <v>2896</v>
      </c>
      <c r="V26" s="330" t="s">
        <v>2896</v>
      </c>
      <c r="W26" s="19"/>
      <c r="X26" s="19"/>
      <c r="Y26" s="19"/>
      <c r="Z26" s="19"/>
      <c r="AA26" s="19"/>
      <c r="AB26" s="19"/>
      <c r="AC26" s="19"/>
    </row>
    <row r="27">
      <c r="A27" s="19"/>
      <c r="B27" s="19"/>
      <c r="C27" s="19"/>
      <c r="D27" s="19"/>
      <c r="E27" s="315"/>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317" t="s">
        <v>312</v>
      </c>
      <c r="B28" s="19"/>
      <c r="C28" s="19"/>
      <c r="D28" s="19"/>
      <c r="E28" s="315"/>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316" t="s">
        <v>2862</v>
      </c>
      <c r="B29" s="19"/>
      <c r="C29" s="19"/>
      <c r="D29" s="19"/>
      <c r="E29" s="315"/>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316" t="s">
        <v>2848</v>
      </c>
      <c r="B30" s="19"/>
      <c r="C30" s="19"/>
      <c r="D30" s="19"/>
      <c r="E30" s="315"/>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315"/>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319" t="s">
        <v>2872</v>
      </c>
      <c r="B32" s="19"/>
      <c r="C32" s="19"/>
      <c r="D32" s="19"/>
      <c r="E32" s="315"/>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316" t="s">
        <v>2862</v>
      </c>
      <c r="B33" s="19"/>
      <c r="C33" s="19"/>
      <c r="D33" s="19"/>
      <c r="E33" s="315"/>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316" t="s">
        <v>2848</v>
      </c>
      <c r="B34" s="19"/>
      <c r="C34" s="19"/>
      <c r="D34" s="19"/>
      <c r="E34" s="315"/>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34"/>
      <c r="B35" s="19"/>
      <c r="C35" s="19"/>
      <c r="D35" s="19"/>
      <c r="E35" s="315"/>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E36" s="320"/>
    </row>
    <row r="37">
      <c r="E37" s="320"/>
    </row>
    <row r="38">
      <c r="A38" s="34"/>
      <c r="B38" s="34"/>
      <c r="C38" s="34"/>
      <c r="D38" s="34"/>
      <c r="E38" s="306"/>
      <c r="F38" s="34"/>
      <c r="G38" s="34"/>
      <c r="H38" s="34"/>
      <c r="I38" s="34"/>
      <c r="J38" s="34"/>
      <c r="K38" s="34"/>
      <c r="L38" s="34"/>
      <c r="M38" s="34"/>
      <c r="N38" s="321" t="s">
        <v>282</v>
      </c>
      <c r="O38" s="34"/>
      <c r="P38" s="34"/>
      <c r="Q38" s="300">
        <v>2026.0</v>
      </c>
      <c r="R38" s="34"/>
      <c r="S38" s="34"/>
      <c r="T38" s="34"/>
      <c r="U38" s="34"/>
      <c r="V38" s="34"/>
      <c r="W38" s="34"/>
      <c r="X38" s="34"/>
      <c r="Y38" s="34"/>
      <c r="Z38" s="34"/>
      <c r="AA38" s="34"/>
      <c r="AB38" s="34"/>
      <c r="AC38" s="34"/>
    </row>
    <row r="39">
      <c r="A39" s="34"/>
      <c r="B39" s="309" t="s">
        <v>2833</v>
      </c>
      <c r="C39" s="309" t="s">
        <v>2834</v>
      </c>
      <c r="D39" s="309" t="s">
        <v>2835</v>
      </c>
      <c r="E39" s="310" t="s">
        <v>2836</v>
      </c>
      <c r="F39" s="308" t="s">
        <v>2828</v>
      </c>
      <c r="G39" s="309" t="s">
        <v>2831</v>
      </c>
      <c r="H39" s="309" t="s">
        <v>2832</v>
      </c>
      <c r="I39" s="309" t="s">
        <v>2833</v>
      </c>
      <c r="J39" s="309" t="s">
        <v>2834</v>
      </c>
      <c r="K39" s="309" t="s">
        <v>2835</v>
      </c>
      <c r="L39" s="309" t="s">
        <v>2836</v>
      </c>
      <c r="M39" s="308" t="s">
        <v>2828</v>
      </c>
      <c r="N39" s="309" t="s">
        <v>2831</v>
      </c>
      <c r="O39" s="309" t="s">
        <v>2832</v>
      </c>
      <c r="P39" s="309" t="s">
        <v>2833</v>
      </c>
      <c r="Q39" s="309" t="s">
        <v>2834</v>
      </c>
      <c r="R39" s="309" t="s">
        <v>2835</v>
      </c>
      <c r="S39" s="309" t="s">
        <v>2836</v>
      </c>
      <c r="T39" s="308" t="s">
        <v>2828</v>
      </c>
      <c r="U39" s="309" t="s">
        <v>2831</v>
      </c>
      <c r="V39" s="309" t="s">
        <v>2832</v>
      </c>
      <c r="W39" s="309" t="s">
        <v>2833</v>
      </c>
      <c r="X39" s="309" t="s">
        <v>2834</v>
      </c>
      <c r="Y39" s="309" t="s">
        <v>2835</v>
      </c>
      <c r="Z39" s="309" t="s">
        <v>2836</v>
      </c>
      <c r="AA39" s="308" t="s">
        <v>2828</v>
      </c>
      <c r="AB39" s="309" t="s">
        <v>2831</v>
      </c>
      <c r="AC39" s="309" t="s">
        <v>2832</v>
      </c>
      <c r="AD39" s="309" t="s">
        <v>2833</v>
      </c>
      <c r="AE39" s="309" t="s">
        <v>2834</v>
      </c>
    </row>
    <row r="40">
      <c r="A40" s="19"/>
      <c r="B40" s="312">
        <v>1.0</v>
      </c>
      <c r="C40" s="308">
        <v>2.0</v>
      </c>
      <c r="D40" s="308">
        <v>3.0</v>
      </c>
      <c r="E40" s="313">
        <v>4.0</v>
      </c>
      <c r="F40" s="308">
        <v>5.0</v>
      </c>
      <c r="G40" s="312">
        <v>6.0</v>
      </c>
      <c r="H40" s="312">
        <v>7.0</v>
      </c>
      <c r="I40" s="312">
        <v>8.0</v>
      </c>
      <c r="J40" s="312">
        <v>9.0</v>
      </c>
      <c r="K40" s="312">
        <v>10.0</v>
      </c>
      <c r="L40" s="312">
        <v>11.0</v>
      </c>
      <c r="M40" s="308">
        <v>12.0</v>
      </c>
      <c r="N40" s="312">
        <v>13.0</v>
      </c>
      <c r="O40" s="312">
        <v>14.0</v>
      </c>
      <c r="P40" s="312">
        <v>15.0</v>
      </c>
      <c r="Q40" s="312">
        <v>16.0</v>
      </c>
      <c r="R40" s="312">
        <v>17.0</v>
      </c>
      <c r="S40" s="312">
        <v>18.0</v>
      </c>
      <c r="T40" s="308">
        <v>19.0</v>
      </c>
      <c r="U40" s="312">
        <v>20.0</v>
      </c>
      <c r="V40" s="312">
        <v>21.0</v>
      </c>
      <c r="W40" s="312">
        <v>22.0</v>
      </c>
      <c r="X40" s="312">
        <v>23.0</v>
      </c>
      <c r="Y40" s="312">
        <v>24.0</v>
      </c>
      <c r="Z40" s="312">
        <v>25.0</v>
      </c>
      <c r="AA40" s="308">
        <v>26.0</v>
      </c>
      <c r="AB40" s="312">
        <v>27.0</v>
      </c>
      <c r="AC40" s="312">
        <v>28.0</v>
      </c>
      <c r="AD40" s="312">
        <v>29.0</v>
      </c>
      <c r="AE40" s="312">
        <v>30.0</v>
      </c>
    </row>
    <row r="41">
      <c r="A41" s="323" t="s">
        <v>920</v>
      </c>
      <c r="B41" s="19"/>
      <c r="C41" s="19"/>
      <c r="D41" s="19"/>
      <c r="E41" s="315"/>
      <c r="F41" s="308"/>
      <c r="G41" s="19"/>
      <c r="H41" s="19"/>
      <c r="I41" s="19"/>
      <c r="J41" s="19"/>
      <c r="K41" s="19"/>
      <c r="L41" s="19"/>
      <c r="M41" s="308"/>
      <c r="N41" s="19"/>
      <c r="O41" s="19"/>
      <c r="P41" s="19"/>
      <c r="Q41" s="19"/>
      <c r="R41" s="19"/>
      <c r="S41" s="19"/>
      <c r="T41" s="308"/>
      <c r="U41" s="19"/>
      <c r="V41" s="19"/>
      <c r="W41" s="19"/>
      <c r="X41" s="19"/>
      <c r="Y41" s="19"/>
      <c r="Z41" s="19"/>
      <c r="AA41" s="308"/>
      <c r="AB41" s="19"/>
      <c r="AC41" s="19"/>
      <c r="AD41" s="19"/>
      <c r="AE41" s="19"/>
    </row>
    <row r="42">
      <c r="A42" s="316" t="s">
        <v>2848</v>
      </c>
      <c r="B42" s="19"/>
      <c r="C42" s="19"/>
      <c r="D42" s="19"/>
      <c r="E42" s="315"/>
      <c r="F42" s="308"/>
      <c r="G42" s="19"/>
      <c r="H42" s="332" t="s">
        <v>2921</v>
      </c>
      <c r="I42" s="325"/>
      <c r="J42" s="326"/>
      <c r="K42" s="332" t="s">
        <v>2922</v>
      </c>
      <c r="L42" s="326"/>
      <c r="M42" s="308"/>
      <c r="N42" s="19"/>
      <c r="O42" s="19"/>
      <c r="P42" s="19"/>
      <c r="Q42" s="19"/>
      <c r="R42" s="19"/>
      <c r="S42" s="19"/>
      <c r="T42" s="308"/>
      <c r="U42" s="332" t="s">
        <v>2925</v>
      </c>
      <c r="V42" s="325"/>
      <c r="W42" s="326"/>
      <c r="X42" s="19"/>
      <c r="Y42" s="19"/>
      <c r="Z42" s="19"/>
      <c r="AA42" s="308"/>
      <c r="AB42" s="19"/>
      <c r="AC42" s="19"/>
      <c r="AD42" s="19"/>
      <c r="AE42" s="19"/>
    </row>
    <row r="43">
      <c r="A43" s="293" t="s">
        <v>2852</v>
      </c>
      <c r="B43" s="19"/>
      <c r="C43" s="19"/>
      <c r="D43" s="19"/>
      <c r="E43" s="315"/>
      <c r="F43" s="308"/>
      <c r="G43" s="332" t="s">
        <v>2928</v>
      </c>
      <c r="H43" s="326"/>
      <c r="I43" s="332" t="s">
        <v>2929</v>
      </c>
      <c r="J43" s="326"/>
      <c r="K43" s="332" t="s">
        <v>2930</v>
      </c>
      <c r="L43" s="326"/>
      <c r="M43" s="308"/>
      <c r="N43" s="332" t="s">
        <v>2931</v>
      </c>
      <c r="O43" s="326"/>
      <c r="P43" s="332" t="s">
        <v>2932</v>
      </c>
      <c r="Q43" s="325"/>
      <c r="R43" s="326"/>
      <c r="T43" s="308"/>
      <c r="U43" s="332" t="s">
        <v>2925</v>
      </c>
      <c r="V43" s="326"/>
      <c r="W43" s="332" t="s">
        <v>2935</v>
      </c>
      <c r="X43" s="325"/>
      <c r="Y43" s="326"/>
      <c r="Z43" s="19"/>
      <c r="AA43" s="308"/>
      <c r="AB43" s="19"/>
      <c r="AC43" s="19"/>
      <c r="AD43" s="19"/>
      <c r="AE43" s="19"/>
    </row>
    <row r="44">
      <c r="A44" s="19"/>
      <c r="B44" s="19"/>
      <c r="C44" s="19"/>
      <c r="D44" s="19"/>
      <c r="E44" s="315"/>
      <c r="F44" s="308"/>
      <c r="G44" s="19"/>
      <c r="H44" s="19"/>
      <c r="I44" s="19"/>
      <c r="J44" s="19"/>
      <c r="K44" s="19"/>
      <c r="L44" s="19"/>
      <c r="M44" s="308"/>
      <c r="N44" s="19"/>
      <c r="O44" s="19"/>
      <c r="P44" s="19"/>
      <c r="Q44" s="19"/>
      <c r="R44" s="19"/>
      <c r="S44" s="19"/>
      <c r="T44" s="308"/>
      <c r="U44" s="19"/>
      <c r="V44" s="19"/>
      <c r="W44" s="19"/>
      <c r="X44" s="19"/>
      <c r="Y44" s="19"/>
      <c r="Z44" s="19"/>
      <c r="AA44" s="308"/>
      <c r="AB44" s="19"/>
      <c r="AC44" s="19"/>
      <c r="AD44" s="19"/>
      <c r="AE44" s="19"/>
    </row>
    <row r="45">
      <c r="A45" s="317" t="s">
        <v>312</v>
      </c>
      <c r="B45" s="19"/>
      <c r="C45" s="19"/>
      <c r="D45" s="19"/>
      <c r="E45" s="315"/>
      <c r="F45" s="308"/>
      <c r="G45" s="19"/>
      <c r="H45" s="19"/>
      <c r="I45" s="19"/>
      <c r="J45" s="19"/>
      <c r="K45" s="19"/>
      <c r="L45" s="19"/>
      <c r="M45" s="308"/>
      <c r="N45" s="19"/>
      <c r="O45" s="19"/>
      <c r="P45" s="19"/>
      <c r="Q45" s="19"/>
      <c r="R45" s="19"/>
      <c r="S45" s="19"/>
      <c r="T45" s="308"/>
      <c r="U45" s="19"/>
      <c r="V45" s="19"/>
      <c r="W45" s="19"/>
      <c r="X45" s="19"/>
      <c r="Y45" s="19"/>
      <c r="Z45" s="19"/>
      <c r="AA45" s="308"/>
      <c r="AB45" s="19"/>
      <c r="AC45" s="19"/>
      <c r="AD45" s="19"/>
      <c r="AE45" s="19"/>
    </row>
    <row r="46">
      <c r="A46" s="316" t="s">
        <v>2862</v>
      </c>
      <c r="B46" s="19"/>
      <c r="C46" s="19"/>
      <c r="D46" s="19"/>
      <c r="E46" s="315"/>
      <c r="F46" s="308"/>
      <c r="G46" s="19"/>
      <c r="H46" s="19"/>
      <c r="I46" s="19"/>
      <c r="J46" s="19"/>
      <c r="K46" s="19"/>
      <c r="L46" s="19"/>
      <c r="M46" s="308"/>
      <c r="N46" s="19"/>
      <c r="O46" s="19"/>
      <c r="P46" s="19"/>
      <c r="Q46" s="19"/>
      <c r="R46" s="19"/>
      <c r="S46" s="19"/>
      <c r="T46" s="308"/>
      <c r="U46" s="19"/>
      <c r="V46" s="19"/>
      <c r="W46" s="19"/>
      <c r="X46" s="19"/>
      <c r="Y46" s="19"/>
      <c r="Z46" s="19"/>
      <c r="AA46" s="308"/>
      <c r="AB46" s="333" t="s">
        <v>2940</v>
      </c>
      <c r="AC46" s="333" t="s">
        <v>2940</v>
      </c>
      <c r="AD46" s="333" t="s">
        <v>2940</v>
      </c>
      <c r="AE46" s="333" t="s">
        <v>2941</v>
      </c>
    </row>
    <row r="47">
      <c r="A47" s="316" t="s">
        <v>2848</v>
      </c>
      <c r="B47" s="19"/>
      <c r="C47" s="19"/>
      <c r="D47" s="19"/>
      <c r="E47" s="315"/>
      <c r="F47" s="308"/>
      <c r="G47" s="19"/>
      <c r="H47" s="19"/>
      <c r="I47" s="19"/>
      <c r="J47" s="19"/>
      <c r="K47" s="19"/>
      <c r="L47" s="19"/>
      <c r="M47" s="308"/>
      <c r="N47" s="19"/>
      <c r="O47" s="19"/>
      <c r="P47" s="19"/>
      <c r="Q47" s="19"/>
      <c r="R47" s="19"/>
      <c r="S47" s="19"/>
      <c r="T47" s="308"/>
      <c r="U47" s="19"/>
      <c r="V47" s="19"/>
      <c r="W47" s="19"/>
      <c r="X47" s="19"/>
      <c r="Y47" s="19"/>
      <c r="Z47" s="19"/>
      <c r="AA47" s="308"/>
      <c r="AB47" s="333" t="s">
        <v>2940</v>
      </c>
      <c r="AC47" s="333" t="s">
        <v>2940</v>
      </c>
      <c r="AD47" s="333" t="s">
        <v>2940</v>
      </c>
      <c r="AE47" s="333" t="s">
        <v>2941</v>
      </c>
    </row>
    <row r="48">
      <c r="A48" s="19"/>
      <c r="B48" s="19"/>
      <c r="C48" s="19"/>
      <c r="D48" s="19"/>
      <c r="E48" s="315"/>
      <c r="F48" s="308"/>
      <c r="G48" s="19"/>
      <c r="H48" s="19"/>
      <c r="I48" s="19"/>
      <c r="J48" s="19"/>
      <c r="K48" s="19"/>
      <c r="L48" s="19"/>
      <c r="M48" s="308"/>
      <c r="N48" s="19"/>
      <c r="O48" s="19"/>
      <c r="P48" s="19"/>
      <c r="Q48" s="19"/>
      <c r="R48" s="19"/>
      <c r="S48" s="19"/>
      <c r="T48" s="308"/>
      <c r="U48" s="19"/>
      <c r="V48" s="19"/>
      <c r="W48" s="19"/>
      <c r="X48" s="21"/>
      <c r="Y48" s="21"/>
      <c r="Z48" s="19"/>
      <c r="AA48" s="308"/>
      <c r="AB48" s="19"/>
      <c r="AC48" s="19"/>
      <c r="AD48" s="19"/>
      <c r="AE48" s="19"/>
    </row>
    <row r="49">
      <c r="A49" s="319" t="s">
        <v>2872</v>
      </c>
      <c r="B49" s="19"/>
      <c r="C49" s="19"/>
      <c r="D49" s="19"/>
      <c r="E49" s="315"/>
      <c r="F49" s="308"/>
      <c r="G49" s="19"/>
      <c r="H49" s="19"/>
      <c r="I49" s="19"/>
      <c r="J49" s="19"/>
      <c r="K49" s="19"/>
      <c r="L49" s="19"/>
      <c r="M49" s="308"/>
      <c r="N49" s="19"/>
      <c r="O49" s="19"/>
      <c r="P49" s="19"/>
      <c r="Q49" s="19"/>
      <c r="R49" s="19"/>
      <c r="S49" s="19"/>
      <c r="T49" s="308"/>
      <c r="U49" s="19"/>
      <c r="V49" s="19"/>
      <c r="W49" s="19"/>
      <c r="X49" s="19"/>
      <c r="Y49" s="19"/>
      <c r="Z49" s="19"/>
      <c r="AA49" s="308"/>
      <c r="AB49" s="19"/>
      <c r="AC49" s="19"/>
      <c r="AD49" s="19"/>
      <c r="AE49" s="19"/>
    </row>
    <row r="50">
      <c r="A50" s="316" t="s">
        <v>2862</v>
      </c>
      <c r="B50" s="19"/>
      <c r="C50" s="19"/>
      <c r="D50" s="19"/>
      <c r="E50" s="315"/>
      <c r="F50" s="308"/>
      <c r="G50" s="19"/>
      <c r="H50" s="19"/>
      <c r="I50" s="19"/>
      <c r="J50" s="19"/>
      <c r="K50" s="19"/>
      <c r="L50" s="19"/>
      <c r="M50" s="308"/>
      <c r="N50" s="19"/>
      <c r="O50" s="19"/>
      <c r="P50" s="19"/>
      <c r="Q50" s="19"/>
      <c r="R50" s="19"/>
      <c r="S50" s="19"/>
      <c r="T50" s="308"/>
      <c r="U50" s="19"/>
      <c r="V50" s="19"/>
      <c r="W50" s="19"/>
      <c r="X50" s="19"/>
      <c r="Y50" s="19"/>
      <c r="Z50" s="19"/>
      <c r="AA50" s="308"/>
      <c r="AB50" s="19"/>
      <c r="AC50" s="19"/>
      <c r="AD50" s="19"/>
      <c r="AE50" s="19"/>
    </row>
    <row r="51">
      <c r="A51" s="316" t="s">
        <v>2848</v>
      </c>
      <c r="B51" s="19"/>
      <c r="C51" s="19"/>
      <c r="D51" s="19"/>
      <c r="E51" s="315"/>
      <c r="F51" s="308"/>
      <c r="G51" s="19"/>
      <c r="H51" s="19"/>
      <c r="I51" s="19"/>
      <c r="J51" s="19"/>
      <c r="K51" s="19"/>
      <c r="L51" s="19"/>
      <c r="M51" s="308"/>
      <c r="N51" s="19"/>
      <c r="O51" s="19"/>
      <c r="P51" s="19"/>
      <c r="Q51" s="19"/>
      <c r="R51" s="19"/>
      <c r="S51" s="19"/>
      <c r="T51" s="308"/>
      <c r="U51" s="19"/>
      <c r="V51" s="19"/>
      <c r="W51" s="19"/>
      <c r="X51" s="19"/>
      <c r="Y51" s="19"/>
      <c r="Z51" s="19"/>
      <c r="AA51" s="308"/>
      <c r="AB51" s="19"/>
      <c r="AC51" s="19"/>
      <c r="AD51" s="19"/>
      <c r="AE51" s="19"/>
    </row>
    <row r="52">
      <c r="A52" s="334" t="s">
        <v>2951</v>
      </c>
      <c r="B52" s="19"/>
      <c r="C52" s="19"/>
      <c r="D52" s="19"/>
      <c r="E52" s="315"/>
      <c r="F52" s="308"/>
      <c r="G52" s="19"/>
      <c r="H52" s="335" t="s">
        <v>2954</v>
      </c>
      <c r="I52" s="335" t="s">
        <v>2954</v>
      </c>
      <c r="J52" s="335" t="s">
        <v>2954</v>
      </c>
      <c r="K52" s="19"/>
      <c r="L52" s="19"/>
      <c r="M52" s="308"/>
      <c r="N52" s="19"/>
      <c r="O52" s="19"/>
      <c r="P52" s="19"/>
      <c r="Q52" s="336" t="s">
        <v>2954</v>
      </c>
      <c r="R52" s="19"/>
      <c r="S52" s="19"/>
      <c r="T52" s="308"/>
      <c r="U52" s="19"/>
      <c r="V52" s="19"/>
      <c r="W52" s="19"/>
      <c r="X52" s="19"/>
      <c r="Y52" s="19"/>
      <c r="Z52" s="19"/>
      <c r="AA52" s="308"/>
      <c r="AB52" s="19"/>
      <c r="AC52" s="19"/>
      <c r="AD52" s="19"/>
      <c r="AE52" s="19"/>
    </row>
    <row r="53">
      <c r="A53" s="19"/>
      <c r="B53" s="19"/>
      <c r="C53" s="19"/>
      <c r="D53" s="19"/>
      <c r="E53" s="315"/>
      <c r="F53" s="308"/>
      <c r="G53" s="19"/>
      <c r="H53" s="19"/>
      <c r="I53" s="19"/>
      <c r="J53" s="19"/>
      <c r="K53" s="19"/>
      <c r="L53" s="19"/>
      <c r="M53" s="308"/>
      <c r="N53" s="19"/>
      <c r="O53" s="19"/>
      <c r="P53" s="19"/>
      <c r="Q53" s="19"/>
      <c r="R53" s="19"/>
      <c r="S53" s="19"/>
      <c r="T53" s="308"/>
      <c r="U53" s="19"/>
      <c r="V53" s="19"/>
      <c r="W53" s="19"/>
      <c r="X53" s="19"/>
      <c r="Y53" s="19"/>
      <c r="Z53" s="19"/>
      <c r="AA53" s="308"/>
      <c r="AB53" s="19"/>
      <c r="AC53" s="19"/>
      <c r="AD53" s="19"/>
      <c r="AE53" s="19"/>
    </row>
    <row r="54">
      <c r="A54" s="337" t="s">
        <v>2958</v>
      </c>
      <c r="B54" s="19"/>
      <c r="C54" s="19"/>
      <c r="D54" s="19"/>
      <c r="E54" s="315"/>
      <c r="F54" s="308"/>
      <c r="G54" s="19"/>
      <c r="H54" s="19"/>
      <c r="I54" s="19"/>
      <c r="J54" s="19"/>
      <c r="K54" s="19"/>
      <c r="L54" s="19"/>
      <c r="M54" s="308"/>
      <c r="N54" s="19"/>
      <c r="O54" s="19"/>
      <c r="P54" s="19"/>
      <c r="Q54" s="19"/>
      <c r="R54" s="19"/>
      <c r="S54" s="19"/>
      <c r="T54" s="308"/>
      <c r="U54" s="19"/>
      <c r="V54" s="19"/>
      <c r="W54" s="19"/>
      <c r="X54" s="19"/>
      <c r="Y54" s="19"/>
      <c r="Z54" s="19"/>
      <c r="AA54" s="308"/>
      <c r="AB54" s="19"/>
      <c r="AC54" s="19"/>
      <c r="AD54" s="19"/>
      <c r="AE54" s="19"/>
    </row>
    <row r="55">
      <c r="A55" s="316" t="s">
        <v>2951</v>
      </c>
      <c r="B55" s="19"/>
      <c r="C55" s="19"/>
      <c r="D55" s="19"/>
      <c r="E55" s="315"/>
      <c r="F55" s="308"/>
      <c r="G55" s="19"/>
      <c r="H55" s="19"/>
      <c r="I55" s="19"/>
      <c r="J55" s="19"/>
      <c r="K55" s="19"/>
      <c r="L55" s="19"/>
      <c r="M55" s="308"/>
      <c r="N55" s="19"/>
      <c r="O55" s="19"/>
      <c r="P55" s="19"/>
      <c r="Q55" s="19"/>
      <c r="R55" s="19"/>
      <c r="S55" s="19"/>
      <c r="T55" s="308"/>
      <c r="U55" s="338" t="s">
        <v>2961</v>
      </c>
      <c r="V55" s="338" t="s">
        <v>2961</v>
      </c>
      <c r="W55" s="338" t="s">
        <v>2954</v>
      </c>
      <c r="X55" s="19"/>
      <c r="Y55" s="19"/>
      <c r="Z55" s="19"/>
      <c r="AA55" s="308"/>
      <c r="AB55" s="19"/>
      <c r="AC55" s="338" t="s">
        <v>2954</v>
      </c>
      <c r="AD55" s="19"/>
      <c r="AE55" s="19"/>
    </row>
    <row r="56">
      <c r="E56" s="320"/>
    </row>
    <row r="57">
      <c r="A57" s="34"/>
      <c r="B57" s="34"/>
      <c r="C57" s="34"/>
      <c r="D57" s="34"/>
      <c r="E57" s="306"/>
      <c r="F57" s="34"/>
      <c r="G57" s="34"/>
      <c r="H57" s="34"/>
      <c r="I57" s="34"/>
      <c r="J57" s="34"/>
      <c r="K57" s="34"/>
      <c r="L57" s="34"/>
      <c r="M57" s="34"/>
      <c r="N57" s="321"/>
      <c r="O57" s="34"/>
      <c r="P57" s="34"/>
      <c r="Q57" s="300"/>
      <c r="R57" s="34"/>
      <c r="S57" s="34"/>
      <c r="T57" s="34"/>
      <c r="U57" s="34"/>
      <c r="V57" s="34"/>
      <c r="W57" s="34"/>
      <c r="X57" s="34"/>
      <c r="Y57" s="34"/>
      <c r="Z57" s="34"/>
      <c r="AA57" s="34"/>
      <c r="AB57" s="34"/>
      <c r="AC57" s="34"/>
    </row>
    <row r="58">
      <c r="A58" s="34"/>
      <c r="B58" s="34"/>
      <c r="C58" s="34"/>
      <c r="D58" s="34"/>
      <c r="E58" s="306"/>
      <c r="F58" s="34"/>
      <c r="G58" s="34"/>
      <c r="H58" s="34"/>
      <c r="I58" s="34"/>
      <c r="J58" s="34"/>
      <c r="K58" s="34"/>
      <c r="L58" s="34"/>
      <c r="M58" s="34"/>
      <c r="N58" s="321" t="s">
        <v>317</v>
      </c>
      <c r="O58" s="34"/>
      <c r="P58" s="34"/>
      <c r="Q58" s="300">
        <v>2026.0</v>
      </c>
      <c r="R58" s="34"/>
      <c r="S58" s="34"/>
      <c r="T58" s="34"/>
      <c r="U58" s="34"/>
      <c r="V58" s="34"/>
      <c r="W58" s="34"/>
      <c r="X58" s="34"/>
      <c r="Y58" s="34"/>
      <c r="Z58" s="34"/>
      <c r="AA58" s="34"/>
      <c r="AB58" s="34"/>
      <c r="AC58" s="34"/>
    </row>
    <row r="59">
      <c r="A59" s="34"/>
      <c r="B59" s="309" t="s">
        <v>2835</v>
      </c>
      <c r="C59" s="309" t="s">
        <v>2836</v>
      </c>
      <c r="D59" s="308" t="s">
        <v>2828</v>
      </c>
      <c r="E59" s="310" t="s">
        <v>2831</v>
      </c>
      <c r="F59" s="309" t="s">
        <v>2832</v>
      </c>
      <c r="G59" s="309" t="s">
        <v>2833</v>
      </c>
      <c r="H59" s="309" t="s">
        <v>2834</v>
      </c>
      <c r="I59" s="309" t="s">
        <v>2835</v>
      </c>
      <c r="J59" s="309" t="s">
        <v>2836</v>
      </c>
      <c r="K59" s="308" t="s">
        <v>2828</v>
      </c>
      <c r="L59" s="309" t="s">
        <v>2831</v>
      </c>
      <c r="M59" s="309" t="s">
        <v>2832</v>
      </c>
      <c r="N59" s="309" t="s">
        <v>2833</v>
      </c>
      <c r="O59" s="309" t="s">
        <v>2834</v>
      </c>
      <c r="P59" s="309" t="s">
        <v>2835</v>
      </c>
      <c r="Q59" s="309" t="s">
        <v>2836</v>
      </c>
      <c r="R59" s="308" t="s">
        <v>2828</v>
      </c>
      <c r="S59" s="309" t="s">
        <v>2831</v>
      </c>
      <c r="T59" s="309" t="s">
        <v>2832</v>
      </c>
      <c r="U59" s="309" t="s">
        <v>2833</v>
      </c>
      <c r="V59" s="309" t="s">
        <v>2834</v>
      </c>
      <c r="W59" s="309" t="s">
        <v>2835</v>
      </c>
      <c r="X59" s="309" t="s">
        <v>2836</v>
      </c>
      <c r="Y59" s="308" t="s">
        <v>2828</v>
      </c>
      <c r="Z59" s="309" t="s">
        <v>2831</v>
      </c>
      <c r="AA59" s="309" t="s">
        <v>2832</v>
      </c>
      <c r="AB59" s="309" t="s">
        <v>2833</v>
      </c>
      <c r="AC59" s="309" t="s">
        <v>2834</v>
      </c>
      <c r="AD59" s="309" t="s">
        <v>2835</v>
      </c>
      <c r="AE59" s="309" t="s">
        <v>2836</v>
      </c>
      <c r="AF59" s="308"/>
      <c r="AG59" s="308"/>
      <c r="AH59" s="308"/>
      <c r="AI59" s="308"/>
      <c r="AJ59" s="308" t="s">
        <v>2828</v>
      </c>
    </row>
    <row r="60">
      <c r="A60" s="19"/>
      <c r="B60" s="308">
        <v>1.0</v>
      </c>
      <c r="C60" s="312">
        <v>2.0</v>
      </c>
      <c r="D60" s="308">
        <v>3.0</v>
      </c>
      <c r="E60" s="313">
        <v>4.0</v>
      </c>
      <c r="F60" s="312">
        <v>5.0</v>
      </c>
      <c r="G60" s="312">
        <v>6.0</v>
      </c>
      <c r="H60" s="312">
        <v>7.0</v>
      </c>
      <c r="I60" s="312">
        <v>8.0</v>
      </c>
      <c r="J60" s="312">
        <v>9.0</v>
      </c>
      <c r="K60" s="308">
        <v>10.0</v>
      </c>
      <c r="L60" s="312">
        <v>11.0</v>
      </c>
      <c r="M60" s="312">
        <v>12.0</v>
      </c>
      <c r="N60" s="312">
        <v>13.0</v>
      </c>
      <c r="O60" s="312">
        <v>14.0</v>
      </c>
      <c r="P60" s="312">
        <v>15.0</v>
      </c>
      <c r="Q60" s="312">
        <v>16.0</v>
      </c>
      <c r="R60" s="308">
        <v>17.0</v>
      </c>
      <c r="S60" s="308">
        <v>18.0</v>
      </c>
      <c r="T60" s="312">
        <v>19.0</v>
      </c>
      <c r="U60" s="312">
        <v>20.0</v>
      </c>
      <c r="V60" s="312">
        <v>21.0</v>
      </c>
      <c r="W60" s="312">
        <v>22.0</v>
      </c>
      <c r="X60" s="312">
        <v>23.0</v>
      </c>
      <c r="Y60" s="308">
        <v>24.0</v>
      </c>
      <c r="Z60" s="312">
        <v>25.0</v>
      </c>
      <c r="AA60" s="312">
        <v>26.0</v>
      </c>
      <c r="AB60" s="312">
        <v>27.0</v>
      </c>
      <c r="AC60" s="312">
        <v>28.0</v>
      </c>
      <c r="AD60" s="312">
        <v>29.0</v>
      </c>
      <c r="AE60" s="312">
        <v>30.0</v>
      </c>
      <c r="AF60" s="308"/>
      <c r="AG60" s="308"/>
      <c r="AH60" s="308"/>
      <c r="AI60" s="308"/>
      <c r="AJ60" s="308">
        <v>31.0</v>
      </c>
    </row>
    <row r="61">
      <c r="A61" s="323" t="s">
        <v>920</v>
      </c>
      <c r="B61" s="308"/>
      <c r="C61" s="19"/>
      <c r="D61" s="308"/>
      <c r="E61" s="315"/>
      <c r="F61" s="19"/>
      <c r="G61" s="19"/>
      <c r="H61" s="19"/>
      <c r="I61" s="19"/>
      <c r="J61" s="19"/>
      <c r="K61" s="308"/>
      <c r="L61" s="19"/>
      <c r="M61" s="19"/>
      <c r="N61" s="19"/>
      <c r="O61" s="19"/>
      <c r="P61" s="19"/>
      <c r="Q61" s="19"/>
      <c r="R61" s="308"/>
      <c r="S61" s="308"/>
      <c r="T61" s="19"/>
      <c r="U61" s="19"/>
      <c r="V61" s="19"/>
      <c r="W61" s="19"/>
      <c r="X61" s="19"/>
      <c r="Y61" s="308"/>
      <c r="Z61" s="19"/>
      <c r="AA61" s="19"/>
      <c r="AB61" s="19"/>
      <c r="AC61" s="19"/>
      <c r="AD61" s="19"/>
      <c r="AE61" s="19"/>
      <c r="AF61" s="308"/>
      <c r="AG61" s="308"/>
      <c r="AH61" s="308"/>
      <c r="AI61" s="308"/>
      <c r="AJ61" s="308"/>
    </row>
    <row r="62">
      <c r="A62" s="316" t="s">
        <v>2848</v>
      </c>
      <c r="B62" s="308"/>
      <c r="C62" s="19"/>
      <c r="D62" s="308"/>
      <c r="E62" s="339" t="s">
        <v>2971</v>
      </c>
      <c r="F62" s="326"/>
      <c r="G62" s="332" t="s">
        <v>2972</v>
      </c>
      <c r="H62" s="326"/>
      <c r="I62" s="332" t="s">
        <v>2975</v>
      </c>
      <c r="J62" s="326"/>
      <c r="K62" s="308"/>
      <c r="L62" s="332" t="s">
        <v>266</v>
      </c>
      <c r="M62" s="326"/>
      <c r="N62" s="332" t="s">
        <v>2978</v>
      </c>
      <c r="O62" s="326"/>
      <c r="P62" s="332" t="s">
        <v>2980</v>
      </c>
      <c r="Q62" s="326"/>
      <c r="R62" s="308"/>
      <c r="S62" s="308"/>
      <c r="T62" s="332" t="s">
        <v>2981</v>
      </c>
      <c r="U62" s="325"/>
      <c r="V62" s="326"/>
      <c r="W62" s="308"/>
      <c r="X62" s="308"/>
      <c r="Y62" s="308"/>
      <c r="AF62" s="340"/>
      <c r="AG62" s="340"/>
      <c r="AH62" s="340"/>
      <c r="AI62" s="340"/>
      <c r="AJ62" s="308"/>
    </row>
    <row r="63">
      <c r="A63" s="293" t="s">
        <v>2852</v>
      </c>
      <c r="B63" s="308"/>
      <c r="C63" s="19"/>
      <c r="D63" s="308"/>
      <c r="E63" s="339" t="s">
        <v>2984</v>
      </c>
      <c r="F63" s="326"/>
      <c r="G63" s="332" t="s">
        <v>2985</v>
      </c>
      <c r="H63" s="326"/>
      <c r="I63" s="332" t="s">
        <v>2986</v>
      </c>
      <c r="J63" s="326"/>
      <c r="K63" s="308"/>
      <c r="L63" s="332" t="s">
        <v>2989</v>
      </c>
      <c r="M63" s="326"/>
      <c r="N63" s="19"/>
      <c r="O63" s="19"/>
      <c r="P63" s="19"/>
      <c r="Q63" s="19"/>
      <c r="R63" s="308"/>
      <c r="S63" s="308"/>
      <c r="T63" s="19"/>
      <c r="U63" s="19"/>
      <c r="V63" s="19"/>
      <c r="W63" s="19"/>
      <c r="X63" s="19"/>
      <c r="Y63" s="308"/>
      <c r="Z63" s="19"/>
      <c r="AA63" s="19"/>
      <c r="AB63" s="19"/>
      <c r="AC63" s="19"/>
      <c r="AD63" s="19"/>
      <c r="AE63" s="19"/>
      <c r="AF63" s="308"/>
      <c r="AG63" s="308"/>
      <c r="AH63" s="308"/>
      <c r="AI63" s="308"/>
      <c r="AJ63" s="308"/>
    </row>
    <row r="64">
      <c r="A64" s="316" t="s">
        <v>2951</v>
      </c>
      <c r="B64" s="308"/>
      <c r="C64" s="19"/>
      <c r="D64" s="308"/>
      <c r="E64" s="315"/>
      <c r="F64" s="19"/>
      <c r="G64" s="19"/>
      <c r="H64" s="19"/>
      <c r="I64" s="19"/>
      <c r="J64" s="19"/>
      <c r="K64" s="308"/>
      <c r="L64" s="19"/>
      <c r="M64" s="19"/>
      <c r="N64" s="19"/>
      <c r="O64" s="19"/>
      <c r="P64" s="19"/>
      <c r="Q64" s="19"/>
      <c r="R64" s="308"/>
      <c r="S64" s="308"/>
      <c r="T64" s="19"/>
      <c r="U64" s="19"/>
      <c r="V64" s="332" t="s">
        <v>2940</v>
      </c>
      <c r="W64" s="326"/>
      <c r="X64" s="19"/>
      <c r="Y64" s="308"/>
      <c r="Z64" s="19"/>
      <c r="AA64" s="19"/>
      <c r="AB64" s="19"/>
      <c r="AC64" s="19"/>
      <c r="AD64" s="19"/>
      <c r="AE64" s="19"/>
      <c r="AF64" s="308"/>
      <c r="AG64" s="308"/>
      <c r="AH64" s="308"/>
      <c r="AI64" s="308"/>
      <c r="AJ64" s="308"/>
    </row>
    <row r="65">
      <c r="B65" s="308"/>
      <c r="C65" s="19"/>
      <c r="D65" s="308"/>
      <c r="E65" s="315"/>
      <c r="F65" s="19"/>
      <c r="G65" s="19"/>
      <c r="H65" s="19"/>
      <c r="I65" s="19"/>
      <c r="J65" s="19"/>
      <c r="K65" s="308"/>
      <c r="L65" s="19"/>
      <c r="M65" s="19"/>
      <c r="N65" s="19"/>
      <c r="O65" s="19"/>
      <c r="P65" s="19"/>
      <c r="Q65" s="19"/>
      <c r="R65" s="308"/>
      <c r="S65" s="308"/>
      <c r="T65" s="19"/>
      <c r="U65" s="19"/>
      <c r="V65" s="19"/>
      <c r="W65" s="19"/>
      <c r="X65" s="19"/>
      <c r="Y65" s="308"/>
      <c r="Z65" s="19"/>
      <c r="AA65" s="19"/>
      <c r="AB65" s="19"/>
      <c r="AC65" s="19"/>
      <c r="AD65" s="19"/>
      <c r="AE65" s="19"/>
      <c r="AF65" s="308"/>
      <c r="AG65" s="308"/>
      <c r="AH65" s="308"/>
      <c r="AI65" s="308"/>
      <c r="AJ65" s="308"/>
    </row>
    <row r="66">
      <c r="A66" s="317" t="s">
        <v>312</v>
      </c>
      <c r="B66" s="308"/>
      <c r="C66" s="19"/>
      <c r="D66" s="308"/>
      <c r="E66" s="315"/>
      <c r="F66" s="19"/>
      <c r="G66" s="19"/>
      <c r="H66" s="19"/>
      <c r="I66" s="19"/>
      <c r="J66" s="19"/>
      <c r="K66" s="308"/>
      <c r="L66" s="19"/>
      <c r="M66" s="19"/>
      <c r="N66" s="19"/>
      <c r="O66" s="19"/>
      <c r="P66" s="19"/>
      <c r="Q66" s="19"/>
      <c r="R66" s="308"/>
      <c r="S66" s="308"/>
      <c r="T66" s="19"/>
      <c r="U66" s="19"/>
      <c r="V66" s="19"/>
      <c r="W66" s="19"/>
      <c r="X66" s="19"/>
      <c r="Y66" s="308"/>
      <c r="Z66" s="19"/>
      <c r="AA66" s="19"/>
      <c r="AB66" s="19"/>
      <c r="AC66" s="19"/>
      <c r="AD66" s="19"/>
      <c r="AE66" s="19"/>
      <c r="AF66" s="308"/>
      <c r="AG66" s="308"/>
      <c r="AH66" s="308"/>
      <c r="AI66" s="308"/>
      <c r="AJ66" s="308"/>
    </row>
    <row r="67">
      <c r="A67" s="316" t="s">
        <v>2862</v>
      </c>
      <c r="B67" s="308"/>
      <c r="C67" s="19"/>
      <c r="D67" s="308"/>
      <c r="E67" s="333" t="s">
        <v>2995</v>
      </c>
      <c r="F67" s="333" t="s">
        <v>2940</v>
      </c>
      <c r="G67" s="333" t="s">
        <v>2940</v>
      </c>
      <c r="H67" s="333" t="s">
        <v>2941</v>
      </c>
      <c r="I67" s="333" t="s">
        <v>2941</v>
      </c>
      <c r="J67" s="333" t="s">
        <v>2941</v>
      </c>
      <c r="K67" s="308"/>
      <c r="L67" s="19"/>
      <c r="M67" s="19"/>
      <c r="N67" s="19"/>
      <c r="O67" s="19"/>
      <c r="P67" s="19"/>
      <c r="Q67" s="19"/>
      <c r="R67" s="308"/>
      <c r="S67" s="308"/>
      <c r="T67" s="19"/>
      <c r="U67" s="19"/>
      <c r="V67" s="19"/>
      <c r="W67" s="19"/>
      <c r="X67" s="19"/>
      <c r="Y67" s="308"/>
      <c r="Z67" s="333" t="s">
        <v>2941</v>
      </c>
      <c r="AA67" s="333" t="s">
        <v>2941</v>
      </c>
      <c r="AB67" s="333" t="s">
        <v>2941</v>
      </c>
      <c r="AC67" s="333" t="s">
        <v>2941</v>
      </c>
      <c r="AD67" s="333" t="s">
        <v>2941</v>
      </c>
      <c r="AE67" s="333" t="s">
        <v>2941</v>
      </c>
      <c r="AF67" s="308"/>
      <c r="AG67" s="308"/>
      <c r="AH67" s="308"/>
      <c r="AI67" s="308"/>
      <c r="AJ67" s="308"/>
    </row>
    <row r="68">
      <c r="A68" s="316" t="s">
        <v>2848</v>
      </c>
      <c r="B68" s="308"/>
      <c r="C68" s="19"/>
      <c r="D68" s="308"/>
      <c r="E68" s="315"/>
      <c r="F68" s="19"/>
      <c r="G68" s="19"/>
      <c r="H68" s="19"/>
      <c r="I68" s="19"/>
      <c r="J68" s="19"/>
      <c r="K68" s="308"/>
      <c r="L68" s="19"/>
      <c r="M68" s="19"/>
      <c r="N68" s="19"/>
      <c r="O68" s="19"/>
      <c r="P68" s="19"/>
      <c r="Q68" s="19"/>
      <c r="R68" s="308"/>
      <c r="S68" s="308"/>
      <c r="T68" s="19"/>
      <c r="U68" s="19"/>
      <c r="V68" s="19"/>
      <c r="W68" s="19"/>
      <c r="X68" s="19"/>
      <c r="Y68" s="308"/>
      <c r="Z68" s="333" t="s">
        <v>2941</v>
      </c>
      <c r="AA68" s="333" t="s">
        <v>2941</v>
      </c>
      <c r="AB68" s="333" t="s">
        <v>2941</v>
      </c>
      <c r="AC68" s="333" t="s">
        <v>2941</v>
      </c>
      <c r="AD68" s="333" t="s">
        <v>2941</v>
      </c>
      <c r="AE68" s="333" t="s">
        <v>2941</v>
      </c>
      <c r="AF68" s="308"/>
      <c r="AG68" s="308"/>
      <c r="AH68" s="308"/>
      <c r="AI68" s="308"/>
      <c r="AJ68" s="308"/>
    </row>
    <row r="69">
      <c r="A69" s="19"/>
      <c r="B69" s="308"/>
      <c r="C69" s="19"/>
      <c r="D69" s="308"/>
      <c r="E69" s="315"/>
      <c r="F69" s="19"/>
      <c r="G69" s="19"/>
      <c r="H69" s="19"/>
      <c r="I69" s="19"/>
      <c r="J69" s="19"/>
      <c r="K69" s="308"/>
      <c r="L69" s="19"/>
      <c r="M69" s="19"/>
      <c r="N69" s="19"/>
      <c r="O69" s="19"/>
      <c r="P69" s="19"/>
      <c r="Q69" s="19"/>
      <c r="R69" s="308"/>
      <c r="S69" s="308"/>
      <c r="T69" s="19"/>
      <c r="U69" s="19"/>
      <c r="V69" s="19"/>
      <c r="W69" s="19"/>
      <c r="X69" s="19"/>
      <c r="Y69" s="308"/>
      <c r="Z69" s="19"/>
      <c r="AA69" s="19"/>
      <c r="AB69" s="19"/>
      <c r="AC69" s="19"/>
      <c r="AD69" s="19"/>
      <c r="AE69" s="19"/>
      <c r="AF69" s="308"/>
      <c r="AG69" s="308"/>
      <c r="AH69" s="308"/>
      <c r="AI69" s="308"/>
      <c r="AJ69" s="308"/>
    </row>
    <row r="70">
      <c r="A70" s="319" t="s">
        <v>2872</v>
      </c>
      <c r="B70" s="308"/>
      <c r="C70" s="19"/>
      <c r="D70" s="308"/>
      <c r="E70" s="315"/>
      <c r="F70" s="19"/>
      <c r="G70" s="19"/>
      <c r="H70" s="19"/>
      <c r="I70" s="19"/>
      <c r="J70" s="19"/>
      <c r="K70" s="308"/>
      <c r="L70" s="19"/>
      <c r="M70" s="19"/>
      <c r="N70" s="19"/>
      <c r="O70" s="19"/>
      <c r="P70" s="19"/>
      <c r="Q70" s="19"/>
      <c r="R70" s="308"/>
      <c r="S70" s="308"/>
      <c r="T70" s="19"/>
      <c r="U70" s="19"/>
      <c r="V70" s="19"/>
      <c r="W70" s="19"/>
      <c r="X70" s="19"/>
      <c r="Y70" s="308"/>
      <c r="Z70" s="19"/>
      <c r="AA70" s="19"/>
      <c r="AB70" s="19"/>
      <c r="AC70" s="19"/>
      <c r="AD70" s="19"/>
      <c r="AE70" s="19"/>
      <c r="AF70" s="308"/>
      <c r="AG70" s="308"/>
      <c r="AH70" s="308"/>
      <c r="AI70" s="308"/>
      <c r="AJ70" s="308"/>
    </row>
    <row r="71">
      <c r="A71" s="316" t="s">
        <v>2862</v>
      </c>
      <c r="B71" s="308"/>
      <c r="C71" s="19"/>
      <c r="D71" s="308"/>
      <c r="E71" s="315"/>
      <c r="F71" s="19"/>
      <c r="G71" s="19"/>
      <c r="H71" s="19"/>
      <c r="I71" s="19"/>
      <c r="J71" s="19"/>
      <c r="K71" s="308"/>
      <c r="L71" s="19"/>
      <c r="M71" s="19"/>
      <c r="N71" s="19"/>
      <c r="O71" s="19"/>
      <c r="P71" s="19"/>
      <c r="Q71" s="19"/>
      <c r="R71" s="308"/>
      <c r="S71" s="308"/>
      <c r="T71" s="19"/>
      <c r="U71" s="19"/>
      <c r="V71" s="19"/>
      <c r="W71" s="19"/>
      <c r="X71" s="19"/>
      <c r="Y71" s="308"/>
      <c r="Z71" s="19"/>
      <c r="AA71" s="19"/>
      <c r="AB71" s="19"/>
      <c r="AC71" s="19"/>
      <c r="AD71" s="19"/>
      <c r="AE71" s="19"/>
      <c r="AF71" s="308"/>
      <c r="AG71" s="308"/>
      <c r="AH71" s="308"/>
      <c r="AI71" s="308"/>
      <c r="AJ71" s="308"/>
    </row>
    <row r="72">
      <c r="A72" s="316" t="s">
        <v>2848</v>
      </c>
      <c r="B72" s="308"/>
      <c r="C72" s="19"/>
      <c r="D72" s="308"/>
      <c r="E72" s="315"/>
      <c r="F72" s="19"/>
      <c r="G72" s="19"/>
      <c r="H72" s="19"/>
      <c r="I72" s="19"/>
      <c r="J72" s="19"/>
      <c r="K72" s="308"/>
      <c r="L72" s="19"/>
      <c r="M72" s="19"/>
      <c r="N72" s="19"/>
      <c r="O72" s="19"/>
      <c r="P72" s="19"/>
      <c r="Q72" s="19"/>
      <c r="R72" s="308"/>
      <c r="S72" s="308"/>
      <c r="T72" s="19"/>
      <c r="U72" s="19"/>
      <c r="V72" s="19"/>
      <c r="W72" s="19"/>
      <c r="X72" s="19"/>
      <c r="Y72" s="308"/>
      <c r="Z72" s="19"/>
      <c r="AA72" s="19"/>
      <c r="AB72" s="19"/>
      <c r="AC72" s="19"/>
      <c r="AD72" s="19"/>
      <c r="AE72" s="19"/>
      <c r="AF72" s="308"/>
      <c r="AG72" s="308"/>
      <c r="AH72" s="308"/>
      <c r="AI72" s="308"/>
      <c r="AJ72" s="308"/>
    </row>
    <row r="73">
      <c r="A73" s="337" t="s">
        <v>2958</v>
      </c>
      <c r="B73" s="308"/>
      <c r="C73" s="19"/>
      <c r="D73" s="308"/>
      <c r="E73" s="315"/>
      <c r="F73" s="19"/>
      <c r="G73" s="19"/>
      <c r="H73" s="19"/>
      <c r="I73" s="333" t="s">
        <v>2940</v>
      </c>
      <c r="J73" s="19"/>
      <c r="K73" s="308"/>
      <c r="L73" s="19"/>
      <c r="M73" s="19"/>
      <c r="N73" s="19"/>
      <c r="O73" s="19"/>
      <c r="P73" s="19"/>
      <c r="Q73" s="19"/>
      <c r="R73" s="308"/>
      <c r="S73" s="308"/>
      <c r="T73" s="19"/>
      <c r="U73" s="19"/>
      <c r="V73" s="19"/>
      <c r="W73" s="19"/>
      <c r="X73" s="19"/>
      <c r="Y73" s="308"/>
      <c r="Z73" s="19"/>
      <c r="AA73" s="19"/>
      <c r="AB73" s="19"/>
      <c r="AC73" s="19"/>
      <c r="AD73" s="19"/>
      <c r="AE73" s="19"/>
      <c r="AF73" s="308"/>
      <c r="AG73" s="308"/>
      <c r="AH73" s="308"/>
      <c r="AI73" s="308"/>
      <c r="AJ73" s="308"/>
    </row>
    <row r="74">
      <c r="A74" s="316" t="s">
        <v>2951</v>
      </c>
      <c r="B74" s="308"/>
      <c r="C74" s="19"/>
      <c r="D74" s="308"/>
      <c r="E74" s="315"/>
      <c r="F74" s="338" t="s">
        <v>2954</v>
      </c>
      <c r="G74" s="19"/>
      <c r="H74" s="338" t="s">
        <v>2940</v>
      </c>
      <c r="I74" s="341" t="s">
        <v>3007</v>
      </c>
      <c r="J74" s="19"/>
      <c r="K74" s="308"/>
      <c r="L74" s="19"/>
      <c r="M74" s="338" t="s">
        <v>3010</v>
      </c>
      <c r="N74" s="19"/>
      <c r="O74" s="338" t="s">
        <v>3011</v>
      </c>
      <c r="P74" s="19"/>
      <c r="Q74" s="19"/>
      <c r="R74" s="308"/>
      <c r="S74" s="308"/>
      <c r="T74" s="19"/>
      <c r="U74" s="338" t="s">
        <v>2954</v>
      </c>
      <c r="W74" s="19"/>
      <c r="X74" s="19"/>
      <c r="Y74" s="308"/>
      <c r="Z74" s="338" t="s">
        <v>3011</v>
      </c>
      <c r="AA74" s="338" t="s">
        <v>3012</v>
      </c>
      <c r="AB74" s="19"/>
      <c r="AC74" s="19"/>
      <c r="AD74" s="338" t="s">
        <v>2057</v>
      </c>
      <c r="AE74" s="19"/>
      <c r="AF74" s="308"/>
      <c r="AG74" s="308"/>
      <c r="AH74" s="308"/>
      <c r="AI74" s="308"/>
      <c r="AJ74" s="308"/>
    </row>
    <row r="75">
      <c r="B75" s="34"/>
      <c r="C75" s="34"/>
      <c r="D75" s="34"/>
      <c r="E75" s="306"/>
      <c r="F75" s="34"/>
      <c r="G75" s="34"/>
      <c r="H75" s="34"/>
      <c r="I75" s="34"/>
      <c r="J75" s="34"/>
      <c r="K75" s="34"/>
      <c r="L75" s="34"/>
      <c r="M75" s="34"/>
      <c r="N75" s="34"/>
      <c r="O75" s="34"/>
      <c r="P75" s="34"/>
      <c r="Q75" s="34"/>
      <c r="R75" s="34"/>
      <c r="S75" s="34"/>
      <c r="T75" s="34"/>
      <c r="U75" s="34"/>
      <c r="V75" s="34"/>
      <c r="W75" s="34"/>
      <c r="X75" s="34"/>
      <c r="Y75" s="34"/>
      <c r="AB75" s="34"/>
      <c r="AC75" s="34"/>
      <c r="AD75" s="34"/>
      <c r="AE75" s="34"/>
      <c r="AF75" s="34"/>
      <c r="AG75" s="34"/>
      <c r="AH75" s="34"/>
      <c r="AI75" s="34"/>
      <c r="AJ75" s="34"/>
    </row>
    <row r="76">
      <c r="B76" s="34"/>
      <c r="C76" s="34"/>
      <c r="D76" s="34"/>
      <c r="E76" s="306"/>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row>
    <row r="77">
      <c r="E77" s="320"/>
    </row>
    <row r="78">
      <c r="E78" s="320"/>
    </row>
    <row r="79">
      <c r="A79" s="34"/>
      <c r="B79" s="34"/>
      <c r="C79" s="34"/>
      <c r="D79" s="34"/>
      <c r="E79" s="306"/>
      <c r="F79" s="34"/>
      <c r="G79" s="34"/>
      <c r="H79" s="34"/>
      <c r="I79" s="34"/>
      <c r="J79" s="34"/>
      <c r="K79" s="34"/>
      <c r="L79" s="34"/>
      <c r="M79" s="34"/>
      <c r="N79" s="321" t="s">
        <v>226</v>
      </c>
      <c r="O79" s="34"/>
      <c r="P79" s="34"/>
      <c r="Q79" s="300">
        <v>2026.0</v>
      </c>
      <c r="R79" s="34"/>
      <c r="S79" s="34"/>
      <c r="T79" s="34"/>
      <c r="U79" s="34"/>
      <c r="V79" s="34"/>
      <c r="W79" s="34"/>
      <c r="X79" s="34"/>
      <c r="Y79" s="34"/>
      <c r="Z79" s="34"/>
      <c r="AA79" s="34"/>
      <c r="AB79" s="34"/>
      <c r="AC79" s="34"/>
    </row>
    <row r="80">
      <c r="A80" s="34"/>
      <c r="B80" s="309" t="s">
        <v>2831</v>
      </c>
      <c r="C80" s="309" t="s">
        <v>2832</v>
      </c>
      <c r="D80" s="309" t="s">
        <v>2833</v>
      </c>
      <c r="E80" s="310" t="s">
        <v>2834</v>
      </c>
      <c r="F80" s="309" t="s">
        <v>2835</v>
      </c>
      <c r="G80" s="309" t="s">
        <v>2836</v>
      </c>
      <c r="H80" s="308" t="s">
        <v>2828</v>
      </c>
      <c r="I80" s="309" t="s">
        <v>2831</v>
      </c>
      <c r="J80" s="309" t="s">
        <v>2832</v>
      </c>
      <c r="K80" s="309" t="s">
        <v>2833</v>
      </c>
      <c r="L80" s="309" t="s">
        <v>2834</v>
      </c>
      <c r="M80" s="309" t="s">
        <v>2835</v>
      </c>
      <c r="N80" s="309" t="s">
        <v>2836</v>
      </c>
      <c r="O80" s="308" t="s">
        <v>2828</v>
      </c>
      <c r="P80" s="309" t="s">
        <v>2831</v>
      </c>
      <c r="Q80" s="309" t="s">
        <v>2832</v>
      </c>
      <c r="R80" s="309" t="s">
        <v>2833</v>
      </c>
      <c r="S80" s="309" t="s">
        <v>2834</v>
      </c>
      <c r="T80" s="309" t="s">
        <v>2835</v>
      </c>
      <c r="U80" s="309" t="s">
        <v>2836</v>
      </c>
      <c r="V80" s="308" t="s">
        <v>2828</v>
      </c>
      <c r="W80" s="309" t="s">
        <v>2831</v>
      </c>
      <c r="X80" s="309" t="s">
        <v>2832</v>
      </c>
      <c r="Y80" s="309" t="s">
        <v>2833</v>
      </c>
      <c r="Z80" s="309" t="s">
        <v>2834</v>
      </c>
      <c r="AA80" s="309" t="s">
        <v>2835</v>
      </c>
      <c r="AB80" s="309" t="s">
        <v>2836</v>
      </c>
      <c r="AC80" s="308" t="s">
        <v>2828</v>
      </c>
      <c r="AD80" s="309" t="s">
        <v>2831</v>
      </c>
      <c r="AE80" s="309" t="s">
        <v>2832</v>
      </c>
    </row>
    <row r="81">
      <c r="A81" s="312"/>
      <c r="B81" s="312">
        <v>1.0</v>
      </c>
      <c r="C81" s="312">
        <v>2.0</v>
      </c>
      <c r="D81" s="312">
        <v>3.0</v>
      </c>
      <c r="E81" s="313">
        <v>4.0</v>
      </c>
      <c r="F81" s="312">
        <v>5.0</v>
      </c>
      <c r="G81" s="312">
        <v>6.0</v>
      </c>
      <c r="H81" s="308">
        <v>7.0</v>
      </c>
      <c r="I81" s="308">
        <v>8.0</v>
      </c>
      <c r="J81" s="312">
        <v>9.0</v>
      </c>
      <c r="K81" s="312">
        <v>10.0</v>
      </c>
      <c r="L81" s="312">
        <v>11.0</v>
      </c>
      <c r="M81" s="312">
        <v>12.0</v>
      </c>
      <c r="N81" s="312">
        <v>13.0</v>
      </c>
      <c r="O81" s="308">
        <v>14.0</v>
      </c>
      <c r="P81" s="308">
        <v>15.0</v>
      </c>
      <c r="Q81" s="312">
        <v>16.0</v>
      </c>
      <c r="R81" s="312">
        <v>17.0</v>
      </c>
      <c r="S81" s="312">
        <v>18.0</v>
      </c>
      <c r="T81" s="312">
        <v>19.0</v>
      </c>
      <c r="U81" s="312">
        <v>20.0</v>
      </c>
      <c r="V81" s="308">
        <v>21.0</v>
      </c>
      <c r="W81" s="312">
        <v>22.0</v>
      </c>
      <c r="X81" s="312">
        <v>23.0</v>
      </c>
      <c r="Y81" s="312">
        <v>24.0</v>
      </c>
      <c r="Z81" s="312">
        <v>25.0</v>
      </c>
      <c r="AA81" s="312">
        <v>26.0</v>
      </c>
      <c r="AB81" s="312">
        <v>27.0</v>
      </c>
      <c r="AC81" s="308">
        <v>28.0</v>
      </c>
      <c r="AD81" s="308">
        <v>29.0</v>
      </c>
      <c r="AE81" s="312">
        <v>30.0</v>
      </c>
      <c r="AF81" s="312"/>
      <c r="AG81" s="312"/>
      <c r="AH81" s="312"/>
      <c r="AI81" s="312"/>
      <c r="AJ81" s="312"/>
    </row>
    <row r="82">
      <c r="A82" s="323" t="s">
        <v>920</v>
      </c>
      <c r="B82" s="19"/>
      <c r="C82" s="19"/>
      <c r="D82" s="19"/>
      <c r="E82" s="315"/>
      <c r="F82" s="19"/>
      <c r="G82" s="19"/>
      <c r="H82" s="308"/>
      <c r="I82" s="308"/>
      <c r="J82" s="19"/>
      <c r="K82" s="19"/>
      <c r="L82" s="19"/>
      <c r="M82" s="19"/>
      <c r="N82" s="19"/>
      <c r="O82" s="308"/>
      <c r="P82" s="308"/>
      <c r="Q82" s="19"/>
      <c r="R82" s="19"/>
      <c r="S82" s="19"/>
      <c r="T82" s="19"/>
      <c r="U82" s="19"/>
      <c r="V82" s="308"/>
      <c r="W82" s="19"/>
      <c r="X82" s="19"/>
      <c r="Y82" s="19"/>
      <c r="Z82" s="19"/>
      <c r="AA82" s="19"/>
      <c r="AB82" s="19"/>
      <c r="AC82" s="308"/>
      <c r="AD82" s="308"/>
      <c r="AE82" s="19"/>
      <c r="AF82" s="19"/>
      <c r="AG82" s="19"/>
      <c r="AH82" s="19"/>
      <c r="AI82" s="19"/>
      <c r="AJ82" s="19"/>
    </row>
    <row r="83">
      <c r="A83" s="316" t="s">
        <v>2848</v>
      </c>
      <c r="B83" s="332" t="s">
        <v>3023</v>
      </c>
      <c r="C83" s="326"/>
      <c r="D83" s="332" t="s">
        <v>3025</v>
      </c>
      <c r="E83" s="326"/>
      <c r="F83" s="332" t="s">
        <v>3026</v>
      </c>
      <c r="G83" s="326"/>
      <c r="H83" s="308"/>
      <c r="I83" s="308"/>
      <c r="J83" s="332" t="s">
        <v>3027</v>
      </c>
      <c r="K83" s="332" t="s">
        <v>3028</v>
      </c>
      <c r="L83" s="326"/>
      <c r="M83" s="308"/>
      <c r="N83" s="308"/>
      <c r="O83" s="308"/>
      <c r="P83" s="308"/>
      <c r="Q83" s="19"/>
      <c r="R83" s="19"/>
      <c r="S83" s="19"/>
      <c r="T83" s="19"/>
      <c r="U83" s="19"/>
      <c r="V83" s="308"/>
      <c r="W83" s="21" t="s">
        <v>3029</v>
      </c>
      <c r="X83" s="332" t="s">
        <v>3031</v>
      </c>
      <c r="Y83" s="332" t="s">
        <v>3032</v>
      </c>
      <c r="Z83" s="326"/>
      <c r="AA83" s="332" t="s">
        <v>3033</v>
      </c>
      <c r="AB83" s="326"/>
      <c r="AC83" s="342" t="s">
        <v>3035</v>
      </c>
      <c r="AD83" s="308"/>
      <c r="AE83" s="19"/>
      <c r="AF83" s="19"/>
      <c r="AG83" s="19"/>
      <c r="AH83" s="19"/>
      <c r="AI83" s="19"/>
      <c r="AJ83" s="19"/>
    </row>
    <row r="84">
      <c r="A84" s="293" t="s">
        <v>2852</v>
      </c>
      <c r="B84" s="332" t="s">
        <v>3036</v>
      </c>
      <c r="C84" s="326"/>
      <c r="D84" s="332" t="s">
        <v>3037</v>
      </c>
      <c r="E84" s="326"/>
      <c r="F84" s="332" t="s">
        <v>3038</v>
      </c>
      <c r="G84" s="326"/>
      <c r="H84" s="308"/>
      <c r="I84" s="308"/>
      <c r="J84" s="332" t="s">
        <v>3040</v>
      </c>
      <c r="K84" s="326"/>
      <c r="L84" s="332" t="s">
        <v>3042</v>
      </c>
      <c r="M84" s="19"/>
      <c r="N84" s="19"/>
      <c r="O84" s="308"/>
      <c r="P84" s="308"/>
      <c r="Q84" s="19"/>
      <c r="R84" s="19"/>
      <c r="S84" s="19"/>
      <c r="T84" s="19"/>
      <c r="U84" s="19"/>
      <c r="V84" s="308"/>
      <c r="W84" s="19"/>
      <c r="X84" s="19"/>
      <c r="Y84" s="19"/>
      <c r="Z84" s="19"/>
      <c r="AA84" s="19"/>
      <c r="AB84" s="19"/>
      <c r="AC84" s="308"/>
      <c r="AD84" s="308"/>
      <c r="AE84" s="19"/>
      <c r="AF84" s="19"/>
      <c r="AG84" s="19"/>
      <c r="AH84" s="19"/>
      <c r="AI84" s="19"/>
      <c r="AJ84" s="19"/>
    </row>
    <row r="85">
      <c r="A85" s="19"/>
      <c r="B85" s="19"/>
      <c r="C85" s="19"/>
      <c r="D85" s="19"/>
      <c r="E85" s="315"/>
      <c r="F85" s="19"/>
      <c r="G85" s="19"/>
      <c r="H85" s="308"/>
      <c r="I85" s="308"/>
      <c r="J85" s="19"/>
      <c r="K85" s="19"/>
      <c r="L85" s="19"/>
      <c r="M85" s="19"/>
      <c r="N85" s="19"/>
      <c r="O85" s="308"/>
      <c r="P85" s="308"/>
      <c r="Q85" s="19"/>
      <c r="R85" s="19"/>
      <c r="S85" s="19"/>
      <c r="T85" s="19"/>
      <c r="U85" s="19"/>
      <c r="V85" s="308"/>
      <c r="W85" s="19"/>
      <c r="X85" s="19"/>
      <c r="Y85" s="19"/>
      <c r="Z85" s="19"/>
      <c r="AA85" s="19"/>
      <c r="AB85" s="19"/>
      <c r="AC85" s="308"/>
      <c r="AD85" s="308"/>
      <c r="AE85" s="19"/>
      <c r="AF85" s="19"/>
      <c r="AG85" s="19"/>
      <c r="AH85" s="19"/>
      <c r="AI85" s="19"/>
      <c r="AJ85" s="19"/>
    </row>
    <row r="86">
      <c r="A86" s="317" t="s">
        <v>312</v>
      </c>
      <c r="B86" s="19"/>
      <c r="C86" s="19"/>
      <c r="D86" s="19"/>
      <c r="E86" s="315"/>
      <c r="F86" s="19"/>
      <c r="G86" s="19"/>
      <c r="H86" s="308"/>
      <c r="I86" s="308"/>
      <c r="J86" s="19"/>
      <c r="K86" s="19"/>
      <c r="L86" s="19"/>
      <c r="M86" s="19"/>
      <c r="N86" s="19"/>
      <c r="O86" s="308"/>
      <c r="P86" s="308"/>
      <c r="Q86" s="19"/>
      <c r="R86" s="19"/>
      <c r="S86" s="19"/>
      <c r="T86" s="19"/>
      <c r="U86" s="19"/>
      <c r="V86" s="308"/>
      <c r="W86" s="19"/>
      <c r="X86" s="19"/>
      <c r="Y86" s="19"/>
      <c r="Z86" s="19"/>
      <c r="AA86" s="19"/>
      <c r="AB86" s="19"/>
      <c r="AC86" s="308"/>
      <c r="AD86" s="308"/>
      <c r="AE86" s="19"/>
      <c r="AF86" s="19"/>
      <c r="AG86" s="19"/>
      <c r="AH86" s="19"/>
      <c r="AI86" s="19"/>
      <c r="AJ86" s="19"/>
    </row>
    <row r="87">
      <c r="A87" s="316" t="s">
        <v>2862</v>
      </c>
      <c r="B87" s="19"/>
      <c r="C87" s="19"/>
      <c r="D87" s="19"/>
      <c r="E87" s="315"/>
      <c r="F87" s="19"/>
      <c r="G87" s="19"/>
      <c r="H87" s="308"/>
      <c r="I87" s="308"/>
      <c r="J87" s="19"/>
      <c r="K87" s="19"/>
      <c r="L87" s="19"/>
      <c r="M87" s="19"/>
      <c r="N87" s="19"/>
      <c r="O87" s="308"/>
      <c r="P87" s="308"/>
      <c r="Q87" s="19"/>
      <c r="R87" s="19"/>
      <c r="S87" s="19"/>
      <c r="T87" s="19"/>
      <c r="U87" s="19"/>
      <c r="V87" s="308"/>
      <c r="W87" s="19"/>
      <c r="X87" s="19"/>
      <c r="Y87" s="19"/>
      <c r="Z87" s="19"/>
      <c r="AA87" s="19"/>
      <c r="AB87" s="19"/>
      <c r="AC87" s="308"/>
      <c r="AD87" s="308"/>
      <c r="AE87" s="19"/>
      <c r="AF87" s="19"/>
      <c r="AG87" s="19"/>
      <c r="AH87" s="19"/>
      <c r="AI87" s="19"/>
      <c r="AJ87" s="19"/>
    </row>
    <row r="88">
      <c r="A88" s="316" t="s">
        <v>2848</v>
      </c>
      <c r="B88" s="19"/>
      <c r="C88" s="19"/>
      <c r="D88" s="19"/>
      <c r="E88" s="315"/>
      <c r="F88" s="19"/>
      <c r="G88" s="19"/>
      <c r="H88" s="308"/>
      <c r="I88" s="308"/>
      <c r="J88" s="19"/>
      <c r="K88" s="19"/>
      <c r="L88" s="19"/>
      <c r="M88" s="19"/>
      <c r="N88" s="19"/>
      <c r="O88" s="308"/>
      <c r="P88" s="308"/>
      <c r="Q88" s="19"/>
      <c r="R88" s="19"/>
      <c r="S88" s="19"/>
      <c r="T88" s="19"/>
      <c r="U88" s="19"/>
      <c r="V88" s="308"/>
      <c r="W88" s="19"/>
      <c r="X88" s="19"/>
      <c r="Y88" s="19"/>
      <c r="Z88" s="19"/>
      <c r="AA88" s="19"/>
      <c r="AB88" s="19"/>
      <c r="AC88" s="308"/>
      <c r="AD88" s="308"/>
      <c r="AE88" s="19"/>
      <c r="AF88" s="19"/>
      <c r="AG88" s="19"/>
      <c r="AH88" s="19"/>
      <c r="AI88" s="19"/>
      <c r="AJ88" s="19"/>
    </row>
    <row r="89">
      <c r="A89" s="19"/>
      <c r="B89" s="19"/>
      <c r="C89" s="19"/>
      <c r="D89" s="19"/>
      <c r="E89" s="315"/>
      <c r="F89" s="19"/>
      <c r="G89" s="19"/>
      <c r="H89" s="308"/>
      <c r="I89" s="308"/>
      <c r="J89" s="19"/>
      <c r="K89" s="19"/>
      <c r="L89" s="19"/>
      <c r="M89" s="19"/>
      <c r="N89" s="19"/>
      <c r="O89" s="308"/>
      <c r="P89" s="308"/>
      <c r="Q89" s="19"/>
      <c r="R89" s="19"/>
      <c r="S89" s="19"/>
      <c r="T89" s="19"/>
      <c r="U89" s="19"/>
      <c r="V89" s="308"/>
      <c r="W89" s="19"/>
      <c r="X89" s="19"/>
      <c r="Y89" s="19"/>
      <c r="Z89" s="19"/>
      <c r="AA89" s="19"/>
      <c r="AB89" s="19"/>
      <c r="AC89" s="308"/>
      <c r="AD89" s="308"/>
      <c r="AE89" s="19"/>
      <c r="AF89" s="19"/>
      <c r="AG89" s="19"/>
      <c r="AH89" s="19"/>
      <c r="AI89" s="19"/>
      <c r="AJ89" s="19"/>
    </row>
    <row r="90">
      <c r="A90" s="319" t="s">
        <v>2872</v>
      </c>
      <c r="B90" s="19"/>
      <c r="C90" s="19"/>
      <c r="D90" s="19"/>
      <c r="E90" s="315"/>
      <c r="F90" s="19"/>
      <c r="G90" s="19"/>
      <c r="H90" s="308"/>
      <c r="I90" s="308"/>
      <c r="J90" s="19"/>
      <c r="K90" s="19"/>
      <c r="L90" s="19"/>
      <c r="M90" s="19"/>
      <c r="N90" s="19"/>
      <c r="O90" s="308"/>
      <c r="P90" s="308"/>
      <c r="Q90" s="19"/>
      <c r="R90" s="19"/>
      <c r="S90" s="19"/>
      <c r="T90" s="19"/>
      <c r="U90" s="19"/>
      <c r="V90" s="308"/>
      <c r="W90" s="19"/>
      <c r="X90" s="19"/>
      <c r="Y90" s="19"/>
      <c r="Z90" s="19"/>
      <c r="AA90" s="19"/>
      <c r="AB90" s="19"/>
      <c r="AC90" s="308"/>
      <c r="AD90" s="308"/>
      <c r="AE90" s="19"/>
      <c r="AF90" s="19"/>
      <c r="AG90" s="19"/>
      <c r="AH90" s="19"/>
      <c r="AI90" s="19"/>
      <c r="AJ90" s="19"/>
    </row>
    <row r="91">
      <c r="A91" s="316" t="s">
        <v>2862</v>
      </c>
      <c r="B91" s="19"/>
      <c r="C91" s="19"/>
      <c r="D91" s="19"/>
      <c r="E91" s="315"/>
      <c r="F91" s="19"/>
      <c r="G91" s="19"/>
      <c r="H91" s="308"/>
      <c r="I91" s="308"/>
      <c r="J91" s="19"/>
      <c r="K91" s="19"/>
      <c r="L91" s="19"/>
      <c r="M91" s="19"/>
      <c r="N91" s="19"/>
      <c r="O91" s="308"/>
      <c r="P91" s="308"/>
      <c r="Q91" s="343" t="s">
        <v>2872</v>
      </c>
      <c r="R91" s="343" t="s">
        <v>2872</v>
      </c>
      <c r="S91" s="343" t="s">
        <v>2872</v>
      </c>
      <c r="T91" s="343" t="s">
        <v>2872</v>
      </c>
      <c r="U91" s="343" t="s">
        <v>2872</v>
      </c>
      <c r="V91" s="308"/>
      <c r="W91" s="19"/>
      <c r="X91" s="19"/>
      <c r="Y91" s="19"/>
      <c r="Z91" s="19"/>
      <c r="AA91" s="19"/>
      <c r="AB91" s="19"/>
      <c r="AC91" s="308"/>
      <c r="AD91" s="308"/>
      <c r="AE91" s="19"/>
      <c r="AF91" s="19"/>
      <c r="AG91" s="19"/>
      <c r="AH91" s="19"/>
      <c r="AI91" s="19"/>
      <c r="AJ91" s="19"/>
    </row>
    <row r="92">
      <c r="A92" s="316" t="s">
        <v>2848</v>
      </c>
      <c r="B92" s="19"/>
      <c r="C92" s="19"/>
      <c r="D92" s="19"/>
      <c r="E92" s="315"/>
      <c r="F92" s="19"/>
      <c r="G92" s="19"/>
      <c r="H92" s="308"/>
      <c r="I92" s="308"/>
      <c r="J92" s="19"/>
      <c r="K92" s="19"/>
      <c r="L92" s="19"/>
      <c r="M92" s="19"/>
      <c r="N92" s="19"/>
      <c r="O92" s="308"/>
      <c r="P92" s="308"/>
      <c r="Q92" s="343" t="s">
        <v>2872</v>
      </c>
      <c r="R92" s="343" t="s">
        <v>2872</v>
      </c>
      <c r="S92" s="343" t="s">
        <v>2872</v>
      </c>
      <c r="T92" s="343" t="s">
        <v>2872</v>
      </c>
      <c r="U92" s="343" t="s">
        <v>2872</v>
      </c>
      <c r="V92" s="308"/>
      <c r="W92" s="19"/>
      <c r="X92" s="19"/>
      <c r="Y92" s="19"/>
      <c r="Z92" s="19"/>
      <c r="AA92" s="19"/>
      <c r="AB92" s="19"/>
      <c r="AC92" s="308"/>
      <c r="AD92" s="308"/>
      <c r="AE92" s="19"/>
      <c r="AF92" s="19"/>
      <c r="AG92" s="19"/>
      <c r="AH92" s="19"/>
      <c r="AI92" s="19"/>
      <c r="AJ92" s="19"/>
    </row>
    <row r="93">
      <c r="A93" s="19"/>
      <c r="B93" s="19"/>
      <c r="C93" s="19"/>
      <c r="D93" s="19"/>
      <c r="E93" s="315"/>
      <c r="F93" s="19"/>
      <c r="G93" s="19"/>
      <c r="H93" s="308"/>
      <c r="I93" s="308"/>
      <c r="J93" s="19"/>
      <c r="K93" s="19"/>
      <c r="L93" s="19"/>
      <c r="M93" s="19"/>
      <c r="N93" s="19"/>
      <c r="O93" s="308"/>
      <c r="P93" s="308"/>
      <c r="Q93" s="19"/>
      <c r="R93" s="19"/>
      <c r="S93" s="19"/>
      <c r="T93" s="19"/>
      <c r="U93" s="19"/>
      <c r="V93" s="308"/>
      <c r="W93" s="19"/>
      <c r="X93" s="19"/>
      <c r="Y93" s="19"/>
      <c r="Z93" s="19"/>
      <c r="AA93" s="19"/>
      <c r="AB93" s="19"/>
      <c r="AC93" s="308"/>
      <c r="AD93" s="308"/>
      <c r="AE93" s="19"/>
      <c r="AF93" s="19"/>
      <c r="AG93" s="19"/>
      <c r="AH93" s="19"/>
      <c r="AI93" s="19"/>
      <c r="AJ93" s="19"/>
    </row>
    <row r="94">
      <c r="A94" s="344" t="s">
        <v>580</v>
      </c>
      <c r="B94" s="19"/>
      <c r="C94" s="19"/>
      <c r="D94" s="19"/>
      <c r="E94" s="315"/>
      <c r="F94" s="19"/>
      <c r="G94" s="19"/>
      <c r="H94" s="308"/>
      <c r="I94" s="308"/>
      <c r="J94" s="19"/>
      <c r="K94" s="19"/>
      <c r="L94" s="19"/>
      <c r="M94" s="19"/>
      <c r="N94" s="19"/>
      <c r="O94" s="308"/>
      <c r="P94" s="308"/>
      <c r="Q94" s="19"/>
      <c r="R94" s="19"/>
      <c r="S94" s="19"/>
      <c r="T94" s="19"/>
      <c r="U94" s="19"/>
      <c r="V94" s="308"/>
      <c r="W94" s="19"/>
      <c r="X94" s="19"/>
      <c r="Y94" s="19"/>
      <c r="Z94" s="19"/>
      <c r="AA94" s="19"/>
      <c r="AB94" s="19"/>
      <c r="AC94" s="308"/>
      <c r="AD94" s="308"/>
      <c r="AE94" s="19"/>
      <c r="AF94" s="19"/>
      <c r="AG94" s="19"/>
      <c r="AH94" s="19"/>
      <c r="AI94" s="19"/>
      <c r="AJ94" s="19"/>
    </row>
    <row r="95">
      <c r="A95" s="316" t="s">
        <v>2862</v>
      </c>
      <c r="B95" s="19"/>
      <c r="C95" s="19"/>
      <c r="D95" s="19"/>
      <c r="E95" s="315"/>
      <c r="F95" s="19"/>
      <c r="G95" s="19"/>
      <c r="H95" s="308"/>
      <c r="I95" s="308"/>
      <c r="J95" s="19"/>
      <c r="K95" s="19"/>
      <c r="L95" s="19"/>
      <c r="M95" s="19"/>
      <c r="N95" s="19"/>
      <c r="O95" s="308"/>
      <c r="P95" s="308"/>
      <c r="Q95" s="345" t="s">
        <v>580</v>
      </c>
      <c r="R95" s="345" t="s">
        <v>580</v>
      </c>
      <c r="S95" s="345" t="s">
        <v>580</v>
      </c>
      <c r="T95" s="345" t="s">
        <v>580</v>
      </c>
      <c r="U95" s="345" t="s">
        <v>580</v>
      </c>
      <c r="V95" s="308"/>
      <c r="W95" s="19"/>
      <c r="X95" s="19"/>
      <c r="Y95" s="19"/>
      <c r="Z95" s="19"/>
      <c r="AA95" s="19"/>
      <c r="AB95" s="19"/>
      <c r="AC95" s="308"/>
      <c r="AD95" s="308"/>
      <c r="AE95" s="19"/>
      <c r="AF95" s="19"/>
      <c r="AG95" s="19"/>
      <c r="AH95" s="19"/>
      <c r="AI95" s="19"/>
      <c r="AJ95" s="19"/>
    </row>
    <row r="96">
      <c r="A96" s="316" t="s">
        <v>2848</v>
      </c>
      <c r="B96" s="19"/>
      <c r="C96" s="19"/>
      <c r="D96" s="19"/>
      <c r="E96" s="315"/>
      <c r="F96" s="19"/>
      <c r="G96" s="19"/>
      <c r="H96" s="308"/>
      <c r="I96" s="308"/>
      <c r="J96" s="19"/>
      <c r="K96" s="19"/>
      <c r="L96" s="19"/>
      <c r="M96" s="19"/>
      <c r="N96" s="19"/>
      <c r="O96" s="308"/>
      <c r="P96" s="308"/>
      <c r="V96" s="308"/>
      <c r="W96" s="19"/>
      <c r="X96" s="19"/>
      <c r="Y96" s="19"/>
      <c r="Z96" s="19"/>
      <c r="AA96" s="19"/>
      <c r="AB96" s="19"/>
      <c r="AC96" s="308"/>
      <c r="AD96" s="308"/>
      <c r="AE96" s="19"/>
      <c r="AF96" s="19"/>
      <c r="AG96" s="19"/>
      <c r="AH96" s="19"/>
      <c r="AI96" s="19"/>
      <c r="AJ96" s="19"/>
    </row>
    <row r="97">
      <c r="A97" s="19"/>
      <c r="B97" s="19"/>
      <c r="C97" s="19"/>
      <c r="D97" s="19"/>
      <c r="E97" s="315"/>
      <c r="F97" s="19"/>
      <c r="G97" s="19"/>
      <c r="H97" s="308"/>
      <c r="I97" s="308"/>
      <c r="J97" s="19"/>
      <c r="K97" s="19"/>
      <c r="L97" s="19"/>
      <c r="M97" s="19"/>
      <c r="N97" s="19"/>
      <c r="O97" s="308"/>
      <c r="P97" s="308"/>
      <c r="Q97" s="19"/>
      <c r="R97" s="19"/>
      <c r="S97" s="19"/>
      <c r="T97" s="19"/>
      <c r="U97" s="19"/>
      <c r="V97" s="308"/>
      <c r="W97" s="19"/>
      <c r="X97" s="19"/>
      <c r="Y97" s="19"/>
      <c r="Z97" s="19"/>
      <c r="AA97" s="19"/>
      <c r="AB97" s="19"/>
      <c r="AC97" s="308"/>
      <c r="AD97" s="308"/>
      <c r="AE97" s="19"/>
      <c r="AF97" s="19"/>
      <c r="AG97" s="19"/>
      <c r="AH97" s="19"/>
      <c r="AI97" s="19"/>
      <c r="AJ97" s="19"/>
    </row>
    <row r="98">
      <c r="A98" s="337" t="s">
        <v>2958</v>
      </c>
      <c r="B98" s="19"/>
      <c r="C98" s="19"/>
      <c r="D98" s="19"/>
      <c r="E98" s="315"/>
      <c r="F98" s="19"/>
      <c r="G98" s="19"/>
      <c r="H98" s="308"/>
      <c r="I98" s="308"/>
      <c r="J98" s="19"/>
      <c r="K98" s="19"/>
      <c r="L98" s="19"/>
      <c r="M98" s="19"/>
      <c r="N98" s="19"/>
      <c r="O98" s="308"/>
      <c r="P98" s="308"/>
      <c r="Q98" s="19"/>
      <c r="R98" s="19"/>
      <c r="S98" s="19"/>
      <c r="T98" s="19"/>
      <c r="U98" s="19"/>
      <c r="V98" s="308"/>
      <c r="W98" s="19"/>
      <c r="X98" s="19"/>
      <c r="Y98" s="19"/>
      <c r="Z98" s="19"/>
      <c r="AA98" s="19"/>
      <c r="AB98" s="19"/>
      <c r="AC98" s="308"/>
      <c r="AD98" s="308"/>
      <c r="AE98" s="19"/>
      <c r="AF98" s="19"/>
      <c r="AG98" s="19"/>
      <c r="AH98" s="19"/>
      <c r="AI98" s="19"/>
      <c r="AJ98" s="19"/>
    </row>
    <row r="99">
      <c r="A99" s="316" t="s">
        <v>2951</v>
      </c>
      <c r="B99" s="19"/>
      <c r="C99" s="19"/>
      <c r="D99" s="19"/>
      <c r="E99" s="315"/>
      <c r="F99" s="19"/>
      <c r="G99" s="19"/>
      <c r="H99" s="308"/>
      <c r="I99" s="308"/>
      <c r="J99" s="19"/>
      <c r="K99" s="19"/>
      <c r="L99" s="19"/>
      <c r="M99" s="19"/>
      <c r="N99" s="19"/>
      <c r="O99" s="308"/>
      <c r="P99" s="308"/>
      <c r="Q99" s="19"/>
      <c r="R99" s="19"/>
      <c r="S99" s="19"/>
      <c r="T99" s="19"/>
      <c r="U99" s="19"/>
      <c r="V99" s="308"/>
      <c r="W99" s="19"/>
      <c r="X99" s="19"/>
      <c r="Y99" s="19"/>
      <c r="Z99" s="19"/>
      <c r="AA99" s="19"/>
      <c r="AB99" s="19"/>
      <c r="AC99" s="308"/>
      <c r="AD99" s="308"/>
      <c r="AE99" s="19"/>
      <c r="AF99" s="19"/>
      <c r="AG99" s="19"/>
      <c r="AH99" s="19"/>
      <c r="AI99" s="19"/>
      <c r="AJ99" s="19"/>
    </row>
    <row r="100">
      <c r="B100" s="19"/>
      <c r="C100" s="19"/>
      <c r="D100" s="19"/>
      <c r="E100" s="315"/>
      <c r="F100" s="19"/>
      <c r="G100" s="19"/>
      <c r="H100" s="308"/>
      <c r="I100" s="308"/>
      <c r="J100" s="19"/>
      <c r="K100" s="19"/>
      <c r="L100" s="19"/>
      <c r="M100" s="19"/>
      <c r="N100" s="19"/>
      <c r="O100" s="308"/>
      <c r="P100" s="308"/>
      <c r="Q100" s="19"/>
      <c r="R100" s="19"/>
      <c r="S100" s="19"/>
      <c r="T100" s="19"/>
      <c r="U100" s="19"/>
      <c r="V100" s="308"/>
      <c r="W100" s="19"/>
      <c r="X100" s="19"/>
      <c r="Y100" s="19"/>
      <c r="Z100" s="19"/>
      <c r="AA100" s="19"/>
      <c r="AB100" s="19"/>
      <c r="AC100" s="308"/>
      <c r="AD100" s="308"/>
      <c r="AE100" s="19"/>
      <c r="AF100" s="19"/>
      <c r="AG100" s="19"/>
      <c r="AH100" s="19"/>
      <c r="AI100" s="19"/>
      <c r="AJ100" s="19"/>
    </row>
    <row r="101">
      <c r="B101" s="19"/>
      <c r="C101" s="19"/>
      <c r="D101" s="19"/>
      <c r="E101" s="315"/>
      <c r="F101" s="19"/>
      <c r="G101" s="19"/>
      <c r="H101" s="308"/>
      <c r="I101" s="308"/>
      <c r="J101" s="19"/>
      <c r="K101" s="19"/>
      <c r="L101" s="19"/>
      <c r="M101" s="19"/>
      <c r="N101" s="19"/>
      <c r="O101" s="308"/>
      <c r="P101" s="308"/>
      <c r="Q101" s="19"/>
      <c r="R101" s="19"/>
      <c r="S101" s="19"/>
      <c r="T101" s="19"/>
      <c r="U101" s="19"/>
      <c r="V101" s="308"/>
      <c r="W101" s="19"/>
      <c r="X101" s="19"/>
      <c r="Y101" s="19"/>
      <c r="Z101" s="19"/>
      <c r="AA101" s="19"/>
      <c r="AB101" s="19"/>
      <c r="AC101" s="308"/>
      <c r="AD101" s="308"/>
      <c r="AE101" s="19"/>
      <c r="AF101" s="19"/>
      <c r="AG101" s="19"/>
      <c r="AH101" s="19"/>
      <c r="AI101" s="19"/>
      <c r="AJ101" s="19"/>
    </row>
    <row r="102">
      <c r="E102" s="320"/>
    </row>
    <row r="103">
      <c r="E103" s="320"/>
    </row>
    <row r="104">
      <c r="A104" s="34"/>
      <c r="B104" s="34"/>
      <c r="C104" s="34"/>
      <c r="D104" s="34"/>
      <c r="E104" s="306"/>
      <c r="F104" s="34"/>
      <c r="G104" s="34"/>
      <c r="H104" s="34"/>
      <c r="I104" s="34"/>
      <c r="J104" s="34"/>
      <c r="K104" s="34"/>
      <c r="L104" s="34"/>
      <c r="M104" s="34"/>
      <c r="N104" s="321" t="s">
        <v>414</v>
      </c>
      <c r="O104" s="34"/>
      <c r="P104" s="34"/>
      <c r="Q104" s="300">
        <v>2026.0</v>
      </c>
      <c r="R104" s="34"/>
      <c r="S104" s="34"/>
      <c r="T104" s="34"/>
      <c r="U104" s="34"/>
      <c r="V104" s="34"/>
      <c r="W104" s="34"/>
      <c r="X104" s="34"/>
      <c r="Y104" s="34"/>
      <c r="Z104" s="34"/>
      <c r="AA104" s="34"/>
      <c r="AB104" s="34"/>
      <c r="AC104" s="34"/>
    </row>
    <row r="105">
      <c r="A105" s="34"/>
      <c r="B105" s="309" t="s">
        <v>2833</v>
      </c>
      <c r="C105" s="309" t="s">
        <v>2834</v>
      </c>
      <c r="D105" s="309" t="s">
        <v>2835</v>
      </c>
      <c r="E105" s="310" t="s">
        <v>2836</v>
      </c>
      <c r="F105" s="308" t="s">
        <v>2828</v>
      </c>
      <c r="G105" s="309" t="s">
        <v>2831</v>
      </c>
      <c r="H105" s="309" t="s">
        <v>2832</v>
      </c>
      <c r="I105" s="309" t="s">
        <v>2833</v>
      </c>
      <c r="J105" s="309" t="s">
        <v>2834</v>
      </c>
      <c r="K105" s="309" t="s">
        <v>2835</v>
      </c>
      <c r="L105" s="309" t="s">
        <v>2836</v>
      </c>
      <c r="M105" s="308" t="s">
        <v>2828</v>
      </c>
      <c r="N105" s="309" t="s">
        <v>2831</v>
      </c>
      <c r="O105" s="309" t="s">
        <v>2832</v>
      </c>
      <c r="P105" s="309" t="s">
        <v>2833</v>
      </c>
      <c r="Q105" s="309" t="s">
        <v>2834</v>
      </c>
      <c r="R105" s="309" t="s">
        <v>2835</v>
      </c>
      <c r="S105" s="309" t="s">
        <v>2836</v>
      </c>
      <c r="T105" s="308" t="s">
        <v>2828</v>
      </c>
      <c r="U105" s="308" t="s">
        <v>2831</v>
      </c>
      <c r="V105" s="309" t="s">
        <v>2832</v>
      </c>
      <c r="W105" s="309" t="s">
        <v>2833</v>
      </c>
      <c r="X105" s="309" t="s">
        <v>2834</v>
      </c>
      <c r="Y105" s="309" t="s">
        <v>2835</v>
      </c>
      <c r="Z105" s="309" t="s">
        <v>2836</v>
      </c>
      <c r="AA105" s="308" t="s">
        <v>2828</v>
      </c>
      <c r="AB105" s="309" t="s">
        <v>2831</v>
      </c>
      <c r="AC105" s="309" t="s">
        <v>2832</v>
      </c>
      <c r="AD105" s="309" t="s">
        <v>2833</v>
      </c>
      <c r="AE105" s="309" t="s">
        <v>2834</v>
      </c>
      <c r="AF105" s="309"/>
      <c r="AG105" s="309"/>
      <c r="AH105" s="309"/>
      <c r="AI105" s="309"/>
      <c r="AJ105" s="309" t="s">
        <v>2835</v>
      </c>
    </row>
    <row r="106">
      <c r="A106" s="312"/>
      <c r="B106" s="312">
        <v>1.0</v>
      </c>
      <c r="C106" s="312">
        <v>2.0</v>
      </c>
      <c r="D106" s="312">
        <v>3.0</v>
      </c>
      <c r="E106" s="313">
        <v>4.0</v>
      </c>
      <c r="F106" s="308">
        <v>5.0</v>
      </c>
      <c r="G106" s="312">
        <v>6.0</v>
      </c>
      <c r="H106" s="312">
        <v>7.0</v>
      </c>
      <c r="I106" s="312">
        <v>8.0</v>
      </c>
      <c r="J106" s="312">
        <v>9.0</v>
      </c>
      <c r="K106" s="312">
        <v>10.0</v>
      </c>
      <c r="L106" s="312">
        <v>11.0</v>
      </c>
      <c r="M106" s="308">
        <v>12.0</v>
      </c>
      <c r="N106" s="312">
        <v>13.0</v>
      </c>
      <c r="O106" s="312">
        <v>14.0</v>
      </c>
      <c r="P106" s="312">
        <v>15.0</v>
      </c>
      <c r="Q106" s="312">
        <v>16.0</v>
      </c>
      <c r="R106" s="312">
        <v>17.0</v>
      </c>
      <c r="S106" s="312">
        <v>18.0</v>
      </c>
      <c r="T106" s="308">
        <v>19.0</v>
      </c>
      <c r="U106" s="308">
        <v>20.0</v>
      </c>
      <c r="V106" s="312">
        <v>21.0</v>
      </c>
      <c r="W106" s="312">
        <v>22.0</v>
      </c>
      <c r="X106" s="312">
        <v>23.0</v>
      </c>
      <c r="Y106" s="312">
        <v>24.0</v>
      </c>
      <c r="Z106" s="312">
        <v>25.0</v>
      </c>
      <c r="AA106" s="308">
        <v>26.0</v>
      </c>
      <c r="AB106" s="312">
        <v>27.0</v>
      </c>
      <c r="AC106" s="312">
        <v>28.0</v>
      </c>
      <c r="AD106" s="312">
        <v>29.0</v>
      </c>
      <c r="AE106" s="312">
        <v>30.0</v>
      </c>
      <c r="AF106" s="346"/>
      <c r="AG106" s="346"/>
      <c r="AH106" s="346"/>
      <c r="AI106" s="346"/>
      <c r="AJ106" s="346">
        <v>31.0</v>
      </c>
    </row>
    <row r="107">
      <c r="A107" s="323" t="s">
        <v>920</v>
      </c>
      <c r="B107" s="19"/>
      <c r="C107" s="19"/>
      <c r="D107" s="19"/>
      <c r="E107" s="315"/>
      <c r="F107" s="308"/>
      <c r="G107" s="19"/>
      <c r="H107" s="19"/>
      <c r="I107" s="19"/>
      <c r="J107" s="19"/>
      <c r="K107" s="19"/>
      <c r="L107" s="19"/>
      <c r="M107" s="308"/>
      <c r="N107" s="19"/>
      <c r="O107" s="19"/>
      <c r="P107" s="19"/>
      <c r="Q107" s="19"/>
      <c r="R107" s="19"/>
      <c r="S107" s="19"/>
      <c r="T107" s="308"/>
      <c r="U107" s="308"/>
      <c r="V107" s="19"/>
      <c r="W107" s="19"/>
      <c r="X107" s="19"/>
      <c r="Y107" s="19"/>
      <c r="Z107" s="19"/>
      <c r="AA107" s="308"/>
      <c r="AB107" s="19"/>
      <c r="AC107" s="19"/>
      <c r="AD107" s="19"/>
      <c r="AE107" s="19"/>
      <c r="AF107" s="292"/>
      <c r="AG107" s="292"/>
      <c r="AH107" s="292"/>
      <c r="AI107" s="292"/>
      <c r="AJ107" s="292"/>
    </row>
    <row r="108">
      <c r="A108" s="316" t="s">
        <v>2848</v>
      </c>
      <c r="B108" s="19"/>
      <c r="C108" s="19"/>
      <c r="D108" s="19"/>
      <c r="E108" s="315"/>
      <c r="F108" s="308"/>
      <c r="G108" s="19"/>
      <c r="H108" s="347" t="s">
        <v>3029</v>
      </c>
      <c r="I108" s="332" t="s">
        <v>3083</v>
      </c>
      <c r="J108" s="326"/>
      <c r="K108" s="332" t="s">
        <v>3084</v>
      </c>
      <c r="L108" s="326"/>
      <c r="M108" s="308"/>
      <c r="N108" s="19"/>
      <c r="O108" s="350" t="s">
        <v>3029</v>
      </c>
      <c r="P108" s="350" t="s">
        <v>3086</v>
      </c>
      <c r="Q108" s="332" t="s">
        <v>3087</v>
      </c>
      <c r="R108" s="326"/>
      <c r="S108" s="19"/>
      <c r="T108" s="308"/>
      <c r="U108" s="308"/>
      <c r="V108" s="19"/>
      <c r="W108" s="19"/>
      <c r="X108" s="19"/>
      <c r="Y108" s="19"/>
      <c r="Z108" s="19"/>
      <c r="AA108" s="308"/>
      <c r="AB108" s="19"/>
      <c r="AC108" s="19"/>
      <c r="AD108" s="19"/>
      <c r="AE108" s="19"/>
      <c r="AF108" s="292"/>
      <c r="AG108" s="292"/>
      <c r="AH108" s="292"/>
      <c r="AI108" s="292"/>
      <c r="AJ108" s="292"/>
    </row>
    <row r="109">
      <c r="A109" s="293" t="s">
        <v>2852</v>
      </c>
      <c r="B109" s="19"/>
      <c r="C109" s="19"/>
      <c r="D109" s="19"/>
      <c r="E109" s="315"/>
      <c r="F109" s="308"/>
      <c r="G109" s="19"/>
      <c r="H109" s="19"/>
      <c r="I109" s="19"/>
      <c r="J109" s="19"/>
      <c r="K109" s="19"/>
      <c r="L109" s="19"/>
      <c r="M109" s="308"/>
      <c r="N109" s="19"/>
      <c r="O109" s="19"/>
      <c r="P109" s="19"/>
      <c r="Q109" s="19"/>
      <c r="R109" s="19"/>
      <c r="S109" s="19"/>
      <c r="T109" s="308"/>
      <c r="U109" s="308"/>
      <c r="V109" s="19"/>
      <c r="W109" s="19"/>
      <c r="X109" s="19"/>
      <c r="Y109" s="19"/>
      <c r="Z109" s="19"/>
      <c r="AA109" s="308"/>
      <c r="AB109" s="332" t="s">
        <v>3089</v>
      </c>
      <c r="AC109" s="326"/>
      <c r="AD109" s="332" t="s">
        <v>3090</v>
      </c>
      <c r="AE109" s="326"/>
      <c r="AF109" s="332"/>
      <c r="AG109" s="332"/>
      <c r="AH109" s="332"/>
      <c r="AI109" s="332"/>
      <c r="AJ109" s="332" t="s">
        <v>3091</v>
      </c>
    </row>
    <row r="110">
      <c r="A110" s="19"/>
      <c r="B110" s="19"/>
      <c r="C110" s="19"/>
      <c r="D110" s="19"/>
      <c r="E110" s="315"/>
      <c r="F110" s="308"/>
      <c r="G110" s="19"/>
      <c r="H110" s="19"/>
      <c r="I110" s="19"/>
      <c r="J110" s="19"/>
      <c r="K110" s="19"/>
      <c r="L110" s="19"/>
      <c r="M110" s="308"/>
      <c r="N110" s="19"/>
      <c r="O110" s="19"/>
      <c r="P110" s="19"/>
      <c r="Q110" s="19"/>
      <c r="R110" s="19"/>
      <c r="S110" s="19"/>
      <c r="T110" s="308"/>
      <c r="U110" s="308"/>
      <c r="V110" s="19"/>
      <c r="W110" s="19"/>
      <c r="X110" s="19"/>
      <c r="Y110" s="19"/>
      <c r="Z110" s="19"/>
      <c r="AA110" s="308"/>
      <c r="AB110" s="19"/>
      <c r="AC110" s="19"/>
      <c r="AD110" s="19"/>
      <c r="AE110" s="19"/>
      <c r="AF110" s="292"/>
      <c r="AG110" s="292"/>
      <c r="AH110" s="292"/>
      <c r="AI110" s="292"/>
      <c r="AJ110" s="292"/>
    </row>
    <row r="111">
      <c r="A111" s="317" t="s">
        <v>312</v>
      </c>
      <c r="B111" s="19"/>
      <c r="C111" s="19"/>
      <c r="D111" s="19"/>
      <c r="E111" s="315"/>
      <c r="F111" s="308"/>
      <c r="G111" s="19"/>
      <c r="H111" s="19"/>
      <c r="I111" s="19"/>
      <c r="J111" s="19"/>
      <c r="K111" s="19"/>
      <c r="L111" s="19"/>
      <c r="M111" s="308"/>
      <c r="N111" s="19"/>
      <c r="O111" s="19"/>
      <c r="P111" s="19"/>
      <c r="Q111" s="19"/>
      <c r="R111" s="19"/>
      <c r="S111" s="19"/>
      <c r="T111" s="308"/>
      <c r="U111" s="308"/>
      <c r="V111" s="19"/>
      <c r="W111" s="19"/>
      <c r="X111" s="19"/>
      <c r="Y111" s="19"/>
      <c r="Z111" s="19"/>
      <c r="AA111" s="308"/>
      <c r="AB111" s="19"/>
      <c r="AC111" s="19"/>
      <c r="AD111" s="19"/>
      <c r="AE111" s="19"/>
      <c r="AF111" s="292"/>
      <c r="AG111" s="292"/>
      <c r="AH111" s="292"/>
      <c r="AI111" s="292"/>
      <c r="AJ111" s="292"/>
    </row>
    <row r="112">
      <c r="A112" s="316" t="s">
        <v>2862</v>
      </c>
      <c r="B112" s="19"/>
      <c r="C112" s="19"/>
      <c r="D112" s="19"/>
      <c r="E112" s="315"/>
      <c r="F112" s="308"/>
      <c r="G112" s="19"/>
      <c r="H112" s="19"/>
      <c r="I112" s="19"/>
      <c r="J112" s="19"/>
      <c r="K112" s="19"/>
      <c r="L112" s="19"/>
      <c r="M112" s="308"/>
      <c r="N112" s="19"/>
      <c r="O112" s="19"/>
      <c r="P112" s="19"/>
      <c r="Q112" s="19"/>
      <c r="R112" s="19"/>
      <c r="S112" s="19"/>
      <c r="T112" s="308"/>
      <c r="U112" s="308"/>
      <c r="V112" s="19"/>
      <c r="W112" s="19"/>
      <c r="X112" s="19"/>
      <c r="Y112" s="19"/>
      <c r="Z112" s="19"/>
      <c r="AA112" s="308"/>
      <c r="AB112" s="19"/>
      <c r="AC112" s="19"/>
      <c r="AD112" s="19"/>
      <c r="AE112" s="19"/>
      <c r="AF112" s="292"/>
      <c r="AG112" s="292"/>
      <c r="AH112" s="292"/>
      <c r="AI112" s="292"/>
      <c r="AJ112" s="292"/>
    </row>
    <row r="113">
      <c r="A113" s="316" t="s">
        <v>2848</v>
      </c>
      <c r="B113" s="19"/>
      <c r="C113" s="19"/>
      <c r="D113" s="19"/>
      <c r="E113" s="315"/>
      <c r="F113" s="308"/>
      <c r="G113" s="19"/>
      <c r="H113" s="19"/>
      <c r="I113" s="19"/>
      <c r="J113" s="19"/>
      <c r="K113" s="19"/>
      <c r="L113" s="19"/>
      <c r="M113" s="308"/>
      <c r="N113" s="19"/>
      <c r="O113" s="19"/>
      <c r="P113" s="19"/>
      <c r="Q113" s="19"/>
      <c r="R113" s="19"/>
      <c r="S113" s="19"/>
      <c r="T113" s="308"/>
      <c r="U113" s="308"/>
      <c r="V113" s="19"/>
      <c r="W113" s="19"/>
      <c r="X113" s="19"/>
      <c r="Y113" s="19"/>
      <c r="Z113" s="19"/>
      <c r="AA113" s="308"/>
      <c r="AB113" s="19"/>
      <c r="AC113" s="19"/>
      <c r="AD113" s="19"/>
      <c r="AE113" s="19"/>
      <c r="AF113" s="292"/>
      <c r="AG113" s="292"/>
      <c r="AH113" s="292"/>
      <c r="AI113" s="292"/>
      <c r="AJ113" s="292"/>
    </row>
    <row r="114">
      <c r="A114" s="19"/>
      <c r="B114" s="19"/>
      <c r="C114" s="19"/>
      <c r="D114" s="19"/>
      <c r="E114" s="315"/>
      <c r="F114" s="308"/>
      <c r="G114" s="19"/>
      <c r="H114" s="19"/>
      <c r="I114" s="19"/>
      <c r="J114" s="19"/>
      <c r="K114" s="19"/>
      <c r="L114" s="19"/>
      <c r="M114" s="308"/>
      <c r="N114" s="19"/>
      <c r="O114" s="19"/>
      <c r="P114" s="19"/>
      <c r="Q114" s="19"/>
      <c r="R114" s="19"/>
      <c r="S114" s="19"/>
      <c r="T114" s="308"/>
      <c r="U114" s="308"/>
      <c r="V114" s="19"/>
      <c r="W114" s="19"/>
      <c r="X114" s="19"/>
      <c r="Y114" s="19"/>
      <c r="Z114" s="19"/>
      <c r="AA114" s="308"/>
      <c r="AB114" s="19"/>
      <c r="AC114" s="19"/>
      <c r="AD114" s="19"/>
      <c r="AE114" s="19"/>
      <c r="AF114" s="292"/>
      <c r="AG114" s="292"/>
      <c r="AH114" s="292"/>
      <c r="AI114" s="292"/>
      <c r="AJ114" s="292"/>
    </row>
    <row r="115">
      <c r="A115" s="319" t="s">
        <v>2872</v>
      </c>
      <c r="B115" s="19"/>
      <c r="C115" s="19"/>
      <c r="D115" s="19"/>
      <c r="E115" s="315"/>
      <c r="F115" s="308"/>
      <c r="G115" s="19"/>
      <c r="H115" s="19"/>
      <c r="I115" s="19"/>
      <c r="J115" s="19"/>
      <c r="K115" s="19"/>
      <c r="L115" s="19"/>
      <c r="M115" s="308"/>
      <c r="N115" s="19"/>
      <c r="O115" s="19"/>
      <c r="P115" s="19"/>
      <c r="Q115" s="19"/>
      <c r="R115" s="19"/>
      <c r="S115" s="19"/>
      <c r="T115" s="308"/>
      <c r="U115" s="308"/>
      <c r="V115" s="19"/>
      <c r="W115" s="19"/>
      <c r="X115" s="19"/>
      <c r="Y115" s="19"/>
      <c r="Z115" s="19"/>
      <c r="AA115" s="308"/>
      <c r="AB115" s="19"/>
      <c r="AC115" s="19"/>
      <c r="AD115" s="19"/>
      <c r="AE115" s="19"/>
      <c r="AF115" s="292"/>
      <c r="AG115" s="292"/>
      <c r="AH115" s="292"/>
      <c r="AI115" s="292"/>
      <c r="AJ115" s="292"/>
    </row>
    <row r="116">
      <c r="A116" s="316" t="s">
        <v>2862</v>
      </c>
      <c r="B116" s="19"/>
      <c r="C116" s="19"/>
      <c r="D116" s="19"/>
      <c r="E116" s="315"/>
      <c r="F116" s="308"/>
      <c r="G116" s="19"/>
      <c r="H116" s="19"/>
      <c r="I116" s="19"/>
      <c r="J116" s="19"/>
      <c r="K116" s="19"/>
      <c r="L116" s="19"/>
      <c r="M116" s="308"/>
      <c r="N116" s="19"/>
      <c r="O116" s="19"/>
      <c r="P116" s="19"/>
      <c r="Q116" s="19"/>
      <c r="R116" s="19"/>
      <c r="S116" s="19"/>
      <c r="T116" s="308"/>
      <c r="U116" s="308"/>
      <c r="V116" s="19"/>
      <c r="W116" s="19"/>
      <c r="X116" s="19"/>
      <c r="Y116" s="19"/>
      <c r="Z116" s="19"/>
      <c r="AA116" s="308"/>
      <c r="AB116" s="19"/>
      <c r="AC116" s="19"/>
      <c r="AD116" s="19"/>
      <c r="AE116" s="19"/>
      <c r="AF116" s="292"/>
      <c r="AG116" s="292"/>
      <c r="AH116" s="292"/>
      <c r="AI116" s="292"/>
      <c r="AJ116" s="292"/>
    </row>
    <row r="117">
      <c r="A117" s="316" t="s">
        <v>2848</v>
      </c>
      <c r="B117" s="19"/>
      <c r="C117" s="336" t="s">
        <v>2284</v>
      </c>
      <c r="D117" s="19"/>
      <c r="E117" s="315"/>
      <c r="F117" s="308"/>
      <c r="G117" s="19"/>
      <c r="H117" s="19"/>
      <c r="I117" s="19"/>
      <c r="J117" s="19"/>
      <c r="K117" s="19"/>
      <c r="L117" s="19"/>
      <c r="M117" s="308"/>
      <c r="N117" s="19"/>
      <c r="O117" s="19"/>
      <c r="P117" s="19"/>
      <c r="Q117" s="19"/>
      <c r="R117" s="19"/>
      <c r="S117" s="19"/>
      <c r="T117" s="308"/>
      <c r="U117" s="308"/>
      <c r="V117" s="19"/>
      <c r="W117" s="19"/>
      <c r="X117" s="19"/>
      <c r="Y117" s="19"/>
      <c r="Z117" s="19"/>
      <c r="AA117" s="308"/>
      <c r="AB117" s="19"/>
      <c r="AC117" s="19"/>
      <c r="AD117" s="19"/>
      <c r="AE117" s="19"/>
      <c r="AF117" s="292"/>
      <c r="AG117" s="292"/>
      <c r="AH117" s="292"/>
      <c r="AI117" s="292"/>
      <c r="AJ117" s="292"/>
    </row>
    <row r="118">
      <c r="A118" s="34"/>
      <c r="B118" s="19"/>
      <c r="C118" s="19"/>
      <c r="D118" s="19"/>
      <c r="E118" s="315"/>
      <c r="F118" s="308"/>
      <c r="G118" s="19"/>
      <c r="H118" s="19"/>
      <c r="I118" s="19"/>
      <c r="J118" s="19"/>
      <c r="K118" s="19"/>
      <c r="L118" s="19"/>
      <c r="M118" s="308"/>
      <c r="N118" s="21" t="s">
        <v>3102</v>
      </c>
      <c r="O118" s="19"/>
      <c r="P118" s="19"/>
      <c r="Q118" s="19"/>
      <c r="R118" s="19"/>
      <c r="S118" s="19"/>
      <c r="T118" s="308"/>
      <c r="U118" s="308"/>
      <c r="V118" s="19"/>
      <c r="W118" s="19"/>
      <c r="X118" s="19"/>
      <c r="Y118" s="19"/>
      <c r="Z118" s="19"/>
      <c r="AA118" s="308"/>
      <c r="AB118" s="19"/>
      <c r="AC118" s="19"/>
      <c r="AD118" s="19"/>
      <c r="AE118" s="19"/>
      <c r="AF118" s="292"/>
      <c r="AG118" s="292"/>
      <c r="AH118" s="292"/>
      <c r="AI118" s="292"/>
      <c r="AJ118" s="292"/>
    </row>
    <row r="119">
      <c r="A119" s="354" t="s">
        <v>580</v>
      </c>
      <c r="B119" s="19"/>
      <c r="C119" s="19"/>
      <c r="D119" s="19"/>
      <c r="E119" s="315"/>
      <c r="F119" s="308"/>
      <c r="G119" s="19"/>
      <c r="H119" s="19"/>
      <c r="I119" s="19"/>
      <c r="J119" s="19"/>
      <c r="K119" s="19"/>
      <c r="L119" s="19"/>
      <c r="M119" s="308"/>
      <c r="N119" s="19"/>
      <c r="O119" s="19"/>
      <c r="P119" s="19"/>
      <c r="Q119" s="19"/>
      <c r="R119" s="19"/>
      <c r="S119" s="19"/>
      <c r="T119" s="308"/>
      <c r="U119" s="308"/>
      <c r="V119" s="19"/>
      <c r="W119" s="19"/>
      <c r="X119" s="19"/>
      <c r="Y119" s="19"/>
      <c r="Z119" s="19"/>
      <c r="AA119" s="308"/>
      <c r="AB119" s="19"/>
      <c r="AC119" s="19"/>
      <c r="AD119" s="19"/>
      <c r="AE119" s="19"/>
      <c r="AF119" s="292"/>
      <c r="AG119" s="292"/>
      <c r="AH119" s="292"/>
      <c r="AI119" s="292"/>
      <c r="AJ119" s="292"/>
    </row>
    <row r="120">
      <c r="A120" s="316" t="s">
        <v>2862</v>
      </c>
      <c r="B120" s="19"/>
      <c r="C120" s="19"/>
      <c r="D120" s="19"/>
      <c r="E120" s="315"/>
      <c r="F120" s="308"/>
      <c r="G120" s="19"/>
      <c r="H120" s="19"/>
      <c r="I120" s="19"/>
      <c r="J120" s="19"/>
      <c r="K120" s="19"/>
      <c r="L120" s="19"/>
      <c r="M120" s="308"/>
      <c r="N120" s="19"/>
      <c r="O120" s="19"/>
      <c r="P120" s="19"/>
      <c r="Q120" s="19"/>
      <c r="R120" s="19"/>
      <c r="S120" s="19"/>
      <c r="T120" s="308"/>
      <c r="U120" s="308"/>
      <c r="V120" s="19"/>
      <c r="W120" s="19"/>
      <c r="X120" s="19"/>
      <c r="Y120" s="19"/>
      <c r="Z120" s="19"/>
      <c r="AA120" s="308"/>
      <c r="AB120" s="19"/>
      <c r="AC120" s="19"/>
      <c r="AD120" s="19"/>
      <c r="AE120" s="19"/>
      <c r="AF120" s="19"/>
      <c r="AG120" s="19"/>
      <c r="AH120" s="19"/>
      <c r="AI120" s="19"/>
      <c r="AJ120" s="19"/>
    </row>
    <row r="121">
      <c r="A121" s="316" t="s">
        <v>2848</v>
      </c>
      <c r="B121" s="19"/>
      <c r="C121" s="19"/>
      <c r="D121" s="19"/>
      <c r="E121" s="315"/>
      <c r="F121" s="308"/>
      <c r="G121" s="19"/>
      <c r="H121" s="19"/>
      <c r="I121" s="19"/>
      <c r="J121" s="19"/>
      <c r="K121" s="19"/>
      <c r="L121" s="19"/>
      <c r="M121" s="308"/>
      <c r="N121" s="19"/>
      <c r="O121" s="19"/>
      <c r="P121" s="19"/>
      <c r="Q121" s="19"/>
      <c r="R121" s="19"/>
      <c r="S121" s="19"/>
      <c r="T121" s="308"/>
      <c r="U121" s="308"/>
      <c r="V121" s="19"/>
      <c r="W121" s="19"/>
      <c r="X121" s="19"/>
      <c r="Y121" s="19"/>
      <c r="Z121" s="19"/>
      <c r="AA121" s="308"/>
      <c r="AB121" s="19"/>
      <c r="AC121" s="19"/>
      <c r="AD121" s="19"/>
      <c r="AE121" s="19"/>
      <c r="AF121" s="19"/>
      <c r="AG121" s="19"/>
      <c r="AH121" s="19"/>
      <c r="AI121" s="19"/>
      <c r="AJ121" s="19"/>
    </row>
    <row r="122">
      <c r="A122" s="19"/>
      <c r="B122" s="19"/>
      <c r="C122" s="19"/>
      <c r="D122" s="19"/>
      <c r="E122" s="315"/>
      <c r="F122" s="308"/>
      <c r="G122" s="19"/>
      <c r="H122" s="19"/>
      <c r="I122" s="19"/>
      <c r="J122" s="19"/>
      <c r="K122" s="19"/>
      <c r="L122" s="19"/>
      <c r="M122" s="308"/>
      <c r="N122" s="19"/>
      <c r="O122" s="19"/>
      <c r="P122" s="19"/>
      <c r="Q122" s="19"/>
      <c r="R122" s="19"/>
      <c r="S122" s="19"/>
      <c r="T122" s="308"/>
      <c r="U122" s="308"/>
      <c r="V122" s="19"/>
      <c r="W122" s="19"/>
      <c r="X122" s="19"/>
      <c r="Y122" s="19"/>
      <c r="Z122" s="19"/>
      <c r="AA122" s="308"/>
      <c r="AB122" s="19"/>
      <c r="AC122" s="19"/>
      <c r="AD122" s="19"/>
      <c r="AE122" s="19"/>
      <c r="AF122" s="19"/>
      <c r="AG122" s="19"/>
      <c r="AH122" s="19"/>
      <c r="AI122" s="19"/>
      <c r="AJ122" s="19"/>
    </row>
    <row r="123">
      <c r="A123" s="356" t="s">
        <v>352</v>
      </c>
      <c r="B123" s="19"/>
      <c r="C123" s="19"/>
      <c r="D123" s="19"/>
      <c r="E123" s="315"/>
      <c r="F123" s="308"/>
      <c r="G123" s="19"/>
      <c r="H123" s="19"/>
      <c r="I123" s="19"/>
      <c r="J123" s="19"/>
      <c r="K123" s="19"/>
      <c r="L123" s="19"/>
      <c r="M123" s="308"/>
      <c r="N123" s="19"/>
      <c r="O123" s="19"/>
      <c r="P123" s="19"/>
      <c r="Q123" s="19"/>
      <c r="R123" s="19"/>
      <c r="S123" s="19"/>
      <c r="T123" s="308"/>
      <c r="U123" s="308"/>
      <c r="V123" s="19"/>
      <c r="W123" s="19"/>
      <c r="X123" s="19"/>
      <c r="Y123" s="19"/>
      <c r="Z123" s="19"/>
      <c r="AA123" s="308"/>
      <c r="AB123" s="19"/>
      <c r="AC123" s="19"/>
      <c r="AD123" s="19"/>
      <c r="AE123" s="19"/>
      <c r="AF123" s="19"/>
      <c r="AG123" s="19"/>
      <c r="AH123" s="19"/>
      <c r="AI123" s="19"/>
      <c r="AJ123" s="19"/>
    </row>
    <row r="124">
      <c r="A124" s="316" t="s">
        <v>2862</v>
      </c>
      <c r="B124" s="19"/>
      <c r="C124" s="19"/>
      <c r="D124" s="356" t="s">
        <v>2954</v>
      </c>
      <c r="E124" s="315"/>
      <c r="F124" s="308"/>
      <c r="G124" s="19"/>
      <c r="H124" s="19"/>
      <c r="I124" s="19"/>
      <c r="J124" s="356" t="s">
        <v>2954</v>
      </c>
      <c r="K124" s="356" t="s">
        <v>3109</v>
      </c>
      <c r="L124" s="19"/>
      <c r="M124" s="308"/>
      <c r="N124" s="19"/>
      <c r="O124" s="19"/>
      <c r="P124" s="19"/>
      <c r="Q124" s="19"/>
      <c r="R124" s="19"/>
      <c r="S124" s="19"/>
      <c r="T124" s="308"/>
      <c r="U124" s="308"/>
      <c r="V124" s="19"/>
      <c r="W124" s="19"/>
      <c r="X124" s="19"/>
      <c r="Y124" s="19"/>
      <c r="Z124" s="19"/>
      <c r="AA124" s="308"/>
      <c r="AB124" s="19"/>
      <c r="AC124" s="19"/>
      <c r="AD124" s="19"/>
      <c r="AE124" s="19"/>
      <c r="AF124" s="19"/>
      <c r="AG124" s="19"/>
      <c r="AH124" s="19"/>
      <c r="AI124" s="19"/>
      <c r="AJ124" s="19"/>
    </row>
    <row r="125">
      <c r="A125" s="316" t="s">
        <v>2848</v>
      </c>
      <c r="B125" s="19"/>
      <c r="C125" s="19"/>
      <c r="D125" s="19"/>
      <c r="E125" s="315"/>
      <c r="F125" s="308"/>
      <c r="G125" s="19"/>
      <c r="H125" s="19"/>
      <c r="I125" s="19"/>
      <c r="J125" s="19"/>
      <c r="K125" s="19"/>
      <c r="L125" s="19"/>
      <c r="M125" s="308"/>
      <c r="N125" s="19"/>
      <c r="O125" s="19"/>
      <c r="P125" s="19"/>
      <c r="Q125" s="19"/>
      <c r="R125" s="19"/>
      <c r="S125" s="19"/>
      <c r="T125" s="308"/>
      <c r="U125" s="308"/>
      <c r="V125" s="19"/>
      <c r="W125" s="19"/>
      <c r="X125" s="19"/>
      <c r="Y125" s="19"/>
      <c r="Z125" s="19"/>
      <c r="AA125" s="308"/>
      <c r="AB125" s="357" t="s">
        <v>2954</v>
      </c>
      <c r="AC125" s="325"/>
      <c r="AD125" s="325"/>
      <c r="AE125" s="325"/>
      <c r="AF125" s="325"/>
      <c r="AG125" s="325"/>
      <c r="AH125" s="325"/>
      <c r="AI125" s="325"/>
      <c r="AJ125" s="326"/>
    </row>
    <row r="126">
      <c r="A126" s="34"/>
      <c r="B126" s="34"/>
      <c r="C126" s="34"/>
      <c r="D126" s="34"/>
      <c r="E126" s="306"/>
      <c r="F126" s="34"/>
      <c r="G126" s="34"/>
      <c r="H126" s="34"/>
      <c r="I126" s="34"/>
      <c r="J126" s="34"/>
      <c r="K126" s="34"/>
      <c r="L126" s="34"/>
      <c r="M126" s="34"/>
      <c r="N126" s="321" t="s">
        <v>495</v>
      </c>
      <c r="O126" s="34"/>
      <c r="P126" s="34"/>
      <c r="Q126" s="300">
        <v>2026.0</v>
      </c>
      <c r="R126" s="34"/>
      <c r="S126" s="34"/>
      <c r="T126" s="34"/>
      <c r="U126" s="34"/>
      <c r="V126" s="34"/>
      <c r="W126" s="34"/>
      <c r="X126" s="34"/>
      <c r="Y126" s="34"/>
      <c r="Z126" s="34"/>
      <c r="AA126" s="34"/>
      <c r="AB126" s="34"/>
      <c r="AC126" s="34"/>
    </row>
    <row r="127">
      <c r="A127" s="34"/>
      <c r="B127" s="309" t="s">
        <v>2836</v>
      </c>
      <c r="C127" s="308" t="s">
        <v>2828</v>
      </c>
      <c r="D127" s="309" t="s">
        <v>2831</v>
      </c>
      <c r="E127" s="310" t="s">
        <v>2832</v>
      </c>
      <c r="F127" s="309" t="s">
        <v>2833</v>
      </c>
      <c r="G127" s="309" t="s">
        <v>2834</v>
      </c>
      <c r="H127" s="308" t="s">
        <v>2835</v>
      </c>
      <c r="I127" s="309" t="s">
        <v>2836</v>
      </c>
      <c r="J127" s="308" t="s">
        <v>2828</v>
      </c>
      <c r="K127" s="309" t="s">
        <v>2831</v>
      </c>
      <c r="L127" s="309" t="s">
        <v>2832</v>
      </c>
      <c r="M127" s="309" t="s">
        <v>2833</v>
      </c>
      <c r="N127" s="309" t="s">
        <v>2834</v>
      </c>
      <c r="O127" s="309" t="s">
        <v>2835</v>
      </c>
      <c r="P127" s="309" t="s">
        <v>2836</v>
      </c>
      <c r="Q127" s="308" t="s">
        <v>2828</v>
      </c>
      <c r="R127" s="308" t="s">
        <v>2831</v>
      </c>
      <c r="S127" s="309" t="s">
        <v>2832</v>
      </c>
      <c r="T127" s="309" t="s">
        <v>2833</v>
      </c>
      <c r="U127" s="309" t="s">
        <v>2834</v>
      </c>
      <c r="V127" s="309" t="s">
        <v>2835</v>
      </c>
      <c r="W127" s="309" t="s">
        <v>2836</v>
      </c>
      <c r="X127" s="308" t="s">
        <v>2828</v>
      </c>
      <c r="Y127" s="309" t="s">
        <v>2831</v>
      </c>
      <c r="Z127" s="309" t="s">
        <v>2832</v>
      </c>
      <c r="AA127" s="309" t="s">
        <v>2833</v>
      </c>
      <c r="AB127" s="309" t="s">
        <v>2834</v>
      </c>
      <c r="AC127" s="309" t="s">
        <v>2835</v>
      </c>
      <c r="AD127" s="309" t="s">
        <v>2836</v>
      </c>
      <c r="AE127" s="309" t="s">
        <v>2828</v>
      </c>
      <c r="AF127" s="309"/>
      <c r="AG127" s="309"/>
      <c r="AH127" s="309"/>
      <c r="AI127" s="309"/>
      <c r="AJ127" s="309"/>
    </row>
    <row r="128">
      <c r="A128" s="312"/>
      <c r="B128" s="312">
        <v>1.0</v>
      </c>
      <c r="C128" s="308">
        <v>2.0</v>
      </c>
      <c r="D128" s="312">
        <v>3.0</v>
      </c>
      <c r="E128" s="313">
        <v>4.0</v>
      </c>
      <c r="F128" s="312">
        <v>5.0</v>
      </c>
      <c r="G128" s="312">
        <v>6.0</v>
      </c>
      <c r="H128" s="308">
        <v>7.0</v>
      </c>
      <c r="I128" s="312">
        <v>8.0</v>
      </c>
      <c r="J128" s="308">
        <v>9.0</v>
      </c>
      <c r="K128" s="312">
        <v>10.0</v>
      </c>
      <c r="L128" s="312">
        <v>11.0</v>
      </c>
      <c r="M128" s="312">
        <v>12.0</v>
      </c>
      <c r="N128" s="312">
        <v>13.0</v>
      </c>
      <c r="O128" s="312">
        <v>14.0</v>
      </c>
      <c r="P128" s="312">
        <v>15.0</v>
      </c>
      <c r="Q128" s="308">
        <v>16.0</v>
      </c>
      <c r="R128" s="308">
        <v>17.0</v>
      </c>
      <c r="S128" s="312">
        <v>18.0</v>
      </c>
      <c r="T128" s="312">
        <v>19.0</v>
      </c>
      <c r="U128" s="312">
        <v>20.0</v>
      </c>
      <c r="V128" s="312">
        <v>21.0</v>
      </c>
      <c r="W128" s="312">
        <v>22.0</v>
      </c>
      <c r="X128" s="308">
        <v>23.0</v>
      </c>
      <c r="Y128" s="312">
        <v>24.0</v>
      </c>
      <c r="Z128" s="312">
        <v>25.0</v>
      </c>
      <c r="AA128" s="312">
        <v>26.0</v>
      </c>
      <c r="AB128" s="312">
        <v>27.0</v>
      </c>
      <c r="AC128" s="312">
        <v>28.0</v>
      </c>
      <c r="AD128" s="312">
        <v>29.0</v>
      </c>
      <c r="AE128" s="312">
        <v>30.0</v>
      </c>
      <c r="AF128" s="312"/>
      <c r="AG128" s="346">
        <v>650.0</v>
      </c>
      <c r="AH128" s="346" t="s">
        <v>3116</v>
      </c>
      <c r="AI128" s="312"/>
      <c r="AJ128" s="312"/>
    </row>
    <row r="129">
      <c r="A129" s="323" t="s">
        <v>920</v>
      </c>
      <c r="B129" s="323" t="s">
        <v>3091</v>
      </c>
      <c r="C129" s="308"/>
      <c r="D129" s="358"/>
      <c r="E129" s="359"/>
      <c r="F129" s="358"/>
      <c r="G129" s="358"/>
      <c r="H129" s="308"/>
      <c r="I129" s="358"/>
      <c r="J129" s="308"/>
      <c r="K129" s="358"/>
      <c r="L129" s="358"/>
      <c r="M129" s="358"/>
      <c r="N129" s="358"/>
      <c r="O129" s="358"/>
      <c r="P129" s="358"/>
      <c r="Q129" s="308"/>
      <c r="R129" s="308"/>
      <c r="S129" s="358"/>
      <c r="T129" s="358"/>
      <c r="U129" s="358"/>
      <c r="V129" s="358"/>
      <c r="W129" s="358"/>
      <c r="X129" s="308"/>
      <c r="Y129" s="358"/>
      <c r="Z129" s="358"/>
      <c r="AA129" s="358"/>
      <c r="AB129" s="358"/>
      <c r="AC129" s="358"/>
      <c r="AD129" s="358"/>
      <c r="AE129" s="358"/>
      <c r="AF129" s="358"/>
      <c r="AG129" s="346">
        <v>100.0</v>
      </c>
      <c r="AH129" s="346" t="s">
        <v>3119</v>
      </c>
      <c r="AI129" s="346"/>
      <c r="AJ129" s="346"/>
    </row>
    <row r="130">
      <c r="A130" s="316" t="s">
        <v>2848</v>
      </c>
      <c r="B130" s="358"/>
      <c r="C130" s="308"/>
      <c r="D130" s="358"/>
      <c r="E130" s="359"/>
      <c r="F130" s="358"/>
      <c r="G130" s="358"/>
      <c r="H130" s="308"/>
      <c r="I130" s="358"/>
      <c r="J130" s="308"/>
      <c r="K130" s="358"/>
      <c r="L130" s="358"/>
      <c r="M130" s="358"/>
      <c r="N130" s="360" t="s">
        <v>3121</v>
      </c>
      <c r="O130" s="361"/>
      <c r="P130" s="358"/>
      <c r="Q130" s="308"/>
      <c r="R130" s="308"/>
      <c r="S130" s="358"/>
      <c r="T130" s="358"/>
      <c r="U130" s="358"/>
      <c r="V130" s="358"/>
      <c r="W130" s="358"/>
      <c r="X130" s="308"/>
      <c r="Y130" s="358"/>
      <c r="Z130" s="358"/>
      <c r="AA130" s="358"/>
      <c r="AB130" s="358"/>
      <c r="AC130" s="358"/>
      <c r="AD130" s="358"/>
      <c r="AE130" s="358"/>
      <c r="AF130" s="358"/>
      <c r="AG130" s="346">
        <v>150.0</v>
      </c>
      <c r="AH130" s="346" t="s">
        <v>3119</v>
      </c>
      <c r="AI130" s="346"/>
      <c r="AJ130" s="346"/>
    </row>
    <row r="131">
      <c r="A131" s="293" t="s">
        <v>2852</v>
      </c>
      <c r="B131" s="358"/>
      <c r="C131" s="308"/>
      <c r="D131" s="358"/>
      <c r="E131" s="359"/>
      <c r="F131" s="358"/>
      <c r="G131" s="358"/>
      <c r="H131" s="308"/>
      <c r="I131" s="358"/>
      <c r="J131" s="308"/>
      <c r="K131" s="358"/>
      <c r="L131" s="358"/>
      <c r="M131" s="358"/>
      <c r="N131" s="360" t="s">
        <v>3121</v>
      </c>
      <c r="O131" s="361"/>
      <c r="P131" s="358"/>
      <c r="Q131" s="308"/>
      <c r="R131" s="308"/>
      <c r="S131" s="358"/>
      <c r="T131" s="358"/>
      <c r="U131" s="358"/>
      <c r="V131" s="358"/>
      <c r="W131" s="358"/>
      <c r="X131" s="308"/>
      <c r="Y131" s="358"/>
      <c r="Z131" s="358"/>
      <c r="AA131" s="358"/>
      <c r="AB131" s="358"/>
      <c r="AC131" s="358"/>
      <c r="AD131" s="358"/>
      <c r="AE131" s="358"/>
      <c r="AF131" s="358"/>
      <c r="AG131" s="346">
        <v>100.0</v>
      </c>
      <c r="AH131" s="346" t="s">
        <v>3122</v>
      </c>
      <c r="AI131" s="346"/>
      <c r="AJ131" s="346"/>
    </row>
    <row r="132">
      <c r="A132" s="19"/>
      <c r="B132" s="358"/>
      <c r="C132" s="308"/>
      <c r="D132" s="358"/>
      <c r="E132" s="359"/>
      <c r="F132" s="358"/>
      <c r="G132" s="358"/>
      <c r="H132" s="308"/>
      <c r="I132" s="358"/>
      <c r="J132" s="308"/>
      <c r="K132" s="358"/>
      <c r="L132" s="358"/>
      <c r="M132" s="358"/>
      <c r="N132" s="358"/>
      <c r="O132" s="358"/>
      <c r="P132" s="358"/>
      <c r="Q132" s="308"/>
      <c r="R132" s="308"/>
      <c r="S132" s="358"/>
      <c r="T132" s="358"/>
      <c r="U132" s="358"/>
      <c r="V132" s="358"/>
      <c r="W132" s="358"/>
      <c r="X132" s="308"/>
      <c r="Y132" s="358"/>
      <c r="Z132" s="358"/>
      <c r="AA132" s="358"/>
      <c r="AB132" s="358"/>
      <c r="AC132" s="358"/>
      <c r="AD132" s="358"/>
      <c r="AE132" s="358"/>
      <c r="AF132" s="358"/>
      <c r="AG132" s="346">
        <v>100.0</v>
      </c>
      <c r="AH132" s="346" t="s">
        <v>3122</v>
      </c>
      <c r="AI132" s="346"/>
      <c r="AJ132" s="346"/>
    </row>
    <row r="133">
      <c r="A133" s="317" t="s">
        <v>312</v>
      </c>
      <c r="B133" s="358"/>
      <c r="C133" s="308"/>
      <c r="D133" s="358"/>
      <c r="E133" s="359"/>
      <c r="F133" s="358"/>
      <c r="G133" s="358"/>
      <c r="H133" s="308"/>
      <c r="I133" s="358"/>
      <c r="J133" s="308"/>
      <c r="K133" s="358"/>
      <c r="L133" s="358"/>
      <c r="M133" s="358"/>
      <c r="N133" s="358"/>
      <c r="O133" s="358"/>
      <c r="P133" s="358"/>
      <c r="Q133" s="308"/>
      <c r="R133" s="308"/>
      <c r="S133" s="358"/>
      <c r="T133" s="358"/>
      <c r="U133" s="358"/>
      <c r="V133" s="358"/>
      <c r="W133" s="358"/>
      <c r="X133" s="308"/>
      <c r="Y133" s="358"/>
      <c r="Z133" s="358"/>
      <c r="AA133" s="358"/>
      <c r="AB133" s="358"/>
      <c r="AC133" s="358"/>
      <c r="AD133" s="358"/>
      <c r="AE133" s="358"/>
      <c r="AF133" s="358"/>
      <c r="AG133" s="346">
        <v>200.0</v>
      </c>
      <c r="AH133" s="346" t="s">
        <v>3122</v>
      </c>
      <c r="AI133" s="346"/>
      <c r="AJ133" s="346"/>
    </row>
    <row r="134">
      <c r="A134" s="316" t="s">
        <v>2862</v>
      </c>
      <c r="B134" s="358"/>
      <c r="C134" s="308"/>
      <c r="D134" s="358"/>
      <c r="E134" s="359"/>
      <c r="F134" s="358"/>
      <c r="G134" s="358"/>
      <c r="H134" s="308"/>
      <c r="I134" s="358"/>
      <c r="J134" s="308"/>
      <c r="K134" s="358"/>
      <c r="L134" s="358"/>
      <c r="M134" s="358"/>
      <c r="N134" s="358"/>
      <c r="O134" s="358"/>
      <c r="P134" s="358"/>
      <c r="Q134" s="308"/>
      <c r="R134" s="308"/>
      <c r="S134" s="358"/>
      <c r="T134" s="358"/>
      <c r="U134" s="358"/>
      <c r="V134" s="358"/>
      <c r="W134" s="358"/>
      <c r="X134" s="308"/>
      <c r="Y134" s="362" t="s">
        <v>3123</v>
      </c>
      <c r="Z134" s="325"/>
      <c r="AA134" s="326"/>
      <c r="AB134" s="358"/>
      <c r="AC134" s="358"/>
      <c r="AD134" s="358"/>
      <c r="AE134" s="358"/>
      <c r="AF134" s="358"/>
      <c r="AG134" s="346"/>
      <c r="AH134" s="346"/>
      <c r="AI134" s="346"/>
      <c r="AJ134" s="346"/>
    </row>
    <row r="135">
      <c r="A135" s="316" t="s">
        <v>2848</v>
      </c>
      <c r="B135" s="358"/>
      <c r="C135" s="308"/>
      <c r="D135" s="358"/>
      <c r="E135" s="359"/>
      <c r="F135" s="358"/>
      <c r="G135" s="358"/>
      <c r="H135" s="308"/>
      <c r="I135" s="358"/>
      <c r="J135" s="308"/>
      <c r="K135" s="358"/>
      <c r="L135" s="358"/>
      <c r="M135" s="358"/>
      <c r="N135" s="358"/>
      <c r="O135" s="358"/>
      <c r="P135" s="358"/>
      <c r="Q135" s="308"/>
      <c r="R135" s="308"/>
      <c r="S135" s="358"/>
      <c r="T135" s="358"/>
      <c r="U135" s="358"/>
      <c r="V135" s="358"/>
      <c r="W135" s="358"/>
      <c r="X135" s="308"/>
      <c r="Y135" s="362" t="s">
        <v>2284</v>
      </c>
      <c r="Z135" s="325"/>
      <c r="AA135" s="325"/>
      <c r="AB135" s="325"/>
      <c r="AC135" s="325"/>
      <c r="AD135" s="326"/>
      <c r="AE135" s="358"/>
      <c r="AF135" s="358"/>
      <c r="AG135" s="346"/>
      <c r="AH135" s="346"/>
      <c r="AI135" s="346"/>
      <c r="AJ135" s="346"/>
    </row>
    <row r="136">
      <c r="A136" s="19"/>
      <c r="B136" s="358"/>
      <c r="C136" s="308"/>
      <c r="D136" s="358"/>
      <c r="E136" s="359"/>
      <c r="F136" s="358"/>
      <c r="G136" s="358"/>
      <c r="H136" s="308"/>
      <c r="I136" s="358"/>
      <c r="J136" s="308"/>
      <c r="K136" s="358"/>
      <c r="L136" s="358"/>
      <c r="M136" s="358"/>
      <c r="N136" s="358"/>
      <c r="O136" s="358"/>
      <c r="P136" s="358"/>
      <c r="Q136" s="308"/>
      <c r="R136" s="308"/>
      <c r="S136" s="358"/>
      <c r="T136" s="358"/>
      <c r="U136" s="358"/>
      <c r="V136" s="358"/>
      <c r="W136" s="358"/>
      <c r="X136" s="308"/>
      <c r="AE136" s="358"/>
      <c r="AF136" s="358"/>
      <c r="AG136" s="346"/>
      <c r="AH136" s="346"/>
      <c r="AI136" s="346"/>
      <c r="AJ136" s="346"/>
    </row>
    <row r="137">
      <c r="A137" s="319" t="s">
        <v>2872</v>
      </c>
      <c r="B137" s="358"/>
      <c r="C137" s="308"/>
      <c r="D137" s="358"/>
      <c r="E137" s="359"/>
      <c r="F137" s="358"/>
      <c r="G137" s="358"/>
      <c r="H137" s="308"/>
      <c r="I137" s="358"/>
      <c r="J137" s="308"/>
      <c r="K137" s="358"/>
      <c r="L137" s="358"/>
      <c r="M137" s="358"/>
      <c r="N137" s="358"/>
      <c r="O137" s="358"/>
      <c r="P137" s="358"/>
      <c r="Q137" s="308"/>
      <c r="R137" s="308"/>
      <c r="S137" s="358"/>
      <c r="T137" s="358"/>
      <c r="U137" s="358"/>
      <c r="V137" s="358"/>
      <c r="W137" s="358"/>
      <c r="X137" s="308"/>
      <c r="Y137" s="358"/>
      <c r="Z137" s="358"/>
      <c r="AA137" s="358"/>
      <c r="AB137" s="358"/>
      <c r="AC137" s="358"/>
      <c r="AD137" s="358"/>
      <c r="AE137" s="358"/>
      <c r="AF137" s="358"/>
      <c r="AG137" s="346"/>
      <c r="AH137" s="346"/>
      <c r="AI137" s="346"/>
      <c r="AJ137" s="346"/>
    </row>
    <row r="138">
      <c r="A138" s="316" t="s">
        <v>2862</v>
      </c>
      <c r="B138" s="358"/>
      <c r="C138" s="308"/>
      <c r="D138" s="358"/>
      <c r="E138" s="359"/>
      <c r="F138" s="358"/>
      <c r="G138" s="358"/>
      <c r="H138" s="308"/>
      <c r="I138" s="358"/>
      <c r="J138" s="308"/>
      <c r="K138" s="358"/>
      <c r="L138" s="358"/>
      <c r="M138" s="358"/>
      <c r="N138" s="358"/>
      <c r="O138" s="358"/>
      <c r="P138" s="358"/>
      <c r="Q138" s="308"/>
      <c r="R138" s="308"/>
      <c r="S138" s="358"/>
      <c r="T138" s="358"/>
      <c r="U138" s="358"/>
      <c r="V138" s="358"/>
      <c r="W138" s="358"/>
      <c r="X138" s="308"/>
      <c r="Y138" s="358"/>
      <c r="Z138" s="358"/>
      <c r="AA138" s="358"/>
      <c r="AB138" s="358"/>
      <c r="AC138" s="358"/>
      <c r="AD138" s="358"/>
      <c r="AE138" s="358"/>
      <c r="AF138" s="358"/>
      <c r="AG138" s="346"/>
      <c r="AH138" s="346"/>
      <c r="AI138" s="346"/>
      <c r="AJ138" s="346"/>
    </row>
    <row r="139">
      <c r="A139" s="316" t="s">
        <v>2848</v>
      </c>
      <c r="B139" s="358"/>
      <c r="C139" s="308"/>
      <c r="D139" s="358"/>
      <c r="E139" s="359"/>
      <c r="F139" s="358"/>
      <c r="G139" s="358"/>
      <c r="H139" s="308"/>
      <c r="I139" s="358"/>
      <c r="J139" s="308"/>
      <c r="K139" s="358"/>
      <c r="L139" s="358"/>
      <c r="M139" s="358"/>
      <c r="N139" s="358"/>
      <c r="O139" s="358"/>
      <c r="P139" s="358"/>
      <c r="Q139" s="308"/>
      <c r="R139" s="308"/>
      <c r="S139" s="358"/>
      <c r="T139" s="358"/>
      <c r="U139" s="358"/>
      <c r="V139" s="358"/>
      <c r="W139" s="358"/>
      <c r="X139" s="308"/>
      <c r="Y139" s="358"/>
      <c r="Z139" s="358"/>
      <c r="AA139" s="358"/>
      <c r="AB139" s="358"/>
      <c r="AC139" s="358"/>
      <c r="AD139" s="358"/>
      <c r="AE139" s="358"/>
      <c r="AF139" s="358"/>
      <c r="AG139" s="346"/>
      <c r="AH139" s="346"/>
      <c r="AI139" s="346"/>
      <c r="AJ139" s="346"/>
    </row>
    <row r="140">
      <c r="A140" s="34"/>
      <c r="B140" s="358"/>
      <c r="C140" s="308"/>
      <c r="D140" s="358"/>
      <c r="E140" s="359"/>
      <c r="F140" s="358"/>
      <c r="G140" s="358"/>
      <c r="H140" s="308"/>
      <c r="I140" s="358"/>
      <c r="J140" s="308"/>
      <c r="K140" s="358"/>
      <c r="L140" s="358"/>
      <c r="M140" s="358"/>
      <c r="N140" s="358"/>
      <c r="O140" s="358"/>
      <c r="P140" s="358"/>
      <c r="Q140" s="308"/>
      <c r="R140" s="308"/>
      <c r="S140" s="358"/>
      <c r="T140" s="358"/>
      <c r="U140" s="358"/>
      <c r="V140" s="358"/>
      <c r="W140" s="358"/>
      <c r="X140" s="308"/>
      <c r="Y140" s="358"/>
      <c r="Z140" s="358"/>
      <c r="AA140" s="358"/>
      <c r="AB140" s="358"/>
      <c r="AC140" s="358"/>
      <c r="AD140" s="358"/>
      <c r="AE140" s="358"/>
      <c r="AF140" s="358"/>
      <c r="AG140" s="346"/>
      <c r="AH140" s="346"/>
      <c r="AI140" s="346"/>
      <c r="AJ140" s="346"/>
    </row>
    <row r="141">
      <c r="A141" s="354" t="s">
        <v>580</v>
      </c>
      <c r="B141" s="358"/>
      <c r="C141" s="308"/>
      <c r="D141" s="358"/>
      <c r="E141" s="359"/>
      <c r="F141" s="358"/>
      <c r="G141" s="358"/>
      <c r="H141" s="308"/>
      <c r="I141" s="358"/>
      <c r="J141" s="308"/>
      <c r="K141" s="358"/>
      <c r="L141" s="358"/>
      <c r="M141" s="358"/>
      <c r="N141" s="358"/>
      <c r="O141" s="358"/>
      <c r="P141" s="358"/>
      <c r="Q141" s="308"/>
      <c r="R141" s="308"/>
      <c r="S141" s="358"/>
      <c r="T141" s="358"/>
      <c r="U141" s="358"/>
      <c r="V141" s="358"/>
      <c r="W141" s="358"/>
      <c r="X141" s="308"/>
      <c r="Y141" s="358"/>
      <c r="Z141" s="358"/>
      <c r="AA141" s="358"/>
      <c r="AB141" s="358"/>
      <c r="AC141" s="358"/>
      <c r="AD141" s="358"/>
      <c r="AE141" s="358"/>
      <c r="AF141" s="358"/>
      <c r="AG141" s="346"/>
      <c r="AH141" s="346"/>
      <c r="AI141" s="346"/>
      <c r="AJ141" s="346"/>
    </row>
    <row r="142">
      <c r="A142" s="316" t="s">
        <v>2862</v>
      </c>
      <c r="B142" s="358"/>
      <c r="C142" s="308"/>
      <c r="D142" s="364" t="s">
        <v>3142</v>
      </c>
      <c r="E142" s="325"/>
      <c r="F142" s="325"/>
      <c r="G142" s="326"/>
      <c r="H142" s="308"/>
      <c r="I142" s="358"/>
      <c r="J142" s="308"/>
      <c r="K142" s="358"/>
      <c r="L142" s="358"/>
      <c r="M142" s="358"/>
      <c r="N142" s="358"/>
      <c r="O142" s="358"/>
      <c r="P142" s="358"/>
      <c r="Q142" s="308"/>
      <c r="R142" s="308"/>
      <c r="S142" s="358"/>
      <c r="T142" s="358"/>
      <c r="U142" s="358"/>
      <c r="V142" s="358"/>
      <c r="W142" s="358"/>
      <c r="X142" s="308"/>
      <c r="Y142" s="358"/>
      <c r="Z142" s="358"/>
      <c r="AA142" s="358"/>
      <c r="AB142" s="358"/>
      <c r="AC142" s="358"/>
      <c r="AD142" s="358"/>
      <c r="AE142" s="358"/>
      <c r="AF142" s="358"/>
      <c r="AG142" s="346"/>
      <c r="AH142" s="346"/>
      <c r="AI142" s="346"/>
      <c r="AJ142" s="346"/>
    </row>
    <row r="143">
      <c r="A143" s="316" t="s">
        <v>2848</v>
      </c>
      <c r="B143" s="358"/>
      <c r="C143" s="308"/>
      <c r="D143" s="358"/>
      <c r="E143" s="359"/>
      <c r="F143" s="358"/>
      <c r="G143" s="358"/>
      <c r="H143" s="308"/>
      <c r="I143" s="358"/>
      <c r="J143" s="308"/>
      <c r="K143" s="358"/>
      <c r="L143" s="358"/>
      <c r="M143" s="358"/>
      <c r="N143" s="358"/>
      <c r="O143" s="358"/>
      <c r="P143" s="358"/>
      <c r="Q143" s="308"/>
      <c r="R143" s="308"/>
      <c r="S143" s="358"/>
      <c r="T143" s="358"/>
      <c r="U143" s="358"/>
      <c r="V143" s="358"/>
      <c r="W143" s="358"/>
      <c r="X143" s="308"/>
      <c r="Y143" s="358"/>
      <c r="Z143" s="358"/>
      <c r="AA143" s="358"/>
      <c r="AB143" s="358"/>
      <c r="AC143" s="358"/>
      <c r="AD143" s="358"/>
      <c r="AE143" s="358"/>
      <c r="AF143" s="358"/>
      <c r="AG143" s="346"/>
      <c r="AH143" s="346"/>
      <c r="AI143" s="346"/>
      <c r="AJ143" s="346"/>
    </row>
    <row r="144">
      <c r="A144" s="19"/>
      <c r="B144" s="358"/>
      <c r="C144" s="308"/>
      <c r="D144" s="358"/>
      <c r="E144" s="359"/>
      <c r="F144" s="358"/>
      <c r="G144" s="358"/>
      <c r="H144" s="308"/>
      <c r="I144" s="358"/>
      <c r="J144" s="308"/>
      <c r="K144" s="358"/>
      <c r="L144" s="358"/>
      <c r="M144" s="358"/>
      <c r="N144" s="358"/>
      <c r="O144" s="358"/>
      <c r="P144" s="358"/>
      <c r="Q144" s="308"/>
      <c r="R144" s="308"/>
      <c r="S144" s="358"/>
      <c r="T144" s="358"/>
      <c r="U144" s="358"/>
      <c r="V144" s="358"/>
      <c r="W144" s="358"/>
      <c r="X144" s="308"/>
      <c r="Y144" s="358"/>
      <c r="Z144" s="358"/>
      <c r="AA144" s="358"/>
      <c r="AB144" s="358"/>
      <c r="AC144" s="358"/>
      <c r="AD144" s="358"/>
      <c r="AE144" s="358"/>
      <c r="AF144" s="358"/>
      <c r="AG144" s="346"/>
      <c r="AH144" s="346"/>
      <c r="AI144" s="346"/>
      <c r="AJ144" s="346"/>
    </row>
    <row r="145">
      <c r="A145" s="356" t="s">
        <v>352</v>
      </c>
      <c r="B145" s="358"/>
      <c r="C145" s="308"/>
      <c r="D145" s="358"/>
      <c r="E145" s="359"/>
      <c r="F145" s="358"/>
      <c r="G145" s="358"/>
      <c r="H145" s="308"/>
      <c r="I145" s="358"/>
      <c r="J145" s="308"/>
      <c r="K145" s="358"/>
      <c r="L145" s="358"/>
      <c r="M145" s="358"/>
      <c r="N145" s="358"/>
      <c r="O145" s="358"/>
      <c r="P145" s="358"/>
      <c r="Q145" s="308"/>
      <c r="R145" s="308"/>
      <c r="S145" s="358"/>
      <c r="T145" s="358"/>
      <c r="U145" s="358"/>
      <c r="V145" s="358"/>
      <c r="W145" s="358"/>
      <c r="X145" s="308"/>
      <c r="Y145" s="358"/>
      <c r="Z145" s="358"/>
      <c r="AA145" s="358"/>
      <c r="AB145" s="358"/>
      <c r="AC145" s="358"/>
      <c r="AD145" s="358"/>
      <c r="AE145" s="358"/>
      <c r="AF145" s="358"/>
      <c r="AG145" s="346"/>
      <c r="AH145" s="346"/>
      <c r="AI145" s="346"/>
      <c r="AJ145" s="346"/>
    </row>
    <row r="146">
      <c r="A146" s="316" t="s">
        <v>2862</v>
      </c>
      <c r="B146" s="358"/>
      <c r="C146" s="308"/>
      <c r="D146" s="358"/>
      <c r="E146" s="359"/>
      <c r="F146" s="358"/>
      <c r="G146" s="358"/>
      <c r="H146" s="308"/>
      <c r="I146" s="358"/>
      <c r="J146" s="308"/>
      <c r="K146" s="358"/>
      <c r="L146" s="358"/>
      <c r="M146" s="358"/>
      <c r="N146" s="358"/>
      <c r="O146" s="358"/>
      <c r="P146" s="358"/>
      <c r="Q146" s="308"/>
      <c r="R146" s="308"/>
      <c r="S146" s="358"/>
      <c r="T146" s="358"/>
      <c r="U146" s="358"/>
      <c r="V146" s="358"/>
      <c r="W146" s="358"/>
      <c r="X146" s="308"/>
      <c r="Y146" s="358"/>
      <c r="Z146" s="358"/>
      <c r="AA146" s="358"/>
      <c r="AB146" s="356" t="s">
        <v>3146</v>
      </c>
      <c r="AC146" s="356" t="s">
        <v>3147</v>
      </c>
      <c r="AD146" s="358"/>
      <c r="AE146" s="358"/>
      <c r="AF146" s="358"/>
      <c r="AG146" s="346"/>
      <c r="AH146" s="346"/>
      <c r="AI146" s="346"/>
      <c r="AJ146" s="346"/>
    </row>
    <row r="147">
      <c r="A147" s="316" t="s">
        <v>2848</v>
      </c>
      <c r="B147" s="358"/>
      <c r="C147" s="308"/>
      <c r="D147" s="358"/>
      <c r="E147" s="359"/>
      <c r="F147" s="358"/>
      <c r="G147" s="358"/>
      <c r="H147" s="308"/>
      <c r="I147" s="358"/>
      <c r="J147" s="308"/>
      <c r="K147" s="358"/>
      <c r="L147" s="358"/>
      <c r="M147" s="358"/>
      <c r="N147" s="358"/>
      <c r="O147" s="358"/>
      <c r="P147" s="358"/>
      <c r="Q147" s="308"/>
      <c r="R147" s="308"/>
      <c r="S147" s="358"/>
      <c r="T147" s="358"/>
      <c r="U147" s="358"/>
      <c r="V147" s="358"/>
      <c r="W147" s="358"/>
      <c r="X147" s="308"/>
      <c r="Y147" s="358"/>
      <c r="Z147" s="358"/>
      <c r="AA147" s="358"/>
      <c r="AB147" s="358"/>
      <c r="AC147" s="358"/>
      <c r="AD147" s="358"/>
      <c r="AE147" s="358"/>
      <c r="AF147" s="358"/>
      <c r="AG147" s="346"/>
      <c r="AH147" s="346"/>
      <c r="AI147" s="346"/>
      <c r="AJ147" s="346"/>
    </row>
    <row r="148">
      <c r="E148" s="320"/>
    </row>
    <row r="149">
      <c r="E149" s="320"/>
    </row>
    <row r="150">
      <c r="E150" s="320"/>
    </row>
    <row r="151">
      <c r="A151" s="34"/>
      <c r="B151" s="34"/>
      <c r="C151" s="34"/>
      <c r="D151" s="34"/>
      <c r="E151" s="306"/>
      <c r="F151" s="34"/>
      <c r="G151" s="34"/>
      <c r="H151" s="34"/>
      <c r="I151" s="34"/>
      <c r="J151" s="34"/>
      <c r="K151" s="34"/>
      <c r="L151" s="34"/>
      <c r="M151" s="34"/>
      <c r="N151" s="321" t="s">
        <v>592</v>
      </c>
      <c r="O151" s="34"/>
      <c r="P151" s="34"/>
      <c r="Q151" s="300">
        <v>2026.0</v>
      </c>
      <c r="R151" s="34"/>
      <c r="S151" s="34"/>
      <c r="T151" s="34"/>
      <c r="U151" s="34"/>
      <c r="V151" s="34"/>
      <c r="W151" s="34"/>
      <c r="X151" s="34"/>
      <c r="Y151" s="34"/>
      <c r="Z151" s="34"/>
      <c r="AA151" s="34"/>
      <c r="AB151" s="34"/>
      <c r="AC151" s="34"/>
    </row>
    <row r="152">
      <c r="A152" s="366"/>
      <c r="B152" s="367" t="s">
        <v>2832</v>
      </c>
      <c r="C152" s="367" t="s">
        <v>2833</v>
      </c>
      <c r="D152" s="368" t="s">
        <v>2834</v>
      </c>
      <c r="E152" s="369" t="s">
        <v>2835</v>
      </c>
      <c r="F152" s="368" t="s">
        <v>2836</v>
      </c>
      <c r="G152" s="370" t="s">
        <v>2828</v>
      </c>
      <c r="H152" s="368" t="s">
        <v>2831</v>
      </c>
      <c r="I152" s="368" t="s">
        <v>2832</v>
      </c>
      <c r="J152" s="368" t="s">
        <v>2833</v>
      </c>
      <c r="K152" s="368" t="s">
        <v>2834</v>
      </c>
      <c r="L152" s="368" t="s">
        <v>2835</v>
      </c>
      <c r="M152" s="368" t="s">
        <v>2836</v>
      </c>
      <c r="N152" s="370" t="s">
        <v>2828</v>
      </c>
      <c r="O152" s="368" t="s">
        <v>2831</v>
      </c>
      <c r="P152" s="368" t="s">
        <v>2832</v>
      </c>
      <c r="Q152" s="368" t="s">
        <v>2833</v>
      </c>
      <c r="R152" s="368" t="s">
        <v>2834</v>
      </c>
      <c r="S152" s="368" t="s">
        <v>2835</v>
      </c>
      <c r="T152" s="368" t="s">
        <v>2836</v>
      </c>
      <c r="U152" s="370" t="s">
        <v>2828</v>
      </c>
      <c r="V152" s="368" t="s">
        <v>2831</v>
      </c>
      <c r="W152" s="368" t="s">
        <v>2832</v>
      </c>
      <c r="X152" s="368" t="s">
        <v>2833</v>
      </c>
      <c r="Y152" s="367" t="s">
        <v>2834</v>
      </c>
      <c r="Z152" s="367" t="s">
        <v>2835</v>
      </c>
      <c r="AA152" s="367" t="s">
        <v>2836</v>
      </c>
      <c r="AB152" s="370" t="s">
        <v>2828</v>
      </c>
      <c r="AC152" s="371" t="s">
        <v>2831</v>
      </c>
      <c r="AD152" s="371" t="s">
        <v>2832</v>
      </c>
      <c r="AE152" s="371" t="s">
        <v>3153</v>
      </c>
      <c r="AF152" s="367"/>
      <c r="AG152" s="367"/>
      <c r="AH152" s="367"/>
      <c r="AI152" s="367"/>
      <c r="AJ152" s="367"/>
    </row>
    <row r="153">
      <c r="A153" s="316"/>
      <c r="B153" s="316">
        <v>1.0</v>
      </c>
      <c r="C153" s="316">
        <v>2.0</v>
      </c>
      <c r="D153" s="316">
        <v>3.0</v>
      </c>
      <c r="E153" s="372">
        <v>4.0</v>
      </c>
      <c r="F153" s="316">
        <v>5.0</v>
      </c>
      <c r="G153" s="373">
        <v>6.0</v>
      </c>
      <c r="H153" s="316">
        <v>7.0</v>
      </c>
      <c r="I153" s="316">
        <v>8.0</v>
      </c>
      <c r="J153" s="316">
        <v>9.0</v>
      </c>
      <c r="K153" s="316">
        <v>10.0</v>
      </c>
      <c r="L153" s="316">
        <v>11.0</v>
      </c>
      <c r="M153" s="316">
        <v>12.0</v>
      </c>
      <c r="N153" s="373">
        <v>13.0</v>
      </c>
      <c r="O153" s="316">
        <v>14.0</v>
      </c>
      <c r="P153" s="316">
        <v>15.0</v>
      </c>
      <c r="Q153" s="316">
        <v>16.0</v>
      </c>
      <c r="R153" s="316">
        <v>17.0</v>
      </c>
      <c r="S153" s="316">
        <v>18.0</v>
      </c>
      <c r="T153" s="316">
        <v>19.0</v>
      </c>
      <c r="U153" s="373">
        <v>20.0</v>
      </c>
      <c r="V153" s="316">
        <v>21.0</v>
      </c>
      <c r="W153" s="316">
        <v>22.0</v>
      </c>
      <c r="X153" s="316">
        <v>23.0</v>
      </c>
      <c r="Y153" s="316">
        <v>24.0</v>
      </c>
      <c r="Z153" s="316">
        <v>25.0</v>
      </c>
      <c r="AA153" s="316">
        <v>26.0</v>
      </c>
      <c r="AB153" s="373">
        <v>27.0</v>
      </c>
      <c r="AC153" s="316">
        <v>28.0</v>
      </c>
      <c r="AD153" s="316">
        <v>29.0</v>
      </c>
      <c r="AE153" s="316">
        <v>30.0</v>
      </c>
      <c r="AF153" s="316"/>
      <c r="AG153" s="316"/>
      <c r="AH153" s="316"/>
      <c r="AI153" s="316"/>
      <c r="AJ153" s="316"/>
    </row>
    <row r="154">
      <c r="A154" s="323" t="s">
        <v>920</v>
      </c>
      <c r="E154" s="320"/>
      <c r="H154" s="374"/>
      <c r="I154" s="375"/>
      <c r="J154" s="374"/>
      <c r="K154" s="375"/>
      <c r="L154" s="375"/>
      <c r="M154" s="375"/>
      <c r="N154" s="376"/>
      <c r="O154" s="375"/>
      <c r="P154" s="375"/>
      <c r="Q154" s="374"/>
      <c r="R154" s="374"/>
      <c r="S154" s="375"/>
      <c r="T154" s="375"/>
      <c r="U154" s="376"/>
      <c r="V154" s="375"/>
      <c r="W154" s="375"/>
      <c r="X154" s="374"/>
      <c r="Y154" s="375"/>
      <c r="Z154" s="375"/>
      <c r="AA154" s="358"/>
      <c r="AB154" s="376"/>
      <c r="AC154" s="358"/>
      <c r="AD154" s="358"/>
      <c r="AE154" s="358"/>
      <c r="AF154" s="358"/>
      <c r="AG154" s="358"/>
      <c r="AH154" s="358"/>
      <c r="AI154" s="358"/>
      <c r="AJ154" s="358"/>
    </row>
    <row r="155">
      <c r="A155" s="316" t="s">
        <v>2848</v>
      </c>
      <c r="B155" s="358"/>
      <c r="C155" s="374"/>
      <c r="D155" s="375"/>
      <c r="E155" s="377"/>
      <c r="F155" s="375"/>
      <c r="G155" s="376"/>
      <c r="H155" s="374"/>
      <c r="I155" s="375"/>
      <c r="J155" s="374"/>
      <c r="K155" s="375"/>
      <c r="L155" s="375"/>
      <c r="M155" s="375"/>
      <c r="N155" s="378"/>
      <c r="O155" s="375"/>
      <c r="P155" s="375"/>
      <c r="Q155" s="374"/>
      <c r="R155" s="374"/>
      <c r="S155" s="375"/>
      <c r="T155" s="375"/>
      <c r="U155" s="376"/>
      <c r="V155" s="375"/>
      <c r="W155" s="375"/>
      <c r="X155" s="374"/>
      <c r="Y155" s="375"/>
      <c r="Z155" s="375"/>
      <c r="AA155" s="358"/>
      <c r="AB155" s="376"/>
      <c r="AC155" s="358"/>
      <c r="AD155" s="358"/>
      <c r="AE155" s="358"/>
      <c r="AF155" s="358"/>
      <c r="AG155" s="358"/>
      <c r="AH155" s="358"/>
      <c r="AI155" s="358"/>
      <c r="AJ155" s="358"/>
    </row>
    <row r="156">
      <c r="A156" s="293" t="s">
        <v>2852</v>
      </c>
      <c r="B156" s="358"/>
      <c r="C156" s="374"/>
      <c r="D156" s="375"/>
      <c r="E156" s="377"/>
      <c r="F156" s="375"/>
      <c r="G156" s="376"/>
      <c r="H156" s="374"/>
      <c r="I156" s="375"/>
      <c r="J156" s="374"/>
      <c r="K156" s="375"/>
      <c r="L156" s="375"/>
      <c r="M156" s="375"/>
      <c r="N156" s="378"/>
      <c r="O156" s="375"/>
      <c r="P156" s="375"/>
      <c r="Q156" s="374"/>
      <c r="R156" s="374"/>
      <c r="S156" s="375"/>
      <c r="T156" s="375"/>
      <c r="U156" s="376"/>
      <c r="V156" s="375"/>
      <c r="W156" s="375"/>
      <c r="X156" s="374"/>
      <c r="Y156" s="375"/>
      <c r="Z156" s="375"/>
      <c r="AA156" s="358"/>
      <c r="AB156" s="376"/>
      <c r="AC156" s="358"/>
      <c r="AD156" s="358"/>
      <c r="AE156" s="358"/>
      <c r="AF156" s="358"/>
      <c r="AG156" s="358"/>
      <c r="AH156" s="358"/>
      <c r="AI156" s="358"/>
      <c r="AJ156" s="358"/>
    </row>
    <row r="157">
      <c r="A157" s="19"/>
      <c r="B157" s="358"/>
      <c r="C157" s="374"/>
      <c r="D157" s="375"/>
      <c r="E157" s="377"/>
      <c r="F157" s="375"/>
      <c r="G157" s="376"/>
      <c r="H157" s="374"/>
      <c r="I157" s="375"/>
      <c r="J157" s="374"/>
      <c r="K157" s="375"/>
      <c r="L157" s="375"/>
      <c r="M157" s="375"/>
      <c r="N157" s="376"/>
      <c r="O157" s="358"/>
      <c r="P157" s="375"/>
      <c r="Q157" s="374"/>
      <c r="R157" s="374"/>
      <c r="S157" s="375"/>
      <c r="T157" s="375"/>
      <c r="U157" s="376"/>
      <c r="V157" s="375"/>
      <c r="W157" s="375"/>
      <c r="X157" s="374"/>
      <c r="Y157" s="375"/>
      <c r="Z157" s="375"/>
      <c r="AA157" s="358"/>
      <c r="AB157" s="376"/>
      <c r="AC157" s="358"/>
      <c r="AD157" s="358"/>
      <c r="AE157" s="358"/>
      <c r="AF157" s="358"/>
      <c r="AG157" s="358"/>
      <c r="AH157" s="358"/>
      <c r="AI157" s="358"/>
      <c r="AJ157" s="358"/>
    </row>
    <row r="158">
      <c r="A158" s="317" t="s">
        <v>312</v>
      </c>
      <c r="B158" s="358"/>
      <c r="C158" s="374"/>
      <c r="D158" s="375"/>
      <c r="E158" s="377"/>
      <c r="F158" s="375"/>
      <c r="G158" s="376"/>
      <c r="H158" s="374"/>
      <c r="I158" s="375"/>
      <c r="J158" s="374"/>
      <c r="K158" s="375"/>
      <c r="L158" s="375"/>
      <c r="M158" s="375"/>
      <c r="N158" s="376"/>
      <c r="O158" s="358"/>
      <c r="P158" s="375"/>
      <c r="Q158" s="374"/>
      <c r="R158" s="374"/>
      <c r="S158" s="375"/>
      <c r="T158" s="375"/>
      <c r="U158" s="376"/>
      <c r="V158" s="375"/>
      <c r="W158" s="375"/>
      <c r="X158" s="374"/>
      <c r="Y158" s="375"/>
      <c r="Z158" s="375"/>
      <c r="AA158" s="358"/>
      <c r="AB158" s="376"/>
      <c r="AC158" s="358"/>
      <c r="AD158" s="358"/>
      <c r="AE158" s="358"/>
      <c r="AF158" s="358"/>
      <c r="AG158" s="358"/>
      <c r="AH158" s="358"/>
      <c r="AI158" s="358"/>
      <c r="AJ158" s="358"/>
    </row>
    <row r="159">
      <c r="A159" s="316" t="s">
        <v>2862</v>
      </c>
      <c r="B159" s="358"/>
      <c r="C159" s="374"/>
      <c r="D159" s="375"/>
      <c r="E159" s="377"/>
      <c r="F159" s="375"/>
      <c r="G159" s="376"/>
      <c r="H159" s="374"/>
      <c r="I159" s="375"/>
      <c r="J159" s="374"/>
      <c r="K159" s="375"/>
      <c r="L159" s="375"/>
      <c r="M159" s="375"/>
      <c r="N159" s="376"/>
      <c r="O159" s="358"/>
      <c r="P159" s="375"/>
      <c r="Q159" s="374"/>
      <c r="R159" s="374"/>
      <c r="S159" s="375"/>
      <c r="T159" s="375"/>
      <c r="U159" s="376"/>
      <c r="V159" s="375"/>
      <c r="W159" s="375"/>
      <c r="X159" s="374"/>
      <c r="Y159" s="375"/>
      <c r="Z159" s="375"/>
      <c r="AA159" s="358"/>
      <c r="AB159" s="376"/>
      <c r="AC159" s="358"/>
      <c r="AD159" s="358"/>
      <c r="AE159" s="358"/>
      <c r="AF159" s="358"/>
      <c r="AG159" s="358"/>
      <c r="AH159" s="358"/>
      <c r="AI159" s="358"/>
      <c r="AJ159" s="358"/>
    </row>
    <row r="160">
      <c r="A160" s="316" t="s">
        <v>2848</v>
      </c>
      <c r="B160" s="384" t="s">
        <v>2284</v>
      </c>
      <c r="C160" s="385"/>
      <c r="D160" s="387" t="s">
        <v>2284</v>
      </c>
      <c r="E160" s="388"/>
      <c r="F160" s="385"/>
      <c r="G160" s="376"/>
      <c r="H160" s="362" t="s">
        <v>2284</v>
      </c>
      <c r="I160" s="325"/>
      <c r="J160" s="325"/>
      <c r="K160" s="325"/>
      <c r="L160" s="325"/>
      <c r="M160" s="326"/>
      <c r="N160" s="376"/>
      <c r="O160" s="362" t="s">
        <v>2284</v>
      </c>
      <c r="P160" s="325"/>
      <c r="Q160" s="325"/>
      <c r="R160" s="325"/>
      <c r="S160" s="325"/>
      <c r="T160" s="326"/>
      <c r="U160" s="376"/>
      <c r="V160" s="375"/>
      <c r="W160" s="375"/>
      <c r="X160" s="374"/>
      <c r="Y160" s="375"/>
      <c r="Z160" s="375"/>
      <c r="AA160" s="358"/>
      <c r="AB160" s="376"/>
      <c r="AC160" s="358"/>
      <c r="AD160" s="358"/>
      <c r="AE160" s="358"/>
      <c r="AF160" s="358"/>
      <c r="AG160" s="358"/>
      <c r="AH160" s="358"/>
      <c r="AI160" s="358"/>
      <c r="AJ160" s="358"/>
    </row>
    <row r="161">
      <c r="A161" s="19"/>
      <c r="B161" s="358"/>
      <c r="C161" s="374"/>
      <c r="D161" s="375"/>
      <c r="E161" s="377"/>
      <c r="F161" s="375"/>
      <c r="G161" s="376"/>
      <c r="H161" s="374"/>
      <c r="I161" s="375"/>
      <c r="J161" s="374"/>
      <c r="K161" s="375"/>
      <c r="L161" s="375"/>
      <c r="M161" s="375"/>
      <c r="N161" s="376"/>
      <c r="O161" s="358"/>
      <c r="P161" s="375"/>
      <c r="Q161" s="374"/>
      <c r="R161" s="374"/>
      <c r="S161" s="375"/>
      <c r="T161" s="375"/>
      <c r="U161" s="376"/>
      <c r="V161" s="375"/>
      <c r="W161" s="375"/>
      <c r="X161" s="374"/>
      <c r="Y161" s="375"/>
      <c r="Z161" s="375"/>
      <c r="AA161" s="358"/>
      <c r="AB161" s="376"/>
      <c r="AC161" s="358"/>
      <c r="AD161" s="358"/>
      <c r="AE161" s="358"/>
      <c r="AF161" s="358"/>
      <c r="AG161" s="358"/>
      <c r="AH161" s="358"/>
      <c r="AI161" s="358"/>
      <c r="AJ161" s="358"/>
    </row>
    <row r="162">
      <c r="A162" s="319" t="s">
        <v>2872</v>
      </c>
      <c r="B162" s="358"/>
      <c r="C162" s="374"/>
      <c r="D162" s="375"/>
      <c r="E162" s="377"/>
      <c r="F162" s="375"/>
      <c r="G162" s="376"/>
      <c r="H162" s="374"/>
      <c r="I162" s="375"/>
      <c r="J162" s="374"/>
      <c r="K162" s="375"/>
      <c r="L162" s="375"/>
      <c r="M162" s="375"/>
      <c r="N162" s="376"/>
      <c r="O162" s="358"/>
      <c r="P162" s="375"/>
      <c r="Q162" s="374"/>
      <c r="R162" s="374"/>
      <c r="S162" s="375"/>
      <c r="T162" s="375"/>
      <c r="U162" s="376"/>
      <c r="V162" s="375"/>
      <c r="W162" s="375"/>
      <c r="X162" s="374"/>
      <c r="Y162" s="375"/>
      <c r="Z162" s="375"/>
      <c r="AA162" s="358"/>
      <c r="AB162" s="376"/>
      <c r="AC162" s="358"/>
      <c r="AD162" s="358"/>
      <c r="AE162" s="358"/>
      <c r="AF162" s="358"/>
      <c r="AG162" s="358"/>
      <c r="AH162" s="358"/>
      <c r="AI162" s="358"/>
      <c r="AJ162" s="358"/>
    </row>
    <row r="163">
      <c r="A163" s="316" t="s">
        <v>2862</v>
      </c>
      <c r="B163" s="358"/>
      <c r="C163" s="374"/>
      <c r="D163" s="375"/>
      <c r="E163" s="377"/>
      <c r="F163" s="375"/>
      <c r="G163" s="376"/>
      <c r="H163" s="374"/>
      <c r="I163" s="375"/>
      <c r="J163" s="374"/>
      <c r="K163" s="375"/>
      <c r="L163" s="375"/>
      <c r="M163" s="375"/>
      <c r="N163" s="376"/>
      <c r="O163" s="358"/>
      <c r="P163" s="375"/>
      <c r="Q163" s="374"/>
      <c r="R163" s="374"/>
      <c r="S163" s="375"/>
      <c r="T163" s="375"/>
      <c r="U163" s="376"/>
      <c r="V163" s="375"/>
      <c r="W163" s="375"/>
      <c r="X163" s="374"/>
      <c r="Y163" s="375"/>
      <c r="Z163" s="375"/>
      <c r="AA163" s="358"/>
      <c r="AB163" s="376"/>
      <c r="AC163" s="358"/>
      <c r="AD163" s="358"/>
      <c r="AE163" s="358"/>
      <c r="AF163" s="358"/>
      <c r="AG163" s="358"/>
      <c r="AH163" s="358"/>
      <c r="AI163" s="358"/>
      <c r="AJ163" s="358"/>
    </row>
    <row r="164">
      <c r="A164" s="316" t="s">
        <v>2848</v>
      </c>
      <c r="B164" s="358"/>
      <c r="C164" s="374"/>
      <c r="D164" s="375"/>
      <c r="E164" s="377"/>
      <c r="F164" s="375"/>
      <c r="G164" s="376"/>
      <c r="H164" s="374"/>
      <c r="I164" s="375"/>
      <c r="J164" s="374"/>
      <c r="K164" s="375"/>
      <c r="L164" s="375"/>
      <c r="M164" s="375"/>
      <c r="N164" s="376"/>
      <c r="O164" s="358"/>
      <c r="P164" s="375"/>
      <c r="Q164" s="374"/>
      <c r="R164" s="374"/>
      <c r="S164" s="375"/>
      <c r="T164" s="375"/>
      <c r="U164" s="376"/>
      <c r="V164" s="375"/>
      <c r="W164" s="375"/>
      <c r="X164" s="374"/>
      <c r="Y164" s="375"/>
      <c r="Z164" s="375"/>
      <c r="AA164" s="358"/>
      <c r="AB164" s="376"/>
      <c r="AC164" s="358"/>
      <c r="AD164" s="358"/>
      <c r="AE164" s="358"/>
      <c r="AF164" s="358"/>
      <c r="AG164" s="358"/>
      <c r="AH164" s="358"/>
      <c r="AI164" s="358"/>
      <c r="AJ164" s="358"/>
    </row>
    <row r="165">
      <c r="A165" s="34"/>
      <c r="B165" s="358"/>
      <c r="C165" s="374"/>
      <c r="D165" s="375"/>
      <c r="E165" s="377"/>
      <c r="F165" s="375"/>
      <c r="G165" s="376"/>
      <c r="H165" s="374"/>
      <c r="I165" s="375"/>
      <c r="J165" s="374"/>
      <c r="K165" s="375"/>
      <c r="L165" s="375"/>
      <c r="M165" s="375"/>
      <c r="N165" s="376"/>
      <c r="O165" s="358"/>
      <c r="P165" s="375"/>
      <c r="Q165" s="374"/>
      <c r="R165" s="374"/>
      <c r="S165" s="375"/>
      <c r="T165" s="375"/>
      <c r="U165" s="376"/>
      <c r="V165" s="375"/>
      <c r="W165" s="375"/>
      <c r="X165" s="374"/>
      <c r="Y165" s="375"/>
      <c r="Z165" s="375"/>
      <c r="AA165" s="358"/>
      <c r="AB165" s="376"/>
      <c r="AC165" s="358"/>
      <c r="AD165" s="358"/>
      <c r="AE165" s="358"/>
      <c r="AF165" s="358"/>
      <c r="AG165" s="358"/>
      <c r="AH165" s="358"/>
      <c r="AI165" s="358"/>
      <c r="AJ165" s="358"/>
    </row>
    <row r="166">
      <c r="A166" s="354" t="s">
        <v>580</v>
      </c>
      <c r="B166" s="358"/>
      <c r="C166" s="374"/>
      <c r="D166" s="375"/>
      <c r="E166" s="377"/>
      <c r="F166" s="375"/>
      <c r="G166" s="376"/>
      <c r="H166" s="374"/>
      <c r="I166" s="375"/>
      <c r="J166" s="374"/>
      <c r="K166" s="375"/>
      <c r="L166" s="375"/>
      <c r="M166" s="375"/>
      <c r="N166" s="376"/>
      <c r="O166" s="358"/>
      <c r="P166" s="375"/>
      <c r="Q166" s="374"/>
      <c r="R166" s="374"/>
      <c r="S166" s="375"/>
      <c r="T166" s="375"/>
      <c r="U166" s="376"/>
      <c r="V166" s="375"/>
      <c r="W166" s="375"/>
      <c r="X166" s="374"/>
      <c r="Y166" s="375"/>
      <c r="Z166" s="375"/>
      <c r="AA166" s="358"/>
      <c r="AB166" s="376"/>
      <c r="AC166" s="358"/>
      <c r="AD166" s="358"/>
      <c r="AE166" s="358"/>
      <c r="AF166" s="358"/>
      <c r="AG166" s="358"/>
      <c r="AH166" s="358"/>
      <c r="AI166" s="358"/>
      <c r="AJ166" s="358"/>
    </row>
    <row r="167">
      <c r="A167" s="316" t="s">
        <v>2862</v>
      </c>
      <c r="B167" s="358"/>
      <c r="C167" s="374"/>
      <c r="D167" s="375"/>
      <c r="E167" s="377"/>
      <c r="F167" s="375"/>
      <c r="G167" s="376"/>
      <c r="H167" s="374"/>
      <c r="I167" s="375"/>
      <c r="J167" s="374"/>
      <c r="K167" s="375"/>
      <c r="L167" s="375"/>
      <c r="M167" s="375"/>
      <c r="N167" s="376"/>
      <c r="O167" s="358"/>
      <c r="P167" s="375"/>
      <c r="Q167" s="374"/>
      <c r="R167" s="374"/>
      <c r="S167" s="375"/>
      <c r="T167" s="375"/>
      <c r="U167" s="376"/>
      <c r="V167" s="375"/>
      <c r="W167" s="375"/>
      <c r="X167" s="374"/>
      <c r="Y167" s="375"/>
      <c r="Z167" s="375"/>
      <c r="AA167" s="358"/>
      <c r="AB167" s="376"/>
      <c r="AC167" s="358"/>
      <c r="AD167" s="358"/>
      <c r="AE167" s="358"/>
      <c r="AF167" s="358"/>
      <c r="AG167" s="358"/>
      <c r="AH167" s="358"/>
      <c r="AI167" s="358"/>
      <c r="AJ167" s="358"/>
    </row>
    <row r="168">
      <c r="A168" s="316" t="s">
        <v>2848</v>
      </c>
      <c r="B168" s="358"/>
      <c r="C168" s="374"/>
      <c r="D168" s="375"/>
      <c r="E168" s="377"/>
      <c r="F168" s="375"/>
      <c r="G168" s="376"/>
      <c r="H168" s="374"/>
      <c r="I168" s="375"/>
      <c r="J168" s="374"/>
      <c r="K168" s="375"/>
      <c r="L168" s="375"/>
      <c r="M168" s="375"/>
      <c r="N168" s="376"/>
      <c r="O168" s="358"/>
      <c r="P168" s="375"/>
      <c r="Q168" s="374"/>
      <c r="R168" s="374"/>
      <c r="S168" s="375"/>
      <c r="T168" s="375"/>
      <c r="U168" s="376"/>
      <c r="V168" s="375"/>
      <c r="W168" s="375"/>
      <c r="X168" s="374"/>
      <c r="Y168" s="375"/>
      <c r="Z168" s="375"/>
      <c r="AA168" s="358"/>
      <c r="AB168" s="376"/>
      <c r="AC168" s="358"/>
      <c r="AD168" s="358"/>
      <c r="AE168" s="358"/>
      <c r="AF168" s="358"/>
      <c r="AG168" s="358"/>
      <c r="AH168" s="358"/>
      <c r="AI168" s="358"/>
      <c r="AJ168" s="358"/>
    </row>
    <row r="169">
      <c r="A169" s="19"/>
      <c r="B169" s="358"/>
      <c r="C169" s="374"/>
      <c r="D169" s="375"/>
      <c r="E169" s="377"/>
      <c r="F169" s="375"/>
      <c r="G169" s="376"/>
      <c r="H169" s="374"/>
      <c r="I169" s="375"/>
      <c r="J169" s="374"/>
      <c r="K169" s="375"/>
      <c r="L169" s="375"/>
      <c r="M169" s="375"/>
      <c r="N169" s="376"/>
      <c r="O169" s="358"/>
      <c r="P169" s="375"/>
      <c r="Q169" s="374"/>
      <c r="R169" s="374"/>
      <c r="S169" s="375"/>
      <c r="T169" s="375"/>
      <c r="U169" s="376"/>
      <c r="V169" s="375"/>
      <c r="W169" s="375"/>
      <c r="X169" s="374"/>
      <c r="Y169" s="375"/>
      <c r="Z169" s="375"/>
      <c r="AA169" s="358"/>
      <c r="AB169" s="376"/>
      <c r="AC169" s="358"/>
      <c r="AD169" s="358"/>
      <c r="AE169" s="358"/>
      <c r="AF169" s="358"/>
      <c r="AG169" s="358"/>
      <c r="AH169" s="358"/>
      <c r="AI169" s="358"/>
      <c r="AJ169" s="358"/>
    </row>
    <row r="170">
      <c r="A170" s="356" t="s">
        <v>352</v>
      </c>
      <c r="B170" s="358"/>
      <c r="C170" s="374"/>
      <c r="D170" s="375"/>
      <c r="E170" s="377"/>
      <c r="F170" s="375"/>
      <c r="G170" s="376"/>
      <c r="H170" s="374"/>
      <c r="I170" s="375"/>
      <c r="J170" s="374"/>
      <c r="K170" s="375"/>
      <c r="L170" s="375"/>
      <c r="M170" s="375"/>
      <c r="N170" s="376"/>
      <c r="O170" s="358"/>
      <c r="P170" s="375"/>
      <c r="Q170" s="374"/>
      <c r="R170" s="374"/>
      <c r="S170" s="375"/>
      <c r="T170" s="375"/>
      <c r="U170" s="376"/>
      <c r="V170" s="375"/>
      <c r="W170" s="375"/>
      <c r="X170" s="374"/>
      <c r="Y170" s="375"/>
      <c r="Z170" s="375"/>
      <c r="AA170" s="358"/>
      <c r="AB170" s="376"/>
      <c r="AC170" s="358"/>
      <c r="AD170" s="358"/>
      <c r="AE170" s="358"/>
      <c r="AF170" s="358"/>
      <c r="AG170" s="358"/>
      <c r="AH170" s="358"/>
      <c r="AI170" s="358"/>
      <c r="AJ170" s="358"/>
    </row>
    <row r="171">
      <c r="A171" s="316" t="s">
        <v>2862</v>
      </c>
      <c r="B171" s="358"/>
      <c r="C171" s="374"/>
      <c r="D171" s="375"/>
      <c r="E171" s="377"/>
      <c r="F171" s="375"/>
      <c r="G171" s="376"/>
      <c r="H171" s="374"/>
      <c r="I171" s="375"/>
      <c r="J171" s="374"/>
      <c r="K171" s="356" t="s">
        <v>352</v>
      </c>
      <c r="L171" s="356" t="s">
        <v>352</v>
      </c>
      <c r="M171" s="356" t="s">
        <v>352</v>
      </c>
      <c r="N171" s="376"/>
      <c r="O171" s="358"/>
      <c r="P171" s="375"/>
      <c r="Q171" s="374"/>
      <c r="R171" s="374"/>
      <c r="S171" s="375"/>
      <c r="T171" s="375"/>
      <c r="U171" s="376"/>
      <c r="V171" s="375"/>
      <c r="W171" s="375"/>
      <c r="X171" s="374"/>
      <c r="Y171" s="375"/>
      <c r="Z171" s="375"/>
      <c r="AA171" s="358"/>
      <c r="AB171" s="376"/>
      <c r="AC171" s="358"/>
      <c r="AD171" s="358"/>
      <c r="AE171" s="358"/>
      <c r="AF171" s="358"/>
      <c r="AG171" s="358"/>
      <c r="AH171" s="358"/>
      <c r="AI171" s="358"/>
      <c r="AJ171" s="358"/>
    </row>
    <row r="172">
      <c r="A172" s="316" t="s">
        <v>2848</v>
      </c>
      <c r="B172" s="358"/>
      <c r="C172" s="374"/>
      <c r="D172" s="375"/>
      <c r="E172" s="377"/>
      <c r="F172" s="375"/>
      <c r="G172" s="376"/>
      <c r="H172" s="374"/>
      <c r="I172" s="375"/>
      <c r="J172" s="374"/>
      <c r="K172" s="375"/>
      <c r="L172" s="375"/>
      <c r="M172" s="375"/>
      <c r="N172" s="376"/>
      <c r="O172" s="358"/>
      <c r="P172" s="375"/>
      <c r="Q172" s="374"/>
      <c r="R172" s="374"/>
      <c r="S172" s="375"/>
      <c r="T172" s="375"/>
      <c r="U172" s="376"/>
      <c r="V172" s="375"/>
      <c r="W172" s="375"/>
      <c r="X172" s="374"/>
      <c r="Y172" s="375"/>
      <c r="Z172" s="375"/>
      <c r="AA172" s="358"/>
      <c r="AB172" s="376"/>
      <c r="AC172" s="358"/>
      <c r="AD172" s="358"/>
      <c r="AE172" s="358"/>
      <c r="AF172" s="358"/>
      <c r="AG172" s="358"/>
      <c r="AH172" s="358"/>
      <c r="AI172" s="358"/>
      <c r="AJ172" s="358"/>
    </row>
    <row r="173">
      <c r="A173" s="316"/>
      <c r="B173" s="358"/>
      <c r="C173" s="374"/>
      <c r="D173" s="375"/>
      <c r="E173" s="377"/>
      <c r="F173" s="375"/>
      <c r="G173" s="376"/>
      <c r="H173" s="374"/>
      <c r="I173" s="375"/>
      <c r="J173" s="374"/>
      <c r="K173" s="375"/>
      <c r="L173" s="375"/>
      <c r="M173" s="375"/>
      <c r="N173" s="376"/>
      <c r="O173" s="358"/>
      <c r="P173" s="375"/>
      <c r="Q173" s="374"/>
      <c r="R173" s="374"/>
      <c r="S173" s="375"/>
      <c r="T173" s="375"/>
      <c r="U173" s="376"/>
      <c r="V173" s="375"/>
      <c r="W173" s="375"/>
      <c r="X173" s="374"/>
      <c r="Y173" s="375"/>
      <c r="Z173" s="375"/>
      <c r="AA173" s="358"/>
      <c r="AB173" s="376"/>
      <c r="AC173" s="358"/>
      <c r="AD173" s="358"/>
      <c r="AE173" s="358"/>
      <c r="AF173" s="358"/>
      <c r="AG173" s="358"/>
      <c r="AH173" s="358"/>
      <c r="AI173" s="358"/>
      <c r="AJ173" s="358"/>
    </row>
    <row r="174">
      <c r="A174" s="356" t="s">
        <v>3162</v>
      </c>
      <c r="B174" s="358"/>
      <c r="C174" s="374"/>
      <c r="D174" s="375"/>
      <c r="E174" s="377"/>
      <c r="F174" s="375"/>
      <c r="G174" s="376"/>
      <c r="H174" s="374"/>
      <c r="I174" s="375"/>
      <c r="J174" s="374"/>
      <c r="K174" s="375"/>
      <c r="L174" s="375"/>
      <c r="M174" s="375"/>
      <c r="N174" s="376"/>
      <c r="O174" s="358"/>
      <c r="P174" s="375"/>
      <c r="Q174" s="374"/>
      <c r="R174" s="374"/>
      <c r="S174" s="375"/>
      <c r="T174" s="375"/>
      <c r="U174" s="376"/>
      <c r="V174" s="375"/>
      <c r="W174" s="375"/>
      <c r="X174" s="374"/>
      <c r="Y174" s="375"/>
      <c r="Z174" s="375"/>
      <c r="AA174" s="358"/>
      <c r="AB174" s="376"/>
      <c r="AC174" s="358"/>
      <c r="AD174" s="358"/>
      <c r="AE174" s="358"/>
      <c r="AF174" s="358"/>
      <c r="AG174" s="358"/>
      <c r="AH174" s="358"/>
      <c r="AI174" s="358"/>
      <c r="AJ174" s="358"/>
    </row>
    <row r="175">
      <c r="A175" s="316" t="s">
        <v>2862</v>
      </c>
      <c r="B175" s="358"/>
      <c r="C175" s="374"/>
      <c r="D175" s="375"/>
      <c r="E175" s="377"/>
      <c r="F175" s="375"/>
      <c r="G175" s="376"/>
      <c r="H175" s="374"/>
      <c r="I175" s="375"/>
      <c r="J175" s="374"/>
      <c r="K175" s="375"/>
      <c r="L175" s="375"/>
      <c r="M175" s="375"/>
      <c r="N175" s="376"/>
      <c r="O175" s="358"/>
      <c r="P175" s="375"/>
      <c r="Q175" s="374"/>
      <c r="R175" s="374"/>
      <c r="S175" s="375"/>
      <c r="T175" s="375"/>
      <c r="U175" s="376"/>
      <c r="V175" s="375"/>
      <c r="W175" s="375"/>
      <c r="X175" s="374"/>
      <c r="Y175" s="375"/>
      <c r="Z175" s="375"/>
      <c r="AA175" s="358"/>
      <c r="AB175" s="376"/>
      <c r="AC175" s="358"/>
      <c r="AD175" s="358"/>
      <c r="AE175" s="358"/>
      <c r="AF175" s="358"/>
      <c r="AG175" s="358"/>
      <c r="AH175" s="358"/>
      <c r="AI175" s="358"/>
      <c r="AJ175" s="358"/>
    </row>
    <row r="176">
      <c r="A176" s="316" t="s">
        <v>2848</v>
      </c>
      <c r="B176" s="358"/>
      <c r="C176" s="374"/>
      <c r="D176" s="375"/>
      <c r="E176" s="377"/>
      <c r="F176" s="375"/>
      <c r="G176" s="376"/>
      <c r="H176" s="374"/>
      <c r="I176" s="356" t="s">
        <v>3163</v>
      </c>
      <c r="J176" s="356" t="s">
        <v>3163</v>
      </c>
      <c r="K176" s="356" t="s">
        <v>3163</v>
      </c>
      <c r="L176" s="356" t="s">
        <v>3163</v>
      </c>
      <c r="M176" s="356" t="s">
        <v>3163</v>
      </c>
      <c r="N176" s="376"/>
      <c r="O176" s="358"/>
      <c r="P176" s="375"/>
      <c r="Q176" s="374"/>
      <c r="R176" s="374"/>
      <c r="S176" s="375"/>
      <c r="T176" s="375"/>
      <c r="U176" s="376"/>
      <c r="V176" s="375"/>
      <c r="W176" s="375"/>
      <c r="X176" s="374"/>
      <c r="Y176" s="375"/>
      <c r="Z176" s="375"/>
      <c r="AA176" s="358"/>
      <c r="AB176" s="376"/>
      <c r="AC176" s="358"/>
      <c r="AD176" s="358"/>
      <c r="AE176" s="358"/>
      <c r="AF176" s="358"/>
      <c r="AG176" s="358"/>
      <c r="AH176" s="358"/>
      <c r="AI176" s="358"/>
      <c r="AJ176" s="358"/>
    </row>
    <row r="177">
      <c r="B177" s="358"/>
      <c r="C177" s="374"/>
      <c r="D177" s="375"/>
      <c r="E177" s="377"/>
      <c r="F177" s="375"/>
      <c r="G177" s="376"/>
      <c r="H177" s="374"/>
      <c r="I177" s="375"/>
      <c r="J177" s="374"/>
      <c r="K177" s="375"/>
      <c r="L177" s="375"/>
      <c r="M177" s="375"/>
      <c r="N177" s="376"/>
      <c r="O177" s="358"/>
      <c r="P177" s="375"/>
      <c r="Q177" s="374"/>
      <c r="R177" s="374"/>
      <c r="S177" s="375"/>
      <c r="T177" s="375"/>
      <c r="U177" s="376"/>
      <c r="V177" s="375"/>
      <c r="W177" s="375"/>
      <c r="X177" s="374"/>
      <c r="Y177" s="375"/>
      <c r="Z177" s="375"/>
      <c r="AA177" s="358"/>
      <c r="AB177" s="376"/>
      <c r="AC177" s="358"/>
      <c r="AD177" s="358"/>
      <c r="AE177" s="358"/>
      <c r="AF177" s="358"/>
      <c r="AG177" s="358"/>
      <c r="AH177" s="358"/>
      <c r="AI177" s="358"/>
      <c r="AJ177" s="358"/>
    </row>
    <row r="178">
      <c r="E178" s="320"/>
    </row>
    <row r="179">
      <c r="E179" s="320"/>
    </row>
    <row r="180">
      <c r="E180" s="320"/>
      <c r="N180" s="321" t="s">
        <v>242</v>
      </c>
    </row>
    <row r="181">
      <c r="A181" s="366"/>
      <c r="B181" s="392" t="s">
        <v>2834</v>
      </c>
      <c r="C181" s="392" t="s">
        <v>2835</v>
      </c>
      <c r="D181" s="392" t="s">
        <v>2836</v>
      </c>
      <c r="E181" s="393" t="s">
        <v>2828</v>
      </c>
      <c r="F181" s="392" t="s">
        <v>2831</v>
      </c>
      <c r="G181" s="392" t="s">
        <v>2832</v>
      </c>
      <c r="H181" s="392" t="s">
        <v>2833</v>
      </c>
      <c r="I181" s="392" t="s">
        <v>2834</v>
      </c>
      <c r="J181" s="392" t="s">
        <v>2835</v>
      </c>
      <c r="K181" s="392" t="s">
        <v>2836</v>
      </c>
      <c r="L181" s="393" t="s">
        <v>2828</v>
      </c>
      <c r="M181" s="392" t="s">
        <v>2831</v>
      </c>
      <c r="N181" s="392" t="s">
        <v>2832</v>
      </c>
      <c r="O181" s="392" t="s">
        <v>2833</v>
      </c>
      <c r="P181" s="394" t="s">
        <v>2834</v>
      </c>
      <c r="Q181" s="394" t="s">
        <v>2835</v>
      </c>
      <c r="R181" s="394" t="s">
        <v>2836</v>
      </c>
      <c r="S181" s="393" t="s">
        <v>2828</v>
      </c>
      <c r="T181" s="395" t="s">
        <v>2831</v>
      </c>
      <c r="U181" s="395" t="s">
        <v>2832</v>
      </c>
      <c r="V181" s="395" t="s">
        <v>3153</v>
      </c>
      <c r="W181" s="395" t="s">
        <v>2834</v>
      </c>
      <c r="X181" s="395" t="s">
        <v>2835</v>
      </c>
      <c r="Y181" s="395" t="s">
        <v>3164</v>
      </c>
      <c r="Z181" s="393" t="s">
        <v>2828</v>
      </c>
      <c r="AA181" s="395" t="s">
        <v>2831</v>
      </c>
      <c r="AB181" s="395" t="s">
        <v>2832</v>
      </c>
      <c r="AC181" s="395" t="s">
        <v>3153</v>
      </c>
      <c r="AD181" s="395" t="s">
        <v>2834</v>
      </c>
      <c r="AE181" s="395" t="s">
        <v>2835</v>
      </c>
      <c r="AF181" s="395" t="s">
        <v>3164</v>
      </c>
      <c r="AG181" s="12"/>
      <c r="AH181" s="12"/>
      <c r="AI181" s="12"/>
      <c r="AJ181" s="12"/>
    </row>
    <row r="182">
      <c r="A182" s="316"/>
      <c r="B182" s="316">
        <v>1.0</v>
      </c>
      <c r="C182" s="316">
        <v>2.0</v>
      </c>
      <c r="D182" s="316">
        <v>3.0</v>
      </c>
      <c r="E182" s="396">
        <v>4.0</v>
      </c>
      <c r="F182" s="316">
        <v>5.0</v>
      </c>
      <c r="G182" s="316">
        <v>6.0</v>
      </c>
      <c r="H182" s="316">
        <v>7.0</v>
      </c>
      <c r="I182" s="316">
        <v>8.0</v>
      </c>
      <c r="J182" s="316">
        <v>9.0</v>
      </c>
      <c r="K182" s="316">
        <v>10.0</v>
      </c>
      <c r="L182" s="396">
        <v>11.0</v>
      </c>
      <c r="M182" s="316">
        <v>12.0</v>
      </c>
      <c r="N182" s="316">
        <v>13.0</v>
      </c>
      <c r="O182" s="316">
        <v>14.0</v>
      </c>
      <c r="P182" s="316">
        <v>15.0</v>
      </c>
      <c r="Q182" s="316">
        <v>16.0</v>
      </c>
      <c r="R182" s="316">
        <v>17.0</v>
      </c>
      <c r="S182" s="396">
        <v>18.0</v>
      </c>
      <c r="T182" s="316">
        <v>19.0</v>
      </c>
      <c r="U182" s="316">
        <v>20.0</v>
      </c>
      <c r="V182" s="316">
        <v>21.0</v>
      </c>
      <c r="W182" s="316">
        <v>22.0</v>
      </c>
      <c r="X182" s="316">
        <v>23.0</v>
      </c>
      <c r="Y182" s="316">
        <v>24.0</v>
      </c>
      <c r="Z182" s="396">
        <v>25.0</v>
      </c>
      <c r="AA182" s="316">
        <v>26.0</v>
      </c>
      <c r="AB182" s="316">
        <v>27.0</v>
      </c>
      <c r="AC182" s="316">
        <v>28.0</v>
      </c>
      <c r="AD182" s="316">
        <v>29.0</v>
      </c>
      <c r="AE182" s="316">
        <v>30.0</v>
      </c>
      <c r="AF182" s="334">
        <v>31.0</v>
      </c>
      <c r="AG182" s="316"/>
      <c r="AH182" s="316"/>
      <c r="AI182" s="316"/>
      <c r="AJ182" s="316"/>
    </row>
    <row r="183">
      <c r="A183" s="323" t="s">
        <v>920</v>
      </c>
      <c r="B183" s="358"/>
      <c r="C183" s="374"/>
      <c r="D183" s="375"/>
      <c r="E183" s="396"/>
      <c r="F183" s="375"/>
      <c r="G183" s="358"/>
      <c r="H183" s="374"/>
      <c r="I183" s="375"/>
      <c r="J183" s="375"/>
      <c r="K183" s="375"/>
      <c r="L183" s="396"/>
      <c r="M183" s="374"/>
      <c r="N183" s="375"/>
      <c r="O183" s="375"/>
      <c r="P183" s="375"/>
      <c r="Q183" s="358"/>
      <c r="R183" s="374"/>
      <c r="S183" s="396"/>
      <c r="T183" s="375"/>
      <c r="U183" s="375"/>
      <c r="V183" s="358"/>
      <c r="W183" s="374"/>
      <c r="X183" s="375"/>
      <c r="Y183" s="375"/>
      <c r="Z183" s="396"/>
      <c r="AA183" s="358"/>
      <c r="AB183" s="374"/>
      <c r="AC183" s="375"/>
      <c r="AD183" s="375"/>
      <c r="AE183" s="375"/>
      <c r="AF183" s="358"/>
      <c r="AG183" s="374"/>
      <c r="AH183" s="375"/>
      <c r="AI183" s="375"/>
      <c r="AJ183" s="375"/>
    </row>
    <row r="184">
      <c r="A184" s="316" t="s">
        <v>2848</v>
      </c>
      <c r="B184" s="358"/>
      <c r="C184" s="374"/>
      <c r="D184" s="375"/>
      <c r="E184" s="396"/>
      <c r="F184" s="375"/>
      <c r="G184" s="358"/>
      <c r="H184" s="374"/>
      <c r="I184" s="375"/>
      <c r="J184" s="375"/>
      <c r="K184" s="375"/>
      <c r="L184" s="396"/>
      <c r="M184" s="374"/>
      <c r="N184" s="375"/>
      <c r="O184" s="375"/>
      <c r="P184" s="375"/>
      <c r="Q184" s="358"/>
      <c r="R184" s="374"/>
      <c r="S184" s="396"/>
      <c r="T184" s="375"/>
      <c r="U184" s="375"/>
      <c r="V184" s="358"/>
      <c r="W184" s="374"/>
      <c r="X184" s="375"/>
      <c r="Y184" s="375"/>
      <c r="Z184" s="396"/>
      <c r="AA184" s="358"/>
      <c r="AB184" s="374"/>
      <c r="AC184" s="375"/>
      <c r="AD184" s="375"/>
      <c r="AE184" s="375"/>
      <c r="AF184" s="358"/>
      <c r="AG184" s="374"/>
      <c r="AH184" s="375"/>
      <c r="AI184" s="375"/>
      <c r="AJ184" s="375"/>
    </row>
    <row r="185">
      <c r="A185" s="293" t="s">
        <v>2852</v>
      </c>
      <c r="B185" s="358"/>
      <c r="C185" s="374"/>
      <c r="D185" s="375"/>
      <c r="E185" s="396"/>
      <c r="F185" s="375"/>
      <c r="G185" s="358"/>
      <c r="H185" s="374"/>
      <c r="I185" s="375"/>
      <c r="J185" s="375"/>
      <c r="K185" s="375"/>
      <c r="L185" s="396"/>
      <c r="M185" s="374"/>
      <c r="N185" s="375"/>
      <c r="O185" s="375"/>
      <c r="P185" s="375"/>
      <c r="Q185" s="358"/>
      <c r="R185" s="374"/>
      <c r="S185" s="396"/>
      <c r="T185" s="375"/>
      <c r="U185" s="375"/>
      <c r="V185" s="358"/>
      <c r="W185" s="374"/>
      <c r="X185" s="375"/>
      <c r="Y185" s="375"/>
      <c r="Z185" s="396"/>
      <c r="AA185" s="358"/>
      <c r="AB185" s="374"/>
      <c r="AC185" s="375"/>
      <c r="AD185" s="375"/>
      <c r="AE185" s="375"/>
      <c r="AF185" s="358"/>
      <c r="AG185" s="374"/>
      <c r="AH185" s="375"/>
      <c r="AI185" s="375"/>
      <c r="AJ185" s="375"/>
    </row>
    <row r="186">
      <c r="A186" s="19"/>
      <c r="B186" s="358"/>
      <c r="C186" s="374"/>
      <c r="D186" s="375"/>
      <c r="E186" s="396"/>
      <c r="F186" s="375"/>
      <c r="G186" s="358"/>
      <c r="H186" s="374"/>
      <c r="I186" s="375"/>
      <c r="J186" s="375"/>
      <c r="K186" s="375"/>
      <c r="L186" s="396"/>
      <c r="M186" s="374"/>
      <c r="N186" s="375"/>
      <c r="O186" s="375"/>
      <c r="P186" s="375"/>
      <c r="Q186" s="358"/>
      <c r="R186" s="374"/>
      <c r="S186" s="396"/>
      <c r="T186" s="375"/>
      <c r="U186" s="375"/>
      <c r="V186" s="358"/>
      <c r="W186" s="374"/>
      <c r="X186" s="375"/>
      <c r="Y186" s="375"/>
      <c r="Z186" s="396"/>
      <c r="AA186" s="358"/>
      <c r="AB186" s="374"/>
      <c r="AC186" s="375"/>
      <c r="AD186" s="375"/>
      <c r="AE186" s="375"/>
      <c r="AF186" s="358"/>
      <c r="AG186" s="374"/>
      <c r="AH186" s="375"/>
      <c r="AI186" s="375"/>
      <c r="AJ186" s="375"/>
    </row>
    <row r="187">
      <c r="A187" s="317" t="s">
        <v>312</v>
      </c>
      <c r="B187" s="358"/>
      <c r="C187" s="374"/>
      <c r="D187" s="375"/>
      <c r="E187" s="396"/>
      <c r="F187" s="375"/>
      <c r="G187" s="358"/>
      <c r="H187" s="374"/>
      <c r="I187" s="375"/>
      <c r="J187" s="375"/>
      <c r="K187" s="375"/>
      <c r="L187" s="396"/>
      <c r="M187" s="374"/>
      <c r="N187" s="375"/>
      <c r="O187" s="375"/>
      <c r="P187" s="375"/>
      <c r="Q187" s="358"/>
      <c r="R187" s="374"/>
      <c r="S187" s="396"/>
      <c r="T187" s="375"/>
      <c r="U187" s="375"/>
      <c r="V187" s="358"/>
      <c r="W187" s="374"/>
      <c r="X187" s="375"/>
      <c r="Y187" s="375"/>
      <c r="Z187" s="396"/>
      <c r="AA187" s="358"/>
      <c r="AB187" s="374"/>
      <c r="AC187" s="375"/>
      <c r="AD187" s="375"/>
      <c r="AE187" s="375"/>
      <c r="AF187" s="358"/>
      <c r="AG187" s="374"/>
      <c r="AH187" s="375"/>
      <c r="AI187" s="375"/>
      <c r="AJ187" s="375"/>
    </row>
    <row r="188">
      <c r="A188" s="316" t="s">
        <v>2862</v>
      </c>
      <c r="B188" s="358"/>
      <c r="C188" s="374"/>
      <c r="D188" s="375"/>
      <c r="E188" s="396"/>
      <c r="F188" s="375"/>
      <c r="G188" s="358"/>
      <c r="H188" s="374"/>
      <c r="I188" s="375"/>
      <c r="J188" s="375"/>
      <c r="K188" s="375"/>
      <c r="L188" s="396"/>
      <c r="M188" s="374"/>
      <c r="N188" s="375"/>
      <c r="O188" s="375"/>
      <c r="P188" s="375"/>
      <c r="Q188" s="358"/>
      <c r="R188" s="374"/>
      <c r="S188" s="396"/>
      <c r="T188" s="375"/>
      <c r="U188" s="375"/>
      <c r="V188" s="358"/>
      <c r="W188" s="374"/>
      <c r="X188" s="375"/>
      <c r="Y188" s="375"/>
      <c r="Z188" s="396"/>
      <c r="AA188" s="358"/>
      <c r="AB188" s="374"/>
      <c r="AC188" s="375"/>
      <c r="AD188" s="375"/>
      <c r="AE188" s="375"/>
      <c r="AF188" s="358"/>
      <c r="AG188" s="374"/>
      <c r="AH188" s="375"/>
      <c r="AI188" s="375"/>
      <c r="AJ188" s="375"/>
    </row>
    <row r="189">
      <c r="A189" s="316" t="s">
        <v>2848</v>
      </c>
      <c r="B189" s="358"/>
      <c r="C189" s="374"/>
      <c r="D189" s="375"/>
      <c r="E189" s="396"/>
      <c r="F189" s="375"/>
      <c r="G189" s="358"/>
      <c r="H189" s="374"/>
      <c r="I189" s="375"/>
      <c r="J189" s="375"/>
      <c r="K189" s="375"/>
      <c r="L189" s="396"/>
      <c r="M189" s="374"/>
      <c r="N189" s="375"/>
      <c r="O189" s="375"/>
      <c r="P189" s="375"/>
      <c r="Q189" s="358"/>
      <c r="R189" s="374"/>
      <c r="S189" s="396"/>
      <c r="T189" s="375"/>
      <c r="U189" s="375"/>
      <c r="V189" s="358"/>
      <c r="W189" s="374"/>
      <c r="X189" s="375"/>
      <c r="Y189" s="375"/>
      <c r="Z189" s="396"/>
      <c r="AA189" s="358"/>
      <c r="AB189" s="374"/>
      <c r="AC189" s="375"/>
      <c r="AD189" s="375"/>
      <c r="AE189" s="375"/>
      <c r="AF189" s="358"/>
      <c r="AG189" s="374"/>
      <c r="AH189" s="375"/>
      <c r="AI189" s="375"/>
      <c r="AJ189" s="375"/>
    </row>
    <row r="190">
      <c r="A190" s="19"/>
      <c r="B190" s="358"/>
      <c r="C190" s="374"/>
      <c r="D190" s="375"/>
      <c r="E190" s="396"/>
      <c r="F190" s="375"/>
      <c r="G190" s="358"/>
      <c r="H190" s="374"/>
      <c r="I190" s="375"/>
      <c r="J190" s="375"/>
      <c r="K190" s="375"/>
      <c r="L190" s="396"/>
      <c r="M190" s="374"/>
      <c r="N190" s="375"/>
      <c r="O190" s="375"/>
      <c r="P190" s="375"/>
      <c r="Q190" s="358"/>
      <c r="R190" s="374"/>
      <c r="S190" s="396"/>
      <c r="T190" s="375"/>
      <c r="U190" s="375"/>
      <c r="V190" s="358"/>
      <c r="W190" s="374"/>
      <c r="X190" s="375"/>
      <c r="Y190" s="375"/>
      <c r="Z190" s="396"/>
      <c r="AA190" s="358"/>
      <c r="AB190" s="374"/>
      <c r="AC190" s="375"/>
      <c r="AD190" s="375"/>
      <c r="AE190" s="375"/>
      <c r="AF190" s="358"/>
      <c r="AG190" s="374"/>
      <c r="AH190" s="375"/>
      <c r="AI190" s="375"/>
      <c r="AJ190" s="375"/>
    </row>
    <row r="191">
      <c r="A191" s="319" t="s">
        <v>2872</v>
      </c>
      <c r="B191" s="358"/>
      <c r="C191" s="374"/>
      <c r="D191" s="375"/>
      <c r="E191" s="396"/>
      <c r="F191" s="375"/>
      <c r="G191" s="358"/>
      <c r="H191" s="374"/>
      <c r="I191" s="375"/>
      <c r="J191" s="375"/>
      <c r="K191" s="375"/>
      <c r="L191" s="396"/>
      <c r="M191" s="374"/>
      <c r="N191" s="375"/>
      <c r="O191" s="375"/>
      <c r="P191" s="375"/>
      <c r="Q191" s="358"/>
      <c r="R191" s="374"/>
      <c r="S191" s="396"/>
      <c r="T191" s="375"/>
      <c r="U191" s="375"/>
      <c r="V191" s="358"/>
      <c r="W191" s="374"/>
      <c r="X191" s="375"/>
      <c r="Y191" s="375"/>
      <c r="Z191" s="396"/>
      <c r="AA191" s="358"/>
      <c r="AB191" s="374"/>
      <c r="AC191" s="375"/>
      <c r="AD191" s="375"/>
      <c r="AE191" s="375"/>
      <c r="AF191" s="358"/>
      <c r="AG191" s="374"/>
      <c r="AH191" s="375"/>
      <c r="AI191" s="375"/>
      <c r="AJ191" s="375"/>
    </row>
    <row r="192">
      <c r="A192" s="316" t="s">
        <v>2862</v>
      </c>
      <c r="B192" s="358"/>
      <c r="C192" s="374"/>
      <c r="D192" s="375"/>
      <c r="E192" s="396"/>
      <c r="F192" s="375"/>
      <c r="G192" s="358"/>
      <c r="H192" s="374"/>
      <c r="I192" s="375"/>
      <c r="J192" s="375"/>
      <c r="K192" s="375"/>
      <c r="L192" s="396"/>
      <c r="M192" s="374"/>
      <c r="N192" s="375"/>
      <c r="O192" s="375"/>
      <c r="P192" s="375"/>
      <c r="Q192" s="358"/>
      <c r="R192" s="374"/>
      <c r="S192" s="396"/>
      <c r="T192" s="375"/>
      <c r="U192" s="375"/>
      <c r="V192" s="358"/>
      <c r="W192" s="374"/>
      <c r="X192" s="375"/>
      <c r="Y192" s="375"/>
      <c r="Z192" s="396"/>
      <c r="AA192" s="358"/>
      <c r="AB192" s="374"/>
      <c r="AC192" s="375"/>
      <c r="AD192" s="375"/>
      <c r="AE192" s="375"/>
      <c r="AF192" s="358"/>
      <c r="AG192" s="374"/>
      <c r="AH192" s="375"/>
      <c r="AI192" s="375"/>
      <c r="AJ192" s="375"/>
    </row>
    <row r="193">
      <c r="A193" s="316" t="s">
        <v>2848</v>
      </c>
      <c r="B193" s="358"/>
      <c r="C193" s="374"/>
      <c r="D193" s="375"/>
      <c r="E193" s="396"/>
      <c r="F193" s="375"/>
      <c r="G193" s="358"/>
      <c r="H193" s="374"/>
      <c r="I193" s="375"/>
      <c r="J193" s="375"/>
      <c r="K193" s="375"/>
      <c r="L193" s="396"/>
      <c r="M193" s="374"/>
      <c r="N193" s="375"/>
      <c r="O193" s="375"/>
      <c r="P193" s="375"/>
      <c r="Q193" s="358"/>
      <c r="R193" s="374"/>
      <c r="S193" s="396"/>
      <c r="T193" s="375"/>
      <c r="U193" s="375"/>
      <c r="V193" s="358"/>
      <c r="W193" s="374"/>
      <c r="X193" s="375"/>
      <c r="Y193" s="375"/>
      <c r="Z193" s="396"/>
      <c r="AA193" s="358"/>
      <c r="AB193" s="374"/>
      <c r="AC193" s="375"/>
      <c r="AD193" s="375"/>
      <c r="AE193" s="375"/>
      <c r="AF193" s="358"/>
      <c r="AG193" s="374"/>
      <c r="AH193" s="375"/>
      <c r="AI193" s="375"/>
      <c r="AJ193" s="375"/>
    </row>
    <row r="194">
      <c r="A194" s="34"/>
      <c r="B194" s="358"/>
      <c r="C194" s="374"/>
      <c r="D194" s="375"/>
      <c r="E194" s="396"/>
      <c r="F194" s="375"/>
      <c r="G194" s="358"/>
      <c r="H194" s="374"/>
      <c r="I194" s="375"/>
      <c r="J194" s="375"/>
      <c r="K194" s="375"/>
      <c r="L194" s="396"/>
      <c r="M194" s="374"/>
      <c r="N194" s="375"/>
      <c r="O194" s="375"/>
      <c r="P194" s="375"/>
      <c r="Q194" s="358"/>
      <c r="R194" s="374"/>
      <c r="S194" s="396"/>
      <c r="T194" s="375"/>
      <c r="U194" s="375"/>
      <c r="V194" s="358"/>
      <c r="W194" s="374"/>
      <c r="X194" s="375"/>
      <c r="Y194" s="375"/>
      <c r="Z194" s="396"/>
      <c r="AA194" s="358"/>
      <c r="AB194" s="374"/>
      <c r="AC194" s="375"/>
      <c r="AD194" s="375"/>
      <c r="AE194" s="375"/>
      <c r="AF194" s="358"/>
      <c r="AG194" s="374"/>
      <c r="AH194" s="375"/>
      <c r="AI194" s="375"/>
      <c r="AJ194" s="375"/>
    </row>
    <row r="195">
      <c r="A195" s="354" t="s">
        <v>580</v>
      </c>
      <c r="B195" s="358"/>
      <c r="C195" s="374"/>
      <c r="D195" s="375"/>
      <c r="E195" s="396"/>
      <c r="F195" s="375"/>
      <c r="G195" s="358"/>
      <c r="H195" s="374"/>
      <c r="I195" s="375"/>
      <c r="J195" s="375"/>
      <c r="K195" s="375"/>
      <c r="L195" s="396"/>
      <c r="M195" s="374"/>
      <c r="N195" s="375"/>
      <c r="O195" s="375"/>
      <c r="P195" s="375"/>
      <c r="Q195" s="358"/>
      <c r="R195" s="374"/>
      <c r="S195" s="396"/>
      <c r="T195" s="375"/>
      <c r="U195" s="375"/>
      <c r="V195" s="358"/>
      <c r="W195" s="374"/>
      <c r="X195" s="375"/>
      <c r="Y195" s="375"/>
      <c r="Z195" s="396"/>
      <c r="AA195" s="358"/>
      <c r="AB195" s="374"/>
      <c r="AC195" s="375"/>
      <c r="AD195" s="375"/>
      <c r="AE195" s="375"/>
      <c r="AF195" s="358"/>
      <c r="AG195" s="374"/>
      <c r="AH195" s="375"/>
      <c r="AI195" s="375"/>
      <c r="AJ195" s="375"/>
    </row>
    <row r="196">
      <c r="A196" s="316" t="s">
        <v>2862</v>
      </c>
      <c r="B196" s="358"/>
      <c r="C196" s="374"/>
      <c r="D196" s="375"/>
      <c r="E196" s="396"/>
      <c r="F196" s="375"/>
      <c r="G196" s="358"/>
      <c r="H196" s="374"/>
      <c r="I196" s="375"/>
      <c r="J196" s="375"/>
      <c r="K196" s="375"/>
      <c r="L196" s="396"/>
      <c r="M196" s="374"/>
      <c r="N196" s="375"/>
      <c r="O196" s="375"/>
      <c r="P196" s="375"/>
      <c r="Q196" s="358"/>
      <c r="R196" s="374"/>
      <c r="S196" s="396"/>
      <c r="T196" s="375"/>
      <c r="U196" s="375"/>
      <c r="V196" s="358"/>
      <c r="W196" s="374"/>
      <c r="X196" s="375"/>
      <c r="Y196" s="375"/>
      <c r="Z196" s="396"/>
      <c r="AA196" s="358"/>
      <c r="AB196" s="374"/>
      <c r="AC196" s="375"/>
      <c r="AD196" s="375"/>
      <c r="AE196" s="375"/>
      <c r="AF196" s="358"/>
      <c r="AG196" s="374"/>
      <c r="AH196" s="375"/>
      <c r="AI196" s="375"/>
      <c r="AJ196" s="375"/>
    </row>
    <row r="197">
      <c r="A197" s="316" t="s">
        <v>2848</v>
      </c>
      <c r="B197" s="358"/>
      <c r="C197" s="374"/>
      <c r="D197" s="375"/>
      <c r="E197" s="396"/>
      <c r="F197" s="375"/>
      <c r="G197" s="358"/>
      <c r="H197" s="374"/>
      <c r="I197" s="375"/>
      <c r="J197" s="375"/>
      <c r="K197" s="375"/>
      <c r="L197" s="396"/>
      <c r="M197" s="374"/>
      <c r="N197" s="375"/>
      <c r="O197" s="375"/>
      <c r="P197" s="375"/>
      <c r="Q197" s="358"/>
      <c r="R197" s="374"/>
      <c r="S197" s="396"/>
      <c r="T197" s="375"/>
      <c r="U197" s="375"/>
      <c r="V197" s="358"/>
      <c r="W197" s="374"/>
      <c r="X197" s="375"/>
      <c r="Y197" s="375"/>
      <c r="Z197" s="396"/>
      <c r="AA197" s="358"/>
      <c r="AB197" s="374"/>
      <c r="AC197" s="375"/>
      <c r="AD197" s="375"/>
      <c r="AE197" s="375"/>
      <c r="AF197" s="358"/>
      <c r="AG197" s="374"/>
      <c r="AH197" s="375"/>
      <c r="AI197" s="375"/>
      <c r="AJ197" s="375"/>
    </row>
    <row r="198">
      <c r="A198" s="19"/>
      <c r="B198" s="358"/>
      <c r="C198" s="374"/>
      <c r="D198" s="375"/>
      <c r="E198" s="396"/>
      <c r="F198" s="375"/>
      <c r="G198" s="358"/>
      <c r="H198" s="374"/>
      <c r="I198" s="375"/>
      <c r="J198" s="375"/>
      <c r="K198" s="375"/>
      <c r="L198" s="396"/>
      <c r="M198" s="374"/>
      <c r="N198" s="375"/>
      <c r="O198" s="375"/>
      <c r="P198" s="375"/>
      <c r="Q198" s="358"/>
      <c r="R198" s="374"/>
      <c r="S198" s="396"/>
      <c r="T198" s="375"/>
      <c r="U198" s="375"/>
      <c r="V198" s="358"/>
      <c r="W198" s="374"/>
      <c r="X198" s="375"/>
      <c r="Y198" s="375"/>
      <c r="Z198" s="396"/>
      <c r="AA198" s="358"/>
      <c r="AB198" s="374"/>
      <c r="AC198" s="375"/>
      <c r="AD198" s="375"/>
      <c r="AE198" s="375"/>
      <c r="AF198" s="358"/>
      <c r="AG198" s="374"/>
      <c r="AH198" s="375"/>
      <c r="AI198" s="375"/>
      <c r="AJ198" s="375"/>
    </row>
    <row r="199">
      <c r="A199" s="356" t="s">
        <v>352</v>
      </c>
      <c r="B199" s="358"/>
      <c r="C199" s="374"/>
      <c r="D199" s="375"/>
      <c r="E199" s="396"/>
      <c r="F199" s="375"/>
      <c r="G199" s="358"/>
      <c r="H199" s="374"/>
      <c r="I199" s="375"/>
      <c r="J199" s="375"/>
      <c r="K199" s="375"/>
      <c r="L199" s="396"/>
      <c r="M199" s="374"/>
      <c r="N199" s="375"/>
      <c r="O199" s="375"/>
      <c r="P199" s="375"/>
      <c r="Q199" s="358"/>
      <c r="R199" s="374"/>
      <c r="S199" s="396"/>
      <c r="T199" s="375"/>
      <c r="U199" s="375"/>
      <c r="V199" s="358"/>
      <c r="W199" s="374"/>
      <c r="X199" s="375"/>
      <c r="Y199" s="375"/>
      <c r="Z199" s="396"/>
      <c r="AA199" s="358"/>
      <c r="AB199" s="374"/>
      <c r="AC199" s="375"/>
      <c r="AD199" s="375"/>
      <c r="AE199" s="375"/>
      <c r="AF199" s="358"/>
      <c r="AG199" s="374"/>
      <c r="AH199" s="375"/>
      <c r="AI199" s="375"/>
      <c r="AJ199" s="375"/>
    </row>
    <row r="200">
      <c r="A200" s="316" t="s">
        <v>2862</v>
      </c>
      <c r="B200" s="358"/>
      <c r="C200" s="374"/>
      <c r="D200" s="375"/>
      <c r="E200" s="396"/>
      <c r="F200" s="375"/>
      <c r="G200" s="358"/>
      <c r="H200" s="374"/>
      <c r="I200" s="375"/>
      <c r="J200" s="375"/>
      <c r="K200" s="375"/>
      <c r="L200" s="396"/>
      <c r="M200" s="374"/>
      <c r="N200" s="375"/>
      <c r="O200" s="375"/>
      <c r="P200" s="375"/>
      <c r="Q200" s="358"/>
      <c r="R200" s="374"/>
      <c r="S200" s="396"/>
      <c r="T200" s="375"/>
      <c r="U200" s="375"/>
      <c r="V200" s="358"/>
      <c r="W200" s="374"/>
      <c r="X200" s="375"/>
      <c r="Y200" s="375"/>
      <c r="Z200" s="396"/>
      <c r="AA200" s="358"/>
      <c r="AB200" s="374"/>
      <c r="AC200" s="375"/>
      <c r="AD200" s="375"/>
      <c r="AE200" s="375"/>
      <c r="AF200" s="358"/>
      <c r="AG200" s="374"/>
      <c r="AH200" s="375"/>
      <c r="AI200" s="375"/>
      <c r="AJ200" s="375"/>
    </row>
    <row r="201">
      <c r="A201" s="316" t="s">
        <v>2848</v>
      </c>
      <c r="B201" s="358"/>
      <c r="C201" s="374"/>
      <c r="D201" s="375"/>
      <c r="E201" s="396"/>
      <c r="F201" s="375"/>
      <c r="G201" s="358"/>
      <c r="H201" s="374"/>
      <c r="I201" s="375"/>
      <c r="J201" s="375"/>
      <c r="K201" s="375"/>
      <c r="L201" s="396"/>
      <c r="M201" s="374"/>
      <c r="N201" s="375"/>
      <c r="O201" s="375"/>
      <c r="P201" s="375"/>
      <c r="Q201" s="358"/>
      <c r="R201" s="374"/>
      <c r="S201" s="396"/>
      <c r="T201" s="375"/>
      <c r="U201" s="375"/>
      <c r="V201" s="358"/>
      <c r="W201" s="374"/>
      <c r="X201" s="375"/>
      <c r="Y201" s="375"/>
      <c r="Z201" s="396"/>
      <c r="AA201" s="358"/>
      <c r="AB201" s="374"/>
      <c r="AC201" s="375"/>
      <c r="AD201" s="375"/>
      <c r="AE201" s="375"/>
      <c r="AF201" s="358"/>
      <c r="AG201" s="374"/>
      <c r="AH201" s="375"/>
      <c r="AI201" s="375"/>
      <c r="AJ201" s="375"/>
    </row>
    <row r="202">
      <c r="A202" s="316"/>
      <c r="B202" s="358"/>
      <c r="C202" s="374"/>
      <c r="D202" s="375"/>
      <c r="E202" s="396"/>
      <c r="F202" s="375"/>
      <c r="G202" s="358"/>
      <c r="H202" s="374"/>
      <c r="I202" s="375"/>
      <c r="J202" s="375"/>
      <c r="K202" s="375"/>
      <c r="L202" s="396"/>
      <c r="M202" s="374"/>
      <c r="N202" s="375"/>
      <c r="O202" s="375"/>
      <c r="P202" s="375"/>
      <c r="Q202" s="358"/>
      <c r="R202" s="374"/>
      <c r="S202" s="396"/>
      <c r="T202" s="375"/>
      <c r="U202" s="375"/>
      <c r="V202" s="358"/>
      <c r="W202" s="374"/>
      <c r="X202" s="375"/>
      <c r="Y202" s="375"/>
      <c r="Z202" s="396"/>
      <c r="AA202" s="358"/>
      <c r="AB202" s="374"/>
      <c r="AC202" s="375"/>
      <c r="AD202" s="375"/>
      <c r="AE202" s="375"/>
      <c r="AF202" s="358"/>
      <c r="AG202" s="374"/>
      <c r="AH202" s="375"/>
      <c r="AI202" s="375"/>
      <c r="AJ202" s="375"/>
    </row>
    <row r="203">
      <c r="A203" s="356" t="s">
        <v>3162</v>
      </c>
      <c r="B203" s="358"/>
      <c r="C203" s="374"/>
      <c r="D203" s="375"/>
      <c r="E203" s="396"/>
      <c r="F203" s="375"/>
      <c r="G203" s="358"/>
      <c r="H203" s="374"/>
      <c r="I203" s="375"/>
      <c r="J203" s="375"/>
      <c r="K203" s="375"/>
      <c r="L203" s="396"/>
      <c r="M203" s="374"/>
      <c r="N203" s="375"/>
      <c r="O203" s="375"/>
      <c r="P203" s="375"/>
      <c r="Q203" s="358"/>
      <c r="R203" s="374"/>
      <c r="S203" s="396"/>
      <c r="T203" s="375"/>
      <c r="U203" s="375"/>
      <c r="V203" s="358"/>
      <c r="W203" s="374"/>
      <c r="X203" s="375"/>
      <c r="Y203" s="375"/>
      <c r="Z203" s="396"/>
      <c r="AA203" s="358"/>
      <c r="AB203" s="374"/>
      <c r="AC203" s="375"/>
      <c r="AD203" s="375"/>
      <c r="AE203" s="375"/>
      <c r="AF203" s="358"/>
      <c r="AG203" s="374"/>
      <c r="AH203" s="375"/>
      <c r="AI203" s="375"/>
      <c r="AJ203" s="375"/>
    </row>
    <row r="204">
      <c r="A204" s="316" t="s">
        <v>2862</v>
      </c>
      <c r="B204" s="358"/>
      <c r="C204" s="374"/>
      <c r="D204" s="375"/>
      <c r="E204" s="396"/>
      <c r="F204" s="375"/>
      <c r="G204" s="358"/>
      <c r="H204" s="374"/>
      <c r="I204" s="375"/>
      <c r="J204" s="375"/>
      <c r="K204" s="375"/>
      <c r="L204" s="396"/>
      <c r="M204" s="374"/>
      <c r="N204" s="375"/>
      <c r="O204" s="375"/>
      <c r="P204" s="375"/>
      <c r="Q204" s="358"/>
      <c r="R204" s="374"/>
      <c r="S204" s="396"/>
      <c r="T204" s="375"/>
      <c r="U204" s="375"/>
      <c r="V204" s="358"/>
      <c r="W204" s="374"/>
      <c r="X204" s="375"/>
      <c r="Y204" s="375"/>
      <c r="Z204" s="396"/>
      <c r="AA204" s="358"/>
      <c r="AB204" s="374"/>
      <c r="AC204" s="375"/>
      <c r="AD204" s="375"/>
      <c r="AE204" s="375"/>
      <c r="AF204" s="358"/>
      <c r="AG204" s="374"/>
      <c r="AH204" s="375"/>
      <c r="AI204" s="375"/>
      <c r="AJ204" s="375"/>
    </row>
    <row r="205">
      <c r="A205" s="316" t="s">
        <v>2848</v>
      </c>
      <c r="B205" s="358"/>
      <c r="C205" s="374"/>
      <c r="D205" s="375"/>
      <c r="E205" s="396"/>
      <c r="F205" s="375"/>
      <c r="G205" s="358"/>
      <c r="H205" s="374"/>
      <c r="I205" s="375"/>
      <c r="J205" s="375"/>
      <c r="K205" s="375"/>
      <c r="L205" s="396"/>
      <c r="M205" s="374"/>
      <c r="N205" s="375"/>
      <c r="O205" s="375"/>
      <c r="P205" s="375"/>
      <c r="Q205" s="358"/>
      <c r="R205" s="374"/>
      <c r="S205" s="396"/>
      <c r="T205" s="375"/>
      <c r="U205" s="375"/>
      <c r="V205" s="358"/>
      <c r="W205" s="374"/>
      <c r="X205" s="375"/>
      <c r="Y205" s="375"/>
      <c r="Z205" s="396"/>
      <c r="AA205" s="358"/>
      <c r="AB205" s="374"/>
      <c r="AC205" s="375"/>
      <c r="AD205" s="375"/>
      <c r="AE205" s="375"/>
      <c r="AF205" s="358"/>
      <c r="AG205" s="374"/>
      <c r="AH205" s="375"/>
      <c r="AI205" s="375"/>
      <c r="AJ205" s="375"/>
    </row>
    <row r="206">
      <c r="E206" s="320"/>
    </row>
    <row r="207">
      <c r="E207" s="320"/>
    </row>
    <row r="208">
      <c r="E208" s="320"/>
    </row>
    <row r="209">
      <c r="E209" s="320"/>
    </row>
    <row r="210">
      <c r="E210" s="320"/>
    </row>
    <row r="211">
      <c r="E211" s="320"/>
    </row>
    <row r="212">
      <c r="E212" s="320"/>
    </row>
    <row r="213">
      <c r="E213" s="320"/>
    </row>
    <row r="214">
      <c r="E214" s="320"/>
    </row>
    <row r="215">
      <c r="E215" s="320"/>
    </row>
    <row r="216">
      <c r="E216" s="320"/>
    </row>
    <row r="217">
      <c r="E217" s="320"/>
    </row>
    <row r="218">
      <c r="E218" s="320"/>
    </row>
    <row r="219">
      <c r="E219" s="320"/>
    </row>
    <row r="220">
      <c r="E220" s="320"/>
    </row>
    <row r="221">
      <c r="E221" s="320"/>
    </row>
    <row r="222">
      <c r="E222" s="320"/>
    </row>
    <row r="223">
      <c r="E223" s="320"/>
    </row>
    <row r="224">
      <c r="E224" s="320"/>
    </row>
    <row r="225">
      <c r="E225" s="320"/>
    </row>
    <row r="226">
      <c r="E226" s="320"/>
    </row>
    <row r="227">
      <c r="E227" s="320"/>
    </row>
    <row r="228">
      <c r="E228" s="320"/>
    </row>
    <row r="229">
      <c r="E229" s="320"/>
    </row>
    <row r="230">
      <c r="E230" s="320"/>
    </row>
    <row r="231">
      <c r="E231" s="320"/>
    </row>
    <row r="232">
      <c r="E232" s="320"/>
    </row>
    <row r="233">
      <c r="E233" s="320"/>
    </row>
    <row r="234">
      <c r="E234" s="320"/>
    </row>
    <row r="235">
      <c r="E235" s="320"/>
    </row>
    <row r="236">
      <c r="E236" s="320"/>
    </row>
    <row r="237">
      <c r="E237" s="320"/>
    </row>
    <row r="238">
      <c r="E238" s="320"/>
    </row>
    <row r="239">
      <c r="E239" s="320"/>
    </row>
    <row r="240">
      <c r="E240" s="320"/>
    </row>
    <row r="241">
      <c r="E241" s="320"/>
    </row>
    <row r="242">
      <c r="E242" s="320"/>
    </row>
    <row r="243">
      <c r="E243" s="320"/>
    </row>
    <row r="244">
      <c r="E244" s="320"/>
    </row>
    <row r="245">
      <c r="E245" s="320"/>
    </row>
    <row r="246">
      <c r="E246" s="320"/>
    </row>
    <row r="247">
      <c r="E247" s="320"/>
    </row>
    <row r="248">
      <c r="E248" s="320"/>
    </row>
    <row r="249">
      <c r="E249" s="320"/>
    </row>
    <row r="250">
      <c r="E250" s="320"/>
    </row>
    <row r="251">
      <c r="E251" s="320"/>
    </row>
    <row r="252">
      <c r="E252" s="320"/>
    </row>
    <row r="253">
      <c r="E253" s="320"/>
    </row>
    <row r="254">
      <c r="E254" s="320"/>
    </row>
    <row r="255">
      <c r="E255" s="320"/>
    </row>
    <row r="256">
      <c r="E256" s="320"/>
    </row>
    <row r="257">
      <c r="E257" s="320"/>
    </row>
    <row r="258">
      <c r="E258" s="320"/>
    </row>
    <row r="259">
      <c r="E259" s="320"/>
    </row>
    <row r="260">
      <c r="E260" s="320"/>
    </row>
    <row r="261">
      <c r="E261" s="320"/>
    </row>
    <row r="262">
      <c r="E262" s="320"/>
    </row>
    <row r="263">
      <c r="E263" s="320"/>
    </row>
    <row r="264">
      <c r="E264" s="320"/>
    </row>
    <row r="265">
      <c r="E265" s="320"/>
    </row>
    <row r="266">
      <c r="E266" s="320"/>
    </row>
    <row r="267">
      <c r="E267" s="320"/>
    </row>
    <row r="268">
      <c r="E268" s="320"/>
    </row>
    <row r="269">
      <c r="E269" s="320"/>
    </row>
    <row r="270">
      <c r="E270" s="320"/>
    </row>
    <row r="271">
      <c r="E271" s="320"/>
    </row>
    <row r="272">
      <c r="E272" s="320"/>
    </row>
    <row r="273">
      <c r="E273" s="320"/>
    </row>
    <row r="274">
      <c r="E274" s="320"/>
    </row>
    <row r="275">
      <c r="E275" s="320"/>
    </row>
    <row r="276">
      <c r="E276" s="320"/>
    </row>
    <row r="277">
      <c r="E277" s="320"/>
    </row>
    <row r="278">
      <c r="E278" s="320"/>
    </row>
    <row r="279">
      <c r="E279" s="320"/>
    </row>
    <row r="280">
      <c r="E280" s="320"/>
    </row>
    <row r="281">
      <c r="E281" s="320"/>
    </row>
    <row r="282">
      <c r="E282" s="320"/>
    </row>
    <row r="283">
      <c r="E283" s="320"/>
    </row>
    <row r="284">
      <c r="E284" s="320"/>
    </row>
    <row r="285">
      <c r="E285" s="320"/>
    </row>
    <row r="286">
      <c r="E286" s="320"/>
    </row>
    <row r="287">
      <c r="E287" s="320"/>
    </row>
    <row r="288">
      <c r="E288" s="320"/>
    </row>
    <row r="289">
      <c r="E289" s="320"/>
    </row>
    <row r="290">
      <c r="E290" s="320"/>
    </row>
    <row r="291">
      <c r="E291" s="320"/>
    </row>
    <row r="292">
      <c r="E292" s="320"/>
    </row>
    <row r="293">
      <c r="E293" s="320"/>
    </row>
    <row r="294">
      <c r="E294" s="320"/>
    </row>
    <row r="295">
      <c r="E295" s="320"/>
    </row>
    <row r="296">
      <c r="E296" s="320"/>
    </row>
    <row r="297">
      <c r="E297" s="320"/>
    </row>
    <row r="298">
      <c r="E298" s="320"/>
    </row>
    <row r="299">
      <c r="E299" s="320"/>
    </row>
    <row r="300">
      <c r="E300" s="320"/>
    </row>
    <row r="301">
      <c r="E301" s="320"/>
    </row>
    <row r="302">
      <c r="E302" s="320"/>
    </row>
    <row r="303">
      <c r="E303" s="320"/>
    </row>
    <row r="304">
      <c r="E304" s="320"/>
    </row>
    <row r="305">
      <c r="E305" s="320"/>
    </row>
    <row r="306">
      <c r="E306" s="320"/>
    </row>
    <row r="307">
      <c r="E307" s="320"/>
    </row>
    <row r="308">
      <c r="E308" s="320"/>
    </row>
    <row r="309">
      <c r="E309" s="320"/>
    </row>
    <row r="310">
      <c r="E310" s="320"/>
    </row>
    <row r="311">
      <c r="E311" s="320"/>
    </row>
    <row r="312">
      <c r="E312" s="320"/>
    </row>
    <row r="313">
      <c r="E313" s="320"/>
    </row>
    <row r="314">
      <c r="E314" s="320"/>
    </row>
    <row r="315">
      <c r="E315" s="320"/>
    </row>
    <row r="316">
      <c r="E316" s="320"/>
    </row>
    <row r="317">
      <c r="E317" s="320"/>
    </row>
    <row r="318">
      <c r="E318" s="320"/>
    </row>
    <row r="319">
      <c r="E319" s="320"/>
    </row>
    <row r="320">
      <c r="E320" s="320"/>
    </row>
    <row r="321">
      <c r="E321" s="320"/>
    </row>
    <row r="322">
      <c r="E322" s="320"/>
    </row>
    <row r="323">
      <c r="E323" s="320"/>
    </row>
    <row r="324">
      <c r="E324" s="320"/>
    </row>
    <row r="325">
      <c r="E325" s="320"/>
    </row>
    <row r="326">
      <c r="E326" s="320"/>
    </row>
    <row r="327">
      <c r="E327" s="320"/>
    </row>
    <row r="328">
      <c r="E328" s="320"/>
    </row>
    <row r="329">
      <c r="E329" s="320"/>
    </row>
    <row r="330">
      <c r="E330" s="320"/>
    </row>
    <row r="331">
      <c r="E331" s="320"/>
    </row>
    <row r="332">
      <c r="E332" s="320"/>
    </row>
    <row r="333">
      <c r="E333" s="320"/>
    </row>
    <row r="334">
      <c r="E334" s="320"/>
    </row>
    <row r="335">
      <c r="E335" s="320"/>
    </row>
    <row r="336">
      <c r="E336" s="320"/>
    </row>
    <row r="337">
      <c r="E337" s="320"/>
    </row>
    <row r="338">
      <c r="E338" s="320"/>
    </row>
    <row r="339">
      <c r="E339" s="320"/>
    </row>
    <row r="340">
      <c r="E340" s="320"/>
    </row>
    <row r="341">
      <c r="E341" s="320"/>
    </row>
    <row r="342">
      <c r="E342" s="320"/>
    </row>
    <row r="343">
      <c r="E343" s="320"/>
    </row>
    <row r="344">
      <c r="E344" s="320"/>
    </row>
    <row r="345">
      <c r="E345" s="320"/>
    </row>
    <row r="346">
      <c r="E346" s="320"/>
    </row>
    <row r="347">
      <c r="E347" s="320"/>
    </row>
    <row r="348">
      <c r="E348" s="320"/>
    </row>
    <row r="349">
      <c r="E349" s="320"/>
    </row>
    <row r="350">
      <c r="E350" s="320"/>
    </row>
    <row r="351">
      <c r="E351" s="320"/>
    </row>
    <row r="352">
      <c r="E352" s="320"/>
    </row>
    <row r="353">
      <c r="E353" s="320"/>
    </row>
    <row r="354">
      <c r="E354" s="320"/>
    </row>
    <row r="355">
      <c r="E355" s="320"/>
    </row>
    <row r="356">
      <c r="E356" s="320"/>
    </row>
    <row r="357">
      <c r="E357" s="320"/>
    </row>
    <row r="358">
      <c r="E358" s="320"/>
    </row>
    <row r="359">
      <c r="E359" s="320"/>
    </row>
    <row r="360">
      <c r="E360" s="320"/>
    </row>
    <row r="361">
      <c r="E361" s="320"/>
    </row>
    <row r="362">
      <c r="E362" s="320"/>
    </row>
    <row r="363">
      <c r="E363" s="320"/>
    </row>
    <row r="364">
      <c r="E364" s="320"/>
    </row>
    <row r="365">
      <c r="E365" s="320"/>
    </row>
    <row r="366">
      <c r="E366" s="320"/>
    </row>
    <row r="367">
      <c r="E367" s="320"/>
    </row>
    <row r="368">
      <c r="E368" s="320"/>
    </row>
    <row r="369">
      <c r="E369" s="320"/>
    </row>
    <row r="370">
      <c r="E370" s="320"/>
    </row>
    <row r="371">
      <c r="E371" s="320"/>
    </row>
    <row r="372">
      <c r="E372" s="320"/>
    </row>
    <row r="373">
      <c r="E373" s="320"/>
    </row>
    <row r="374">
      <c r="E374" s="320"/>
    </row>
    <row r="375">
      <c r="E375" s="320"/>
    </row>
    <row r="376">
      <c r="E376" s="320"/>
    </row>
    <row r="377">
      <c r="E377" s="320"/>
    </row>
    <row r="378">
      <c r="E378" s="320"/>
    </row>
    <row r="379">
      <c r="E379" s="320"/>
    </row>
    <row r="380">
      <c r="E380" s="320"/>
    </row>
    <row r="381">
      <c r="E381" s="320"/>
    </row>
    <row r="382">
      <c r="E382" s="320"/>
    </row>
    <row r="383">
      <c r="E383" s="320"/>
    </row>
    <row r="384">
      <c r="E384" s="320"/>
    </row>
    <row r="385">
      <c r="E385" s="320"/>
    </row>
    <row r="386">
      <c r="E386" s="320"/>
    </row>
    <row r="387">
      <c r="E387" s="320"/>
    </row>
    <row r="388">
      <c r="E388" s="320"/>
    </row>
    <row r="389">
      <c r="E389" s="320"/>
    </row>
    <row r="390">
      <c r="E390" s="320"/>
    </row>
    <row r="391">
      <c r="E391" s="320"/>
    </row>
    <row r="392">
      <c r="E392" s="320"/>
    </row>
    <row r="393">
      <c r="E393" s="320"/>
    </row>
    <row r="394">
      <c r="E394" s="320"/>
    </row>
    <row r="395">
      <c r="E395" s="320"/>
    </row>
    <row r="396">
      <c r="E396" s="320"/>
    </row>
    <row r="397">
      <c r="E397" s="320"/>
    </row>
    <row r="398">
      <c r="E398" s="320"/>
    </row>
    <row r="399">
      <c r="E399" s="320"/>
    </row>
    <row r="400">
      <c r="E400" s="320"/>
    </row>
    <row r="401">
      <c r="E401" s="320"/>
    </row>
    <row r="402">
      <c r="E402" s="320"/>
    </row>
    <row r="403">
      <c r="E403" s="320"/>
    </row>
    <row r="404">
      <c r="E404" s="320"/>
    </row>
    <row r="405">
      <c r="E405" s="320"/>
    </row>
    <row r="406">
      <c r="E406" s="320"/>
    </row>
    <row r="407">
      <c r="E407" s="320"/>
    </row>
    <row r="408">
      <c r="E408" s="320"/>
    </row>
    <row r="409">
      <c r="E409" s="320"/>
    </row>
    <row r="410">
      <c r="E410" s="320"/>
    </row>
    <row r="411">
      <c r="E411" s="320"/>
    </row>
    <row r="412">
      <c r="E412" s="320"/>
    </row>
    <row r="413">
      <c r="E413" s="320"/>
    </row>
    <row r="414">
      <c r="E414" s="320"/>
    </row>
    <row r="415">
      <c r="E415" s="320"/>
    </row>
    <row r="416">
      <c r="E416" s="320"/>
    </row>
    <row r="417">
      <c r="E417" s="320"/>
    </row>
    <row r="418">
      <c r="E418" s="320"/>
    </row>
    <row r="419">
      <c r="E419" s="320"/>
    </row>
    <row r="420">
      <c r="E420" s="320"/>
    </row>
    <row r="421">
      <c r="E421" s="320"/>
    </row>
    <row r="422">
      <c r="E422" s="320"/>
    </row>
    <row r="423">
      <c r="E423" s="320"/>
    </row>
    <row r="424">
      <c r="E424" s="320"/>
    </row>
    <row r="425">
      <c r="E425" s="320"/>
    </row>
    <row r="426">
      <c r="E426" s="320"/>
    </row>
    <row r="427">
      <c r="E427" s="320"/>
    </row>
    <row r="428">
      <c r="E428" s="320"/>
    </row>
    <row r="429">
      <c r="E429" s="320"/>
    </row>
    <row r="430">
      <c r="E430" s="320"/>
    </row>
    <row r="431">
      <c r="E431" s="320"/>
    </row>
    <row r="432">
      <c r="E432" s="320"/>
    </row>
    <row r="433">
      <c r="E433" s="320"/>
    </row>
    <row r="434">
      <c r="E434" s="320"/>
    </row>
    <row r="435">
      <c r="E435" s="320"/>
    </row>
    <row r="436">
      <c r="E436" s="320"/>
    </row>
    <row r="437">
      <c r="E437" s="320"/>
    </row>
    <row r="438">
      <c r="E438" s="320"/>
    </row>
    <row r="439">
      <c r="E439" s="320"/>
    </row>
    <row r="440">
      <c r="E440" s="320"/>
    </row>
    <row r="441">
      <c r="E441" s="320"/>
    </row>
    <row r="442">
      <c r="E442" s="320"/>
    </row>
    <row r="443">
      <c r="E443" s="320"/>
    </row>
    <row r="444">
      <c r="E444" s="320"/>
    </row>
    <row r="445">
      <c r="E445" s="320"/>
    </row>
    <row r="446">
      <c r="E446" s="320"/>
    </row>
    <row r="447">
      <c r="E447" s="320"/>
    </row>
    <row r="448">
      <c r="E448" s="320"/>
    </row>
    <row r="449">
      <c r="E449" s="320"/>
    </row>
    <row r="450">
      <c r="E450" s="320"/>
    </row>
    <row r="451">
      <c r="E451" s="320"/>
    </row>
    <row r="452">
      <c r="E452" s="320"/>
    </row>
    <row r="453">
      <c r="E453" s="320"/>
    </row>
    <row r="454">
      <c r="E454" s="320"/>
    </row>
    <row r="455">
      <c r="E455" s="320"/>
    </row>
    <row r="456">
      <c r="E456" s="320"/>
    </row>
    <row r="457">
      <c r="E457" s="320"/>
    </row>
    <row r="458">
      <c r="E458" s="320"/>
    </row>
    <row r="459">
      <c r="E459" s="320"/>
    </row>
    <row r="460">
      <c r="E460" s="320"/>
    </row>
    <row r="461">
      <c r="E461" s="320"/>
    </row>
    <row r="462">
      <c r="E462" s="320"/>
    </row>
    <row r="463">
      <c r="E463" s="320"/>
    </row>
    <row r="464">
      <c r="E464" s="320"/>
    </row>
    <row r="465">
      <c r="E465" s="320"/>
    </row>
    <row r="466">
      <c r="E466" s="320"/>
    </row>
    <row r="467">
      <c r="E467" s="320"/>
    </row>
    <row r="468">
      <c r="E468" s="320"/>
    </row>
    <row r="469">
      <c r="E469" s="320"/>
    </row>
    <row r="470">
      <c r="E470" s="320"/>
    </row>
    <row r="471">
      <c r="E471" s="320"/>
    </row>
    <row r="472">
      <c r="E472" s="320"/>
    </row>
    <row r="473">
      <c r="E473" s="320"/>
    </row>
    <row r="474">
      <c r="E474" s="320"/>
    </row>
    <row r="475">
      <c r="E475" s="320"/>
    </row>
    <row r="476">
      <c r="E476" s="320"/>
    </row>
    <row r="477">
      <c r="E477" s="320"/>
    </row>
    <row r="478">
      <c r="E478" s="320"/>
    </row>
    <row r="479">
      <c r="E479" s="320"/>
    </row>
    <row r="480">
      <c r="E480" s="320"/>
    </row>
    <row r="481">
      <c r="E481" s="320"/>
    </row>
    <row r="482">
      <c r="E482" s="320"/>
    </row>
    <row r="483">
      <c r="E483" s="320"/>
    </row>
    <row r="484">
      <c r="E484" s="320"/>
    </row>
    <row r="485">
      <c r="E485" s="320"/>
    </row>
    <row r="486">
      <c r="E486" s="320"/>
    </row>
    <row r="487">
      <c r="E487" s="320"/>
    </row>
    <row r="488">
      <c r="E488" s="320"/>
    </row>
    <row r="489">
      <c r="E489" s="320"/>
    </row>
    <row r="490">
      <c r="E490" s="320"/>
    </row>
    <row r="491">
      <c r="E491" s="320"/>
    </row>
    <row r="492">
      <c r="E492" s="320"/>
    </row>
    <row r="493">
      <c r="E493" s="320"/>
    </row>
    <row r="494">
      <c r="E494" s="320"/>
    </row>
    <row r="495">
      <c r="E495" s="320"/>
    </row>
    <row r="496">
      <c r="E496" s="320"/>
    </row>
    <row r="497">
      <c r="E497" s="320"/>
    </row>
    <row r="498">
      <c r="E498" s="320"/>
    </row>
    <row r="499">
      <c r="E499" s="320"/>
    </row>
    <row r="500">
      <c r="E500" s="320"/>
    </row>
    <row r="501">
      <c r="E501" s="320"/>
    </row>
    <row r="502">
      <c r="E502" s="320"/>
    </row>
    <row r="503">
      <c r="E503" s="320"/>
    </row>
    <row r="504">
      <c r="E504" s="320"/>
    </row>
    <row r="505">
      <c r="E505" s="320"/>
    </row>
    <row r="506">
      <c r="E506" s="320"/>
    </row>
    <row r="507">
      <c r="E507" s="320"/>
    </row>
    <row r="508">
      <c r="E508" s="320"/>
    </row>
    <row r="509">
      <c r="E509" s="320"/>
    </row>
    <row r="510">
      <c r="E510" s="320"/>
    </row>
    <row r="511">
      <c r="E511" s="320"/>
    </row>
    <row r="512">
      <c r="E512" s="320"/>
    </row>
    <row r="513">
      <c r="E513" s="320"/>
    </row>
    <row r="514">
      <c r="E514" s="320"/>
    </row>
    <row r="515">
      <c r="E515" s="320"/>
    </row>
    <row r="516">
      <c r="E516" s="320"/>
    </row>
    <row r="517">
      <c r="E517" s="320"/>
    </row>
    <row r="518">
      <c r="E518" s="320"/>
    </row>
    <row r="519">
      <c r="E519" s="320"/>
    </row>
    <row r="520">
      <c r="E520" s="320"/>
    </row>
    <row r="521">
      <c r="E521" s="320"/>
    </row>
    <row r="522">
      <c r="E522" s="320"/>
    </row>
    <row r="523">
      <c r="E523" s="320"/>
    </row>
    <row r="524">
      <c r="E524" s="320"/>
    </row>
    <row r="525">
      <c r="E525" s="320"/>
    </row>
    <row r="526">
      <c r="E526" s="320"/>
    </row>
    <row r="527">
      <c r="E527" s="320"/>
    </row>
    <row r="528">
      <c r="E528" s="320"/>
    </row>
    <row r="529">
      <c r="E529" s="320"/>
    </row>
    <row r="530">
      <c r="E530" s="320"/>
    </row>
    <row r="531">
      <c r="E531" s="320"/>
    </row>
    <row r="532">
      <c r="E532" s="320"/>
    </row>
    <row r="533">
      <c r="E533" s="320"/>
    </row>
    <row r="534">
      <c r="E534" s="320"/>
    </row>
    <row r="535">
      <c r="E535" s="320"/>
    </row>
    <row r="536">
      <c r="E536" s="320"/>
    </row>
    <row r="537">
      <c r="E537" s="320"/>
    </row>
    <row r="538">
      <c r="E538" s="320"/>
    </row>
    <row r="539">
      <c r="E539" s="320"/>
    </row>
    <row r="540">
      <c r="E540" s="320"/>
    </row>
    <row r="541">
      <c r="E541" s="320"/>
    </row>
    <row r="542">
      <c r="E542" s="320"/>
    </row>
    <row r="543">
      <c r="E543" s="320"/>
    </row>
    <row r="544">
      <c r="E544" s="320"/>
    </row>
    <row r="545">
      <c r="E545" s="320"/>
    </row>
    <row r="546">
      <c r="E546" s="320"/>
    </row>
    <row r="547">
      <c r="E547" s="320"/>
    </row>
    <row r="548">
      <c r="E548" s="320"/>
    </row>
    <row r="549">
      <c r="E549" s="320"/>
    </row>
    <row r="550">
      <c r="E550" s="320"/>
    </row>
    <row r="551">
      <c r="E551" s="320"/>
    </row>
    <row r="552">
      <c r="E552" s="320"/>
    </row>
    <row r="553">
      <c r="E553" s="320"/>
    </row>
    <row r="554">
      <c r="E554" s="320"/>
    </row>
    <row r="555">
      <c r="E555" s="320"/>
    </row>
    <row r="556">
      <c r="E556" s="320"/>
    </row>
    <row r="557">
      <c r="E557" s="320"/>
    </row>
    <row r="558">
      <c r="E558" s="320"/>
    </row>
    <row r="559">
      <c r="E559" s="320"/>
    </row>
    <row r="560">
      <c r="E560" s="320"/>
    </row>
    <row r="561">
      <c r="E561" s="320"/>
    </row>
    <row r="562">
      <c r="E562" s="320"/>
    </row>
    <row r="563">
      <c r="E563" s="320"/>
    </row>
    <row r="564">
      <c r="E564" s="320"/>
    </row>
    <row r="565">
      <c r="E565" s="320"/>
    </row>
    <row r="566">
      <c r="E566" s="320"/>
    </row>
    <row r="567">
      <c r="E567" s="320"/>
    </row>
    <row r="568">
      <c r="E568" s="320"/>
    </row>
    <row r="569">
      <c r="E569" s="320"/>
    </row>
    <row r="570">
      <c r="E570" s="320"/>
    </row>
    <row r="571">
      <c r="E571" s="320"/>
    </row>
    <row r="572">
      <c r="E572" s="320"/>
    </row>
    <row r="573">
      <c r="E573" s="320"/>
    </row>
    <row r="574">
      <c r="E574" s="320"/>
    </row>
    <row r="575">
      <c r="E575" s="320"/>
    </row>
    <row r="576">
      <c r="E576" s="320"/>
    </row>
    <row r="577">
      <c r="E577" s="320"/>
    </row>
    <row r="578">
      <c r="E578" s="320"/>
    </row>
    <row r="579">
      <c r="E579" s="320"/>
    </row>
    <row r="580">
      <c r="E580" s="320"/>
    </row>
    <row r="581">
      <c r="E581" s="320"/>
    </row>
    <row r="582">
      <c r="E582" s="320"/>
    </row>
    <row r="583">
      <c r="E583" s="320"/>
    </row>
    <row r="584">
      <c r="E584" s="320"/>
    </row>
    <row r="585">
      <c r="E585" s="320"/>
    </row>
    <row r="586">
      <c r="E586" s="320"/>
    </row>
    <row r="587">
      <c r="E587" s="320"/>
    </row>
    <row r="588">
      <c r="E588" s="320"/>
    </row>
    <row r="589">
      <c r="E589" s="320"/>
    </row>
    <row r="590">
      <c r="E590" s="320"/>
    </row>
    <row r="591">
      <c r="E591" s="320"/>
    </row>
    <row r="592">
      <c r="E592" s="320"/>
    </row>
    <row r="593">
      <c r="E593" s="320"/>
    </row>
    <row r="594">
      <c r="E594" s="320"/>
    </row>
    <row r="595">
      <c r="E595" s="320"/>
    </row>
    <row r="596">
      <c r="E596" s="320"/>
    </row>
    <row r="597">
      <c r="E597" s="320"/>
    </row>
    <row r="598">
      <c r="E598" s="320"/>
    </row>
    <row r="599">
      <c r="E599" s="320"/>
    </row>
    <row r="600">
      <c r="E600" s="320"/>
    </row>
    <row r="601">
      <c r="E601" s="320"/>
    </row>
    <row r="602">
      <c r="E602" s="320"/>
    </row>
    <row r="603">
      <c r="E603" s="320"/>
    </row>
    <row r="604">
      <c r="E604" s="320"/>
    </row>
    <row r="605">
      <c r="E605" s="320"/>
    </row>
    <row r="606">
      <c r="E606" s="320"/>
    </row>
    <row r="607">
      <c r="E607" s="320"/>
    </row>
    <row r="608">
      <c r="E608" s="320"/>
    </row>
    <row r="609">
      <c r="E609" s="320"/>
    </row>
    <row r="610">
      <c r="E610" s="320"/>
    </row>
    <row r="611">
      <c r="E611" s="320"/>
    </row>
    <row r="612">
      <c r="E612" s="320"/>
    </row>
    <row r="613">
      <c r="E613" s="320"/>
    </row>
    <row r="614">
      <c r="E614" s="320"/>
    </row>
    <row r="615">
      <c r="E615" s="320"/>
    </row>
    <row r="616">
      <c r="E616" s="320"/>
    </row>
    <row r="617">
      <c r="E617" s="320"/>
    </row>
    <row r="618">
      <c r="E618" s="320"/>
    </row>
    <row r="619">
      <c r="E619" s="320"/>
    </row>
    <row r="620">
      <c r="E620" s="320"/>
    </row>
    <row r="621">
      <c r="E621" s="320"/>
    </row>
    <row r="622">
      <c r="E622" s="320"/>
    </row>
    <row r="623">
      <c r="E623" s="320"/>
    </row>
    <row r="624">
      <c r="E624" s="320"/>
    </row>
    <row r="625">
      <c r="E625" s="320"/>
    </row>
    <row r="626">
      <c r="E626" s="320"/>
    </row>
    <row r="627">
      <c r="E627" s="320"/>
    </row>
    <row r="628">
      <c r="E628" s="320"/>
    </row>
    <row r="629">
      <c r="E629" s="320"/>
    </row>
    <row r="630">
      <c r="E630" s="320"/>
    </row>
    <row r="631">
      <c r="E631" s="320"/>
    </row>
    <row r="632">
      <c r="E632" s="320"/>
    </row>
    <row r="633">
      <c r="E633" s="320"/>
    </row>
    <row r="634">
      <c r="E634" s="320"/>
    </row>
    <row r="635">
      <c r="E635" s="320"/>
    </row>
    <row r="636">
      <c r="E636" s="320"/>
    </row>
    <row r="637">
      <c r="E637" s="320"/>
    </row>
    <row r="638">
      <c r="E638" s="320"/>
    </row>
    <row r="639">
      <c r="E639" s="320"/>
    </row>
    <row r="640">
      <c r="E640" s="320"/>
    </row>
    <row r="641">
      <c r="E641" s="320"/>
    </row>
    <row r="642">
      <c r="E642" s="320"/>
    </row>
    <row r="643">
      <c r="E643" s="320"/>
    </row>
    <row r="644">
      <c r="E644" s="320"/>
    </row>
    <row r="645">
      <c r="E645" s="320"/>
    </row>
    <row r="646">
      <c r="E646" s="320"/>
    </row>
    <row r="647">
      <c r="E647" s="320"/>
    </row>
    <row r="648">
      <c r="E648" s="320"/>
    </row>
    <row r="649">
      <c r="E649" s="320"/>
    </row>
    <row r="650">
      <c r="E650" s="320"/>
    </row>
    <row r="651">
      <c r="E651" s="320"/>
    </row>
    <row r="652">
      <c r="E652" s="320"/>
    </row>
    <row r="653">
      <c r="E653" s="320"/>
    </row>
    <row r="654">
      <c r="E654" s="320"/>
    </row>
    <row r="655">
      <c r="E655" s="320"/>
    </row>
    <row r="656">
      <c r="E656" s="320"/>
    </row>
    <row r="657">
      <c r="E657" s="320"/>
    </row>
    <row r="658">
      <c r="E658" s="320"/>
    </row>
    <row r="659">
      <c r="E659" s="320"/>
    </row>
    <row r="660">
      <c r="E660" s="320"/>
    </row>
    <row r="661">
      <c r="E661" s="320"/>
    </row>
    <row r="662">
      <c r="E662" s="320"/>
    </row>
    <row r="663">
      <c r="E663" s="320"/>
    </row>
    <row r="664">
      <c r="E664" s="320"/>
    </row>
    <row r="665">
      <c r="E665" s="320"/>
    </row>
    <row r="666">
      <c r="E666" s="320"/>
    </row>
    <row r="667">
      <c r="E667" s="320"/>
    </row>
    <row r="668">
      <c r="E668" s="320"/>
    </row>
    <row r="669">
      <c r="E669" s="320"/>
    </row>
    <row r="670">
      <c r="E670" s="320"/>
    </row>
    <row r="671">
      <c r="E671" s="320"/>
    </row>
    <row r="672">
      <c r="E672" s="320"/>
    </row>
    <row r="673">
      <c r="E673" s="320"/>
    </row>
    <row r="674">
      <c r="E674" s="320"/>
    </row>
    <row r="675">
      <c r="E675" s="320"/>
    </row>
    <row r="676">
      <c r="E676" s="320"/>
    </row>
    <row r="677">
      <c r="E677" s="320"/>
    </row>
    <row r="678">
      <c r="E678" s="320"/>
    </row>
    <row r="679">
      <c r="E679" s="320"/>
    </row>
    <row r="680">
      <c r="E680" s="320"/>
    </row>
    <row r="681">
      <c r="E681" s="320"/>
    </row>
    <row r="682">
      <c r="E682" s="320"/>
    </row>
    <row r="683">
      <c r="E683" s="320"/>
    </row>
    <row r="684">
      <c r="E684" s="320"/>
    </row>
    <row r="685">
      <c r="E685" s="320"/>
    </row>
    <row r="686">
      <c r="E686" s="320"/>
    </row>
    <row r="687">
      <c r="E687" s="320"/>
    </row>
    <row r="688">
      <c r="E688" s="320"/>
    </row>
    <row r="689">
      <c r="E689" s="320"/>
    </row>
    <row r="690">
      <c r="E690" s="320"/>
    </row>
    <row r="691">
      <c r="E691" s="320"/>
    </row>
    <row r="692">
      <c r="E692" s="320"/>
    </row>
    <row r="693">
      <c r="E693" s="320"/>
    </row>
    <row r="694">
      <c r="E694" s="320"/>
    </row>
    <row r="695">
      <c r="E695" s="320"/>
    </row>
    <row r="696">
      <c r="E696" s="320"/>
    </row>
    <row r="697">
      <c r="E697" s="320"/>
    </row>
    <row r="698">
      <c r="E698" s="320"/>
    </row>
    <row r="699">
      <c r="E699" s="320"/>
    </row>
    <row r="700">
      <c r="E700" s="320"/>
    </row>
    <row r="701">
      <c r="E701" s="320"/>
    </row>
    <row r="702">
      <c r="E702" s="320"/>
    </row>
    <row r="703">
      <c r="E703" s="320"/>
    </row>
    <row r="704">
      <c r="E704" s="320"/>
    </row>
    <row r="705">
      <c r="E705" s="320"/>
    </row>
    <row r="706">
      <c r="E706" s="320"/>
    </row>
    <row r="707">
      <c r="E707" s="320"/>
    </row>
    <row r="708">
      <c r="E708" s="320"/>
    </row>
    <row r="709">
      <c r="E709" s="320"/>
    </row>
    <row r="710">
      <c r="E710" s="320"/>
    </row>
    <row r="711">
      <c r="E711" s="320"/>
    </row>
    <row r="712">
      <c r="E712" s="320"/>
    </row>
    <row r="713">
      <c r="E713" s="320"/>
    </row>
    <row r="714">
      <c r="E714" s="320"/>
    </row>
    <row r="715">
      <c r="E715" s="320"/>
    </row>
    <row r="716">
      <c r="E716" s="320"/>
    </row>
    <row r="717">
      <c r="E717" s="320"/>
    </row>
    <row r="718">
      <c r="E718" s="320"/>
    </row>
    <row r="719">
      <c r="E719" s="320"/>
    </row>
    <row r="720">
      <c r="E720" s="320"/>
    </row>
    <row r="721">
      <c r="E721" s="320"/>
    </row>
    <row r="722">
      <c r="E722" s="320"/>
    </row>
    <row r="723">
      <c r="E723" s="320"/>
    </row>
    <row r="724">
      <c r="E724" s="320"/>
    </row>
    <row r="725">
      <c r="E725" s="320"/>
    </row>
    <row r="726">
      <c r="E726" s="320"/>
    </row>
    <row r="727">
      <c r="E727" s="320"/>
    </row>
    <row r="728">
      <c r="E728" s="320"/>
    </row>
    <row r="729">
      <c r="E729" s="320"/>
    </row>
    <row r="730">
      <c r="E730" s="320"/>
    </row>
    <row r="731">
      <c r="E731" s="320"/>
    </row>
    <row r="732">
      <c r="E732" s="320"/>
    </row>
    <row r="733">
      <c r="E733" s="320"/>
    </row>
    <row r="734">
      <c r="E734" s="320"/>
    </row>
    <row r="735">
      <c r="E735" s="320"/>
    </row>
    <row r="736">
      <c r="E736" s="320"/>
    </row>
    <row r="737">
      <c r="E737" s="320"/>
    </row>
    <row r="738">
      <c r="E738" s="320"/>
    </row>
    <row r="739">
      <c r="E739" s="320"/>
    </row>
    <row r="740">
      <c r="E740" s="320"/>
    </row>
    <row r="741">
      <c r="E741" s="320"/>
    </row>
    <row r="742">
      <c r="E742" s="320"/>
    </row>
    <row r="743">
      <c r="E743" s="320"/>
    </row>
    <row r="744">
      <c r="E744" s="320"/>
    </row>
    <row r="745">
      <c r="E745" s="320"/>
    </row>
    <row r="746">
      <c r="E746" s="320"/>
    </row>
    <row r="747">
      <c r="E747" s="320"/>
    </row>
    <row r="748">
      <c r="E748" s="320"/>
    </row>
    <row r="749">
      <c r="E749" s="320"/>
    </row>
    <row r="750">
      <c r="E750" s="320"/>
    </row>
    <row r="751">
      <c r="E751" s="320"/>
    </row>
    <row r="752">
      <c r="E752" s="320"/>
    </row>
    <row r="753">
      <c r="E753" s="320"/>
    </row>
    <row r="754">
      <c r="E754" s="320"/>
    </row>
    <row r="755">
      <c r="E755" s="320"/>
    </row>
    <row r="756">
      <c r="E756" s="320"/>
    </row>
    <row r="757">
      <c r="E757" s="320"/>
    </row>
    <row r="758">
      <c r="E758" s="320"/>
    </row>
    <row r="759">
      <c r="E759" s="320"/>
    </row>
    <row r="760">
      <c r="E760" s="320"/>
    </row>
    <row r="761">
      <c r="E761" s="320"/>
    </row>
    <row r="762">
      <c r="E762" s="320"/>
    </row>
    <row r="763">
      <c r="E763" s="320"/>
    </row>
    <row r="764">
      <c r="E764" s="320"/>
    </row>
    <row r="765">
      <c r="E765" s="320"/>
    </row>
    <row r="766">
      <c r="E766" s="320"/>
    </row>
    <row r="767">
      <c r="E767" s="320"/>
    </row>
    <row r="768">
      <c r="E768" s="320"/>
    </row>
    <row r="769">
      <c r="E769" s="320"/>
    </row>
    <row r="770">
      <c r="E770" s="320"/>
    </row>
    <row r="771">
      <c r="E771" s="320"/>
    </row>
    <row r="772">
      <c r="E772" s="320"/>
    </row>
    <row r="773">
      <c r="E773" s="320"/>
    </row>
    <row r="774">
      <c r="E774" s="320"/>
    </row>
    <row r="775">
      <c r="E775" s="320"/>
    </row>
    <row r="776">
      <c r="E776" s="320"/>
    </row>
    <row r="777">
      <c r="E777" s="320"/>
    </row>
    <row r="778">
      <c r="E778" s="320"/>
    </row>
    <row r="779">
      <c r="E779" s="320"/>
    </row>
    <row r="780">
      <c r="E780" s="320"/>
    </row>
    <row r="781">
      <c r="E781" s="320"/>
    </row>
    <row r="782">
      <c r="E782" s="320"/>
    </row>
    <row r="783">
      <c r="E783" s="320"/>
    </row>
    <row r="784">
      <c r="E784" s="320"/>
    </row>
    <row r="785">
      <c r="E785" s="320"/>
    </row>
    <row r="786">
      <c r="E786" s="320"/>
    </row>
    <row r="787">
      <c r="E787" s="320"/>
    </row>
    <row r="788">
      <c r="E788" s="320"/>
    </row>
    <row r="789">
      <c r="E789" s="320"/>
    </row>
    <row r="790">
      <c r="E790" s="320"/>
    </row>
    <row r="791">
      <c r="E791" s="320"/>
    </row>
    <row r="792">
      <c r="E792" s="320"/>
    </row>
    <row r="793">
      <c r="E793" s="320"/>
    </row>
    <row r="794">
      <c r="E794" s="320"/>
    </row>
    <row r="795">
      <c r="E795" s="320"/>
    </row>
    <row r="796">
      <c r="E796" s="320"/>
    </row>
    <row r="797">
      <c r="E797" s="320"/>
    </row>
    <row r="798">
      <c r="E798" s="320"/>
    </row>
    <row r="799">
      <c r="E799" s="320"/>
    </row>
    <row r="800">
      <c r="E800" s="320"/>
    </row>
    <row r="801">
      <c r="E801" s="320"/>
    </row>
    <row r="802">
      <c r="E802" s="320"/>
    </row>
    <row r="803">
      <c r="E803" s="320"/>
    </row>
    <row r="804">
      <c r="E804" s="320"/>
    </row>
    <row r="805">
      <c r="E805" s="320"/>
    </row>
    <row r="806">
      <c r="E806" s="320"/>
    </row>
    <row r="807">
      <c r="E807" s="320"/>
    </row>
    <row r="808">
      <c r="E808" s="320"/>
    </row>
    <row r="809">
      <c r="E809" s="320"/>
    </row>
    <row r="810">
      <c r="E810" s="320"/>
    </row>
    <row r="811">
      <c r="E811" s="320"/>
    </row>
    <row r="812">
      <c r="E812" s="320"/>
    </row>
    <row r="813">
      <c r="E813" s="320"/>
    </row>
    <row r="814">
      <c r="E814" s="320"/>
    </row>
    <row r="815">
      <c r="E815" s="320"/>
    </row>
    <row r="816">
      <c r="E816" s="320"/>
    </row>
    <row r="817">
      <c r="E817" s="320"/>
    </row>
    <row r="818">
      <c r="E818" s="320"/>
    </row>
    <row r="819">
      <c r="E819" s="320"/>
    </row>
    <row r="820">
      <c r="E820" s="320"/>
    </row>
    <row r="821">
      <c r="E821" s="320"/>
    </row>
    <row r="822">
      <c r="E822" s="320"/>
    </row>
    <row r="823">
      <c r="E823" s="320"/>
    </row>
    <row r="824">
      <c r="E824" s="320"/>
    </row>
    <row r="825">
      <c r="E825" s="320"/>
    </row>
    <row r="826">
      <c r="E826" s="320"/>
    </row>
    <row r="827">
      <c r="E827" s="320"/>
    </row>
    <row r="828">
      <c r="E828" s="320"/>
    </row>
    <row r="829">
      <c r="E829" s="320"/>
    </row>
    <row r="830">
      <c r="E830" s="320"/>
    </row>
    <row r="831">
      <c r="E831" s="320"/>
    </row>
    <row r="832">
      <c r="E832" s="320"/>
    </row>
    <row r="833">
      <c r="E833" s="320"/>
    </row>
    <row r="834">
      <c r="E834" s="320"/>
    </row>
    <row r="835">
      <c r="E835" s="320"/>
    </row>
    <row r="836">
      <c r="E836" s="320"/>
    </row>
    <row r="837">
      <c r="E837" s="320"/>
    </row>
    <row r="838">
      <c r="E838" s="320"/>
    </row>
    <row r="839">
      <c r="E839" s="320"/>
    </row>
    <row r="840">
      <c r="E840" s="320"/>
    </row>
    <row r="841">
      <c r="E841" s="320"/>
    </row>
    <row r="842">
      <c r="E842" s="320"/>
    </row>
    <row r="843">
      <c r="E843" s="320"/>
    </row>
    <row r="844">
      <c r="E844" s="320"/>
    </row>
    <row r="845">
      <c r="E845" s="320"/>
    </row>
    <row r="846">
      <c r="E846" s="320"/>
    </row>
    <row r="847">
      <c r="E847" s="320"/>
    </row>
    <row r="848">
      <c r="E848" s="320"/>
    </row>
    <row r="849">
      <c r="E849" s="320"/>
    </row>
    <row r="850">
      <c r="E850" s="320"/>
    </row>
    <row r="851">
      <c r="E851" s="320"/>
    </row>
    <row r="852">
      <c r="E852" s="320"/>
    </row>
    <row r="853">
      <c r="E853" s="320"/>
    </row>
    <row r="854">
      <c r="E854" s="320"/>
    </row>
    <row r="855">
      <c r="E855" s="320"/>
    </row>
    <row r="856">
      <c r="E856" s="320"/>
    </row>
    <row r="857">
      <c r="E857" s="320"/>
    </row>
    <row r="858">
      <c r="E858" s="320"/>
    </row>
    <row r="859">
      <c r="E859" s="320"/>
    </row>
    <row r="860">
      <c r="E860" s="320"/>
    </row>
    <row r="861">
      <c r="E861" s="320"/>
    </row>
    <row r="862">
      <c r="E862" s="320"/>
    </row>
    <row r="863">
      <c r="E863" s="320"/>
    </row>
    <row r="864">
      <c r="E864" s="320"/>
    </row>
    <row r="865">
      <c r="E865" s="320"/>
    </row>
    <row r="866">
      <c r="E866" s="320"/>
    </row>
    <row r="867">
      <c r="E867" s="320"/>
    </row>
    <row r="868">
      <c r="E868" s="320"/>
    </row>
    <row r="869">
      <c r="E869" s="320"/>
    </row>
    <row r="870">
      <c r="E870" s="320"/>
    </row>
    <row r="871">
      <c r="E871" s="320"/>
    </row>
    <row r="872">
      <c r="E872" s="320"/>
    </row>
    <row r="873">
      <c r="E873" s="320"/>
    </row>
    <row r="874">
      <c r="E874" s="320"/>
    </row>
    <row r="875">
      <c r="E875" s="320"/>
    </row>
    <row r="876">
      <c r="E876" s="320"/>
    </row>
    <row r="877">
      <c r="E877" s="320"/>
    </row>
    <row r="878">
      <c r="E878" s="320"/>
    </row>
    <row r="879">
      <c r="E879" s="320"/>
    </row>
    <row r="880">
      <c r="E880" s="320"/>
    </row>
    <row r="881">
      <c r="E881" s="320"/>
    </row>
    <row r="882">
      <c r="E882" s="320"/>
    </row>
    <row r="883">
      <c r="E883" s="320"/>
    </row>
    <row r="884">
      <c r="E884" s="320"/>
    </row>
    <row r="885">
      <c r="E885" s="320"/>
    </row>
    <row r="886">
      <c r="E886" s="320"/>
    </row>
    <row r="887">
      <c r="E887" s="320"/>
    </row>
    <row r="888">
      <c r="E888" s="320"/>
    </row>
    <row r="889">
      <c r="E889" s="320"/>
    </row>
    <row r="890">
      <c r="E890" s="320"/>
    </row>
    <row r="891">
      <c r="E891" s="320"/>
    </row>
    <row r="892">
      <c r="E892" s="320"/>
    </row>
    <row r="893">
      <c r="E893" s="320"/>
    </row>
    <row r="894">
      <c r="E894" s="320"/>
    </row>
    <row r="895">
      <c r="E895" s="320"/>
    </row>
    <row r="896">
      <c r="E896" s="320"/>
    </row>
    <row r="897">
      <c r="E897" s="320"/>
    </row>
    <row r="898">
      <c r="E898" s="320"/>
    </row>
    <row r="899">
      <c r="E899" s="320"/>
    </row>
    <row r="900">
      <c r="E900" s="320"/>
    </row>
    <row r="901">
      <c r="E901" s="320"/>
    </row>
    <row r="902">
      <c r="E902" s="320"/>
    </row>
    <row r="903">
      <c r="E903" s="320"/>
    </row>
    <row r="904">
      <c r="E904" s="320"/>
    </row>
    <row r="905">
      <c r="E905" s="320"/>
    </row>
    <row r="906">
      <c r="E906" s="320"/>
    </row>
    <row r="907">
      <c r="E907" s="320"/>
    </row>
    <row r="908">
      <c r="E908" s="320"/>
    </row>
    <row r="909">
      <c r="E909" s="320"/>
    </row>
    <row r="910">
      <c r="E910" s="320"/>
    </row>
    <row r="911">
      <c r="E911" s="320"/>
    </row>
    <row r="912">
      <c r="E912" s="320"/>
    </row>
    <row r="913">
      <c r="E913" s="320"/>
    </row>
    <row r="914">
      <c r="E914" s="320"/>
    </row>
    <row r="915">
      <c r="E915" s="320"/>
    </row>
    <row r="916">
      <c r="E916" s="320"/>
    </row>
    <row r="917">
      <c r="E917" s="320"/>
    </row>
    <row r="918">
      <c r="E918" s="320"/>
    </row>
    <row r="919">
      <c r="E919" s="320"/>
    </row>
    <row r="920">
      <c r="E920" s="320"/>
    </row>
    <row r="921">
      <c r="E921" s="320"/>
    </row>
    <row r="922">
      <c r="E922" s="320"/>
    </row>
    <row r="923">
      <c r="E923" s="320"/>
    </row>
    <row r="924">
      <c r="E924" s="320"/>
    </row>
    <row r="925">
      <c r="E925" s="320"/>
    </row>
    <row r="926">
      <c r="E926" s="320"/>
    </row>
    <row r="927">
      <c r="E927" s="320"/>
    </row>
    <row r="928">
      <c r="E928" s="320"/>
    </row>
    <row r="929">
      <c r="E929" s="320"/>
    </row>
    <row r="930">
      <c r="E930" s="320"/>
    </row>
    <row r="931">
      <c r="E931" s="320"/>
    </row>
    <row r="932">
      <c r="E932" s="320"/>
    </row>
    <row r="933">
      <c r="E933" s="320"/>
    </row>
    <row r="934">
      <c r="E934" s="320"/>
    </row>
    <row r="935">
      <c r="E935" s="320"/>
    </row>
    <row r="936">
      <c r="E936" s="320"/>
    </row>
    <row r="937">
      <c r="E937" s="320"/>
    </row>
    <row r="938">
      <c r="E938" s="320"/>
    </row>
    <row r="939">
      <c r="E939" s="320"/>
    </row>
    <row r="940">
      <c r="E940" s="320"/>
    </row>
    <row r="941">
      <c r="E941" s="320"/>
    </row>
    <row r="942">
      <c r="E942" s="320"/>
    </row>
    <row r="943">
      <c r="E943" s="320"/>
    </row>
    <row r="944">
      <c r="E944" s="320"/>
    </row>
    <row r="945">
      <c r="E945" s="320"/>
    </row>
    <row r="946">
      <c r="E946" s="320"/>
    </row>
    <row r="947">
      <c r="E947" s="320"/>
    </row>
    <row r="948">
      <c r="E948" s="320"/>
    </row>
    <row r="949">
      <c r="E949" s="320"/>
    </row>
    <row r="950">
      <c r="E950" s="320"/>
    </row>
    <row r="951">
      <c r="E951" s="320"/>
    </row>
    <row r="952">
      <c r="E952" s="320"/>
    </row>
    <row r="953">
      <c r="E953" s="320"/>
    </row>
    <row r="954">
      <c r="E954" s="320"/>
    </row>
    <row r="955">
      <c r="E955" s="320"/>
    </row>
    <row r="956">
      <c r="E956" s="320"/>
    </row>
    <row r="957">
      <c r="E957" s="320"/>
    </row>
    <row r="958">
      <c r="E958" s="320"/>
    </row>
    <row r="959">
      <c r="E959" s="320"/>
    </row>
    <row r="960">
      <c r="E960" s="320"/>
    </row>
    <row r="961">
      <c r="E961" s="320"/>
    </row>
    <row r="962">
      <c r="E962" s="320"/>
    </row>
    <row r="963">
      <c r="E963" s="320"/>
    </row>
    <row r="964">
      <c r="E964" s="320"/>
    </row>
    <row r="965">
      <c r="E965" s="320"/>
    </row>
    <row r="966">
      <c r="E966" s="320"/>
    </row>
    <row r="967">
      <c r="E967" s="320"/>
    </row>
    <row r="968">
      <c r="E968" s="320"/>
    </row>
    <row r="969">
      <c r="E969" s="320"/>
    </row>
    <row r="970">
      <c r="E970" s="320"/>
    </row>
    <row r="971">
      <c r="E971" s="320"/>
    </row>
    <row r="972">
      <c r="E972" s="320"/>
    </row>
    <row r="973">
      <c r="E973" s="320"/>
    </row>
    <row r="974">
      <c r="E974" s="320"/>
    </row>
    <row r="975">
      <c r="E975" s="320"/>
    </row>
    <row r="976">
      <c r="E976" s="320"/>
    </row>
    <row r="977">
      <c r="E977" s="320"/>
    </row>
    <row r="978">
      <c r="E978" s="320"/>
    </row>
    <row r="979">
      <c r="E979" s="320"/>
    </row>
    <row r="980">
      <c r="E980" s="320"/>
    </row>
    <row r="981">
      <c r="E981" s="320"/>
    </row>
    <row r="982">
      <c r="E982" s="320"/>
    </row>
    <row r="983">
      <c r="E983" s="320"/>
    </row>
    <row r="984">
      <c r="E984" s="320"/>
    </row>
    <row r="985">
      <c r="E985" s="320"/>
    </row>
    <row r="986">
      <c r="E986" s="320"/>
    </row>
    <row r="987">
      <c r="E987" s="320"/>
    </row>
    <row r="988">
      <c r="E988" s="320"/>
    </row>
    <row r="989">
      <c r="E989" s="320"/>
    </row>
    <row r="990">
      <c r="E990" s="320"/>
    </row>
    <row r="991">
      <c r="E991" s="320"/>
    </row>
    <row r="992">
      <c r="E992" s="320"/>
    </row>
    <row r="993">
      <c r="E993" s="320"/>
    </row>
    <row r="994">
      <c r="E994" s="320"/>
    </row>
    <row r="995">
      <c r="E995" s="320"/>
    </row>
    <row r="996">
      <c r="E996" s="320"/>
    </row>
    <row r="997">
      <c r="E997" s="320"/>
    </row>
    <row r="998">
      <c r="E998" s="320"/>
    </row>
    <row r="999">
      <c r="E999" s="320"/>
    </row>
    <row r="1000">
      <c r="E1000" s="320"/>
    </row>
    <row r="1001">
      <c r="E1001" s="320"/>
    </row>
    <row r="1002">
      <c r="E1002" s="320"/>
    </row>
    <row r="1003">
      <c r="E1003" s="320"/>
    </row>
    <row r="1004">
      <c r="E1004" s="320"/>
    </row>
    <row r="1005">
      <c r="E1005" s="320"/>
    </row>
    <row r="1006">
      <c r="E1006" s="320"/>
    </row>
    <row r="1007">
      <c r="E1007" s="320"/>
    </row>
    <row r="1008">
      <c r="E1008" s="320"/>
    </row>
    <row r="1009">
      <c r="E1009" s="320"/>
    </row>
    <row r="1010">
      <c r="E1010" s="320"/>
    </row>
    <row r="1011">
      <c r="E1011" s="320"/>
    </row>
  </sheetData>
  <mergeCells count="48">
    <mergeCell ref="E63:F63"/>
    <mergeCell ref="G63:H63"/>
    <mergeCell ref="I63:J63"/>
    <mergeCell ref="L63:M63"/>
    <mergeCell ref="D83:E83"/>
    <mergeCell ref="F83:G83"/>
    <mergeCell ref="K83:L83"/>
    <mergeCell ref="B83:C83"/>
    <mergeCell ref="B84:C84"/>
    <mergeCell ref="D84:E84"/>
    <mergeCell ref="F84:G84"/>
    <mergeCell ref="J84:K84"/>
    <mergeCell ref="I108:J108"/>
    <mergeCell ref="K108:L108"/>
    <mergeCell ref="N43:O43"/>
    <mergeCell ref="P43:R43"/>
    <mergeCell ref="U43:V43"/>
    <mergeCell ref="W43:Y43"/>
    <mergeCell ref="C25:F25"/>
    <mergeCell ref="J25:L25"/>
    <mergeCell ref="X25:AC25"/>
    <mergeCell ref="H42:J42"/>
    <mergeCell ref="K42:L42"/>
    <mergeCell ref="U42:W42"/>
    <mergeCell ref="G43:H43"/>
    <mergeCell ref="P62:Q62"/>
    <mergeCell ref="T62:V62"/>
    <mergeCell ref="V64:W64"/>
    <mergeCell ref="Y83:Z83"/>
    <mergeCell ref="AA83:AB83"/>
    <mergeCell ref="I43:J43"/>
    <mergeCell ref="K43:L43"/>
    <mergeCell ref="E62:F62"/>
    <mergeCell ref="G62:H62"/>
    <mergeCell ref="I62:J62"/>
    <mergeCell ref="L62:M62"/>
    <mergeCell ref="N62:O62"/>
    <mergeCell ref="Q108:R108"/>
    <mergeCell ref="AB109:AC109"/>
    <mergeCell ref="AD109:AE109"/>
    <mergeCell ref="AB125:AJ125"/>
    <mergeCell ref="N130:O130"/>
    <mergeCell ref="N131:O131"/>
    <mergeCell ref="Y134:AA134"/>
    <mergeCell ref="Y135:AD135"/>
    <mergeCell ref="D142:G142"/>
    <mergeCell ref="H160:M160"/>
    <mergeCell ref="O160:T16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10" width="20.88"/>
    <col customWidth="1" min="11" max="11" width="25.75"/>
    <col customWidth="1" min="12" max="17" width="21.88"/>
  </cols>
  <sheetData>
    <row r="1">
      <c r="A1" s="123" t="s">
        <v>3184</v>
      </c>
      <c r="B1" s="34"/>
      <c r="C1" s="34"/>
      <c r="D1" s="34"/>
      <c r="E1" s="34"/>
      <c r="F1" s="34"/>
      <c r="G1" s="34"/>
      <c r="H1" s="34"/>
      <c r="I1" s="34"/>
      <c r="J1" s="34"/>
      <c r="K1" s="34"/>
      <c r="L1" s="34"/>
      <c r="M1" s="34"/>
      <c r="N1" s="34"/>
      <c r="O1" s="34"/>
      <c r="P1" s="34"/>
      <c r="Q1" s="34"/>
      <c r="R1" s="34"/>
      <c r="S1" s="34" t="s">
        <v>3186</v>
      </c>
      <c r="T1" s="34"/>
      <c r="U1" s="34"/>
    </row>
    <row r="2">
      <c r="A2" s="398" t="s">
        <v>7</v>
      </c>
      <c r="B2" s="398" t="s">
        <v>2566</v>
      </c>
      <c r="C2" s="398" t="s">
        <v>2567</v>
      </c>
      <c r="D2" s="398" t="s">
        <v>3187</v>
      </c>
      <c r="E2" s="398" t="s">
        <v>3188</v>
      </c>
      <c r="F2" s="398" t="s">
        <v>3189</v>
      </c>
      <c r="G2" s="399" t="s">
        <v>3190</v>
      </c>
      <c r="H2" s="398" t="s">
        <v>3191</v>
      </c>
      <c r="I2" s="398" t="s">
        <v>3193</v>
      </c>
      <c r="J2" s="398" t="s">
        <v>3194</v>
      </c>
      <c r="K2" s="398" t="s">
        <v>3195</v>
      </c>
      <c r="L2" s="398" t="s">
        <v>1621</v>
      </c>
      <c r="M2" s="398" t="s">
        <v>3196</v>
      </c>
      <c r="N2" s="398" t="s">
        <v>2566</v>
      </c>
      <c r="O2" s="398" t="s">
        <v>2567</v>
      </c>
      <c r="P2" s="398" t="s">
        <v>3187</v>
      </c>
      <c r="Q2" s="398" t="s">
        <v>3188</v>
      </c>
      <c r="R2" s="34" t="s">
        <v>3197</v>
      </c>
      <c r="S2" s="34" t="s">
        <v>3198</v>
      </c>
      <c r="T2" s="34" t="s">
        <v>3199</v>
      </c>
      <c r="U2" s="34"/>
    </row>
    <row r="3">
      <c r="A3" s="398" t="s">
        <v>3193</v>
      </c>
      <c r="B3" s="400">
        <v>1.4E8</v>
      </c>
      <c r="C3" s="401"/>
      <c r="D3" s="401"/>
      <c r="E3" s="401"/>
      <c r="F3" s="401"/>
      <c r="G3" s="401"/>
      <c r="H3" s="401"/>
      <c r="I3" s="401"/>
      <c r="J3" s="401"/>
      <c r="K3" s="401"/>
      <c r="L3" s="401"/>
      <c r="M3" s="401"/>
      <c r="N3" s="401"/>
      <c r="O3" s="401"/>
      <c r="P3" s="401"/>
      <c r="Q3" s="401"/>
      <c r="R3" s="34" t="s">
        <v>3198</v>
      </c>
      <c r="S3" s="34" t="s">
        <v>3200</v>
      </c>
      <c r="T3" s="34" t="s">
        <v>1621</v>
      </c>
      <c r="U3" s="34"/>
    </row>
    <row r="4">
      <c r="A4" s="398" t="s">
        <v>3194</v>
      </c>
      <c r="B4" s="400">
        <v>1.4E8</v>
      </c>
      <c r="C4" s="400">
        <v>1.4E8</v>
      </c>
      <c r="D4" s="401"/>
      <c r="E4" s="401"/>
      <c r="F4" s="401"/>
      <c r="G4" s="401"/>
      <c r="H4" s="401"/>
      <c r="I4" s="401"/>
      <c r="J4" s="401"/>
      <c r="K4" s="401"/>
      <c r="L4" s="401"/>
      <c r="M4" s="401"/>
      <c r="N4" s="401"/>
      <c r="O4" s="401"/>
      <c r="P4" s="401"/>
      <c r="Q4" s="401"/>
      <c r="R4" s="34" t="s">
        <v>3198</v>
      </c>
      <c r="S4" s="34" t="s">
        <v>3201</v>
      </c>
      <c r="T4" s="34" t="s">
        <v>3202</v>
      </c>
      <c r="U4" s="34"/>
    </row>
    <row r="5">
      <c r="A5" s="398" t="s">
        <v>3195</v>
      </c>
      <c r="B5" s="400">
        <v>1.4E8</v>
      </c>
      <c r="C5" s="400">
        <v>1.4E8</v>
      </c>
      <c r="D5" s="400">
        <v>1.4E8</v>
      </c>
      <c r="E5" s="401"/>
      <c r="F5" s="401"/>
      <c r="G5" s="401"/>
      <c r="H5" s="401"/>
      <c r="I5" s="401"/>
      <c r="J5" s="401"/>
      <c r="K5" s="401"/>
      <c r="L5" s="401"/>
      <c r="M5" s="401"/>
      <c r="N5" s="401"/>
      <c r="O5" s="401"/>
      <c r="P5" s="401"/>
      <c r="Q5" s="401"/>
      <c r="R5" s="34" t="s">
        <v>3198</v>
      </c>
      <c r="S5" s="34" t="s">
        <v>3203</v>
      </c>
      <c r="T5" s="34" t="s">
        <v>3194</v>
      </c>
      <c r="U5" s="34"/>
    </row>
    <row r="6">
      <c r="A6" s="399" t="s">
        <v>1621</v>
      </c>
      <c r="B6" s="400">
        <v>1.4E8</v>
      </c>
      <c r="C6" s="400">
        <v>1.4E8</v>
      </c>
      <c r="D6" s="400">
        <v>1.4E8</v>
      </c>
      <c r="E6" s="400">
        <v>1.4E8</v>
      </c>
      <c r="F6" s="401"/>
      <c r="G6" s="401"/>
      <c r="H6" s="401"/>
      <c r="I6" s="401"/>
      <c r="J6" s="401"/>
      <c r="K6" s="401"/>
      <c r="L6" s="401"/>
      <c r="M6" s="401"/>
      <c r="N6" s="401"/>
      <c r="O6" s="401"/>
      <c r="P6" s="401"/>
      <c r="Q6" s="401"/>
      <c r="R6" s="34" t="s">
        <v>3198</v>
      </c>
      <c r="S6" s="34" t="s">
        <v>3205</v>
      </c>
      <c r="T6" s="34" t="s">
        <v>3206</v>
      </c>
      <c r="U6" s="34"/>
    </row>
    <row r="7">
      <c r="A7" s="399" t="s">
        <v>3196</v>
      </c>
      <c r="B7" s="400">
        <v>1.4E8</v>
      </c>
      <c r="C7" s="400">
        <v>1.4E8</v>
      </c>
      <c r="D7" s="400">
        <v>1.4E8</v>
      </c>
      <c r="E7" s="400">
        <v>1.4E8</v>
      </c>
      <c r="F7" s="400">
        <v>1.4E8</v>
      </c>
      <c r="G7" s="401"/>
      <c r="H7" s="401"/>
      <c r="I7" s="401"/>
      <c r="J7" s="401"/>
      <c r="K7" s="401"/>
      <c r="L7" s="401"/>
      <c r="M7" s="401"/>
      <c r="N7" s="401"/>
      <c r="O7" s="401"/>
      <c r="P7" s="401"/>
      <c r="Q7" s="401"/>
      <c r="R7" s="34" t="s">
        <v>3198</v>
      </c>
      <c r="S7" s="34" t="s">
        <v>3207</v>
      </c>
      <c r="T7" s="34" t="s">
        <v>3208</v>
      </c>
      <c r="U7" s="34"/>
    </row>
    <row r="8">
      <c r="A8" s="399" t="s">
        <v>2566</v>
      </c>
      <c r="B8" s="400">
        <v>1.0E8</v>
      </c>
      <c r="C8" s="400">
        <v>1.4E8</v>
      </c>
      <c r="D8" s="400">
        <v>1.4E8</v>
      </c>
      <c r="E8" s="400">
        <v>1.4E8</v>
      </c>
      <c r="F8" s="400">
        <v>1.4E8</v>
      </c>
      <c r="G8" s="400">
        <v>1.4E8</v>
      </c>
      <c r="H8" s="401"/>
      <c r="I8" s="401"/>
      <c r="J8" s="401"/>
      <c r="K8" s="401"/>
      <c r="L8" s="401"/>
      <c r="M8" s="401"/>
      <c r="N8" s="401"/>
      <c r="O8" s="401"/>
      <c r="P8" s="401"/>
      <c r="Q8" s="401"/>
      <c r="R8" s="34" t="s">
        <v>3198</v>
      </c>
      <c r="S8" s="34" t="s">
        <v>3209</v>
      </c>
      <c r="T8" s="34" t="s">
        <v>3210</v>
      </c>
      <c r="U8" s="34"/>
    </row>
    <row r="9">
      <c r="A9" s="399" t="s">
        <v>2567</v>
      </c>
      <c r="B9" s="402"/>
      <c r="C9" s="400">
        <v>1.0E8</v>
      </c>
      <c r="D9" s="400">
        <v>1.4E8</v>
      </c>
      <c r="E9" s="400">
        <v>1.4E8</v>
      </c>
      <c r="F9" s="400">
        <v>1.4E8</v>
      </c>
      <c r="G9" s="400">
        <v>1.4E8</v>
      </c>
      <c r="H9" s="400">
        <v>1.4E8</v>
      </c>
      <c r="I9" s="401"/>
      <c r="J9" s="401"/>
      <c r="K9" s="401"/>
      <c r="L9" s="401"/>
      <c r="M9" s="401"/>
      <c r="N9" s="401"/>
      <c r="O9" s="401"/>
      <c r="P9" s="401"/>
      <c r="Q9" s="401"/>
      <c r="R9" s="34"/>
      <c r="S9" s="34"/>
      <c r="T9" s="34"/>
      <c r="U9" s="34"/>
    </row>
    <row r="10">
      <c r="A10" s="399" t="s">
        <v>3187</v>
      </c>
      <c r="B10" s="402"/>
      <c r="C10" s="402"/>
      <c r="D10" s="400">
        <v>1.0E8</v>
      </c>
      <c r="E10" s="400">
        <v>1.4E8</v>
      </c>
      <c r="F10" s="400">
        <v>1.4E8</v>
      </c>
      <c r="G10" s="400">
        <v>1.4E8</v>
      </c>
      <c r="H10" s="400">
        <v>1.4E8</v>
      </c>
      <c r="I10" s="400">
        <v>1.4E8</v>
      </c>
      <c r="J10" s="401"/>
      <c r="K10" s="401"/>
      <c r="L10" s="401"/>
      <c r="M10" s="401"/>
      <c r="N10" s="401"/>
      <c r="O10" s="401"/>
      <c r="P10" s="401"/>
      <c r="Q10" s="401"/>
      <c r="R10" s="34"/>
      <c r="S10" s="34"/>
      <c r="T10" s="34"/>
      <c r="U10" s="34"/>
    </row>
    <row r="11">
      <c r="A11" s="399" t="s">
        <v>3188</v>
      </c>
      <c r="B11" s="402"/>
      <c r="C11" s="402"/>
      <c r="D11" s="402"/>
      <c r="E11" s="400">
        <v>1.0E8</v>
      </c>
      <c r="F11" s="400">
        <v>1.4E8</v>
      </c>
      <c r="G11" s="400">
        <v>1.4E8</v>
      </c>
      <c r="H11" s="400">
        <v>1.4E8</v>
      </c>
      <c r="I11" s="400">
        <v>1.4E8</v>
      </c>
      <c r="J11" s="400">
        <v>1.4E8</v>
      </c>
      <c r="K11" s="401"/>
      <c r="L11" s="401"/>
      <c r="M11" s="401"/>
      <c r="N11" s="401"/>
      <c r="O11" s="401"/>
      <c r="P11" s="401"/>
      <c r="Q11" s="401"/>
      <c r="R11" s="34"/>
      <c r="S11" s="34"/>
      <c r="T11" s="34"/>
      <c r="U11" s="34"/>
    </row>
    <row r="12">
      <c r="A12" s="399" t="s">
        <v>3189</v>
      </c>
      <c r="B12" s="402"/>
      <c r="C12" s="402"/>
      <c r="D12" s="402"/>
      <c r="E12" s="402"/>
      <c r="F12" s="400">
        <v>1.0E8</v>
      </c>
      <c r="G12" s="400">
        <v>1.4E8</v>
      </c>
      <c r="H12" s="400">
        <v>1.4E8</v>
      </c>
      <c r="I12" s="400">
        <v>1.4E8</v>
      </c>
      <c r="J12" s="400">
        <v>1.4E8</v>
      </c>
      <c r="K12" s="400">
        <v>1.4E8</v>
      </c>
      <c r="L12" s="401"/>
      <c r="M12" s="401"/>
      <c r="N12" s="401"/>
      <c r="O12" s="401"/>
      <c r="P12" s="401"/>
      <c r="Q12" s="401"/>
      <c r="R12" s="34"/>
      <c r="S12" s="34"/>
      <c r="T12" s="34"/>
      <c r="U12" s="34"/>
    </row>
    <row r="13">
      <c r="A13" s="399" t="s">
        <v>3190</v>
      </c>
      <c r="B13" s="402"/>
      <c r="C13" s="402"/>
      <c r="D13" s="402"/>
      <c r="E13" s="402"/>
      <c r="F13" s="402"/>
      <c r="G13" s="400">
        <v>1.0E8</v>
      </c>
      <c r="H13" s="400">
        <v>1.4E8</v>
      </c>
      <c r="I13" s="400">
        <v>1.4E8</v>
      </c>
      <c r="J13" s="400">
        <v>1.4E8</v>
      </c>
      <c r="K13" s="400">
        <v>1.4E8</v>
      </c>
      <c r="L13" s="400">
        <v>1.4E8</v>
      </c>
      <c r="M13" s="401"/>
      <c r="N13" s="401"/>
      <c r="O13" s="401"/>
      <c r="P13" s="401"/>
      <c r="Q13" s="401"/>
      <c r="R13" s="34"/>
      <c r="S13" s="34"/>
      <c r="T13" s="34"/>
      <c r="U13" s="34"/>
    </row>
    <row r="14">
      <c r="A14" s="399" t="s">
        <v>3191</v>
      </c>
      <c r="B14" s="402"/>
      <c r="C14" s="402"/>
      <c r="D14" s="402"/>
      <c r="E14" s="402"/>
      <c r="F14" s="402"/>
      <c r="G14" s="402"/>
      <c r="H14" s="400">
        <v>1.0E8</v>
      </c>
      <c r="I14" s="400">
        <v>1.4E8</v>
      </c>
      <c r="J14" s="400">
        <v>1.4E8</v>
      </c>
      <c r="K14" s="400">
        <v>1.4E8</v>
      </c>
      <c r="L14" s="400">
        <v>1.4E8</v>
      </c>
      <c r="M14" s="400">
        <v>1.4E8</v>
      </c>
      <c r="N14" s="401"/>
      <c r="O14" s="401"/>
      <c r="P14" s="401"/>
      <c r="Q14" s="401"/>
      <c r="R14" s="34"/>
      <c r="S14" s="34"/>
      <c r="T14" s="34"/>
      <c r="U14" s="34"/>
    </row>
    <row r="15">
      <c r="A15" s="399" t="s">
        <v>3193</v>
      </c>
      <c r="B15" s="402"/>
      <c r="C15" s="402"/>
      <c r="D15" s="402"/>
      <c r="E15" s="402"/>
      <c r="F15" s="402"/>
      <c r="G15" s="402"/>
      <c r="H15" s="402"/>
      <c r="I15" s="400">
        <v>1.0E8</v>
      </c>
      <c r="J15" s="400">
        <v>1.4E8</v>
      </c>
      <c r="K15" s="400">
        <v>1.4E8</v>
      </c>
      <c r="L15" s="400">
        <v>1.4E8</v>
      </c>
      <c r="M15" s="400">
        <v>1.4E8</v>
      </c>
      <c r="N15" s="400">
        <v>1.4E8</v>
      </c>
      <c r="O15" s="401"/>
      <c r="P15" s="401"/>
      <c r="Q15" s="401"/>
      <c r="R15" s="34"/>
      <c r="S15" s="34"/>
      <c r="T15" s="34"/>
      <c r="U15" s="34"/>
    </row>
    <row r="16">
      <c r="A16" s="399" t="s">
        <v>3215</v>
      </c>
      <c r="B16" s="402"/>
      <c r="C16" s="402"/>
      <c r="D16" s="402"/>
      <c r="E16" s="402"/>
      <c r="F16" s="402"/>
      <c r="G16" s="402"/>
      <c r="H16" s="402"/>
      <c r="I16" s="402"/>
      <c r="J16" s="400">
        <v>1.0E8</v>
      </c>
      <c r="K16" s="400">
        <v>1.4E8</v>
      </c>
      <c r="L16" s="400">
        <v>1.4E8</v>
      </c>
      <c r="M16" s="400">
        <v>1.4E8</v>
      </c>
      <c r="N16" s="400">
        <v>1.4E8</v>
      </c>
      <c r="O16" s="400">
        <v>1.4E8</v>
      </c>
      <c r="P16" s="401"/>
      <c r="Q16" s="401"/>
      <c r="R16" s="34"/>
      <c r="S16" s="34"/>
      <c r="T16" s="34"/>
      <c r="U16" s="34"/>
    </row>
    <row r="17">
      <c r="A17" s="399" t="s">
        <v>3216</v>
      </c>
      <c r="B17" s="402"/>
      <c r="C17" s="402"/>
      <c r="D17" s="402"/>
      <c r="E17" s="402"/>
      <c r="F17" s="402"/>
      <c r="G17" s="402"/>
      <c r="H17" s="402"/>
      <c r="I17" s="402"/>
      <c r="J17" s="402"/>
      <c r="K17" s="400">
        <v>1.0E8</v>
      </c>
      <c r="L17" s="400">
        <v>1.4E8</v>
      </c>
      <c r="M17" s="400">
        <v>1.4E8</v>
      </c>
      <c r="N17" s="400">
        <v>1.4E8</v>
      </c>
      <c r="O17" s="400">
        <v>1.4E8</v>
      </c>
      <c r="P17" s="400">
        <v>1.4E8</v>
      </c>
      <c r="Q17" s="401"/>
      <c r="R17" s="34"/>
      <c r="S17" s="34"/>
      <c r="T17" s="34"/>
      <c r="U17" s="34"/>
    </row>
    <row r="18">
      <c r="A18" s="399" t="s">
        <v>1817</v>
      </c>
      <c r="B18" s="402"/>
      <c r="C18" s="402"/>
      <c r="D18" s="402"/>
      <c r="E18" s="402"/>
      <c r="F18" s="402"/>
      <c r="G18" s="402"/>
      <c r="H18" s="402"/>
      <c r="I18" s="402"/>
      <c r="J18" s="402"/>
      <c r="K18" s="402"/>
      <c r="L18" s="400">
        <v>1.0E8</v>
      </c>
      <c r="M18" s="400">
        <v>1.4E8</v>
      </c>
      <c r="N18" s="400">
        <v>1.47E8</v>
      </c>
      <c r="O18" s="400">
        <v>1.47E8</v>
      </c>
      <c r="P18" s="400">
        <v>1.47E8</v>
      </c>
      <c r="Q18" s="400">
        <v>1.47E8</v>
      </c>
      <c r="R18" s="34"/>
      <c r="S18" s="34"/>
      <c r="T18" s="34"/>
      <c r="U18" s="34"/>
    </row>
    <row r="19">
      <c r="A19" s="399" t="s">
        <v>2563</v>
      </c>
      <c r="B19" s="402"/>
      <c r="C19" s="402"/>
      <c r="D19" s="402"/>
      <c r="E19" s="402"/>
      <c r="F19" s="402"/>
      <c r="G19" s="402"/>
      <c r="H19" s="402"/>
      <c r="I19" s="402"/>
      <c r="J19" s="402"/>
      <c r="K19" s="402"/>
      <c r="L19" s="402"/>
      <c r="M19" s="400">
        <v>1.05E8</v>
      </c>
      <c r="N19" s="400">
        <v>1.47E8</v>
      </c>
      <c r="O19" s="400">
        <v>1.47E8</v>
      </c>
      <c r="P19" s="400">
        <v>1.47E8</v>
      </c>
      <c r="Q19" s="400">
        <v>1.47E8</v>
      </c>
      <c r="R19" s="34"/>
      <c r="S19" s="34"/>
      <c r="T19" s="34"/>
      <c r="U19" s="34"/>
    </row>
    <row r="20">
      <c r="A20" s="399" t="s">
        <v>3218</v>
      </c>
      <c r="B20" s="402"/>
      <c r="C20" s="402"/>
      <c r="D20" s="402"/>
      <c r="E20" s="402"/>
      <c r="F20" s="402"/>
      <c r="G20" s="402"/>
      <c r="H20" s="402"/>
      <c r="I20" s="402"/>
      <c r="J20" s="402"/>
      <c r="K20" s="402"/>
      <c r="L20" s="402"/>
      <c r="M20" s="402"/>
      <c r="N20" s="400">
        <v>1.05E8</v>
      </c>
      <c r="O20" s="400">
        <v>1.47E8</v>
      </c>
      <c r="P20" s="400">
        <v>1.47E8</v>
      </c>
      <c r="Q20" s="400">
        <v>1.47E8</v>
      </c>
      <c r="R20" s="34"/>
      <c r="S20" s="34"/>
      <c r="T20" s="34"/>
      <c r="U20" s="34"/>
    </row>
    <row r="21">
      <c r="A21" s="399" t="s">
        <v>2567</v>
      </c>
      <c r="B21" s="402"/>
      <c r="C21" s="402"/>
      <c r="D21" s="402"/>
      <c r="E21" s="402"/>
      <c r="F21" s="402"/>
      <c r="G21" s="402"/>
      <c r="H21" s="402"/>
      <c r="I21" s="402"/>
      <c r="J21" s="402"/>
      <c r="K21" s="402"/>
      <c r="L21" s="402"/>
      <c r="M21" s="402"/>
      <c r="N21" s="402"/>
      <c r="O21" s="400">
        <v>1.05E8</v>
      </c>
      <c r="P21" s="400">
        <v>1.47E8</v>
      </c>
      <c r="Q21" s="400">
        <v>1.47E8</v>
      </c>
      <c r="R21" s="34"/>
      <c r="S21" s="34"/>
      <c r="T21" s="34"/>
      <c r="U21" s="34"/>
    </row>
    <row r="22">
      <c r="A22" s="399" t="s">
        <v>3187</v>
      </c>
      <c r="B22" s="402"/>
      <c r="C22" s="402"/>
      <c r="D22" s="402"/>
      <c r="E22" s="402"/>
      <c r="F22" s="402"/>
      <c r="G22" s="402"/>
      <c r="H22" s="402"/>
      <c r="I22" s="402"/>
      <c r="J22" s="402"/>
      <c r="K22" s="402"/>
      <c r="L22" s="402"/>
      <c r="M22" s="402"/>
      <c r="N22" s="402"/>
      <c r="O22" s="402"/>
      <c r="P22" s="400">
        <v>1.05E8</v>
      </c>
      <c r="Q22" s="400">
        <v>1.47E8</v>
      </c>
      <c r="R22" s="34"/>
      <c r="S22" s="34"/>
      <c r="T22" s="34"/>
      <c r="U22" s="34"/>
    </row>
    <row r="23">
      <c r="A23" s="399" t="s">
        <v>3188</v>
      </c>
      <c r="B23" s="402"/>
      <c r="C23" s="402"/>
      <c r="D23" s="402"/>
      <c r="E23" s="402"/>
      <c r="F23" s="402"/>
      <c r="G23" s="402"/>
      <c r="H23" s="402"/>
      <c r="I23" s="402"/>
      <c r="J23" s="402"/>
      <c r="K23" s="402"/>
      <c r="L23" s="402"/>
      <c r="M23" s="402"/>
      <c r="N23" s="402"/>
      <c r="O23" s="402"/>
      <c r="P23" s="402"/>
      <c r="Q23" s="400">
        <v>1.05E8</v>
      </c>
      <c r="R23" s="34"/>
      <c r="S23" s="34"/>
      <c r="T23" s="34"/>
      <c r="U23" s="34"/>
    </row>
    <row r="24">
      <c r="A24" s="403"/>
      <c r="B24" s="402"/>
      <c r="C24" s="402"/>
      <c r="D24" s="402"/>
      <c r="E24" s="402"/>
      <c r="F24" s="402"/>
      <c r="G24" s="402"/>
      <c r="H24" s="402"/>
      <c r="I24" s="402"/>
      <c r="J24" s="402"/>
      <c r="K24" s="402"/>
      <c r="L24" s="402"/>
      <c r="M24" s="402"/>
      <c r="N24" s="402"/>
      <c r="O24" s="402"/>
      <c r="P24" s="402"/>
      <c r="Q24" s="402"/>
      <c r="R24" s="34"/>
      <c r="S24" s="34"/>
      <c r="T24" s="34"/>
      <c r="U24" s="34"/>
    </row>
    <row r="25">
      <c r="A25" s="403"/>
      <c r="B25" s="402"/>
      <c r="C25" s="402"/>
      <c r="D25" s="402"/>
      <c r="E25" s="402"/>
      <c r="F25" s="402"/>
      <c r="G25" s="402"/>
      <c r="H25" s="402"/>
      <c r="I25" s="402"/>
      <c r="J25" s="402"/>
      <c r="K25" s="402"/>
      <c r="L25" s="402"/>
      <c r="M25" s="402"/>
      <c r="N25" s="402"/>
      <c r="O25" s="402"/>
      <c r="P25" s="402"/>
      <c r="Q25" s="402"/>
      <c r="R25" s="34"/>
      <c r="S25" s="34"/>
      <c r="T25" s="34"/>
      <c r="U25" s="34"/>
    </row>
    <row r="26">
      <c r="A26" s="399" t="s">
        <v>3221</v>
      </c>
      <c r="B26" s="404">
        <f t="shared" ref="B26:Q26" si="1">SUM(B3:B25)</f>
        <v>800000000</v>
      </c>
      <c r="C26" s="404">
        <f t="shared" si="1"/>
        <v>800000000</v>
      </c>
      <c r="D26" s="404">
        <f t="shared" si="1"/>
        <v>800000000</v>
      </c>
      <c r="E26" s="404">
        <f t="shared" si="1"/>
        <v>800000000</v>
      </c>
      <c r="F26" s="404">
        <f t="shared" si="1"/>
        <v>800000000</v>
      </c>
      <c r="G26" s="404">
        <f t="shared" si="1"/>
        <v>800000000</v>
      </c>
      <c r="H26" s="404">
        <f t="shared" si="1"/>
        <v>800000000</v>
      </c>
      <c r="I26" s="404">
        <f t="shared" si="1"/>
        <v>800000000</v>
      </c>
      <c r="J26" s="404">
        <f t="shared" si="1"/>
        <v>800000000</v>
      </c>
      <c r="K26" s="404">
        <f t="shared" si="1"/>
        <v>800000000</v>
      </c>
      <c r="L26" s="404">
        <f t="shared" si="1"/>
        <v>800000000</v>
      </c>
      <c r="M26" s="404">
        <f t="shared" si="1"/>
        <v>805000000</v>
      </c>
      <c r="N26" s="404">
        <f t="shared" si="1"/>
        <v>819000000</v>
      </c>
      <c r="O26" s="404">
        <f t="shared" si="1"/>
        <v>826000000</v>
      </c>
      <c r="P26" s="404">
        <f t="shared" si="1"/>
        <v>833000000</v>
      </c>
      <c r="Q26" s="404">
        <f t="shared" si="1"/>
        <v>840000000</v>
      </c>
      <c r="R26" s="34"/>
      <c r="S26" s="34"/>
      <c r="T26" s="34"/>
      <c r="U26" s="34"/>
    </row>
    <row r="27">
      <c r="A27" s="405" t="s">
        <v>3224</v>
      </c>
      <c r="B27" s="406">
        <v>5200000.0</v>
      </c>
      <c r="C27" s="406">
        <v>5200000.0</v>
      </c>
      <c r="D27" s="406">
        <v>5200000.0</v>
      </c>
      <c r="E27" s="406">
        <v>5200000.0</v>
      </c>
      <c r="F27" s="406">
        <v>5200000.0</v>
      </c>
      <c r="G27" s="406">
        <v>5200000.0</v>
      </c>
      <c r="H27" s="406">
        <v>5200000.0</v>
      </c>
      <c r="I27" s="406">
        <v>5200000.0</v>
      </c>
      <c r="J27" s="406">
        <v>5200000.0</v>
      </c>
      <c r="K27" s="406">
        <v>5200000.0</v>
      </c>
      <c r="L27" s="406">
        <v>5200000.0</v>
      </c>
      <c r="M27" s="406">
        <v>5200000.0</v>
      </c>
      <c r="N27" s="406">
        <v>5200000.0</v>
      </c>
      <c r="O27" s="406">
        <v>5200000.0</v>
      </c>
      <c r="P27" s="406">
        <v>5200000.0</v>
      </c>
      <c r="Q27" s="406">
        <v>5200000.0</v>
      </c>
      <c r="R27" s="34"/>
      <c r="S27" s="34"/>
      <c r="T27" s="34"/>
      <c r="U27" s="34"/>
    </row>
    <row r="28">
      <c r="A28" s="407">
        <v>0.3</v>
      </c>
      <c r="B28" s="408" t="s">
        <v>3225</v>
      </c>
      <c r="C28" s="408" t="s">
        <v>3225</v>
      </c>
      <c r="D28" s="408" t="s">
        <v>3225</v>
      </c>
      <c r="E28" s="408" t="s">
        <v>3225</v>
      </c>
      <c r="F28" s="408" t="s">
        <v>3225</v>
      </c>
      <c r="G28" s="408" t="s">
        <v>3225</v>
      </c>
      <c r="H28" s="408" t="s">
        <v>3225</v>
      </c>
      <c r="I28" s="408" t="s">
        <v>3225</v>
      </c>
      <c r="J28" s="408" t="s">
        <v>3225</v>
      </c>
      <c r="K28" s="408" t="s">
        <v>3225</v>
      </c>
      <c r="L28" s="408" t="s">
        <v>3225</v>
      </c>
      <c r="M28" s="408" t="s">
        <v>3225</v>
      </c>
      <c r="N28" s="408" t="s">
        <v>3225</v>
      </c>
      <c r="O28" s="408" t="s">
        <v>3225</v>
      </c>
      <c r="P28" s="408" t="s">
        <v>3225</v>
      </c>
      <c r="Q28" s="408" t="s">
        <v>3225</v>
      </c>
      <c r="R28" s="34"/>
      <c r="S28" s="34"/>
      <c r="T28" s="34"/>
      <c r="U28" s="34"/>
    </row>
    <row r="29">
      <c r="A29" s="409">
        <v>0.4</v>
      </c>
      <c r="B29" s="410"/>
      <c r="C29" s="410"/>
      <c r="D29" s="410"/>
      <c r="E29" s="410"/>
      <c r="F29" s="410"/>
      <c r="G29" s="410"/>
      <c r="H29" s="410"/>
      <c r="I29" s="410"/>
      <c r="J29" s="410"/>
      <c r="K29" s="410"/>
      <c r="L29" s="410"/>
      <c r="M29" s="410"/>
      <c r="N29" s="410"/>
      <c r="O29" s="410"/>
      <c r="P29" s="410"/>
      <c r="Q29" s="410"/>
      <c r="R29" s="34"/>
      <c r="S29" s="34"/>
      <c r="T29" s="34"/>
      <c r="U29" s="34"/>
    </row>
    <row r="30">
      <c r="A30" s="411" t="s">
        <v>3230</v>
      </c>
      <c r="B30" s="412">
        <f t="shared" ref="B30:Q30" si="2">B27/B26</f>
        <v>0.0065</v>
      </c>
      <c r="C30" s="412">
        <f t="shared" si="2"/>
        <v>0.0065</v>
      </c>
      <c r="D30" s="412">
        <f t="shared" si="2"/>
        <v>0.0065</v>
      </c>
      <c r="E30" s="412">
        <f t="shared" si="2"/>
        <v>0.0065</v>
      </c>
      <c r="F30" s="412">
        <f t="shared" si="2"/>
        <v>0.0065</v>
      </c>
      <c r="G30" s="412">
        <f t="shared" si="2"/>
        <v>0.0065</v>
      </c>
      <c r="H30" s="412">
        <f t="shared" si="2"/>
        <v>0.0065</v>
      </c>
      <c r="I30" s="412">
        <f t="shared" si="2"/>
        <v>0.0065</v>
      </c>
      <c r="J30" s="412">
        <f t="shared" si="2"/>
        <v>0.0065</v>
      </c>
      <c r="K30" s="412">
        <f t="shared" si="2"/>
        <v>0.0065</v>
      </c>
      <c r="L30" s="412">
        <f t="shared" si="2"/>
        <v>0.0065</v>
      </c>
      <c r="M30" s="412">
        <f t="shared" si="2"/>
        <v>0.006459627329</v>
      </c>
      <c r="N30" s="412">
        <f t="shared" si="2"/>
        <v>0.006349206349</v>
      </c>
      <c r="O30" s="412">
        <f t="shared" si="2"/>
        <v>0.006295399516</v>
      </c>
      <c r="P30" s="412">
        <f t="shared" si="2"/>
        <v>0.006242496999</v>
      </c>
      <c r="Q30" s="412">
        <f t="shared" si="2"/>
        <v>0.00619047619</v>
      </c>
      <c r="R30" s="34"/>
      <c r="S30" s="34"/>
      <c r="T30" s="34"/>
      <c r="U30" s="34"/>
    </row>
    <row r="31">
      <c r="A31" s="34"/>
      <c r="B31" s="34"/>
      <c r="C31" s="34"/>
      <c r="D31" s="34"/>
      <c r="E31" s="34"/>
      <c r="F31" s="34"/>
      <c r="G31" s="34"/>
      <c r="H31" s="34"/>
      <c r="I31" s="34"/>
      <c r="J31" s="34"/>
      <c r="K31" s="34"/>
      <c r="L31" s="34"/>
      <c r="M31" s="34"/>
      <c r="N31" s="34"/>
      <c r="O31" s="34"/>
      <c r="P31" s="34"/>
      <c r="Q31" s="34"/>
      <c r="R31" s="34"/>
      <c r="S31" s="34"/>
      <c r="T31" s="34"/>
      <c r="U31" s="34"/>
    </row>
    <row r="32">
      <c r="A32" s="34"/>
      <c r="B32" s="34"/>
      <c r="C32" s="34"/>
      <c r="D32" s="34"/>
      <c r="E32" s="34"/>
      <c r="F32" s="34"/>
      <c r="G32" s="34"/>
      <c r="H32" s="34"/>
      <c r="I32" s="34"/>
      <c r="J32" s="34"/>
      <c r="K32" s="34"/>
      <c r="L32" s="34"/>
      <c r="M32" s="34"/>
      <c r="N32" s="34"/>
      <c r="O32" s="34"/>
      <c r="P32" s="34"/>
      <c r="Q32" s="34"/>
      <c r="R32" s="34"/>
      <c r="S32" s="34"/>
      <c r="T32" s="34"/>
      <c r="U32" s="34"/>
    </row>
    <row r="33">
      <c r="A33" s="413"/>
    </row>
    <row r="34">
      <c r="A34" s="414" t="s">
        <v>3234</v>
      </c>
    </row>
    <row r="35">
      <c r="B35" s="14" t="s">
        <v>920</v>
      </c>
      <c r="C35" s="14" t="s">
        <v>3235</v>
      </c>
      <c r="D35" s="14" t="s">
        <v>3236</v>
      </c>
    </row>
    <row r="36">
      <c r="A36" s="415" t="s">
        <v>3238</v>
      </c>
      <c r="B36" s="416" t="s">
        <v>3239</v>
      </c>
      <c r="C36" s="416" t="s">
        <v>3240</v>
      </c>
    </row>
    <row r="37">
      <c r="A37" s="410"/>
      <c r="B37" s="416" t="s">
        <v>3239</v>
      </c>
      <c r="C37" s="416" t="s">
        <v>3240</v>
      </c>
      <c r="E37" s="14" t="s">
        <v>3241</v>
      </c>
    </row>
    <row r="39" ht="3.0" customHeight="1"/>
    <row r="40">
      <c r="A40" s="415" t="s">
        <v>3242</v>
      </c>
    </row>
    <row r="41" ht="35.25" customHeight="1">
      <c r="A41" s="410"/>
      <c r="O41" s="14" t="s">
        <v>3196</v>
      </c>
      <c r="P41" s="14" t="s">
        <v>2566</v>
      </c>
      <c r="Q41" s="14" t="s">
        <v>2567</v>
      </c>
    </row>
    <row r="42">
      <c r="O42" s="14" t="s">
        <v>3243</v>
      </c>
      <c r="P42" s="14" t="s">
        <v>3200</v>
      </c>
      <c r="Q42" s="14" t="s">
        <v>3200</v>
      </c>
    </row>
    <row r="43">
      <c r="A43" s="417" t="s">
        <v>2563</v>
      </c>
      <c r="F43" s="293" t="s">
        <v>3245</v>
      </c>
      <c r="O43" s="14" t="s">
        <v>3201</v>
      </c>
      <c r="P43" s="14" t="s">
        <v>3201</v>
      </c>
    </row>
    <row r="44">
      <c r="A44" s="108"/>
      <c r="B44" s="108"/>
      <c r="C44" s="108"/>
      <c r="D44" s="34"/>
      <c r="E44" s="34"/>
      <c r="F44" s="34"/>
      <c r="O44" s="14" t="s">
        <v>3203</v>
      </c>
    </row>
    <row r="45">
      <c r="A45" s="406" t="s">
        <v>3246</v>
      </c>
      <c r="B45" s="108"/>
      <c r="C45" s="108"/>
      <c r="D45" s="34"/>
      <c r="E45" s="418" t="s">
        <v>3247</v>
      </c>
      <c r="F45" s="34"/>
      <c r="H45" s="406" t="s">
        <v>3246</v>
      </c>
    </row>
    <row r="46">
      <c r="A46" s="419" t="s">
        <v>3248</v>
      </c>
      <c r="D46" s="419" t="s">
        <v>3250</v>
      </c>
      <c r="H46" s="14" t="s">
        <v>3251</v>
      </c>
    </row>
    <row r="47">
      <c r="A47" s="420" t="s">
        <v>3252</v>
      </c>
      <c r="B47" s="421" t="s">
        <v>2269</v>
      </c>
      <c r="C47" s="420" t="s">
        <v>3253</v>
      </c>
      <c r="D47" s="34"/>
      <c r="E47" s="34"/>
      <c r="F47" s="34"/>
      <c r="H47" s="31">
        <f>C48+C52+C56+C60</f>
        <v>52160000</v>
      </c>
    </row>
    <row r="48">
      <c r="A48" s="295">
        <v>1.0E9</v>
      </c>
      <c r="B48" s="296">
        <v>0.009</v>
      </c>
      <c r="C48" s="295">
        <f>A48*B48</f>
        <v>9000000</v>
      </c>
      <c r="D48" s="34"/>
      <c r="E48" s="34"/>
      <c r="F48" s="34"/>
    </row>
    <row r="49">
      <c r="A49" s="34"/>
      <c r="B49" s="422"/>
      <c r="C49" s="34"/>
      <c r="D49" s="34"/>
      <c r="E49" s="34"/>
      <c r="F49" s="34"/>
    </row>
    <row r="50">
      <c r="A50" s="423" t="s">
        <v>3255</v>
      </c>
      <c r="D50" s="423" t="s">
        <v>3257</v>
      </c>
    </row>
    <row r="51">
      <c r="A51" s="424" t="s">
        <v>3252</v>
      </c>
      <c r="B51" s="424" t="s">
        <v>2269</v>
      </c>
      <c r="C51" s="424" t="s">
        <v>3253</v>
      </c>
      <c r="D51" s="34"/>
      <c r="E51" s="34"/>
      <c r="F51" s="34"/>
    </row>
    <row r="52">
      <c r="A52" s="425">
        <v>1.8E10</v>
      </c>
      <c r="B52" s="296">
        <v>0.0015</v>
      </c>
      <c r="C52" s="426">
        <f>A52*B52</f>
        <v>27000000</v>
      </c>
      <c r="D52" s="34"/>
      <c r="E52" s="34"/>
      <c r="F52" s="34"/>
    </row>
    <row r="53">
      <c r="A53" s="108"/>
      <c r="B53" s="108"/>
      <c r="C53" s="108"/>
      <c r="D53" s="34"/>
      <c r="E53" s="34"/>
      <c r="F53" s="34"/>
    </row>
    <row r="54">
      <c r="A54" s="427" t="s">
        <v>3259</v>
      </c>
      <c r="D54" s="427" t="s">
        <v>3260</v>
      </c>
    </row>
    <row r="55">
      <c r="A55" s="420" t="s">
        <v>3252</v>
      </c>
      <c r="B55" s="421" t="s">
        <v>2269</v>
      </c>
      <c r="C55" s="420" t="s">
        <v>3253</v>
      </c>
      <c r="D55" s="34"/>
      <c r="E55" s="34"/>
      <c r="F55" s="34"/>
    </row>
    <row r="56">
      <c r="A56" s="295">
        <v>1.1E9</v>
      </c>
      <c r="B56" s="296">
        <v>0.0016</v>
      </c>
      <c r="C56" s="295">
        <f>A56*B56</f>
        <v>1760000</v>
      </c>
      <c r="D56" s="34"/>
      <c r="E56" s="34"/>
      <c r="F56" s="34"/>
    </row>
    <row r="57">
      <c r="A57" s="428"/>
      <c r="B57" s="34"/>
      <c r="C57" s="34"/>
      <c r="D57" s="34"/>
      <c r="E57" s="34"/>
      <c r="F57" s="34"/>
    </row>
    <row r="58">
      <c r="A58" s="429" t="s">
        <v>3262</v>
      </c>
      <c r="D58" s="429" t="s">
        <v>3263</v>
      </c>
    </row>
    <row r="59">
      <c r="A59" s="424" t="s">
        <v>3252</v>
      </c>
      <c r="B59" s="421" t="s">
        <v>2269</v>
      </c>
      <c r="C59" s="424" t="s">
        <v>3253</v>
      </c>
      <c r="D59" s="34"/>
      <c r="E59" s="34"/>
      <c r="F59" s="34"/>
    </row>
    <row r="60">
      <c r="A60" s="425">
        <v>1.2E9</v>
      </c>
      <c r="B60" s="430">
        <v>0.012</v>
      </c>
      <c r="C60" s="426">
        <f>A60*B60</f>
        <v>14400000</v>
      </c>
      <c r="D60" s="34"/>
      <c r="E60" s="34"/>
      <c r="F60" s="34"/>
    </row>
    <row r="61">
      <c r="A61" s="108"/>
      <c r="B61" s="108"/>
      <c r="C61" s="108"/>
      <c r="D61" s="34"/>
      <c r="E61" s="34"/>
      <c r="F61" s="34"/>
    </row>
    <row r="62">
      <c r="A62" s="406" t="s">
        <v>3264</v>
      </c>
      <c r="B62" s="108"/>
      <c r="C62" s="108"/>
      <c r="D62" s="34"/>
      <c r="E62" s="418" t="s">
        <v>3247</v>
      </c>
      <c r="F62" s="34"/>
      <c r="H62" s="406" t="s">
        <v>3264</v>
      </c>
    </row>
    <row r="63">
      <c r="A63" s="419" t="s">
        <v>3248</v>
      </c>
      <c r="D63" s="419" t="s">
        <v>3250</v>
      </c>
      <c r="H63" s="14" t="s">
        <v>3251</v>
      </c>
    </row>
    <row r="64">
      <c r="A64" s="424" t="s">
        <v>3252</v>
      </c>
      <c r="B64" s="424" t="s">
        <v>2269</v>
      </c>
      <c r="C64" s="424" t="s">
        <v>3253</v>
      </c>
      <c r="D64" s="34"/>
      <c r="E64" s="34"/>
      <c r="F64" s="34"/>
      <c r="H64" s="31">
        <f>C65+C69</f>
        <v>36000000</v>
      </c>
    </row>
    <row r="65">
      <c r="A65" s="426">
        <v>1.0E9</v>
      </c>
      <c r="B65" s="296">
        <v>0.009</v>
      </c>
      <c r="C65" s="426">
        <f>A65*B65</f>
        <v>9000000</v>
      </c>
      <c r="D65" s="34"/>
      <c r="E65" s="34"/>
      <c r="F65" s="34"/>
    </row>
    <row r="66">
      <c r="A66" s="34"/>
      <c r="B66" s="422"/>
      <c r="C66" s="34"/>
      <c r="D66" s="34"/>
      <c r="E66" s="34"/>
      <c r="F66" s="34"/>
    </row>
    <row r="67">
      <c r="A67" s="423" t="s">
        <v>3255</v>
      </c>
      <c r="D67" s="423" t="s">
        <v>3257</v>
      </c>
    </row>
    <row r="68">
      <c r="A68" s="420" t="s">
        <v>3252</v>
      </c>
      <c r="B68" s="420" t="s">
        <v>2269</v>
      </c>
      <c r="C68" s="420" t="s">
        <v>3253</v>
      </c>
      <c r="D68" s="34"/>
      <c r="E68" s="34"/>
      <c r="F68" s="34"/>
    </row>
    <row r="69">
      <c r="A69" s="425">
        <v>1.8E10</v>
      </c>
      <c r="B69" s="296">
        <v>0.0015</v>
      </c>
      <c r="C69" s="295">
        <f>A69*B69</f>
        <v>27000000</v>
      </c>
      <c r="D69" s="34"/>
      <c r="E69" s="34"/>
      <c r="F69" s="34"/>
    </row>
    <row r="71">
      <c r="A71" s="14" t="s">
        <v>3271</v>
      </c>
    </row>
    <row r="73">
      <c r="A73" s="431" t="s">
        <v>185</v>
      </c>
      <c r="B73" s="432" t="s">
        <v>73</v>
      </c>
      <c r="I73" s="433"/>
    </row>
    <row r="74">
      <c r="A74" s="431" t="s">
        <v>205</v>
      </c>
      <c r="B74" s="432" t="s">
        <v>129</v>
      </c>
      <c r="I74" s="433"/>
    </row>
    <row r="75">
      <c r="A75" s="431" t="s">
        <v>205</v>
      </c>
      <c r="B75" s="432" t="s">
        <v>212</v>
      </c>
      <c r="I75" s="433"/>
    </row>
    <row r="76">
      <c r="A76" s="431" t="s">
        <v>217</v>
      </c>
      <c r="B76" s="432" t="s">
        <v>218</v>
      </c>
      <c r="I76" s="433"/>
    </row>
    <row r="77">
      <c r="A77" s="431" t="s">
        <v>217</v>
      </c>
      <c r="B77" s="432" t="s">
        <v>223</v>
      </c>
      <c r="I77" s="433"/>
    </row>
    <row r="78">
      <c r="A78" s="431" t="s">
        <v>217</v>
      </c>
      <c r="B78" s="432" t="s">
        <v>230</v>
      </c>
      <c r="I78" s="433"/>
    </row>
    <row r="79">
      <c r="A79" s="431" t="s">
        <v>217</v>
      </c>
      <c r="B79" s="432" t="s">
        <v>155</v>
      </c>
      <c r="I79" s="433"/>
    </row>
    <row r="80">
      <c r="A80" s="431" t="s">
        <v>217</v>
      </c>
      <c r="B80" s="432" t="s">
        <v>236</v>
      </c>
      <c r="I80" s="433"/>
    </row>
    <row r="81">
      <c r="A81" s="431" t="s">
        <v>217</v>
      </c>
      <c r="B81" s="432" t="s">
        <v>148</v>
      </c>
      <c r="I81" s="433"/>
    </row>
    <row r="82">
      <c r="A82" s="431" t="s">
        <v>217</v>
      </c>
      <c r="B82" s="432" t="s">
        <v>3274</v>
      </c>
      <c r="I82" s="433"/>
    </row>
    <row r="83">
      <c r="A83" s="431" t="s">
        <v>217</v>
      </c>
      <c r="B83" s="432" t="s">
        <v>143</v>
      </c>
      <c r="I83" s="433"/>
    </row>
    <row r="84">
      <c r="A84" s="431" t="s">
        <v>217</v>
      </c>
      <c r="B84" s="432" t="s">
        <v>250</v>
      </c>
      <c r="I84" s="433"/>
    </row>
    <row r="85">
      <c r="A85" s="431" t="s">
        <v>185</v>
      </c>
      <c r="B85" s="432" t="s">
        <v>253</v>
      </c>
      <c r="I85" s="433"/>
    </row>
    <row r="86">
      <c r="A86" s="431" t="s">
        <v>185</v>
      </c>
      <c r="B86" s="432" t="s">
        <v>258</v>
      </c>
      <c r="I86" s="433"/>
    </row>
    <row r="87">
      <c r="A87" s="431" t="s">
        <v>185</v>
      </c>
      <c r="B87" s="432" t="s">
        <v>264</v>
      </c>
      <c r="I87" s="433"/>
    </row>
    <row r="88">
      <c r="A88" s="431" t="s">
        <v>185</v>
      </c>
      <c r="B88" s="432" t="s">
        <v>270</v>
      </c>
      <c r="I88" s="433"/>
    </row>
    <row r="89">
      <c r="A89" s="431" t="s">
        <v>217</v>
      </c>
      <c r="B89" s="432" t="s">
        <v>272</v>
      </c>
      <c r="I89" s="433"/>
    </row>
    <row r="90">
      <c r="A90" s="431" t="s">
        <v>185</v>
      </c>
      <c r="B90" s="432" t="s">
        <v>276</v>
      </c>
      <c r="I90" s="433"/>
    </row>
    <row r="91">
      <c r="A91" s="431" t="s">
        <v>185</v>
      </c>
      <c r="B91" s="432" t="s">
        <v>280</v>
      </c>
      <c r="I91" s="433"/>
    </row>
    <row r="92">
      <c r="A92" s="431" t="s">
        <v>185</v>
      </c>
      <c r="B92" s="432" t="s">
        <v>283</v>
      </c>
      <c r="I92" s="433"/>
    </row>
    <row r="93">
      <c r="A93" s="431" t="s">
        <v>185</v>
      </c>
      <c r="B93" s="432" t="s">
        <v>287</v>
      </c>
      <c r="I93" s="433"/>
    </row>
    <row r="94">
      <c r="A94" s="431" t="s">
        <v>217</v>
      </c>
      <c r="B94" s="432" t="s">
        <v>292</v>
      </c>
      <c r="I94" s="433"/>
    </row>
    <row r="95">
      <c r="A95" s="431" t="s">
        <v>299</v>
      </c>
      <c r="B95" s="432" t="s">
        <v>301</v>
      </c>
      <c r="I95" s="433"/>
    </row>
    <row r="96">
      <c r="A96" s="434"/>
      <c r="B96" s="434"/>
    </row>
    <row r="97">
      <c r="A97" s="434"/>
      <c r="B97" s="434"/>
    </row>
    <row r="98">
      <c r="A98" s="431" t="s">
        <v>313</v>
      </c>
      <c r="B98" s="432" t="s">
        <v>314</v>
      </c>
      <c r="I98" s="433"/>
    </row>
    <row r="99">
      <c r="A99" s="431" t="s">
        <v>312</v>
      </c>
      <c r="B99" s="432" t="s">
        <v>3278</v>
      </c>
      <c r="I99" s="433"/>
    </row>
    <row r="100">
      <c r="A100" s="431" t="s">
        <v>312</v>
      </c>
      <c r="B100" s="432" t="s">
        <v>331</v>
      </c>
      <c r="I100" s="433"/>
    </row>
    <row r="101">
      <c r="A101" s="431" t="s">
        <v>340</v>
      </c>
      <c r="B101" s="432" t="s">
        <v>341</v>
      </c>
      <c r="I101" s="433"/>
    </row>
    <row r="102">
      <c r="A102" s="431" t="s">
        <v>347</v>
      </c>
      <c r="B102" s="432" t="s">
        <v>184</v>
      </c>
      <c r="I102" s="433"/>
    </row>
    <row r="103">
      <c r="A103" s="434"/>
    </row>
    <row r="104">
      <c r="A104" s="434" t="s">
        <v>352</v>
      </c>
      <c r="B104" s="432" t="s">
        <v>353</v>
      </c>
      <c r="I104" s="433"/>
    </row>
    <row r="106">
      <c r="A106" s="431" t="s">
        <v>367</v>
      </c>
      <c r="B106" s="432" t="s">
        <v>368</v>
      </c>
      <c r="I106" s="433"/>
    </row>
    <row r="107">
      <c r="A107" s="431" t="s">
        <v>367</v>
      </c>
      <c r="B107" s="432" t="s">
        <v>373</v>
      </c>
      <c r="I107" s="433"/>
    </row>
    <row r="108">
      <c r="A108" s="431" t="s">
        <v>367</v>
      </c>
      <c r="B108" s="432" t="s">
        <v>374</v>
      </c>
      <c r="I108" s="433"/>
    </row>
    <row r="109">
      <c r="A109" s="431" t="s">
        <v>367</v>
      </c>
      <c r="B109" s="432" t="s">
        <v>377</v>
      </c>
      <c r="I109" s="433"/>
    </row>
    <row r="110">
      <c r="A110" s="431" t="s">
        <v>367</v>
      </c>
      <c r="B110" s="432" t="s">
        <v>380</v>
      </c>
      <c r="I110" s="433"/>
    </row>
    <row r="111">
      <c r="A111" s="431" t="s">
        <v>367</v>
      </c>
      <c r="B111" s="432" t="s">
        <v>383</v>
      </c>
      <c r="I111" s="433"/>
    </row>
    <row r="112">
      <c r="A112" s="431" t="s">
        <v>367</v>
      </c>
      <c r="B112" s="432" t="s">
        <v>387</v>
      </c>
      <c r="I112" s="433"/>
    </row>
    <row r="113">
      <c r="A113" s="431" t="s">
        <v>367</v>
      </c>
      <c r="B113" s="432" t="s">
        <v>389</v>
      </c>
      <c r="I113" s="433"/>
    </row>
    <row r="114">
      <c r="A114" s="431" t="s">
        <v>367</v>
      </c>
      <c r="B114" s="432" t="s">
        <v>392</v>
      </c>
      <c r="I114" s="433"/>
    </row>
  </sheetData>
  <mergeCells count="31">
    <mergeCell ref="P28:P29"/>
    <mergeCell ref="Q28:Q29"/>
    <mergeCell ref="I28:I29"/>
    <mergeCell ref="J28:J29"/>
    <mergeCell ref="K28:K29"/>
    <mergeCell ref="L28:L29"/>
    <mergeCell ref="M28:M29"/>
    <mergeCell ref="N28:N29"/>
    <mergeCell ref="O28:O29"/>
    <mergeCell ref="B28:B29"/>
    <mergeCell ref="C28:C29"/>
    <mergeCell ref="D28:D29"/>
    <mergeCell ref="E28:E29"/>
    <mergeCell ref="F28:F29"/>
    <mergeCell ref="G28:G29"/>
    <mergeCell ref="H28:H29"/>
    <mergeCell ref="A54:C54"/>
    <mergeCell ref="D54:F54"/>
    <mergeCell ref="A58:C58"/>
    <mergeCell ref="D58:F58"/>
    <mergeCell ref="A63:C63"/>
    <mergeCell ref="D63:F63"/>
    <mergeCell ref="A67:C67"/>
    <mergeCell ref="D67:F67"/>
    <mergeCell ref="A36:A37"/>
    <mergeCell ref="A40:A41"/>
    <mergeCell ref="A43:E43"/>
    <mergeCell ref="A46:C46"/>
    <mergeCell ref="D46:F46"/>
    <mergeCell ref="A50:C50"/>
    <mergeCell ref="D50:F50"/>
  </mergeCells>
  <drawing r:id="rId1"/>
</worksheet>
</file>